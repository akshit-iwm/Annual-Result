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D356F247-81D0-4884-AA59-B72C9C830786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6" i="1" l="1"/>
  <c r="CR11" i="1" l="1"/>
  <c r="CM21" i="1"/>
  <c r="AA46" i="1"/>
  <c r="AA45" i="1"/>
  <c r="AA43" i="1"/>
  <c r="CK55" i="1"/>
  <c r="CJ55" i="1"/>
  <c r="CI55" i="1"/>
  <c r="CM55" i="1" s="1"/>
  <c r="CL55" i="1"/>
  <c r="CS11" i="1" l="1"/>
  <c r="CT11" i="1" s="1"/>
  <c r="CU11" i="1" s="1"/>
  <c r="CN21" i="1"/>
  <c r="CO21" i="1" s="1"/>
  <c r="CP21" i="1" s="1"/>
  <c r="CV11" i="1"/>
  <c r="CW11" i="1" s="1"/>
  <c r="CX11" i="1" s="1"/>
  <c r="CY11" i="1" s="1"/>
  <c r="CZ11" i="1" s="1"/>
  <c r="DA11" i="1" s="1"/>
  <c r="DB11" i="1" s="1"/>
  <c r="CN55" i="1"/>
  <c r="CL54" i="1"/>
  <c r="CL53" i="1"/>
  <c r="CL52" i="1"/>
  <c r="CL51" i="1"/>
  <c r="CL47" i="1"/>
  <c r="CL22" i="1"/>
  <c r="CL7" i="1"/>
  <c r="CL17" i="1"/>
  <c r="CK54" i="1"/>
  <c r="CH54" i="1"/>
  <c r="CG54" i="1"/>
  <c r="CF54" i="1"/>
  <c r="CE54" i="1"/>
  <c r="CD54" i="1"/>
  <c r="CC54" i="1"/>
  <c r="CB54" i="1"/>
  <c r="CA54" i="1"/>
  <c r="BZ54" i="1"/>
  <c r="BY54" i="1"/>
  <c r="CK53" i="1"/>
  <c r="CJ53" i="1"/>
  <c r="CH53" i="1"/>
  <c r="CG53" i="1"/>
  <c r="CF53" i="1"/>
  <c r="CE53" i="1"/>
  <c r="CD53" i="1"/>
  <c r="CC53" i="1"/>
  <c r="CB53" i="1"/>
  <c r="CA53" i="1"/>
  <c r="BZ53" i="1"/>
  <c r="BY53" i="1"/>
  <c r="CK52" i="1"/>
  <c r="CJ52" i="1"/>
  <c r="CI52" i="1"/>
  <c r="CM52" i="1" s="1"/>
  <c r="CH52" i="1"/>
  <c r="CG52" i="1"/>
  <c r="CF52" i="1"/>
  <c r="CE52" i="1"/>
  <c r="CD52" i="1"/>
  <c r="CC52" i="1"/>
  <c r="CB52" i="1"/>
  <c r="CA52" i="1"/>
  <c r="BZ52" i="1"/>
  <c r="BY52" i="1"/>
  <c r="CJ51" i="1"/>
  <c r="CH51" i="1"/>
  <c r="CG51" i="1"/>
  <c r="CF51" i="1"/>
  <c r="CE51" i="1"/>
  <c r="CD51" i="1"/>
  <c r="CC51" i="1"/>
  <c r="CB51" i="1"/>
  <c r="CA51" i="1"/>
  <c r="BZ51" i="1"/>
  <c r="BY51" i="1"/>
  <c r="CK51" i="1"/>
  <c r="Z46" i="1"/>
  <c r="Y46" i="1"/>
  <c r="X46" i="1"/>
  <c r="W46" i="1"/>
  <c r="Z45" i="1"/>
  <c r="Y45" i="1"/>
  <c r="X45" i="1"/>
  <c r="W45" i="1"/>
  <c r="Z44" i="1"/>
  <c r="Y44" i="1"/>
  <c r="X44" i="1"/>
  <c r="W44" i="1"/>
  <c r="Z43" i="1"/>
  <c r="Y43" i="1"/>
  <c r="X43" i="1"/>
  <c r="W43" i="1"/>
  <c r="Z42" i="1"/>
  <c r="Y42" i="1"/>
  <c r="X42" i="1"/>
  <c r="W42" i="1"/>
  <c r="BZ47" i="1"/>
  <c r="BY47" i="1"/>
  <c r="BX47" i="1"/>
  <c r="BW47" i="1"/>
  <c r="CE47" i="1"/>
  <c r="CI44" i="1"/>
  <c r="AA44" i="1" s="1"/>
  <c r="CI42" i="1"/>
  <c r="AA42" i="1" s="1"/>
  <c r="CJ47" i="1"/>
  <c r="CH47" i="1"/>
  <c r="CG47" i="1"/>
  <c r="CF47" i="1"/>
  <c r="CD47" i="1"/>
  <c r="CC47" i="1"/>
  <c r="CB47" i="1"/>
  <c r="CA47" i="1"/>
  <c r="CK47" i="1"/>
  <c r="AA47" i="1" l="1"/>
  <c r="CO55" i="1"/>
  <c r="CI53" i="1"/>
  <c r="CM53" i="1" s="1"/>
  <c r="CI51" i="1"/>
  <c r="CM51" i="1" s="1"/>
  <c r="CI47" i="1"/>
  <c r="CN52" i="1"/>
  <c r="CI54" i="1"/>
  <c r="Z47" i="1"/>
  <c r="X47" i="1"/>
  <c r="Y47" i="1"/>
  <c r="CP55" i="1" l="1"/>
  <c r="CQ55" i="1" s="1"/>
  <c r="CN53" i="1"/>
  <c r="CO53" i="1"/>
  <c r="CP53" i="1" s="1"/>
  <c r="CN51" i="1"/>
  <c r="CO52" i="1"/>
  <c r="AD30" i="1"/>
  <c r="X8" i="1"/>
  <c r="W8" i="1"/>
  <c r="X6" i="1"/>
  <c r="W6" i="1"/>
  <c r="CQ53" i="1" l="1"/>
  <c r="CP52" i="1"/>
  <c r="CR55" i="1"/>
  <c r="CO51" i="1"/>
  <c r="X11" i="1"/>
  <c r="CC11" i="1"/>
  <c r="CB11" i="1"/>
  <c r="CA11" i="1"/>
  <c r="BZ11" i="1"/>
  <c r="BY11" i="1"/>
  <c r="BX11" i="1"/>
  <c r="BW11" i="1"/>
  <c r="BV11" i="1"/>
  <c r="BZ7" i="1"/>
  <c r="BY7" i="1"/>
  <c r="BX7" i="1"/>
  <c r="BW7" i="1"/>
  <c r="BV7" i="1"/>
  <c r="BU7" i="1"/>
  <c r="BT7" i="1"/>
  <c r="BS7" i="1"/>
  <c r="BR7" i="1"/>
  <c r="CR53" i="1" l="1"/>
  <c r="CQ52" i="1"/>
  <c r="CR52" i="1"/>
  <c r="CS55" i="1"/>
  <c r="CT55" i="1" s="1"/>
  <c r="CS53" i="1"/>
  <c r="CP51" i="1"/>
  <c r="BW12" i="1"/>
  <c r="BX12" i="1"/>
  <c r="BY12" i="1"/>
  <c r="BZ12" i="1"/>
  <c r="BV12" i="1"/>
  <c r="Z21" i="1"/>
  <c r="Y21" i="1"/>
  <c r="CD6" i="1"/>
  <c r="CH6" i="1"/>
  <c r="CK6" i="1"/>
  <c r="AA18" i="1"/>
  <c r="Z18" i="1"/>
  <c r="Y18" i="1"/>
  <c r="X18" i="1"/>
  <c r="W18" i="1"/>
  <c r="V18" i="1"/>
  <c r="Z16" i="1"/>
  <c r="Y16" i="1"/>
  <c r="X16" i="1"/>
  <c r="W16" i="1"/>
  <c r="V16" i="1"/>
  <c r="U16" i="1"/>
  <c r="Z15" i="1"/>
  <c r="Y15" i="1"/>
  <c r="X15" i="1"/>
  <c r="W15" i="1"/>
  <c r="V15" i="1"/>
  <c r="U15" i="1"/>
  <c r="AA8" i="1"/>
  <c r="Y8" i="1"/>
  <c r="AE30" i="1"/>
  <c r="AC30" i="1"/>
  <c r="AB30" i="1"/>
  <c r="AA30" i="1"/>
  <c r="AA29" i="1"/>
  <c r="Z30" i="1"/>
  <c r="Y30" i="1"/>
  <c r="X30" i="1"/>
  <c r="W30" i="1"/>
  <c r="V30" i="1"/>
  <c r="U30" i="1"/>
  <c r="T30" i="1"/>
  <c r="Z29" i="1"/>
  <c r="Z55" i="1" s="1"/>
  <c r="Y29" i="1"/>
  <c r="Y55" i="1" s="1"/>
  <c r="X29" i="1"/>
  <c r="X55" i="1" s="1"/>
  <c r="W29" i="1"/>
  <c r="V29" i="1"/>
  <c r="U29" i="1"/>
  <c r="T29" i="1"/>
  <c r="Z28" i="1"/>
  <c r="Z54" i="1" s="1"/>
  <c r="Y28" i="1"/>
  <c r="Y54" i="1" s="1"/>
  <c r="X28" i="1"/>
  <c r="X54" i="1" s="1"/>
  <c r="W28" i="1"/>
  <c r="V28" i="1"/>
  <c r="U28" i="1"/>
  <c r="T28" i="1"/>
  <c r="Z27" i="1"/>
  <c r="Z53" i="1" s="1"/>
  <c r="Y27" i="1"/>
  <c r="Y53" i="1" s="1"/>
  <c r="X27" i="1"/>
  <c r="X53" i="1" s="1"/>
  <c r="W27" i="1"/>
  <c r="V27" i="1"/>
  <c r="U27" i="1"/>
  <c r="Z26" i="1"/>
  <c r="Z52" i="1" s="1"/>
  <c r="Y26" i="1"/>
  <c r="Y52" i="1" s="1"/>
  <c r="X26" i="1"/>
  <c r="X52" i="1" s="1"/>
  <c r="W26" i="1"/>
  <c r="V26" i="1"/>
  <c r="U26" i="1"/>
  <c r="T26" i="1"/>
  <c r="Z25" i="1"/>
  <c r="Z51" i="1" s="1"/>
  <c r="Y25" i="1"/>
  <c r="Y51" i="1" s="1"/>
  <c r="X25" i="1"/>
  <c r="W25" i="1"/>
  <c r="W7" i="1" s="1"/>
  <c r="V25" i="1"/>
  <c r="CM18" i="1"/>
  <c r="CN18" i="1" s="1"/>
  <c r="CO18" i="1" s="1"/>
  <c r="U25" i="1"/>
  <c r="T25" i="1"/>
  <c r="S30" i="1"/>
  <c r="S29" i="1"/>
  <c r="S28" i="1"/>
  <c r="S27" i="1"/>
  <c r="S26" i="1"/>
  <c r="S25" i="1"/>
  <c r="CP29" i="1"/>
  <c r="CO29" i="1"/>
  <c r="CN29" i="1"/>
  <c r="CM29" i="1"/>
  <c r="CQ29" i="1" s="1"/>
  <c r="CQ21" i="1"/>
  <c r="CR21" i="1" s="1"/>
  <c r="CS21" i="1" s="1"/>
  <c r="CS52" i="1" l="1"/>
  <c r="CU55" i="1"/>
  <c r="CT53" i="1"/>
  <c r="CU53" i="1"/>
  <c r="CQ51" i="1"/>
  <c r="CR51" i="1"/>
  <c r="CT29" i="1"/>
  <c r="CP46" i="1"/>
  <c r="CS29" i="1"/>
  <c r="CO46" i="1"/>
  <c r="CR29" i="1"/>
  <c r="CN46" i="1"/>
  <c r="CU29" i="1"/>
  <c r="CU46" i="1" s="1"/>
  <c r="CQ46" i="1"/>
  <c r="X7" i="1"/>
  <c r="X51" i="1"/>
  <c r="T36" i="1"/>
  <c r="U17" i="1"/>
  <c r="X36" i="1"/>
  <c r="Y37" i="1"/>
  <c r="W17" i="1"/>
  <c r="X17" i="1"/>
  <c r="W35" i="1"/>
  <c r="Y36" i="1"/>
  <c r="Y35" i="1"/>
  <c r="V17" i="1"/>
  <c r="V37" i="1"/>
  <c r="Y17" i="1"/>
  <c r="U35" i="1"/>
  <c r="W37" i="1"/>
  <c r="V36" i="1"/>
  <c r="X37" i="1"/>
  <c r="X35" i="1"/>
  <c r="S31" i="1"/>
  <c r="V35" i="1"/>
  <c r="W36" i="1"/>
  <c r="AB29" i="1"/>
  <c r="AB39" i="1" s="1"/>
  <c r="AB21" i="1"/>
  <c r="AA21" i="1"/>
  <c r="Y31" i="1"/>
  <c r="U36" i="1"/>
  <c r="W31" i="1"/>
  <c r="U31" i="1"/>
  <c r="Z6" i="1"/>
  <c r="CL11" i="1"/>
  <c r="X31" i="1"/>
  <c r="V31" i="1"/>
  <c r="Y6" i="1"/>
  <c r="CD11" i="1"/>
  <c r="AA16" i="1"/>
  <c r="CT21" i="1"/>
  <c r="AC29" i="1" l="1"/>
  <c r="CY29" i="1"/>
  <c r="X12" i="1"/>
  <c r="CT52" i="1"/>
  <c r="CV55" i="1"/>
  <c r="CW55" i="1"/>
  <c r="CV53" i="1"/>
  <c r="CS51" i="1"/>
  <c r="CT46" i="1"/>
  <c r="CX29" i="1"/>
  <c r="DB29" i="1" s="1"/>
  <c r="CS46" i="1"/>
  <c r="CW29" i="1"/>
  <c r="DA29" i="1" s="1"/>
  <c r="CR46" i="1"/>
  <c r="CV29" i="1"/>
  <c r="Y11" i="1"/>
  <c r="Y7" i="1"/>
  <c r="Y12" i="1" s="1"/>
  <c r="CU21" i="1"/>
  <c r="CV21" i="1" s="1"/>
  <c r="CW21" i="1" s="1"/>
  <c r="CX21" i="1" s="1"/>
  <c r="AC21" i="1"/>
  <c r="CP18" i="1"/>
  <c r="AC39" i="1" l="1"/>
  <c r="AD29" i="1"/>
  <c r="AD39" i="1" s="1"/>
  <c r="CW53" i="1"/>
  <c r="CU52" i="1"/>
  <c r="CW46" i="1"/>
  <c r="CX55" i="1"/>
  <c r="CT51" i="1"/>
  <c r="CV46" i="1"/>
  <c r="CZ29" i="1"/>
  <c r="AE29" i="1" s="1"/>
  <c r="AE39" i="1" s="1"/>
  <c r="AC46" i="1"/>
  <c r="CY21" i="1"/>
  <c r="CZ21" i="1" s="1"/>
  <c r="DA21" i="1" s="1"/>
  <c r="DB21" i="1" s="1"/>
  <c r="AE21" i="1" s="1"/>
  <c r="AD21" i="1"/>
  <c r="CQ18" i="1"/>
  <c r="AB18" i="1"/>
  <c r="CX53" i="1" l="1"/>
  <c r="CY55" i="1"/>
  <c r="CY46" i="1" s="1"/>
  <c r="CY53" i="1"/>
  <c r="CV52" i="1"/>
  <c r="CW52" i="1"/>
  <c r="CX46" i="1"/>
  <c r="CU51" i="1"/>
  <c r="CV51" i="1"/>
  <c r="AD46" i="1"/>
  <c r="CW51" i="1"/>
  <c r="CR18" i="1"/>
  <c r="CS18" i="1" s="1"/>
  <c r="CT18" i="1" s="1"/>
  <c r="CZ53" i="1" l="1"/>
  <c r="DA53" i="1" s="1"/>
  <c r="CZ55" i="1"/>
  <c r="CZ46" i="1" s="1"/>
  <c r="CX52" i="1"/>
  <c r="DA55" i="1"/>
  <c r="DA46" i="1" s="1"/>
  <c r="CX51" i="1"/>
  <c r="AC18" i="1"/>
  <c r="CU18" i="1"/>
  <c r="CV18" i="1" s="1"/>
  <c r="CW18" i="1" s="1"/>
  <c r="CX18" i="1" s="1"/>
  <c r="AD18" i="1"/>
  <c r="DB53" i="1" l="1"/>
  <c r="CY52" i="1"/>
  <c r="CZ52" i="1" s="1"/>
  <c r="CY51" i="1"/>
  <c r="DB55" i="1"/>
  <c r="DB46" i="1" s="1"/>
  <c r="AE46" i="1" s="1"/>
  <c r="CY18" i="1"/>
  <c r="DA52" i="1" l="1"/>
  <c r="DB52" i="1" s="1"/>
  <c r="CZ51" i="1"/>
  <c r="DA51" i="1"/>
  <c r="CZ18" i="1"/>
  <c r="DA18" i="1" s="1"/>
  <c r="DB51" i="1" l="1"/>
  <c r="DB18" i="1"/>
  <c r="AE18" i="1" s="1"/>
  <c r="CH22" i="1" l="1"/>
  <c r="CG22" i="1"/>
  <c r="CK22" i="1"/>
  <c r="CF22" i="1"/>
  <c r="CI22" i="1"/>
  <c r="CO27" i="1"/>
  <c r="CN27" i="1"/>
  <c r="CM27" i="1"/>
  <c r="CM44" i="1" s="1"/>
  <c r="CM16" i="1"/>
  <c r="CN16" i="1" s="1"/>
  <c r="CO16" i="1" s="1"/>
  <c r="CP16" i="1" s="1"/>
  <c r="BD37" i="1"/>
  <c r="BD36" i="1"/>
  <c r="BL37" i="1"/>
  <c r="BK37" i="1"/>
  <c r="BJ37" i="1"/>
  <c r="BH37" i="1"/>
  <c r="BG37" i="1"/>
  <c r="BF37" i="1"/>
  <c r="BE37" i="1"/>
  <c r="BL36" i="1"/>
  <c r="BK36" i="1"/>
  <c r="BJ36" i="1"/>
  <c r="BI36" i="1"/>
  <c r="BH36" i="1"/>
  <c r="BG36" i="1"/>
  <c r="BF36" i="1"/>
  <c r="BE36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CJ39" i="1"/>
  <c r="CK38" i="1"/>
  <c r="CI38" i="1"/>
  <c r="CH38" i="1"/>
  <c r="CK37" i="1"/>
  <c r="CJ37" i="1"/>
  <c r="CI37" i="1"/>
  <c r="CH37" i="1"/>
  <c r="CG37" i="1"/>
  <c r="CF37" i="1"/>
  <c r="CE37" i="1"/>
  <c r="CD37" i="1"/>
  <c r="CK36" i="1"/>
  <c r="CJ36" i="1"/>
  <c r="CI36" i="1"/>
  <c r="CH36" i="1"/>
  <c r="CG36" i="1"/>
  <c r="CF36" i="1"/>
  <c r="CE36" i="1"/>
  <c r="CD36" i="1"/>
  <c r="CJ35" i="1"/>
  <c r="CI35" i="1"/>
  <c r="CH35" i="1"/>
  <c r="CG35" i="1"/>
  <c r="CF35" i="1"/>
  <c r="CE35" i="1"/>
  <c r="CD35" i="1"/>
  <c r="CK35" i="1"/>
  <c r="CS27" i="1" l="1"/>
  <c r="CO44" i="1"/>
  <c r="CR27" i="1"/>
  <c r="CN44" i="1"/>
  <c r="CP27" i="1"/>
  <c r="AA27" i="1"/>
  <c r="CQ27" i="1"/>
  <c r="CQ16" i="1"/>
  <c r="CR16" i="1" s="1"/>
  <c r="AB16" i="1"/>
  <c r="CM15" i="1"/>
  <c r="CN15" i="1" s="1"/>
  <c r="CO15" i="1" s="1"/>
  <c r="CP15" i="1" s="1"/>
  <c r="AA15" i="1"/>
  <c r="CS44" i="1" l="1"/>
  <c r="CW27" i="1"/>
  <c r="CR44" i="1"/>
  <c r="CV27" i="1"/>
  <c r="CT27" i="1"/>
  <c r="CP44" i="1"/>
  <c r="AB44" i="1" s="1"/>
  <c r="CU27" i="1"/>
  <c r="CU44" i="1" s="1"/>
  <c r="CQ44" i="1"/>
  <c r="CY27" i="1"/>
  <c r="AB27" i="1"/>
  <c r="AB37" i="1" s="1"/>
  <c r="AC27" i="1"/>
  <c r="CQ15" i="1"/>
  <c r="CR15" i="1" s="1"/>
  <c r="CS15" i="1" s="1"/>
  <c r="CT15" i="1" s="1"/>
  <c r="AB15" i="1"/>
  <c r="CS16" i="1"/>
  <c r="CT16" i="1" s="1"/>
  <c r="CW44" i="1" l="1"/>
  <c r="DA27" i="1"/>
  <c r="DA44" i="1" s="1"/>
  <c r="CV44" i="1"/>
  <c r="CZ27" i="1"/>
  <c r="CZ44" i="1" s="1"/>
  <c r="CT44" i="1"/>
  <c r="AC44" i="1" s="1"/>
  <c r="CX27" i="1"/>
  <c r="AD27" i="1" s="1"/>
  <c r="AD37" i="1" s="1"/>
  <c r="CY44" i="1"/>
  <c r="AC37" i="1"/>
  <c r="CU16" i="1"/>
  <c r="CV16" i="1" s="1"/>
  <c r="CW16" i="1" s="1"/>
  <c r="CX16" i="1" s="1"/>
  <c r="AC16" i="1"/>
  <c r="CU15" i="1"/>
  <c r="CV15" i="1" s="1"/>
  <c r="CW15" i="1" s="1"/>
  <c r="CX15" i="1" s="1"/>
  <c r="AC15" i="1"/>
  <c r="CX44" i="1" l="1"/>
  <c r="AD44" i="1" s="1"/>
  <c r="DB27" i="1"/>
  <c r="DB44" i="1" s="1"/>
  <c r="AE44" i="1" s="1"/>
  <c r="CY16" i="1"/>
  <c r="CZ16" i="1" s="1"/>
  <c r="DA16" i="1" s="1"/>
  <c r="DB16" i="1" s="1"/>
  <c r="AE16" i="1" s="1"/>
  <c r="AD16" i="1"/>
  <c r="CY15" i="1"/>
  <c r="CZ15" i="1" s="1"/>
  <c r="DA15" i="1" s="1"/>
  <c r="DB15" i="1" s="1"/>
  <c r="AE15" i="1" s="1"/>
  <c r="AD15" i="1"/>
  <c r="CD17" i="1"/>
  <c r="CE17" i="1"/>
  <c r="CF17" i="1"/>
  <c r="CG17" i="1"/>
  <c r="CH17" i="1"/>
  <c r="CI17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H31" i="1"/>
  <c r="BG31" i="1"/>
  <c r="BF31" i="1"/>
  <c r="BE31" i="1"/>
  <c r="BD31" i="1"/>
  <c r="BC31" i="1"/>
  <c r="BB31" i="1"/>
  <c r="BA31" i="1"/>
  <c r="AZ31" i="1"/>
  <c r="CI31" i="1"/>
  <c r="CH31" i="1"/>
  <c r="CG31" i="1"/>
  <c r="CF31" i="1"/>
  <c r="CE31" i="1"/>
  <c r="CD31" i="1"/>
  <c r="CC31" i="1"/>
  <c r="CB31" i="1"/>
  <c r="CJ28" i="1"/>
  <c r="CJ54" i="1" s="1"/>
  <c r="BI27" i="1"/>
  <c r="T27" i="1" s="1"/>
  <c r="CJ11" i="1"/>
  <c r="CI11" i="1"/>
  <c r="CH11" i="1"/>
  <c r="CG11" i="1"/>
  <c r="CF11" i="1"/>
  <c r="CE11" i="1"/>
  <c r="CK11" i="1"/>
  <c r="CM8" i="1"/>
  <c r="CK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CJ17" i="1"/>
  <c r="CH7" i="1"/>
  <c r="CG7" i="1"/>
  <c r="CF7" i="1"/>
  <c r="CE7" i="1"/>
  <c r="CD7" i="1"/>
  <c r="CD12" i="1" s="1"/>
  <c r="CC7" i="1"/>
  <c r="CC12" i="1" s="1"/>
  <c r="CB7" i="1"/>
  <c r="CB12" i="1" s="1"/>
  <c r="CA7" i="1"/>
  <c r="CA12" i="1" s="1"/>
  <c r="AE27" i="1" l="1"/>
  <c r="AE37" i="1" s="1"/>
  <c r="CM17" i="1"/>
  <c r="CM54" i="1"/>
  <c r="T37" i="1"/>
  <c r="U37" i="1"/>
  <c r="T31" i="1"/>
  <c r="AA6" i="1"/>
  <c r="BI31" i="1"/>
  <c r="BM37" i="1"/>
  <c r="BI37" i="1"/>
  <c r="CJ31" i="1"/>
  <c r="CJ38" i="1"/>
  <c r="CJ22" i="1"/>
  <c r="CE12" i="1"/>
  <c r="CF12" i="1"/>
  <c r="CG12" i="1"/>
  <c r="CH12" i="1"/>
  <c r="CN8" i="1"/>
  <c r="CO8" i="1" s="1"/>
  <c r="CP8" i="1" s="1"/>
  <c r="CN17" i="1" l="1"/>
  <c r="CN54" i="1"/>
  <c r="CM22" i="1"/>
  <c r="AB8" i="1"/>
  <c r="CM6" i="1"/>
  <c r="CQ8" i="1"/>
  <c r="CO17" i="1" l="1"/>
  <c r="CP17" i="1"/>
  <c r="CQ17" i="1"/>
  <c r="CN22" i="1"/>
  <c r="CO22" i="1"/>
  <c r="CM28" i="1"/>
  <c r="CP22" i="1"/>
  <c r="CO54" i="1"/>
  <c r="CR17" i="1"/>
  <c r="AA28" i="1"/>
  <c r="CR8" i="1"/>
  <c r="CS8" i="1" s="1"/>
  <c r="CP54" i="1" l="1"/>
  <c r="CP28" i="1"/>
  <c r="CS17" i="1"/>
  <c r="CQ22" i="1"/>
  <c r="CQ54" i="1"/>
  <c r="AA22" i="1"/>
  <c r="CL38" i="1"/>
  <c r="CN28" i="1"/>
  <c r="CM45" i="1"/>
  <c r="CO6" i="1"/>
  <c r="CP6" i="1"/>
  <c r="CN6" i="1"/>
  <c r="CT8" i="1"/>
  <c r="CU8" i="1" s="1"/>
  <c r="CV8" i="1" s="1"/>
  <c r="CR54" i="1" l="1"/>
  <c r="CS54" i="1"/>
  <c r="CT54" i="1"/>
  <c r="CR22" i="1"/>
  <c r="CS22" i="1"/>
  <c r="CT22" i="1"/>
  <c r="CT17" i="1"/>
  <c r="CN38" i="1"/>
  <c r="CN45" i="1"/>
  <c r="AD8" i="1"/>
  <c r="AC8" i="1"/>
  <c r="CM38" i="1"/>
  <c r="CR6" i="1"/>
  <c r="AB6" i="1"/>
  <c r="AB11" i="1" s="1"/>
  <c r="CQ6" i="1"/>
  <c r="CW8" i="1"/>
  <c r="CU17" i="1" l="1"/>
  <c r="CV17" i="1" s="1"/>
  <c r="CU54" i="1"/>
  <c r="CU22" i="1"/>
  <c r="CO28" i="1"/>
  <c r="CX8" i="1"/>
  <c r="CW17" i="1" l="1"/>
  <c r="CX17" i="1" s="1"/>
  <c r="CV54" i="1"/>
  <c r="CV22" i="1"/>
  <c r="CO38" i="1"/>
  <c r="CO45" i="1"/>
  <c r="CP45" i="1"/>
  <c r="CS6" i="1"/>
  <c r="CT6" i="1"/>
  <c r="CY8" i="1"/>
  <c r="CW54" i="1" l="1"/>
  <c r="CW22" i="1"/>
  <c r="AB45" i="1"/>
  <c r="CP38" i="1"/>
  <c r="AB28" i="1"/>
  <c r="CQ28" i="1"/>
  <c r="CZ8" i="1"/>
  <c r="DA8" i="1" s="1"/>
  <c r="CU6" i="1"/>
  <c r="CV6" i="1"/>
  <c r="AC6" i="1"/>
  <c r="AC11" i="1" s="1"/>
  <c r="CW6" i="1"/>
  <c r="CX54" i="1" l="1"/>
  <c r="CX22" i="1"/>
  <c r="CY54" i="1"/>
  <c r="CY22" i="1"/>
  <c r="CZ22" i="1" s="1"/>
  <c r="CQ38" i="1"/>
  <c r="CQ45" i="1"/>
  <c r="DB8" i="1"/>
  <c r="AE8" i="1" s="1"/>
  <c r="AB38" i="1"/>
  <c r="AB22" i="1"/>
  <c r="CR28" i="1"/>
  <c r="CR45" i="1" s="1"/>
  <c r="CX6" i="1"/>
  <c r="CZ6" i="1"/>
  <c r="CZ54" i="1" l="1"/>
  <c r="DA22" i="1"/>
  <c r="DB22" i="1" s="1"/>
  <c r="CS28" i="1"/>
  <c r="CR38" i="1"/>
  <c r="AD6" i="1"/>
  <c r="AD11" i="1" s="1"/>
  <c r="DA6" i="1"/>
  <c r="CY6" i="1"/>
  <c r="DB6" i="1"/>
  <c r="DA54" i="1" l="1"/>
  <c r="DB54" i="1"/>
  <c r="CS38" i="1"/>
  <c r="CS45" i="1"/>
  <c r="CT28" i="1"/>
  <c r="CT45" i="1" s="1"/>
  <c r="AE6" i="1"/>
  <c r="AE11" i="1" s="1"/>
  <c r="AC45" i="1" l="1"/>
  <c r="CU28" i="1"/>
  <c r="CU45" i="1" s="1"/>
  <c r="CT38" i="1"/>
  <c r="AC28" i="1"/>
  <c r="AC38" i="1" l="1"/>
  <c r="AC22" i="1"/>
  <c r="CV28" i="1"/>
  <c r="CU38" i="1"/>
  <c r="CV38" i="1" l="1"/>
  <c r="CV45" i="1"/>
  <c r="CW28" i="1"/>
  <c r="CW45" i="1" s="1"/>
  <c r="CX28" i="1" l="1"/>
  <c r="CW38" i="1"/>
  <c r="CK7" i="1"/>
  <c r="CJ7" i="1"/>
  <c r="CI7" i="1"/>
  <c r="CX38" i="1" l="1"/>
  <c r="CX45" i="1"/>
  <c r="CL12" i="1"/>
  <c r="AD28" i="1"/>
  <c r="CZ28" i="1"/>
  <c r="CY28" i="1"/>
  <c r="CY45" i="1" s="1"/>
  <c r="CI12" i="1"/>
  <c r="CJ12" i="1"/>
  <c r="CK12" i="1"/>
  <c r="CK31" i="1"/>
  <c r="CM12" i="1" l="1"/>
  <c r="AD45" i="1"/>
  <c r="CZ38" i="1"/>
  <c r="CZ45" i="1"/>
  <c r="AD38" i="1"/>
  <c r="AD22" i="1"/>
  <c r="CL35" i="1"/>
  <c r="AA25" i="1"/>
  <c r="CY38" i="1"/>
  <c r="CM7" i="1" l="1"/>
  <c r="CN12" i="1"/>
  <c r="CO12" i="1"/>
  <c r="CM25" i="1"/>
  <c r="CM42" i="1" s="1"/>
  <c r="CO7" i="1"/>
  <c r="CO25" i="1" s="1"/>
  <c r="AA7" i="1"/>
  <c r="DB28" i="1"/>
  <c r="DA28" i="1"/>
  <c r="DA45" i="1" s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89" i="1"/>
  <c r="AB60" i="1"/>
  <c r="AC60" i="1"/>
  <c r="AD60" i="1"/>
  <c r="AE60" i="1"/>
  <c r="AB74" i="1"/>
  <c r="AC74" i="1"/>
  <c r="AD74" i="1"/>
  <c r="AE74" i="1"/>
  <c r="AE72" i="1"/>
  <c r="AD72" i="1"/>
  <c r="AC72" i="1"/>
  <c r="AB72" i="1"/>
  <c r="AJ276" i="1"/>
  <c r="AD76" i="2"/>
  <c r="AD16" i="2"/>
  <c r="AC51" i="2"/>
  <c r="AF30" i="2"/>
  <c r="AD7" i="2"/>
  <c r="AC35" i="2"/>
  <c r="AF84" i="2"/>
  <c r="AF33" i="2"/>
  <c r="AE28" i="2"/>
  <c r="AE89" i="2"/>
  <c r="AC71" i="2"/>
  <c r="AF26" i="2"/>
  <c r="AC94" i="2"/>
  <c r="AD46" i="2"/>
  <c r="AC105" i="2"/>
  <c r="AB24" i="2"/>
  <c r="AB61" i="2"/>
  <c r="AE45" i="2"/>
  <c r="AE62" i="2"/>
  <c r="AC56" i="2"/>
  <c r="AF54" i="2"/>
  <c r="AD89" i="2"/>
  <c r="AF57" i="2"/>
  <c r="AD55" i="2"/>
  <c r="AC27" i="2"/>
  <c r="AE66" i="2"/>
  <c r="AD66" i="2"/>
  <c r="AE53" i="2"/>
  <c r="AF53" i="2"/>
  <c r="AB33" i="2"/>
  <c r="AA99" i="1" s="1"/>
  <c r="AE23" i="2"/>
  <c r="AE70" i="2"/>
  <c r="AF12" i="2"/>
  <c r="AE6" i="2"/>
  <c r="AF104" i="2"/>
  <c r="AC28" i="2"/>
  <c r="AB65" i="2"/>
  <c r="AD28" i="2"/>
  <c r="AC62" i="2"/>
  <c r="AD65" i="2"/>
  <c r="AF107" i="2"/>
  <c r="AB67" i="2"/>
  <c r="AA190" i="1" s="1"/>
  <c r="AD9" i="2"/>
  <c r="AF23" i="2"/>
  <c r="AE75" i="2"/>
  <c r="AD110" i="2"/>
  <c r="AF69" i="2"/>
  <c r="AB109" i="2"/>
  <c r="AD5" i="2"/>
  <c r="AC55" i="2"/>
  <c r="AE12" i="2"/>
  <c r="AE27" i="2"/>
  <c r="AE52" i="2"/>
  <c r="AB107" i="2"/>
  <c r="AA131" i="1" s="1"/>
  <c r="AB46" i="2"/>
  <c r="AD6" i="2"/>
  <c r="AB88" i="2"/>
  <c r="AE40" i="2"/>
  <c r="AF73" i="2"/>
  <c r="AF13" i="2"/>
  <c r="AD107" i="2"/>
  <c r="AD19" i="2"/>
  <c r="AE96" i="2"/>
  <c r="AD51" i="2"/>
  <c r="AF11" i="2"/>
  <c r="AD99" i="2"/>
  <c r="AE56" i="2"/>
  <c r="AF83" i="2"/>
  <c r="AB15" i="2"/>
  <c r="AA75" i="1" s="1"/>
  <c r="AF20" i="2"/>
  <c r="AF32" i="2"/>
  <c r="AF108" i="2"/>
  <c r="AD61" i="2"/>
  <c r="AE64" i="2"/>
  <c r="AB36" i="2"/>
  <c r="AF80" i="2"/>
  <c r="AD10" i="2"/>
  <c r="AB96" i="2"/>
  <c r="AB93" i="2"/>
  <c r="AA239" i="1" s="1"/>
  <c r="AB53" i="2"/>
  <c r="AD35" i="2"/>
  <c r="AF63" i="2"/>
  <c r="AE49" i="2"/>
  <c r="AF17" i="2"/>
  <c r="AC32" i="2"/>
  <c r="AC97" i="2"/>
  <c r="AF90" i="2"/>
  <c r="AF49" i="2"/>
  <c r="AD98" i="2"/>
  <c r="AF61" i="2"/>
  <c r="AC73" i="2"/>
  <c r="AC26" i="2"/>
  <c r="AD11" i="2"/>
  <c r="AF60" i="2"/>
  <c r="AB69" i="2"/>
  <c r="AC33" i="2"/>
  <c r="AF109" i="2"/>
  <c r="AB9" i="2"/>
  <c r="AC44" i="2"/>
  <c r="AD73" i="2"/>
  <c r="AF18" i="2"/>
  <c r="AB73" i="2"/>
  <c r="AA197" i="1" s="1"/>
  <c r="AB19" i="2"/>
  <c r="AA74" i="1" s="1"/>
  <c r="AB43" i="2"/>
  <c r="AA172" i="1" s="1"/>
  <c r="AB90" i="2"/>
  <c r="AB70" i="2"/>
  <c r="AB13" i="2"/>
  <c r="AA77" i="1" s="1"/>
  <c r="AF95" i="2"/>
  <c r="AF52" i="2"/>
  <c r="AC90" i="2"/>
  <c r="AD81" i="2"/>
  <c r="AF93" i="2"/>
  <c r="AE107" i="2"/>
  <c r="AE35" i="2"/>
  <c r="AD64" i="2"/>
  <c r="AF96" i="2"/>
  <c r="AB77" i="2"/>
  <c r="AA203" i="1" s="1"/>
  <c r="AA247" i="1" s="1"/>
  <c r="AF92" i="2"/>
  <c r="AC10" i="2"/>
  <c r="AE55" i="2"/>
  <c r="AE98" i="2"/>
  <c r="AF94" i="2"/>
  <c r="AD72" i="2"/>
  <c r="AD8" i="2"/>
  <c r="AE90" i="2"/>
  <c r="AE26" i="2"/>
  <c r="AB84" i="2"/>
  <c r="AC40" i="2"/>
  <c r="AC60" i="2"/>
  <c r="AC107" i="2"/>
  <c r="AD52" i="2"/>
  <c r="AF9" i="2"/>
  <c r="AC61" i="2"/>
  <c r="AE94" i="2"/>
  <c r="AB54" i="2"/>
  <c r="AA218" i="1" s="1"/>
  <c r="AA250" i="1" s="1"/>
  <c r="AB78" i="2"/>
  <c r="AA226" i="1" s="1"/>
  <c r="AE93" i="2"/>
  <c r="AE97" i="2"/>
  <c r="AB48" i="2"/>
  <c r="AA178" i="1" s="1"/>
  <c r="AD63" i="2"/>
  <c r="AC46" i="2"/>
  <c r="AB18" i="2"/>
  <c r="AA78" i="1" s="1"/>
  <c r="AC16" i="2"/>
  <c r="AD59" i="2"/>
  <c r="AB14" i="2"/>
  <c r="AA71" i="1" s="1"/>
  <c r="AA79" i="1" s="1"/>
  <c r="AB86" i="2"/>
  <c r="AA188" i="1" s="1"/>
  <c r="AD96" i="2"/>
  <c r="AD17" i="2"/>
  <c r="AC81" i="2"/>
  <c r="AE51" i="2"/>
  <c r="AB76" i="2"/>
  <c r="AA202" i="1" s="1"/>
  <c r="AA246" i="1" s="1"/>
  <c r="AC88" i="2"/>
  <c r="AE105" i="2"/>
  <c r="AE88" i="2"/>
  <c r="AC6" i="2"/>
  <c r="AD104" i="2"/>
  <c r="AD75" i="2"/>
  <c r="AD29" i="2"/>
  <c r="AC36" i="2"/>
  <c r="AF47" i="2"/>
  <c r="AB5" i="2"/>
  <c r="AF87" i="2"/>
  <c r="AF44" i="2"/>
  <c r="AB104" i="2"/>
  <c r="AB7" i="2"/>
  <c r="AA60" i="1" s="1"/>
  <c r="AC48" i="2"/>
  <c r="AD47" i="2"/>
  <c r="AF40" i="2"/>
  <c r="AC8" i="2"/>
  <c r="AE36" i="2"/>
  <c r="AC79" i="2"/>
  <c r="AF55" i="2"/>
  <c r="AF78" i="2"/>
  <c r="AC66" i="2"/>
  <c r="AE76" i="2"/>
  <c r="AC89" i="2"/>
  <c r="AC76" i="2"/>
  <c r="AB64" i="2"/>
  <c r="AA186" i="1" s="1"/>
  <c r="AD109" i="2"/>
  <c r="AD108" i="2"/>
  <c r="AC110" i="2"/>
  <c r="AD67" i="2"/>
  <c r="AB95" i="2"/>
  <c r="AA238" i="1" s="1"/>
  <c r="AC74" i="2"/>
  <c r="AE48" i="2"/>
  <c r="AC14" i="2"/>
  <c r="AF31" i="2"/>
  <c r="AB12" i="2"/>
  <c r="AA66" i="1" s="1"/>
  <c r="AC23" i="2"/>
  <c r="AB80" i="2"/>
  <c r="AA207" i="1" s="1"/>
  <c r="AB34" i="2"/>
  <c r="AE57" i="2"/>
  <c r="AB23" i="2"/>
  <c r="AA88" i="1" s="1"/>
  <c r="AC72" i="2"/>
  <c r="AB97" i="2"/>
  <c r="AC85" i="2"/>
  <c r="AB21" i="2"/>
  <c r="AE67" i="2"/>
  <c r="AE25" i="2"/>
  <c r="AB99" i="2"/>
  <c r="AF67" i="2"/>
  <c r="AF58" i="2"/>
  <c r="AD97" i="2"/>
  <c r="AE33" i="2"/>
  <c r="AF105" i="2"/>
  <c r="AD79" i="2"/>
  <c r="AF65" i="2"/>
  <c r="AF5" i="2"/>
  <c r="AF111" i="2" s="1"/>
  <c r="AB10" i="2"/>
  <c r="AF72" i="2"/>
  <c r="AB16" i="2"/>
  <c r="AC22" i="2"/>
  <c r="AD41" i="2"/>
  <c r="AE58" i="2"/>
  <c r="AE106" i="2"/>
  <c r="AF48" i="2"/>
  <c r="AF68" i="2"/>
  <c r="AC41" i="2"/>
  <c r="AF46" i="2"/>
  <c r="AF22" i="2"/>
  <c r="AB28" i="2"/>
  <c r="AB79" i="2"/>
  <c r="AA204" i="1" s="1"/>
  <c r="AC68" i="2"/>
  <c r="AE68" i="2"/>
  <c r="AD45" i="2"/>
  <c r="AD58" i="2"/>
  <c r="AF106" i="2"/>
  <c r="AB59" i="2"/>
  <c r="AD85" i="2"/>
  <c r="AF15" i="2"/>
  <c r="AE9" i="2"/>
  <c r="AF64" i="2"/>
  <c r="AD18" i="2"/>
  <c r="AB105" i="2"/>
  <c r="AB58" i="2"/>
  <c r="AE5" i="2"/>
  <c r="AB56" i="2"/>
  <c r="AA180" i="1" s="1"/>
  <c r="AC91" i="2"/>
  <c r="AF99" i="2"/>
  <c r="AC104" i="2"/>
  <c r="AC18" i="2"/>
  <c r="AF97" i="2"/>
  <c r="AD68" i="2"/>
  <c r="AB92" i="2"/>
  <c r="AB41" i="2"/>
  <c r="AA170" i="1" s="1"/>
  <c r="AE77" i="2"/>
  <c r="AC30" i="2"/>
  <c r="AB44" i="2"/>
  <c r="AE34" i="2"/>
  <c r="AD95" i="2"/>
  <c r="AF110" i="2"/>
  <c r="AE108" i="2"/>
  <c r="AD14" i="2"/>
  <c r="AB50" i="2"/>
  <c r="AA212" i="1" s="1"/>
  <c r="AE32" i="2"/>
  <c r="AC75" i="2"/>
  <c r="AF76" i="2"/>
  <c r="AB91" i="2"/>
  <c r="AC98" i="2"/>
  <c r="AF50" i="2"/>
  <c r="AC83" i="2"/>
  <c r="AE61" i="2"/>
  <c r="AD53" i="2"/>
  <c r="AE17" i="2"/>
  <c r="AC54" i="2"/>
  <c r="AE110" i="2"/>
  <c r="AC84" i="2"/>
  <c r="AE84" i="2"/>
  <c r="AB63" i="2"/>
  <c r="AA185" i="1" s="1"/>
  <c r="AF82" i="2"/>
  <c r="AB42" i="2"/>
  <c r="AA171" i="1" s="1"/>
  <c r="AB75" i="2"/>
  <c r="AA225" i="1" s="1"/>
  <c r="AD43" i="2"/>
  <c r="AE85" i="2"/>
  <c r="AD82" i="2"/>
  <c r="AD36" i="2"/>
  <c r="AC95" i="2"/>
  <c r="AE30" i="2"/>
  <c r="AF86" i="2"/>
  <c r="AF43" i="2"/>
  <c r="AD69" i="2"/>
  <c r="AC106" i="2"/>
  <c r="AC49" i="2"/>
  <c r="AD49" i="2"/>
  <c r="AC42" i="2"/>
  <c r="AD40" i="2"/>
  <c r="AC12" i="2"/>
  <c r="AE109" i="2"/>
  <c r="AD50" i="2"/>
  <c r="AE15" i="2"/>
  <c r="AE43" i="2"/>
  <c r="AF66" i="2"/>
  <c r="AE13" i="2"/>
  <c r="AE47" i="2"/>
  <c r="AC87" i="2"/>
  <c r="AD62" i="2"/>
  <c r="AE59" i="2"/>
  <c r="AD60" i="2"/>
  <c r="AF88" i="2"/>
  <c r="AC25" i="2"/>
  <c r="AB35" i="2"/>
  <c r="AA104" i="1" s="1"/>
  <c r="AB72" i="2"/>
  <c r="AA195" i="1" s="1"/>
  <c r="AE82" i="2"/>
  <c r="AD83" i="2"/>
  <c r="AC29" i="2"/>
  <c r="AE99" i="2"/>
  <c r="AF77" i="2"/>
  <c r="AC70" i="2"/>
  <c r="AB85" i="2"/>
  <c r="AA237" i="1" s="1"/>
  <c r="AF112" i="2"/>
  <c r="AB40" i="2"/>
  <c r="AE42" i="2"/>
  <c r="AF34" i="2"/>
  <c r="AB83" i="2"/>
  <c r="AA231" i="1" s="1"/>
  <c r="AC31" i="2"/>
  <c r="AC86" i="2"/>
  <c r="AD88" i="2"/>
  <c r="AC96" i="2"/>
  <c r="AB26" i="2"/>
  <c r="AB81" i="2"/>
  <c r="AF7" i="2"/>
  <c r="AE41" i="2"/>
  <c r="AC65" i="2"/>
  <c r="AF56" i="2"/>
  <c r="AC43" i="2"/>
  <c r="AE54" i="2"/>
  <c r="AB31" i="2"/>
  <c r="AB66" i="2"/>
  <c r="AF28" i="2"/>
  <c r="AF29" i="2"/>
  <c r="AD94" i="2"/>
  <c r="AE95" i="2"/>
  <c r="AC17" i="2"/>
  <c r="AD87" i="2"/>
  <c r="AD74" i="2"/>
  <c r="AD26" i="2"/>
  <c r="AE86" i="2"/>
  <c r="AB71" i="2"/>
  <c r="AA193" i="1" s="1"/>
  <c r="AC45" i="2"/>
  <c r="AE7" i="2"/>
  <c r="AC53" i="2"/>
  <c r="AB87" i="2"/>
  <c r="AA179" i="1" s="1"/>
  <c r="AC34" i="2"/>
  <c r="AF25" i="2"/>
  <c r="AE10" i="2"/>
  <c r="AD13" i="2"/>
  <c r="AD33" i="2"/>
  <c r="AF75" i="2"/>
  <c r="AB51" i="2"/>
  <c r="AA215" i="1" s="1"/>
  <c r="AE63" i="2"/>
  <c r="AB32" i="2"/>
  <c r="AA98" i="1" s="1"/>
  <c r="AF81" i="2"/>
  <c r="AB52" i="2"/>
  <c r="AA216" i="1" s="1"/>
  <c r="AE71" i="2"/>
  <c r="AF59" i="2"/>
  <c r="AB25" i="2"/>
  <c r="AA89" i="1" s="1"/>
  <c r="AD92" i="2"/>
  <c r="AE78" i="2"/>
  <c r="AC15" i="2"/>
  <c r="AF79" i="2"/>
  <c r="AC93" i="2"/>
  <c r="AC24" i="2"/>
  <c r="AB74" i="2"/>
  <c r="AF10" i="2"/>
  <c r="AB45" i="2"/>
  <c r="AA175" i="1" s="1"/>
  <c r="AF19" i="2"/>
  <c r="AB27" i="2"/>
  <c r="AA85" i="1" s="1"/>
  <c r="AF89" i="2"/>
  <c r="AC58" i="2"/>
  <c r="AE87" i="2"/>
  <c r="AD70" i="2"/>
  <c r="AC109" i="2"/>
  <c r="AD34" i="2"/>
  <c r="AE60" i="2"/>
  <c r="AD90" i="2"/>
  <c r="AC57" i="2"/>
  <c r="AE72" i="2"/>
  <c r="AC9" i="2"/>
  <c r="AC80" i="2"/>
  <c r="AE11" i="2"/>
  <c r="AC19" i="2"/>
  <c r="AE16" i="2"/>
  <c r="AE20" i="2"/>
  <c r="AF36" i="2"/>
  <c r="AB30" i="2"/>
  <c r="AA92" i="1" s="1"/>
  <c r="AD86" i="2"/>
  <c r="AB20" i="2"/>
  <c r="AE46" i="2"/>
  <c r="AB110" i="2"/>
  <c r="AA120" i="1" s="1"/>
  <c r="AE79" i="2"/>
  <c r="AD32" i="2"/>
  <c r="AB22" i="2"/>
  <c r="AB29" i="2"/>
  <c r="AA100" i="1" s="1"/>
  <c r="AE104" i="2"/>
  <c r="AF6" i="2"/>
  <c r="AE81" i="2"/>
  <c r="AB108" i="2"/>
  <c r="AA132" i="1" s="1"/>
  <c r="AF42" i="2"/>
  <c r="AD48" i="2"/>
  <c r="AE44" i="2"/>
  <c r="AC52" i="2"/>
  <c r="AD24" i="2"/>
  <c r="AB89" i="2"/>
  <c r="AE21" i="2"/>
  <c r="AD22" i="2"/>
  <c r="AF35" i="2"/>
  <c r="AC13" i="2"/>
  <c r="AB60" i="2"/>
  <c r="AF74" i="2"/>
  <c r="AF71" i="2"/>
  <c r="AE18" i="2"/>
  <c r="AD30" i="2"/>
  <c r="AE8" i="2"/>
  <c r="AF70" i="2"/>
  <c r="AE65" i="2"/>
  <c r="AB8" i="2"/>
  <c r="AE73" i="2"/>
  <c r="AB98" i="2"/>
  <c r="AD12" i="2"/>
  <c r="AF14" i="2"/>
  <c r="AF85" i="2"/>
  <c r="AD106" i="2"/>
  <c r="AC92" i="2"/>
  <c r="AC5" i="2"/>
  <c r="AD42" i="2"/>
  <c r="AF51" i="2"/>
  <c r="AD57" i="2"/>
  <c r="AF24" i="2"/>
  <c r="AD71" i="2"/>
  <c r="AC77" i="2"/>
  <c r="AE22" i="2"/>
  <c r="AF27" i="2"/>
  <c r="AE92" i="2"/>
  <c r="AE14" i="2"/>
  <c r="AC64" i="2"/>
  <c r="AE91" i="2"/>
  <c r="AB82" i="2"/>
  <c r="AD25" i="2"/>
  <c r="AD93" i="2"/>
  <c r="AC67" i="2"/>
  <c r="AD54" i="2"/>
  <c r="AD91" i="2"/>
  <c r="AD44" i="2"/>
  <c r="AC99" i="2"/>
  <c r="AB17" i="2"/>
  <c r="AA72" i="1" s="1"/>
  <c r="AC47" i="2"/>
  <c r="AC69" i="2"/>
  <c r="AC50" i="2"/>
  <c r="AD77" i="2"/>
  <c r="AE29" i="2"/>
  <c r="AF62" i="2"/>
  <c r="AE83" i="2"/>
  <c r="AB11" i="2"/>
  <c r="AA64" i="1" s="1"/>
  <c r="AD23" i="2"/>
  <c r="AE19" i="2"/>
  <c r="AC20" i="2"/>
  <c r="AD31" i="2"/>
  <c r="AD56" i="2"/>
  <c r="AC7" i="2"/>
  <c r="AF8" i="2"/>
  <c r="AB106" i="2"/>
  <c r="AA130" i="1" s="1"/>
  <c r="AC59" i="2"/>
  <c r="AC63" i="2"/>
  <c r="AD15" i="2"/>
  <c r="AB57" i="2"/>
  <c r="AA221" i="1" s="1"/>
  <c r="AB94" i="2"/>
  <c r="AF91" i="2"/>
  <c r="AE80" i="2"/>
  <c r="AB55" i="2"/>
  <c r="AE31" i="2"/>
  <c r="AC108" i="2"/>
  <c r="AD27" i="2"/>
  <c r="AF41" i="2"/>
  <c r="AE69" i="2"/>
  <c r="AB49" i="2"/>
  <c r="AA230" i="1" s="1"/>
  <c r="AD84" i="2"/>
  <c r="AD20" i="2"/>
  <c r="AB68" i="2"/>
  <c r="AA189" i="1" s="1"/>
  <c r="AF45" i="2"/>
  <c r="AE50" i="2"/>
  <c r="AE74" i="2"/>
  <c r="AC21" i="2"/>
  <c r="AD78" i="2"/>
  <c r="AF98" i="2"/>
  <c r="AD80" i="2"/>
  <c r="AE24" i="2"/>
  <c r="AB47" i="2"/>
  <c r="AA177" i="1" s="1"/>
  <c r="AF21" i="2"/>
  <c r="AB62" i="2"/>
  <c r="AB6" i="2"/>
  <c r="AA59" i="1" s="1"/>
  <c r="AC82" i="2"/>
  <c r="AD105" i="2"/>
  <c r="AC11" i="2"/>
  <c r="AC78" i="2"/>
  <c r="AF16" i="2"/>
  <c r="AD21" i="2"/>
  <c r="CP12" i="1" l="1"/>
  <c r="AA228" i="1"/>
  <c r="AA211" i="1"/>
  <c r="AA249" i="1"/>
  <c r="AA240" i="1"/>
  <c r="AA319" i="1"/>
  <c r="AA261" i="1"/>
  <c r="AA320" i="1"/>
  <c r="AA298" i="1"/>
  <c r="AA61" i="1"/>
  <c r="AA219" i="1"/>
  <c r="AA181" i="1"/>
  <c r="AA184" i="1"/>
  <c r="AA187" i="1" s="1"/>
  <c r="AA191" i="1" s="1"/>
  <c r="AA173" i="1"/>
  <c r="AA222" i="1"/>
  <c r="CM35" i="1"/>
  <c r="CO35" i="1"/>
  <c r="CO42" i="1"/>
  <c r="DB38" i="1"/>
  <c r="DB45" i="1"/>
  <c r="CN7" i="1"/>
  <c r="CN25" i="1" s="1"/>
  <c r="CN35" i="1" s="1"/>
  <c r="DA38" i="1"/>
  <c r="AE28" i="1"/>
  <c r="B1" i="9"/>
  <c r="AD111" i="2"/>
  <c r="AC113" i="2"/>
  <c r="AC111" i="2"/>
  <c r="AF113" i="2"/>
  <c r="AE113" i="2"/>
  <c r="AB113" i="2"/>
  <c r="AA127" i="1" s="1"/>
  <c r="A1" i="9"/>
  <c r="AB111" i="2"/>
  <c r="AB112" i="2"/>
  <c r="AA126" i="1" s="1"/>
  <c r="L1" i="9"/>
  <c r="AD112" i="2"/>
  <c r="AE111" i="2"/>
  <c r="AC112" i="2"/>
  <c r="AE112" i="2"/>
  <c r="AD113" i="2"/>
  <c r="CQ12" i="1" l="1"/>
  <c r="AA248" i="1"/>
  <c r="AA80" i="1"/>
  <c r="AA67" i="1"/>
  <c r="AA311" i="1"/>
  <c r="AA151" i="1"/>
  <c r="AA182" i="1"/>
  <c r="AA235" i="1"/>
  <c r="AA162" i="1" s="1"/>
  <c r="AA252" i="1"/>
  <c r="AA251" i="1" s="1"/>
  <c r="AA313" i="1"/>
  <c r="AA315" i="1"/>
  <c r="AA223" i="1"/>
  <c r="AA232" i="1" s="1"/>
  <c r="AA242" i="1"/>
  <c r="AA90" i="1"/>
  <c r="AA86" i="1"/>
  <c r="CN42" i="1"/>
  <c r="AE45" i="1"/>
  <c r="CQ7" i="1"/>
  <c r="CQ25" i="1" s="1"/>
  <c r="CQ42" i="1" s="1"/>
  <c r="CP7" i="1"/>
  <c r="CP25" i="1" s="1"/>
  <c r="AE38" i="1"/>
  <c r="AE22" i="1"/>
  <c r="DB306" i="1"/>
  <c r="DA306" i="1"/>
  <c r="CZ306" i="1"/>
  <c r="CY306" i="1"/>
  <c r="CX306" i="1"/>
  <c r="CW306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K189" i="1"/>
  <c r="CM189" i="1" s="1"/>
  <c r="CN189" i="1" s="1"/>
  <c r="CO189" i="1" s="1"/>
  <c r="CP189" i="1" s="1"/>
  <c r="CQ189" i="1" s="1"/>
  <c r="CR189" i="1" s="1"/>
  <c r="CS189" i="1" s="1"/>
  <c r="CT189" i="1" s="1"/>
  <c r="CU189" i="1" s="1"/>
  <c r="CV189" i="1" s="1"/>
  <c r="CW189" i="1" s="1"/>
  <c r="CX189" i="1" s="1"/>
  <c r="CY189" i="1" s="1"/>
  <c r="CZ189" i="1" s="1"/>
  <c r="DA189" i="1" s="1"/>
  <c r="DB189" i="1" s="1"/>
  <c r="CJ306" i="1"/>
  <c r="Z306" i="1"/>
  <c r="CR12" i="1" l="1"/>
  <c r="CS12" i="1"/>
  <c r="AA233" i="1"/>
  <c r="AA68" i="1"/>
  <c r="AA81" i="1"/>
  <c r="AA253" i="1"/>
  <c r="AB25" i="1"/>
  <c r="AB35" i="1" s="1"/>
  <c r="CP42" i="1"/>
  <c r="CP35" i="1"/>
  <c r="CQ35" i="1"/>
  <c r="CI306" i="1"/>
  <c r="CG189" i="1"/>
  <c r="CG306" i="1"/>
  <c r="CH306" i="1"/>
  <c r="AB64" i="1"/>
  <c r="AC64" i="1"/>
  <c r="AD64" i="1"/>
  <c r="AE64" i="1"/>
  <c r="AB65" i="1"/>
  <c r="AC65" i="1"/>
  <c r="AD65" i="1"/>
  <c r="AE65" i="1"/>
  <c r="AB77" i="1"/>
  <c r="AC77" i="1"/>
  <c r="AD77" i="1"/>
  <c r="AE77" i="1"/>
  <c r="AB78" i="1"/>
  <c r="AC78" i="1"/>
  <c r="AD78" i="1"/>
  <c r="AE78" i="1"/>
  <c r="AB100" i="1"/>
  <c r="AC100" i="1"/>
  <c r="AD100" i="1"/>
  <c r="AE100" i="1"/>
  <c r="AB225" i="1"/>
  <c r="AC225" i="1"/>
  <c r="AD225" i="1"/>
  <c r="AE225" i="1"/>
  <c r="AB240" i="1"/>
  <c r="AC240" i="1"/>
  <c r="AD240" i="1"/>
  <c r="AE240" i="1"/>
  <c r="CE189" i="1"/>
  <c r="CE306" i="1"/>
  <c r="CF306" i="1"/>
  <c r="AI264" i="1"/>
  <c r="AI269" i="1"/>
  <c r="AI273" i="1"/>
  <c r="AI276" i="1"/>
  <c r="AI306" i="1"/>
  <c r="Y306" i="1"/>
  <c r="AM189" i="1"/>
  <c r="AO189" i="1"/>
  <c r="AQ189" i="1"/>
  <c r="AS189" i="1"/>
  <c r="AU189" i="1"/>
  <c r="AW189" i="1"/>
  <c r="AY189" i="1"/>
  <c r="BA189" i="1"/>
  <c r="BC189" i="1"/>
  <c r="BE189" i="1"/>
  <c r="BG189" i="1"/>
  <c r="BI189" i="1"/>
  <c r="BK189" i="1"/>
  <c r="BM189" i="1"/>
  <c r="BO189" i="1"/>
  <c r="BQ189" i="1"/>
  <c r="BS189" i="1"/>
  <c r="BU189" i="1"/>
  <c r="BW189" i="1"/>
  <c r="BY189" i="1"/>
  <c r="CA189" i="1"/>
  <c r="CC189" i="1"/>
  <c r="CD306" i="1"/>
  <c r="CC306" i="1"/>
  <c r="AJ306" i="1"/>
  <c r="AK306" i="1"/>
  <c r="AL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CT12" i="1" l="1"/>
  <c r="AA299" i="1"/>
  <c r="AA300" i="1" s="1"/>
  <c r="AA87" i="1"/>
  <c r="AA82" i="1"/>
  <c r="AA165" i="1"/>
  <c r="AA48" i="1"/>
  <c r="AB7" i="1"/>
  <c r="AB12" i="1" s="1"/>
  <c r="AB42" i="1"/>
  <c r="CR7" i="1"/>
  <c r="CR25" i="1" s="1"/>
  <c r="Y1" i="1"/>
  <c r="Z1" i="1" s="1"/>
  <c r="AA35" i="1" s="1"/>
  <c r="CU12" i="1" l="1"/>
  <c r="AA108" i="1"/>
  <c r="AA91" i="1"/>
  <c r="CR35" i="1"/>
  <c r="CR42" i="1"/>
  <c r="CS7" i="1"/>
  <c r="CS25" i="1" s="1"/>
  <c r="AA1" i="1"/>
  <c r="AB1" i="1" s="1"/>
  <c r="AC1" i="1" s="1"/>
  <c r="AD1" i="1" s="1"/>
  <c r="AE1" i="1" s="1"/>
  <c r="CV12" i="1" l="1"/>
  <c r="AA93" i="1"/>
  <c r="AA94" i="1"/>
  <c r="CS35" i="1"/>
  <c r="CS42" i="1"/>
  <c r="CT7" i="1"/>
  <c r="CT25" i="1" s="1"/>
  <c r="A1" i="3"/>
  <c r="CW12" i="1" l="1"/>
  <c r="AA101" i="1"/>
  <c r="AA301" i="1"/>
  <c r="AA95" i="1"/>
  <c r="AA312" i="1" s="1"/>
  <c r="CT35" i="1"/>
  <c r="CT42" i="1"/>
  <c r="AC25" i="1"/>
  <c r="AC7" i="1" s="1"/>
  <c r="AC12" i="1" s="1"/>
  <c r="CU7" i="1"/>
  <c r="CU25" i="1" s="1"/>
  <c r="A1" i="6"/>
  <c r="A1" i="4"/>
  <c r="CY12" i="1" l="1"/>
  <c r="CZ12" i="1" s="1"/>
  <c r="DA12" i="1" s="1"/>
  <c r="DB12" i="1" s="1"/>
  <c r="CX12" i="1"/>
  <c r="AA105" i="1"/>
  <c r="AA260" i="1"/>
  <c r="AA262" i="1" s="1"/>
  <c r="AA107" i="1"/>
  <c r="CU35" i="1"/>
  <c r="CU42" i="1"/>
  <c r="AC42" i="1"/>
  <c r="AC35" i="1"/>
  <c r="CV7" i="1"/>
  <c r="CV25" i="1" s="1"/>
  <c r="AB88" i="1"/>
  <c r="CV35" i="1" l="1"/>
  <c r="CV42" i="1"/>
  <c r="CW7" i="1"/>
  <c r="CW25" i="1" s="1"/>
  <c r="AC88" i="1"/>
  <c r="BV31" i="3"/>
  <c r="BH11" i="3"/>
  <c r="Y11" i="2"/>
  <c r="BU17" i="3"/>
  <c r="BJ18" i="3"/>
  <c r="Z62" i="2"/>
  <c r="Y110" i="2"/>
  <c r="BT11" i="3"/>
  <c r="BN22" i="3"/>
  <c r="BC22" i="3"/>
  <c r="BQ27" i="3"/>
  <c r="BP41" i="3"/>
  <c r="BC37" i="3"/>
  <c r="FC12" i="4" a="1"/>
  <c r="BR26" i="3"/>
  <c r="BF40" i="3"/>
  <c r="AA104" i="2"/>
  <c r="BF9" i="3"/>
  <c r="BN37" i="3"/>
  <c r="AA76" i="2"/>
  <c r="BV5" i="3"/>
  <c r="BG14" i="3"/>
  <c r="BJ10" i="3"/>
  <c r="BF22" i="3"/>
  <c r="BB21" i="3"/>
  <c r="EX6" i="4" a="1"/>
  <c r="BF31" i="3"/>
  <c r="Y104" i="2"/>
  <c r="BA25" i="3"/>
  <c r="BS20" i="3"/>
  <c r="BH23" i="3"/>
  <c r="BS15" i="3"/>
  <c r="BJ19" i="3"/>
  <c r="BC31" i="3"/>
  <c r="BU41" i="3"/>
  <c r="BG10" i="3"/>
  <c r="BC10" i="3"/>
  <c r="FC5" i="4" a="1"/>
  <c r="BG5" i="3"/>
  <c r="Y28" i="2"/>
  <c r="BD27" i="3"/>
  <c r="BR10" i="3"/>
  <c r="BM17" i="3"/>
  <c r="Z20" i="2"/>
  <c r="FE14" i="4" a="1"/>
  <c r="BO10" i="3"/>
  <c r="BM45" i="3"/>
  <c r="AA34" i="2"/>
  <c r="BN38" i="3"/>
  <c r="BN18" i="3"/>
  <c r="BA5" i="3"/>
  <c r="BM31" i="3"/>
  <c r="BH20" i="3"/>
  <c r="BV35" i="3"/>
  <c r="BT31" i="3"/>
  <c r="Y55" i="2"/>
  <c r="BU21" i="3"/>
  <c r="BT20" i="3"/>
  <c r="Y35" i="2"/>
  <c r="Y97" i="2"/>
  <c r="BT38" i="3"/>
  <c r="Y26" i="2"/>
  <c r="Z60" i="2"/>
  <c r="BS35" i="3"/>
  <c r="BE21" i="3"/>
  <c r="Y42" i="2"/>
  <c r="EX15" i="4" a="1"/>
  <c r="BO14" i="3"/>
  <c r="BJ15" i="3"/>
  <c r="BD41" i="3"/>
  <c r="BV14" i="3"/>
  <c r="BL31" i="3"/>
  <c r="BC45" i="3"/>
  <c r="BG46" i="3"/>
  <c r="BL32" i="3"/>
  <c r="BO39" i="3"/>
  <c r="BK22" i="3"/>
  <c r="Y19" i="2"/>
  <c r="FF8" i="4" a="1"/>
  <c r="BO16" i="3"/>
  <c r="BL20" i="3"/>
  <c r="BA14" i="3"/>
  <c r="BV16" i="3"/>
  <c r="BQ35" i="3"/>
  <c r="BE5" i="3"/>
  <c r="BC32" i="3"/>
  <c r="FC7" i="4" a="1"/>
  <c r="BR34" i="3"/>
  <c r="BT13" i="3"/>
  <c r="Y5" i="2"/>
  <c r="BJ35" i="3"/>
  <c r="BM24" i="3"/>
  <c r="AA41" i="2"/>
  <c r="BV13" i="3"/>
  <c r="BK20" i="3"/>
  <c r="Y20" i="2"/>
  <c r="FF12" i="4" a="1"/>
  <c r="BC30" i="3"/>
  <c r="BV19" i="3"/>
  <c r="AA108" i="2"/>
  <c r="BU5" i="3"/>
  <c r="BK17" i="3"/>
  <c r="Y21" i="2"/>
  <c r="BS29" i="3"/>
  <c r="BE18" i="3"/>
  <c r="BS46" i="3"/>
  <c r="BH13" i="3"/>
  <c r="BB35" i="3"/>
  <c r="BT34" i="3"/>
  <c r="BK46" i="3"/>
  <c r="Y65" i="2"/>
  <c r="BQ26" i="3"/>
  <c r="BP25" i="3"/>
  <c r="BA45" i="3"/>
  <c r="FE9" i="4" a="1"/>
  <c r="BN5" i="3"/>
  <c r="BH34" i="3"/>
  <c r="Z70" i="2"/>
  <c r="EX7" i="4" a="1"/>
  <c r="BO34" i="3"/>
  <c r="BI30" i="3"/>
  <c r="Y86" i="2"/>
  <c r="BV34" i="3"/>
  <c r="BT19" i="3"/>
  <c r="Y31" i="2"/>
  <c r="BM32" i="3"/>
  <c r="BF36" i="3"/>
  <c r="BS19" i="3"/>
  <c r="BL30" i="3"/>
  <c r="BB27" i="3"/>
  <c r="BI13" i="3"/>
  <c r="BD29" i="3"/>
  <c r="BQ6" i="3"/>
  <c r="BM18" i="3"/>
  <c r="BB9" i="3"/>
  <c r="FD13" i="4" a="1"/>
  <c r="BF19" i="3"/>
  <c r="BE8" i="3"/>
  <c r="Y15" i="2"/>
  <c r="FC13" i="4" a="1"/>
  <c r="BO41" i="3"/>
  <c r="BM40" i="3"/>
  <c r="BB42" i="3"/>
  <c r="BV38" i="3"/>
  <c r="BT42" i="3"/>
  <c r="Y45" i="2"/>
  <c r="BL19" i="3"/>
  <c r="BF14" i="3"/>
  <c r="CL75" i="1" s="1"/>
  <c r="BJ25" i="3"/>
  <c r="BM14" i="3"/>
  <c r="Y61" i="2"/>
  <c r="EX8" i="4" a="1"/>
  <c r="BP5" i="3"/>
  <c r="BJ16" i="3"/>
  <c r="BA21" i="3"/>
  <c r="BV40" i="3"/>
  <c r="BO45" i="3"/>
  <c r="BG24" i="3"/>
  <c r="AA48" i="2"/>
  <c r="FB11" i="4" a="1"/>
  <c r="BO18" i="3"/>
  <c r="BH26" i="3"/>
  <c r="BD9" i="3"/>
  <c r="BV18" i="3"/>
  <c r="BL45" i="3"/>
  <c r="AA16" i="2"/>
  <c r="BN17" i="3"/>
  <c r="BE6" i="3"/>
  <c r="Z95" i="2"/>
  <c r="FB16" i="4" a="1"/>
  <c r="Y89" i="2"/>
  <c r="BV45" i="3"/>
  <c r="BI27" i="3"/>
  <c r="Y77" i="2"/>
  <c r="BU29" i="3"/>
  <c r="BP39" i="3"/>
  <c r="BA26" i="3"/>
  <c r="BH6" i="3"/>
  <c r="Y94" i="2"/>
  <c r="Y52" i="2"/>
  <c r="BF21" i="3"/>
  <c r="CL74" i="1" s="1"/>
  <c r="BE10" i="3"/>
  <c r="Z19" i="2"/>
  <c r="BQ40" i="3"/>
  <c r="BN45" i="3"/>
  <c r="AA72" i="2"/>
  <c r="BB36" i="3"/>
  <c r="BG15" i="3"/>
  <c r="BN6" i="3"/>
  <c r="BA39" i="3"/>
  <c r="BR9" i="3"/>
  <c r="BE17" i="3"/>
  <c r="AA87" i="2"/>
  <c r="BU20" i="3"/>
  <c r="BJ24" i="3"/>
  <c r="BL15" i="3"/>
  <c r="BC42" i="3"/>
  <c r="FA9" i="4" a="1"/>
  <c r="BJ21" i="3"/>
  <c r="AA19" i="2"/>
  <c r="Y107" i="2"/>
  <c r="BS18" i="3"/>
  <c r="BJ27" i="3"/>
  <c r="BD46" i="3"/>
  <c r="BR29" i="3"/>
  <c r="BF16" i="3"/>
  <c r="CL71" i="1" s="1"/>
  <c r="BT10" i="3"/>
  <c r="BL13" i="3"/>
  <c r="BD12" i="3"/>
  <c r="BG28" i="3"/>
  <c r="BL16" i="3"/>
  <c r="AA81" i="2"/>
  <c r="BQ30" i="3"/>
  <c r="BG20" i="3"/>
  <c r="Z110" i="2"/>
  <c r="BU24" i="3"/>
  <c r="BH39" i="3"/>
  <c r="BJ28" i="3"/>
  <c r="BD45" i="3"/>
  <c r="FA13" i="4" a="1"/>
  <c r="BL38" i="3"/>
  <c r="V6" i="2"/>
  <c r="BB39" i="3"/>
  <c r="BS22" i="3"/>
  <c r="BF39" i="3"/>
  <c r="BB8" i="3"/>
  <c r="BR33" i="3"/>
  <c r="BP6" i="3"/>
  <c r="BV15" i="3"/>
  <c r="BN34" i="3"/>
  <c r="AA88" i="2"/>
  <c r="EZ9" i="4" a="1"/>
  <c r="BL46" i="3"/>
  <c r="AA77" i="2"/>
  <c r="BA38" i="3"/>
  <c r="BS24" i="3"/>
  <c r="BN31" i="3"/>
  <c r="BK21" i="3"/>
  <c r="Z86" i="2"/>
  <c r="FF7" i="4" a="1"/>
  <c r="BT27" i="3"/>
  <c r="BJ40" i="3"/>
  <c r="BC6" i="3"/>
  <c r="BV42" i="3"/>
  <c r="BP50" i="3"/>
  <c r="Z98" i="2"/>
  <c r="BN32" i="3"/>
  <c r="BN26" i="3"/>
  <c r="BD35" i="3"/>
  <c r="EY13" i="4" a="1"/>
  <c r="FA6" i="4" a="1"/>
  <c r="BS27" i="3"/>
  <c r="BM12" i="3"/>
  <c r="AA31" i="2"/>
  <c r="BV12" i="3"/>
  <c r="BM19" i="3"/>
  <c r="BQ15" i="3"/>
  <c r="BN30" i="3"/>
  <c r="AA78" i="2"/>
  <c r="Z17" i="2"/>
  <c r="BR14" i="3"/>
  <c r="BF30" i="3"/>
  <c r="BA35" i="3"/>
  <c r="BT6" i="3"/>
  <c r="BM39" i="3"/>
  <c r="Y33" i="2"/>
  <c r="BU34" i="3"/>
  <c r="BP23" i="3"/>
  <c r="BD22" i="3"/>
  <c r="FA7" i="4" a="1"/>
  <c r="BU36" i="3"/>
  <c r="Y58" i="2"/>
  <c r="BQ41" i="3"/>
  <c r="BM9" i="3"/>
  <c r="BB41" i="3"/>
  <c r="FF11" i="4" a="1"/>
  <c r="BR40" i="3"/>
  <c r="BP20" i="3"/>
  <c r="AA99" i="2"/>
  <c r="BG17" i="3"/>
  <c r="BN14" i="3"/>
  <c r="BD11" i="3"/>
  <c r="BM25" i="3"/>
  <c r="BQ19" i="3"/>
  <c r="BL37" i="3"/>
  <c r="AA93" i="2"/>
  <c r="BB29" i="3"/>
  <c r="BR18" i="3"/>
  <c r="BN42" i="3"/>
  <c r="AA73" i="2"/>
  <c r="BP38" i="3"/>
  <c r="BN11" i="3"/>
  <c r="Y62" i="2"/>
  <c r="BU38" i="3"/>
  <c r="BM7" i="3"/>
  <c r="BC25" i="3"/>
  <c r="FA5" i="4" a="1"/>
  <c r="BQ25" i="3"/>
  <c r="BP9" i="3"/>
  <c r="BD32" i="3"/>
  <c r="FF13" i="4" a="1"/>
  <c r="BR24" i="3"/>
  <c r="BJ14" i="3"/>
  <c r="AA74" i="2"/>
  <c r="BK42" i="3"/>
  <c r="BJ31" i="3"/>
  <c r="Z61" i="2"/>
  <c r="BU46" i="3"/>
  <c r="BV33" i="3"/>
  <c r="BT9" i="3"/>
  <c r="Z94" i="2"/>
  <c r="BU19" i="3"/>
  <c r="BI46" i="3"/>
  <c r="Y32" i="2"/>
  <c r="BB40" i="3"/>
  <c r="BT33" i="3"/>
  <c r="BH45" i="3"/>
  <c r="BA23" i="3"/>
  <c r="BO13" i="3"/>
  <c r="BQ5" i="3"/>
  <c r="BQ62" i="3" s="1"/>
  <c r="BE16" i="3"/>
  <c r="Z104" i="2"/>
  <c r="Z78" i="2"/>
  <c r="BK29" i="3"/>
  <c r="BL21" i="3"/>
  <c r="BD8" i="3"/>
  <c r="BR13" i="3"/>
  <c r="BH46" i="3"/>
  <c r="Y50" i="2"/>
  <c r="BV7" i="3"/>
  <c r="BV37" i="3"/>
  <c r="BT18" i="3"/>
  <c r="AA84" i="2"/>
  <c r="BU23" i="3"/>
  <c r="BT36" i="3"/>
  <c r="BC20" i="3"/>
  <c r="BB11" i="3"/>
  <c r="BP32" i="3"/>
  <c r="BK45" i="3"/>
  <c r="Z71" i="2"/>
  <c r="BO17" i="3"/>
  <c r="BN23" i="3"/>
  <c r="BV39" i="3"/>
  <c r="BP14" i="3"/>
  <c r="AA13" i="2"/>
  <c r="BU25" i="3"/>
  <c r="BP17" i="3"/>
  <c r="BD33" i="3"/>
  <c r="FD14" i="4" a="1"/>
  <c r="BM27" i="3"/>
  <c r="BV17" i="3"/>
  <c r="BH41" i="3"/>
  <c r="AA56" i="2"/>
  <c r="FE16" i="4" a="1"/>
  <c r="BK9" i="3"/>
  <c r="Y64" i="2"/>
  <c r="BB28" i="3"/>
  <c r="BS26" i="3"/>
  <c r="BM10" i="3"/>
  <c r="AA27" i="2"/>
  <c r="BR37" i="3"/>
  <c r="BT8" i="3"/>
  <c r="AA12" i="2"/>
  <c r="AA106" i="2"/>
  <c r="BQ14" i="3"/>
  <c r="BM37" i="3"/>
  <c r="AA55" i="2"/>
  <c r="Z28" i="2"/>
  <c r="BL14" i="3"/>
  <c r="BL42" i="3"/>
  <c r="BQ39" i="3"/>
  <c r="BG8" i="3"/>
  <c r="BD39" i="3"/>
  <c r="EX5" i="4" a="1"/>
  <c r="BR38" i="3"/>
  <c r="BT30" i="3"/>
  <c r="AA96" i="2"/>
  <c r="BI10" i="3"/>
  <c r="BM38" i="3"/>
  <c r="BC17" i="3"/>
  <c r="BS42" i="3"/>
  <c r="BM23" i="3"/>
  <c r="AA9" i="2"/>
  <c r="EY15" i="4" a="1"/>
  <c r="BR8" i="3"/>
  <c r="BG16" i="3"/>
  <c r="Z47" i="2"/>
  <c r="EZ16" i="4" a="1"/>
  <c r="BO8" i="3"/>
  <c r="BK38" i="3"/>
  <c r="Y82" i="2"/>
  <c r="BF10" i="3"/>
  <c r="CL64" i="1" s="1"/>
  <c r="BJ12" i="3"/>
  <c r="BA41" i="3"/>
  <c r="BP46" i="3"/>
  <c r="BS17" i="3"/>
  <c r="BF25" i="3"/>
  <c r="CL89" i="1" s="1"/>
  <c r="AV10" i="3"/>
  <c r="BU45" i="3"/>
  <c r="BM11" i="3"/>
  <c r="BD23" i="3"/>
  <c r="FB7" i="4" a="1"/>
  <c r="BI12" i="3"/>
  <c r="AA80" i="2"/>
  <c r="Y18" i="2"/>
  <c r="BS39" i="3"/>
  <c r="BQ29" i="3"/>
  <c r="BP31" i="3"/>
  <c r="BD26" i="3"/>
  <c r="EY14" i="4" a="1"/>
  <c r="BR28" i="3"/>
  <c r="BN36" i="3"/>
  <c r="Z92" i="2"/>
  <c r="BH16" i="3"/>
  <c r="BH25" i="3"/>
  <c r="BD19" i="3"/>
  <c r="BI37" i="3"/>
  <c r="BS21" i="3"/>
  <c r="BH36" i="3"/>
  <c r="BB12" i="3"/>
  <c r="BV6" i="3"/>
  <c r="BE15" i="3"/>
  <c r="BD36" i="3"/>
  <c r="BQ8" i="3"/>
  <c r="BK25" i="3"/>
  <c r="C4" i="2"/>
  <c r="BC35" i="3"/>
  <c r="BT17" i="3"/>
  <c r="BH29" i="3"/>
  <c r="BS23" i="3"/>
  <c r="BH42" i="3"/>
  <c r="BC36" i="3"/>
  <c r="BV8" i="3"/>
  <c r="BK16" i="3"/>
  <c r="Z25" i="2"/>
  <c r="BQ10" i="3"/>
  <c r="BI32" i="3"/>
  <c r="BV41" i="3"/>
  <c r="BP34" i="3"/>
  <c r="Z45" i="2"/>
  <c r="BU27" i="3"/>
  <c r="BP21" i="3"/>
  <c r="BB45" i="3"/>
  <c r="FA8" i="4" a="1"/>
  <c r="BG34" i="3"/>
  <c r="Y60" i="2"/>
  <c r="AA67" i="2"/>
  <c r="BO21" i="3"/>
  <c r="BF35" i="3"/>
  <c r="CL99" i="1" s="1"/>
  <c r="BA7" i="3"/>
  <c r="Y106" i="2"/>
  <c r="BQ13" i="3"/>
  <c r="BH5" i="3"/>
  <c r="BH62" i="3" s="1"/>
  <c r="Z109" i="2"/>
  <c r="Z7" i="2"/>
  <c r="BF20" i="3"/>
  <c r="BL23" i="3"/>
  <c r="BT41" i="3"/>
  <c r="BK36" i="3"/>
  <c r="Z5" i="2"/>
  <c r="EX14" i="4" a="1"/>
  <c r="BO22" i="3"/>
  <c r="BJ37" i="3"/>
  <c r="BC9" i="3"/>
  <c r="BV22" i="3"/>
  <c r="BJ38" i="3"/>
  <c r="Z59" i="2"/>
  <c r="BH30" i="3"/>
  <c r="BE20" i="3"/>
  <c r="Y71" i="2"/>
  <c r="FE6" i="4" a="1"/>
  <c r="BR45" i="3"/>
  <c r="Y57" i="2"/>
  <c r="BK13" i="3"/>
  <c r="BE42" i="3"/>
  <c r="BD10" i="3"/>
  <c r="EY11" i="4" a="1"/>
  <c r="BG26" i="3"/>
  <c r="Z66" i="2"/>
  <c r="BD31" i="3"/>
  <c r="BS8" i="3"/>
  <c r="BG40" i="3"/>
  <c r="BU12" i="3"/>
  <c r="Y85" i="2"/>
  <c r="BP24" i="3"/>
  <c r="BH8" i="3"/>
  <c r="Z96" i="2"/>
  <c r="EZ13" i="4" a="1"/>
  <c r="BO26" i="3"/>
  <c r="BG9" i="3"/>
  <c r="Y56" i="2"/>
  <c r="BV26" i="3"/>
  <c r="BM46" i="3"/>
  <c r="Z35" i="2"/>
  <c r="BJ45" i="3"/>
  <c r="BK33" i="3"/>
  <c r="Z15" i="2"/>
  <c r="FB6" i="4" a="1"/>
  <c r="BL36" i="3"/>
  <c r="Y75" i="2"/>
  <c r="BC26" i="3"/>
  <c r="BM8" i="3"/>
  <c r="BM36" i="3"/>
  <c r="BB16" i="3"/>
  <c r="BT24" i="3"/>
  <c r="BN12" i="3"/>
  <c r="BP15" i="3"/>
  <c r="Z58" i="2"/>
  <c r="BD42" i="3"/>
  <c r="BL6" i="3"/>
  <c r="BE39" i="3"/>
  <c r="BN27" i="3"/>
  <c r="Y98" i="2"/>
  <c r="FB12" i="4" a="1"/>
  <c r="BO32" i="3"/>
  <c r="BG25" i="3"/>
  <c r="Z32" i="2"/>
  <c r="BV32" i="3"/>
  <c r="BG45" i="3"/>
  <c r="Z90" i="2"/>
  <c r="BE26" i="3"/>
  <c r="BT21" i="3"/>
  <c r="BL35" i="3"/>
  <c r="BA10" i="3"/>
  <c r="BP30" i="3"/>
  <c r="BH10" i="3"/>
  <c r="Z44" i="2"/>
  <c r="BQ28" i="3"/>
  <c r="BP37" i="3"/>
  <c r="BA17" i="3"/>
  <c r="EZ15" i="4" a="1"/>
  <c r="BL34" i="3"/>
  <c r="BR12" i="3"/>
  <c r="BI19" i="3"/>
  <c r="Y9" i="2"/>
  <c r="FF6" i="4" a="1"/>
  <c r="BO12" i="3"/>
  <c r="BN9" i="3"/>
  <c r="X6" i="2"/>
  <c r="BN24" i="3"/>
  <c r="BT45" i="3"/>
  <c r="AA71" i="2"/>
  <c r="BK39" i="3"/>
  <c r="BP16" i="3"/>
  <c r="BJ34" i="3"/>
  <c r="Z24" i="2"/>
  <c r="BM33" i="3"/>
  <c r="BJ23" i="3"/>
  <c r="Z81" i="2"/>
  <c r="BQ32" i="3"/>
  <c r="BP35" i="3"/>
  <c r="BD18" i="3"/>
  <c r="FC11" i="4" a="1"/>
  <c r="BM6" i="3"/>
  <c r="AA53" i="2"/>
  <c r="BP42" i="3"/>
  <c r="AA40" i="2"/>
  <c r="BC5" i="3"/>
  <c r="BM41" i="3"/>
  <c r="BN29" i="3"/>
  <c r="Z79" i="2"/>
  <c r="BQ34" i="3"/>
  <c r="BP7" i="3"/>
  <c r="BS25" i="3"/>
  <c r="BK7" i="3"/>
  <c r="Y48" i="2"/>
  <c r="BV10" i="3"/>
  <c r="BG18" i="3"/>
  <c r="Y43" i="2"/>
  <c r="BQ12" i="3"/>
  <c r="BG39" i="3"/>
  <c r="AA90" i="2"/>
  <c r="AA107" i="2"/>
  <c r="BP10" i="3"/>
  <c r="BF28" i="3"/>
  <c r="CL85" i="1" s="1"/>
  <c r="BA34" i="3"/>
  <c r="BB18" i="3"/>
  <c r="BQ37" i="3"/>
  <c r="BK6" i="3"/>
  <c r="BA9" i="3"/>
  <c r="FD15" i="4" a="1"/>
  <c r="BR36" i="3"/>
  <c r="BT37" i="3"/>
  <c r="BG7" i="3"/>
  <c r="BG35" i="3"/>
  <c r="BC13" i="3"/>
  <c r="AA57" i="2"/>
  <c r="BP22" i="3"/>
  <c r="BN40" i="3"/>
  <c r="AA43" i="2"/>
  <c r="BS6" i="3"/>
  <c r="BK34" i="3"/>
  <c r="AA92" i="2"/>
  <c r="BR17" i="3"/>
  <c r="BL39" i="3"/>
  <c r="BB46" i="3"/>
  <c r="FB9" i="4" a="1"/>
  <c r="BO27" i="3"/>
  <c r="BD24" i="3"/>
  <c r="BV23" i="3"/>
  <c r="BF8" i="3"/>
  <c r="Z31" i="2"/>
  <c r="BU9" i="3"/>
  <c r="BM30" i="3"/>
  <c r="AA51" i="2"/>
  <c r="Z43" i="2"/>
  <c r="BS32" i="3"/>
  <c r="BI26" i="3"/>
  <c r="BT7" i="3"/>
  <c r="BC16" i="3"/>
  <c r="BM20" i="3"/>
  <c r="BL27" i="3"/>
  <c r="BC14" i="3"/>
  <c r="EY7" i="4" a="1"/>
  <c r="BE33" i="3"/>
  <c r="AA54" i="2"/>
  <c r="BB10" i="3"/>
  <c r="BS10" i="3"/>
  <c r="BJ5" i="3"/>
  <c r="AA21" i="2"/>
  <c r="BR21" i="3"/>
  <c r="BH19" i="3"/>
  <c r="BG41" i="3"/>
  <c r="BH9" i="3"/>
  <c r="BA40" i="3"/>
  <c r="EY12" i="4" a="1"/>
  <c r="BH14" i="3"/>
  <c r="AA18" i="2"/>
  <c r="Z34" i="2"/>
  <c r="BS16" i="3"/>
  <c r="BH22" i="3"/>
  <c r="BB33" i="3"/>
  <c r="BR27" i="3"/>
  <c r="BI8" i="3"/>
  <c r="AA14" i="2"/>
  <c r="BD5" i="3"/>
  <c r="BI22" i="3"/>
  <c r="BF34" i="3"/>
  <c r="CL98" i="1" s="1"/>
  <c r="BD6" i="3"/>
  <c r="BR11" i="3"/>
  <c r="BK18" i="3"/>
  <c r="Y17" i="2"/>
  <c r="BU22" i="3"/>
  <c r="BT28" i="3"/>
  <c r="BH12" i="3"/>
  <c r="BF41" i="3"/>
  <c r="Z80" i="2"/>
  <c r="FB5" i="4" a="1"/>
  <c r="BO37" i="3"/>
  <c r="BK35" i="3"/>
  <c r="BC34" i="3"/>
  <c r="BV36" i="3"/>
  <c r="BN33" i="3"/>
  <c r="BC21" i="3"/>
  <c r="BQ7" i="3"/>
  <c r="BM22" i="3"/>
  <c r="Y68" i="2"/>
  <c r="BA30" i="3"/>
  <c r="BI36" i="3"/>
  <c r="BJ29" i="3"/>
  <c r="BD30" i="3"/>
  <c r="BS37" i="3"/>
  <c r="BM21" i="3"/>
  <c r="AA66" i="2"/>
  <c r="BU26" i="3"/>
  <c r="BP33" i="3"/>
  <c r="BQ9" i="3"/>
  <c r="BG29" i="3"/>
  <c r="Z108" i="2"/>
  <c r="Z93" i="2"/>
  <c r="BM42" i="3"/>
  <c r="BN10" i="3"/>
  <c r="BA42" i="3"/>
  <c r="BS41" i="3"/>
  <c r="BI23" i="3"/>
  <c r="BI31" i="3"/>
  <c r="Y73" i="2"/>
  <c r="BA18" i="3"/>
  <c r="BJ7" i="3"/>
  <c r="BN35" i="3"/>
  <c r="AA26" i="2"/>
  <c r="BQ36" i="3"/>
  <c r="BM5" i="3"/>
  <c r="BB22" i="3"/>
  <c r="BU6" i="3"/>
  <c r="BI20" i="3"/>
  <c r="Z36" i="2"/>
  <c r="AA75" i="2"/>
  <c r="Z74" i="2"/>
  <c r="BT15" i="3"/>
  <c r="BE27" i="3"/>
  <c r="AA36" i="2"/>
  <c r="EY9" i="4" a="1"/>
  <c r="BO20" i="3"/>
  <c r="BH32" i="3"/>
  <c r="BV21" i="3"/>
  <c r="Y59" i="2"/>
  <c r="BL22" i="3"/>
  <c r="EZ8" i="4" a="1"/>
  <c r="Z63" i="2"/>
  <c r="BP11" i="3"/>
  <c r="BT22" i="3"/>
  <c r="BU7" i="3"/>
  <c r="Y44" i="2"/>
  <c r="BG21" i="3"/>
  <c r="BR41" i="3"/>
  <c r="AA46" i="2"/>
  <c r="BF37" i="3"/>
  <c r="FD11" i="4" a="1"/>
  <c r="BE37" i="3"/>
  <c r="AA59" i="2"/>
  <c r="BE23" i="3"/>
  <c r="BB7" i="3"/>
  <c r="BK10" i="3"/>
  <c r="BR19" i="3"/>
  <c r="FE11" i="4" a="1"/>
  <c r="BG42" i="3"/>
  <c r="FD8" i="4" a="1"/>
  <c r="BK24" i="3"/>
  <c r="Z51" i="2"/>
  <c r="BG12" i="3"/>
  <c r="Z56" i="2"/>
  <c r="BE35" i="3"/>
  <c r="Y93" i="2"/>
  <c r="BV29" i="3"/>
  <c r="BN13" i="3"/>
  <c r="BB31" i="3"/>
  <c r="BR22" i="3"/>
  <c r="BI33" i="3"/>
  <c r="AA15" i="2"/>
  <c r="AA65" i="2"/>
  <c r="BQ24" i="3"/>
  <c r="BR35" i="3"/>
  <c r="C5" i="2"/>
  <c r="BB14" i="3"/>
  <c r="BA8" i="3"/>
  <c r="FA14" i="4" a="1"/>
  <c r="AA35" i="2"/>
  <c r="BP8" i="3"/>
  <c r="FA12" i="4" a="1"/>
  <c r="BO11" i="3"/>
  <c r="Y74" i="2"/>
  <c r="Z10" i="2"/>
  <c r="BC15" i="3"/>
  <c r="BM13" i="3"/>
  <c r="BF11" i="3"/>
  <c r="CL66" i="1" s="1"/>
  <c r="AA64" i="2"/>
  <c r="BI41" i="3"/>
  <c r="BG30" i="3"/>
  <c r="BF18" i="3"/>
  <c r="CL78" i="1" s="1"/>
  <c r="BJ6" i="3"/>
  <c r="BA24" i="3"/>
  <c r="EZ12" i="4" a="1"/>
  <c r="FB14" i="4" a="1"/>
  <c r="BS45" i="3"/>
  <c r="BM29" i="3"/>
  <c r="BE12" i="3"/>
  <c r="BQ31" i="3"/>
  <c r="BK11" i="3"/>
  <c r="BR32" i="3"/>
  <c r="BJ32" i="3"/>
  <c r="BA20" i="3"/>
  <c r="BN16" i="3"/>
  <c r="BU31" i="3"/>
  <c r="BD40" i="3"/>
  <c r="Y22" i="2"/>
  <c r="BO25" i="3"/>
  <c r="BA33" i="3"/>
  <c r="BK41" i="3"/>
  <c r="BQ17" i="3"/>
  <c r="BK23" i="3"/>
  <c r="EY16" i="4" a="1"/>
  <c r="BI16" i="3"/>
  <c r="EZ11" i="4" a="1"/>
  <c r="BF5" i="3"/>
  <c r="BG36" i="3"/>
  <c r="BQ45" i="3"/>
  <c r="BM28" i="3"/>
  <c r="BU11" i="3"/>
  <c r="BG23" i="3"/>
  <c r="FE12" i="4" a="1"/>
  <c r="BF42" i="3"/>
  <c r="CL104" i="1" s="1"/>
  <c r="FE5" i="4" a="1"/>
  <c r="BE31" i="3"/>
  <c r="AA69" i="2"/>
  <c r="BS13" i="3"/>
  <c r="BE40" i="3"/>
  <c r="BC46" i="3"/>
  <c r="BO6" i="3"/>
  <c r="BK19" i="3"/>
  <c r="BL11" i="3"/>
  <c r="Z82" i="2"/>
  <c r="BV30" i="3"/>
  <c r="BT39" i="3"/>
  <c r="BD14" i="3"/>
  <c r="Z69" i="2"/>
  <c r="BL41" i="3"/>
  <c r="BK28" i="3"/>
  <c r="AA33" i="2"/>
  <c r="BJ8" i="3"/>
  <c r="FB15" i="4" a="1"/>
  <c r="BF27" i="3"/>
  <c r="Y27" i="2"/>
  <c r="BU42" i="3"/>
  <c r="BG27" i="3"/>
  <c r="BH35" i="3"/>
  <c r="BI9" i="3"/>
  <c r="BD16" i="3"/>
  <c r="AA79" i="2"/>
  <c r="BA15" i="3"/>
  <c r="Y79" i="2"/>
  <c r="Y7" i="2"/>
  <c r="BO28" i="3"/>
  <c r="BS11" i="3"/>
  <c r="BC27" i="3"/>
  <c r="BC28" i="3"/>
  <c r="BS38" i="3"/>
  <c r="BO15" i="3"/>
  <c r="BC29" i="3"/>
  <c r="BF17" i="3"/>
  <c r="CL72" i="1" s="1"/>
  <c r="BA27" i="3"/>
  <c r="BO23" i="3"/>
  <c r="Y13" i="2"/>
  <c r="AA86" i="2"/>
  <c r="BC41" i="3"/>
  <c r="BT16" i="3"/>
  <c r="BG31" i="3"/>
  <c r="BR15" i="3"/>
  <c r="AA11" i="2"/>
  <c r="BC33" i="3"/>
  <c r="BH15" i="3"/>
  <c r="BF61" i="3"/>
  <c r="FJ6" i="4" a="1"/>
  <c r="BM79" i="3"/>
  <c r="BJ63" i="3"/>
  <c r="HG15" i="4" a="1"/>
  <c r="BD54" i="3"/>
  <c r="GI9" i="4" a="1"/>
  <c r="GZ9" i="4" a="1"/>
  <c r="GJ15" i="4" a="1"/>
  <c r="FM5" i="4" a="1"/>
  <c r="GC15" i="4" a="1"/>
  <c r="GU11" i="4" a="1"/>
  <c r="BM97" i="3"/>
  <c r="GZ15" i="4" a="1"/>
  <c r="BF91" i="3"/>
  <c r="CL219" i="1" s="1"/>
  <c r="FP5" i="4" a="1"/>
  <c r="FH16" i="4" a="1"/>
  <c r="HH12" i="4" a="1"/>
  <c r="BF50" i="3"/>
  <c r="GD16" i="4" a="1"/>
  <c r="BP19" i="3"/>
  <c r="AA58" i="2"/>
  <c r="BJ30" i="3"/>
  <c r="BH17" i="3"/>
  <c r="FD7" i="4" a="1"/>
  <c r="BS5" i="3"/>
  <c r="BS57" i="3" s="1"/>
  <c r="BS36" i="3"/>
  <c r="EX11" i="4" a="1"/>
  <c r="Z50" i="2"/>
  <c r="BI29" i="3"/>
  <c r="Z27" i="2"/>
  <c r="BG6" i="3"/>
  <c r="BT26" i="3"/>
  <c r="Y76" i="2"/>
  <c r="BU33" i="3"/>
  <c r="BJ36" i="3"/>
  <c r="BQ18" i="3"/>
  <c r="BN20" i="3"/>
  <c r="BI25" i="3"/>
  <c r="BV25" i="3"/>
  <c r="AA24" i="2"/>
  <c r="BU35" i="3"/>
  <c r="BP40" i="3"/>
  <c r="BQ20" i="3"/>
  <c r="BK31" i="3"/>
  <c r="BU14" i="3"/>
  <c r="BM16" i="3"/>
  <c r="AA95" i="2"/>
  <c r="BO40" i="3"/>
  <c r="BB24" i="3"/>
  <c r="FA16" i="4" a="1"/>
  <c r="BO30" i="3"/>
  <c r="Z76" i="2"/>
  <c r="Z57" i="2"/>
  <c r="BV11" i="3"/>
  <c r="BT40" i="3"/>
  <c r="BJ39" i="3"/>
  <c r="FF14" i="4" a="1"/>
  <c r="BH33" i="3"/>
  <c r="AA105" i="2"/>
  <c r="Y84" i="2"/>
  <c r="EZ14" i="4" a="1"/>
  <c r="Y24" i="2"/>
  <c r="BO9" i="3"/>
  <c r="BK12" i="3"/>
  <c r="FC15" i="4" a="1"/>
  <c r="BO35" i="3"/>
  <c r="Z48" i="2"/>
  <c r="Z89" i="2"/>
  <c r="BI40" i="3"/>
  <c r="Y40" i="2"/>
  <c r="BC39" i="3"/>
  <c r="AA97" i="2"/>
  <c r="BN25" i="3"/>
  <c r="BR7" i="3"/>
  <c r="BE38" i="3"/>
  <c r="BB37" i="3"/>
  <c r="Y96" i="2"/>
  <c r="Z65" i="2"/>
  <c r="BH18" i="3"/>
  <c r="BJ41" i="3"/>
  <c r="AA60" i="2"/>
  <c r="BA13" i="3"/>
  <c r="Z105" i="2"/>
  <c r="BG22" i="3"/>
  <c r="Z52" i="2"/>
  <c r="Y70" i="2"/>
  <c r="AA28" i="2"/>
  <c r="Y47" i="2"/>
  <c r="BF33" i="3"/>
  <c r="BO31" i="3"/>
  <c r="Y109" i="2"/>
  <c r="AA8" i="2"/>
  <c r="Z8" i="2"/>
  <c r="GV8" i="4" a="1"/>
  <c r="BM59" i="3"/>
  <c r="BM85" i="3"/>
  <c r="FL7" i="4" a="1"/>
  <c r="BS91" i="3"/>
  <c r="FV12" i="4" a="1"/>
  <c r="FL11" i="4" a="1"/>
  <c r="BJ88" i="3"/>
  <c r="BF67" i="3"/>
  <c r="FZ9" i="4" a="1"/>
  <c r="GC16" i="4" a="1"/>
  <c r="HE12" i="4" a="1"/>
  <c r="GK5" i="4" a="1"/>
  <c r="HA16" i="4" a="1"/>
  <c r="GF14" i="4" a="1"/>
  <c r="BD64" i="3"/>
  <c r="GT13" i="4" a="1"/>
  <c r="BA31" i="3"/>
  <c r="BV9" i="3"/>
  <c r="Z46" i="2"/>
  <c r="BA28" i="3"/>
  <c r="BB26" i="3"/>
  <c r="BL25" i="3"/>
  <c r="BE24" i="3"/>
  <c r="BQ16" i="3"/>
  <c r="BA29" i="3"/>
  <c r="BM34" i="3"/>
  <c r="Y105" i="2"/>
  <c r="BM26" i="3"/>
  <c r="BS7" i="3"/>
  <c r="AA94" i="2"/>
  <c r="BS40" i="3"/>
  <c r="BF45" i="3"/>
  <c r="BQ42" i="3"/>
  <c r="AA110" i="2"/>
  <c r="BJ46" i="3"/>
  <c r="BS9" i="3"/>
  <c r="BA22" i="3"/>
  <c r="BO46" i="3"/>
  <c r="Z54" i="2"/>
  <c r="BQ46" i="3"/>
  <c r="Y88" i="2"/>
  <c r="BT35" i="3"/>
  <c r="Y14" i="2"/>
  <c r="EY8" i="4" a="1"/>
  <c r="BT32" i="3"/>
  <c r="BD13" i="3"/>
  <c r="EY5" i="4" a="1"/>
  <c r="BN7" i="3"/>
  <c r="Y99" i="2"/>
  <c r="BQ22" i="3"/>
  <c r="BR31" i="3"/>
  <c r="Y83" i="2"/>
  <c r="BT25" i="3"/>
  <c r="FE13" i="4" a="1"/>
  <c r="BG37" i="3"/>
  <c r="BD15" i="3"/>
  <c r="BQ38" i="3"/>
  <c r="BT14" i="3"/>
  <c r="Z107" i="2"/>
  <c r="BJ17" i="3"/>
  <c r="BF7" i="3"/>
  <c r="BB34" i="3"/>
  <c r="BL17" i="3"/>
  <c r="FC8" i="4" a="1"/>
  <c r="AA6" i="2"/>
  <c r="BM35" i="3"/>
  <c r="FC16" i="4" a="1"/>
  <c r="Y90" i="2"/>
  <c r="Y34" i="2"/>
  <c r="Z85" i="2"/>
  <c r="BS14" i="3"/>
  <c r="BL29" i="3"/>
  <c r="BU37" i="3"/>
  <c r="BH40" i="3"/>
  <c r="BO36" i="3"/>
  <c r="BJ11" i="3"/>
  <c r="BM15" i="3"/>
  <c r="BD38" i="3"/>
  <c r="BU18" i="3"/>
  <c r="EZ7" i="4" a="1"/>
  <c r="Z77" i="2"/>
  <c r="BI35" i="3"/>
  <c r="Y53" i="2"/>
  <c r="BK27" i="3"/>
  <c r="BR20" i="3"/>
  <c r="BE32" i="3"/>
  <c r="BL5" i="3"/>
  <c r="BD28" i="3"/>
  <c r="AA63" i="2"/>
  <c r="BI39" i="3"/>
  <c r="BF95" i="3"/>
  <c r="CL231" i="1" s="1"/>
  <c r="FN8" i="4" a="1"/>
  <c r="FV13" i="4" a="1"/>
  <c r="BM67" i="3"/>
  <c r="BJ61" i="3"/>
  <c r="GU12" i="4" a="1"/>
  <c r="BD76" i="3"/>
  <c r="FW6" i="4" a="1"/>
  <c r="BL64" i="3"/>
  <c r="GG9" i="4" a="1"/>
  <c r="GK9" i="4" a="1"/>
  <c r="BF66" i="3"/>
  <c r="CL216" i="1" s="1"/>
  <c r="GR9" i="4" a="1"/>
  <c r="BD86" i="3"/>
  <c r="FZ14" i="4" a="1"/>
  <c r="FX9" i="4" a="1"/>
  <c r="BF55" i="3"/>
  <c r="FX11" i="4" a="1"/>
  <c r="GL15" i="4" a="1"/>
  <c r="FK13" i="4" a="1"/>
  <c r="FH14" i="4" a="1"/>
  <c r="BF56" i="3"/>
  <c r="CL170" i="1" s="1"/>
  <c r="GL13" i="4" a="1"/>
  <c r="FF16" i="4" a="1"/>
  <c r="BI17" i="3"/>
  <c r="BH28" i="3"/>
  <c r="BT5" i="3"/>
  <c r="BH38" i="3"/>
  <c r="BG32" i="3"/>
  <c r="BP27" i="3"/>
  <c r="BS30" i="3"/>
  <c r="Z88" i="2"/>
  <c r="BP28" i="3"/>
  <c r="Z99" i="2"/>
  <c r="Z22" i="2"/>
  <c r="BS31" i="3"/>
  <c r="Z11" i="2"/>
  <c r="BL26" i="3"/>
  <c r="BD21" i="3"/>
  <c r="BP12" i="3"/>
  <c r="Z9" i="2"/>
  <c r="BG11" i="3"/>
  <c r="BS33" i="3"/>
  <c r="Z18" i="2"/>
  <c r="BJ33" i="3"/>
  <c r="BC8" i="3"/>
  <c r="BI24" i="3"/>
  <c r="Z13" i="2"/>
  <c r="BO5" i="3"/>
  <c r="AA44" i="2"/>
  <c r="BQ23" i="3"/>
  <c r="BK14" i="3"/>
  <c r="Y91" i="2"/>
  <c r="FB13" i="4" a="1"/>
  <c r="BH37" i="3"/>
  <c r="BA16" i="3"/>
  <c r="BV28" i="3"/>
  <c r="BL8" i="3"/>
  <c r="AA30" i="2"/>
  <c r="BI38" i="3"/>
  <c r="AA29" i="2"/>
  <c r="BB23" i="3"/>
  <c r="EX13" i="4" a="1"/>
  <c r="BV46" i="3"/>
  <c r="BR39" i="3"/>
  <c r="BC19" i="3"/>
  <c r="BH21" i="3"/>
  <c r="Z49" i="2"/>
  <c r="FB8" i="4" a="1"/>
  <c r="BE28" i="3"/>
  <c r="BE30" i="3"/>
  <c r="BA12" i="3"/>
  <c r="BH7" i="3"/>
  <c r="FE8" i="4" a="1"/>
  <c r="BA11" i="3"/>
  <c r="BL28" i="3"/>
  <c r="FD5" i="4" a="1"/>
  <c r="BI15" i="3"/>
  <c r="BR23" i="3"/>
  <c r="BE29" i="3"/>
  <c r="EZ5" i="4" a="1"/>
  <c r="AA50" i="2"/>
  <c r="Z72" i="2"/>
  <c r="BL7" i="3"/>
  <c r="BD34" i="3"/>
  <c r="BG19" i="3"/>
  <c r="Z41" i="2"/>
  <c r="BH27" i="3"/>
  <c r="BB20" i="3"/>
  <c r="BD20" i="3"/>
  <c r="Y87" i="2"/>
  <c r="BE13" i="3"/>
  <c r="BK15" i="3"/>
  <c r="BK40" i="3"/>
  <c r="Z33" i="2"/>
  <c r="BI42" i="3"/>
  <c r="Y78" i="2"/>
  <c r="FP13" i="4" a="1"/>
  <c r="BD49" i="3"/>
  <c r="FU13" i="4" a="1"/>
  <c r="BS92" i="3"/>
  <c r="GT8" i="4" a="1"/>
  <c r="BJ86" i="3"/>
  <c r="BF81" i="3"/>
  <c r="CL202" i="1" s="1"/>
  <c r="HD8" i="4" a="1"/>
  <c r="BM89" i="3"/>
  <c r="GV9" i="4" a="1"/>
  <c r="BL57" i="3"/>
  <c r="BR30" i="3"/>
  <c r="BQ33" i="3"/>
  <c r="BQ11" i="3"/>
  <c r="BE25" i="3"/>
  <c r="BI28" i="3"/>
  <c r="AA20" i="2"/>
  <c r="BI21" i="3"/>
  <c r="BJ9" i="3"/>
  <c r="AA49" i="2"/>
  <c r="BI6" i="3"/>
  <c r="AA23" i="2"/>
  <c r="Z29" i="2"/>
  <c r="BL12" i="3"/>
  <c r="Y30" i="2"/>
  <c r="BR16" i="3"/>
  <c r="W6" i="2"/>
  <c r="BV24" i="3"/>
  <c r="BA19" i="3"/>
  <c r="Z73" i="2"/>
  <c r="BN19" i="3"/>
  <c r="AA52" i="2"/>
  <c r="BR42" i="3"/>
  <c r="AA10" i="2"/>
  <c r="BS34" i="3"/>
  <c r="BC12" i="3"/>
  <c r="BO29" i="3"/>
  <c r="Z14" i="2"/>
  <c r="BR6" i="3"/>
  <c r="BN21" i="3"/>
  <c r="BB5" i="3"/>
  <c r="BU15" i="3"/>
  <c r="BK8" i="3"/>
  <c r="Y80" i="2"/>
  <c r="BF38" i="3"/>
  <c r="FD6" i="4" a="1"/>
  <c r="Y81" i="2"/>
  <c r="Y12" i="2"/>
  <c r="BH24" i="3"/>
  <c r="BO33" i="3"/>
  <c r="FE15" i="4" a="1"/>
  <c r="BI7" i="3"/>
  <c r="BP36" i="3"/>
  <c r="AA98" i="2"/>
  <c r="BC38" i="3"/>
  <c r="BB6" i="3"/>
  <c r="BB38" i="3"/>
  <c r="BB15" i="3"/>
  <c r="AA89" i="2"/>
  <c r="FA11" i="4" a="1"/>
  <c r="Z64" i="2"/>
  <c r="FD9" i="4" a="1"/>
  <c r="Y63" i="2"/>
  <c r="BE22" i="3"/>
  <c r="BV27" i="3"/>
  <c r="BP26" i="3"/>
  <c r="Y6" i="2"/>
  <c r="Y67" i="2"/>
  <c r="BR25" i="3"/>
  <c r="BT23" i="3"/>
  <c r="BB19" i="3"/>
  <c r="BF13" i="3"/>
  <c r="EX9" i="4" a="1"/>
  <c r="BO19" i="3"/>
  <c r="BE41" i="3"/>
  <c r="Z97" i="2"/>
  <c r="BA37" i="3"/>
  <c r="Y72" i="2"/>
  <c r="AA85" i="2"/>
  <c r="AA82" i="2"/>
  <c r="BB30" i="3"/>
  <c r="BE46" i="3"/>
  <c r="BC24" i="3"/>
  <c r="BA46" i="3"/>
  <c r="FA15" i="4" a="1"/>
  <c r="FL14" i="4" a="1"/>
  <c r="GI15" i="4" a="1"/>
  <c r="BD83" i="3"/>
  <c r="FZ11" i="4" a="1"/>
  <c r="GY12" i="4" a="1"/>
  <c r="BF54" i="3"/>
  <c r="FU9" i="4" a="1"/>
  <c r="BJ71" i="3"/>
  <c r="BF69" i="3"/>
  <c r="FP11" i="4" a="1"/>
  <c r="BF58" i="3"/>
  <c r="CL172" i="1" s="1"/>
  <c r="FH9" i="4" a="1"/>
  <c r="FN16" i="4" a="1"/>
  <c r="FX6" i="4" a="1"/>
  <c r="GF16" i="4" a="1"/>
  <c r="BN28" i="3"/>
  <c r="BP13" i="3"/>
  <c r="BE36" i="3"/>
  <c r="Y49" i="2"/>
  <c r="Z68" i="2"/>
  <c r="AA32" i="2"/>
  <c r="Y10" i="2"/>
  <c r="BN46" i="3"/>
  <c r="Z42" i="2"/>
  <c r="AB39" i="3"/>
  <c r="AA83" i="2"/>
  <c r="EX16" i="4" a="1"/>
  <c r="BF12" i="3"/>
  <c r="CL65" i="1" s="1"/>
  <c r="Z16" i="2"/>
  <c r="BO24" i="3"/>
  <c r="Z12" i="2"/>
  <c r="BN15" i="3"/>
  <c r="Z53" i="2"/>
  <c r="BC23" i="3"/>
  <c r="BI11" i="3"/>
  <c r="Z87" i="2"/>
  <c r="BK37" i="3"/>
  <c r="Y25" i="2"/>
  <c r="BF23" i="3"/>
  <c r="CL88" i="1" s="1"/>
  <c r="BA32" i="3"/>
  <c r="BE45" i="3"/>
  <c r="Y16" i="2"/>
  <c r="BK32" i="3"/>
  <c r="BJ42" i="3"/>
  <c r="Y92" i="2"/>
  <c r="BU39" i="3"/>
  <c r="BG38" i="3"/>
  <c r="BQ21" i="3"/>
  <c r="AA109" i="2"/>
  <c r="BE7" i="3"/>
  <c r="Y41" i="2"/>
  <c r="AA62" i="2"/>
  <c r="BN8" i="3"/>
  <c r="BH31" i="3"/>
  <c r="BK26" i="3"/>
  <c r="BL9" i="3"/>
  <c r="BP45" i="3"/>
  <c r="Z84" i="2"/>
  <c r="FF9" i="4" a="1"/>
  <c r="EX12" i="4" a="1"/>
  <c r="Z75" i="2"/>
  <c r="BD7" i="3"/>
  <c r="BR5" i="3"/>
  <c r="BP18" i="3"/>
  <c r="Z40" i="2"/>
  <c r="BL10" i="3"/>
  <c r="FE7" i="4" a="1"/>
  <c r="FC14" i="4" a="1"/>
  <c r="AA47" i="2"/>
  <c r="AA7" i="2"/>
  <c r="BT12" i="3"/>
  <c r="BT29" i="3"/>
  <c r="AA68" i="2"/>
  <c r="BI14" i="3"/>
  <c r="BD25" i="3"/>
  <c r="Z67" i="2"/>
  <c r="EZ6" i="4" a="1"/>
  <c r="BE14" i="3"/>
  <c r="BD17" i="3"/>
  <c r="BF29" i="3"/>
  <c r="CL92" i="1" s="1"/>
  <c r="BJ20" i="3"/>
  <c r="BN41" i="3"/>
  <c r="BU40" i="3"/>
  <c r="BR46" i="3"/>
  <c r="Z23" i="2"/>
  <c r="BL40" i="3"/>
  <c r="FC6" i="4" a="1"/>
  <c r="BJ13" i="3"/>
  <c r="BV20" i="3"/>
  <c r="GS15" i="4" a="1"/>
  <c r="HH14" i="4" a="1"/>
  <c r="GR8" i="4" a="1"/>
  <c r="BJ90" i="3"/>
  <c r="GE15" i="4" a="1"/>
  <c r="GC9" i="4" a="1"/>
  <c r="BS69" i="3"/>
  <c r="GT14" i="4" a="1"/>
  <c r="BF93" i="3"/>
  <c r="GF11" i="4" a="1"/>
  <c r="BF63" i="3"/>
  <c r="CL178" i="1" s="1"/>
  <c r="BJ79" i="3"/>
  <c r="BL72" i="3"/>
  <c r="HC11" i="4" a="1"/>
  <c r="GZ11" i="4" a="1"/>
  <c r="GH8" i="4" a="1"/>
  <c r="Z106" i="2"/>
  <c r="BB32" i="3"/>
  <c r="Z30" i="2"/>
  <c r="BU30" i="3"/>
  <c r="EY6" i="4" a="1"/>
  <c r="Z83" i="2"/>
  <c r="BB17" i="3"/>
  <c r="BE9" i="3"/>
  <c r="BU10" i="3"/>
  <c r="Y23" i="2"/>
  <c r="AA45" i="2"/>
  <c r="FD16" i="4" a="1"/>
  <c r="BI45" i="3"/>
  <c r="Y95" i="2"/>
  <c r="BP29" i="3"/>
  <c r="Z6" i="2"/>
  <c r="BJ26" i="3"/>
  <c r="AA5" i="2"/>
  <c r="AA112" i="2" s="1"/>
  <c r="Y54" i="2"/>
  <c r="BL33" i="3"/>
  <c r="AA25" i="2"/>
  <c r="BI5" i="3"/>
  <c r="BB13" i="3"/>
  <c r="AA61" i="2"/>
  <c r="BF6" i="3"/>
  <c r="CL59" i="1" s="1"/>
  <c r="BU13" i="3"/>
  <c r="AA91" i="2"/>
  <c r="BN39" i="3"/>
  <c r="Y29" i="2"/>
  <c r="BG33" i="3"/>
  <c r="BF79" i="3"/>
  <c r="GB11" i="4" a="1"/>
  <c r="BJ77" i="3"/>
  <c r="BS56" i="3"/>
  <c r="GP11" i="4" a="1"/>
  <c r="HD14" i="4" a="1"/>
  <c r="BM50" i="3"/>
  <c r="BD67" i="3"/>
  <c r="BD70" i="3"/>
  <c r="GP6" i="4" a="1"/>
  <c r="BM96" i="3"/>
  <c r="BF87" i="3"/>
  <c r="CL217" i="1" s="1"/>
  <c r="BT49" i="3"/>
  <c r="GU9" i="4" a="1"/>
  <c r="BD75" i="3"/>
  <c r="HH7" i="4" a="1"/>
  <c r="GK15" i="4" a="1"/>
  <c r="GS8" i="4" a="1"/>
  <c r="HE16" i="4" a="1"/>
  <c r="FM8" i="4" a="1"/>
  <c r="HC8" i="4" a="1"/>
  <c r="GR16" i="4" a="1"/>
  <c r="GQ11" i="4" a="1"/>
  <c r="GF9" i="4" a="1"/>
  <c r="FQ8" i="4" a="1"/>
  <c r="HC14" i="4" a="1"/>
  <c r="GL8" i="4" a="1"/>
  <c r="AA70" i="2"/>
  <c r="BC11" i="3"/>
  <c r="FD12" i="4" a="1"/>
  <c r="Z21" i="2"/>
  <c r="BO42" i="3"/>
  <c r="BL18" i="3"/>
  <c r="Z26" i="2"/>
  <c r="BL79" i="3"/>
  <c r="BF59" i="3"/>
  <c r="FK5" i="4" a="1"/>
  <c r="FI13" i="4" a="1"/>
  <c r="GS5" i="4" a="1"/>
  <c r="BT94" i="3"/>
  <c r="GO13" i="4" a="1"/>
  <c r="GY13" i="4" a="1"/>
  <c r="BM78" i="3"/>
  <c r="BI57" i="3"/>
  <c r="GT11" i="4" a="1"/>
  <c r="FY6" i="4" a="1"/>
  <c r="GG7" i="4" a="1"/>
  <c r="BF32" i="3"/>
  <c r="BI34" i="3"/>
  <c r="BS12" i="3"/>
  <c r="Z91" i="2"/>
  <c r="BL24" i="3"/>
  <c r="AY29" i="3"/>
  <c r="BU32" i="3"/>
  <c r="GU14" i="4" a="1"/>
  <c r="GF13" i="4" a="1"/>
  <c r="BF83" i="3"/>
  <c r="CL226" i="1" s="1"/>
  <c r="GD11" i="4" a="1"/>
  <c r="BS80" i="3"/>
  <c r="BL80" i="3"/>
  <c r="HE6" i="4" a="1"/>
  <c r="BL75" i="3"/>
  <c r="HE11" i="4" a="1"/>
  <c r="BT70" i="3"/>
  <c r="FR14" i="4" a="1"/>
  <c r="BT86" i="3"/>
  <c r="GY8" i="4" a="1"/>
  <c r="BS70" i="3"/>
  <c r="FL12" i="4" a="1"/>
  <c r="BJ67" i="3"/>
  <c r="BL91" i="3"/>
  <c r="HD7" i="4" a="1"/>
  <c r="FK16" i="4" a="1"/>
  <c r="GA12" i="4" a="1"/>
  <c r="FY12" i="4" a="1"/>
  <c r="BD97" i="3"/>
  <c r="HC16" i="4" a="1"/>
  <c r="Y66" i="2"/>
  <c r="BF24" i="3"/>
  <c r="Y51" i="2"/>
  <c r="BO7" i="3"/>
  <c r="BU8" i="3"/>
  <c r="BE19" i="3"/>
  <c r="BI18" i="3"/>
  <c r="Y36" i="2"/>
  <c r="BL55" i="3"/>
  <c r="BT97" i="3"/>
  <c r="BM94" i="3"/>
  <c r="BT74" i="3"/>
  <c r="FY13" i="4" a="1"/>
  <c r="FS5" i="4" a="1"/>
  <c r="BM83" i="3"/>
  <c r="BM86" i="3"/>
  <c r="GF8" i="4" a="1"/>
  <c r="BF73" i="3"/>
  <c r="GG8" i="4" a="1"/>
  <c r="BS94" i="3"/>
  <c r="GR13" i="4" a="1"/>
  <c r="HC5" i="4" a="1"/>
  <c r="BS76" i="3"/>
  <c r="GF7" i="4" a="1"/>
  <c r="FY16" i="4" a="1"/>
  <c r="BS54" i="3"/>
  <c r="FM14" i="4" a="1"/>
  <c r="BL56" i="3"/>
  <c r="GP5" i="4" a="1"/>
  <c r="FS16" i="4" a="1"/>
  <c r="GX14" i="4" a="1"/>
  <c r="FR7" i="4" a="1"/>
  <c r="HD13" i="4" a="1"/>
  <c r="BL68" i="3"/>
  <c r="GM16" i="4" a="1"/>
  <c r="HC6" i="4" a="1"/>
  <c r="GN13" i="4" a="1"/>
  <c r="FQ11" i="4" a="1"/>
  <c r="GR7" i="4" a="1"/>
  <c r="GS13" i="4" a="1"/>
  <c r="BM93" i="3"/>
  <c r="FG11" i="4" a="1"/>
  <c r="BJ56" i="3"/>
  <c r="GW7" i="4" a="1"/>
  <c r="GI16" i="4" a="1"/>
  <c r="GU16" i="4" a="1"/>
  <c r="FH12" i="4" a="1"/>
  <c r="HE7" i="4" a="1"/>
  <c r="FN9" i="4" a="1"/>
  <c r="HD12" i="4" a="1"/>
  <c r="BS48" i="3"/>
  <c r="FP8" i="4" a="1"/>
  <c r="GU15" i="4" a="1"/>
  <c r="FT12" i="4" a="1"/>
  <c r="GH15" i="4" a="1"/>
  <c r="BS55" i="3"/>
  <c r="BS75" i="3"/>
  <c r="FZ15" i="4" a="1"/>
  <c r="FX16" i="4" a="1"/>
  <c r="FQ12" i="4" a="1"/>
  <c r="GY16" i="4" a="1"/>
  <c r="FW15" i="4" a="1"/>
  <c r="GQ14" i="4" a="1"/>
  <c r="BF26" i="3"/>
  <c r="CL100" i="1" s="1"/>
  <c r="Y108" i="2"/>
  <c r="BG13" i="3"/>
  <c r="BC7" i="3"/>
  <c r="FF5" i="4" a="1"/>
  <c r="Z55" i="2"/>
  <c r="BK5" i="3"/>
  <c r="BD37" i="3"/>
  <c r="BM87" i="3"/>
  <c r="BR54" i="3"/>
  <c r="GA13" i="4" a="1"/>
  <c r="FR11" i="4" a="1"/>
  <c r="BT56" i="3"/>
  <c r="BK68" i="3"/>
  <c r="BL67" i="3"/>
  <c r="GQ6" i="4" a="1"/>
  <c r="BI73" i="3"/>
  <c r="BF65" i="3"/>
  <c r="CL215" i="1" s="1"/>
  <c r="BS49" i="3"/>
  <c r="BI58" i="3"/>
  <c r="BB72" i="3"/>
  <c r="BS93" i="3"/>
  <c r="GT7" i="4" a="1"/>
  <c r="BB74" i="3"/>
  <c r="BS73" i="3"/>
  <c r="BF82" i="3"/>
  <c r="CL203" i="1" s="1"/>
  <c r="BL85" i="3"/>
  <c r="BI67" i="3"/>
  <c r="BS81" i="3"/>
  <c r="GX7" i="4" a="1"/>
  <c r="BI84" i="3"/>
  <c r="BJ76" i="3"/>
  <c r="FQ14" i="4" a="1"/>
  <c r="GG12" i="4" a="1"/>
  <c r="BM60" i="3"/>
  <c r="BI77" i="3"/>
  <c r="FJ8" i="4" a="1"/>
  <c r="BB93" i="3"/>
  <c r="GN5" i="4" a="1"/>
  <c r="BK76" i="3"/>
  <c r="BB89" i="3"/>
  <c r="BL54" i="3"/>
  <c r="FN7" i="4" a="1"/>
  <c r="HB9" i="4" a="1"/>
  <c r="BF71" i="3"/>
  <c r="BS89" i="3"/>
  <c r="GW8" i="4" a="1"/>
  <c r="GP14" i="4" a="1"/>
  <c r="HA12" i="4" a="1"/>
  <c r="FO15" i="4" a="1"/>
  <c r="GO9" i="4" a="1"/>
  <c r="BT59" i="3"/>
  <c r="BT67" i="3"/>
  <c r="FP14" i="4" a="1"/>
  <c r="BD91" i="3"/>
  <c r="BT48" i="3"/>
  <c r="GB9" i="4" a="1"/>
  <c r="BJ83" i="3"/>
  <c r="BK97" i="3"/>
  <c r="GI11" i="4" a="1"/>
  <c r="GO12" i="4" a="1"/>
  <c r="BF78" i="3"/>
  <c r="CL195" i="1" s="1"/>
  <c r="FX8" i="4" a="1"/>
  <c r="HG12" i="4" a="1"/>
  <c r="GC12" i="4" a="1"/>
  <c r="BL95" i="3"/>
  <c r="FP9" i="4" a="1"/>
  <c r="BR81" i="3"/>
  <c r="GD13" i="4" a="1"/>
  <c r="GT15" i="4" a="1"/>
  <c r="GJ6" i="4" a="1"/>
  <c r="GQ16" i="4" a="1"/>
  <c r="GQ5" i="4" a="1"/>
  <c r="HA8" i="4" a="1"/>
  <c r="FN6" i="4" a="1"/>
  <c r="BT62" i="3"/>
  <c r="BT78" i="3"/>
  <c r="FU6" i="4" a="1"/>
  <c r="BD68" i="3"/>
  <c r="BD72" i="3"/>
  <c r="FH8" i="4" a="1"/>
  <c r="BJ80" i="3"/>
  <c r="HC7" i="4" a="1"/>
  <c r="FW9" i="4" a="1"/>
  <c r="BJ82" i="3"/>
  <c r="AA22" i="2"/>
  <c r="AA42" i="2"/>
  <c r="BC40" i="3"/>
  <c r="BE11" i="3"/>
  <c r="Y69" i="2"/>
  <c r="BU28" i="3"/>
  <c r="Y46" i="2"/>
  <c r="FC9" i="4" a="1"/>
  <c r="BF75" i="3"/>
  <c r="GB7" i="4" a="1"/>
  <c r="BB55" i="3"/>
  <c r="BR64" i="3"/>
  <c r="GZ6" i="4" a="1"/>
  <c r="HG8" i="4" a="1"/>
  <c r="BF57" i="3"/>
  <c r="CL171" i="1" s="1"/>
  <c r="BT71" i="3"/>
  <c r="BL50" i="3"/>
  <c r="FO11" i="4" a="1"/>
  <c r="BM56" i="3"/>
  <c r="BJ70" i="3"/>
  <c r="BD78" i="3"/>
  <c r="BR86" i="3"/>
  <c r="GJ11" i="4" a="1"/>
  <c r="BF88" i="3"/>
  <c r="CL180" i="1" s="1"/>
  <c r="BR63" i="3"/>
  <c r="BK88" i="3"/>
  <c r="BM65" i="3"/>
  <c r="BI87" i="3"/>
  <c r="GT5" i="4" a="1"/>
  <c r="BL78" i="3"/>
  <c r="BK47" i="3"/>
  <c r="GV15" i="4" a="1"/>
  <c r="BE34" i="3"/>
  <c r="BO38" i="3"/>
  <c r="BS28" i="3"/>
  <c r="BK30" i="3"/>
  <c r="BU16" i="3"/>
  <c r="BF46" i="3"/>
  <c r="BT46" i="3"/>
  <c r="BF15" i="3"/>
  <c r="CL77" i="1" s="1"/>
  <c r="HA5" i="4" a="1"/>
  <c r="BS72" i="3"/>
  <c r="GQ7" i="4" a="1"/>
  <c r="BJ85" i="3"/>
  <c r="BF97" i="3"/>
  <c r="FN13" i="4" a="1"/>
  <c r="GN6" i="4" a="1"/>
  <c r="BT73" i="3"/>
  <c r="BL93" i="3"/>
  <c r="BM74" i="3"/>
  <c r="BS95" i="3"/>
  <c r="BM48" i="3"/>
  <c r="FI5" i="4" a="1"/>
  <c r="BT93" i="3"/>
  <c r="BJ72" i="3"/>
  <c r="BB86" i="3"/>
  <c r="BD87" i="3"/>
  <c r="BI97" i="3"/>
  <c r="BF84" i="3"/>
  <c r="CL204" i="1" s="1"/>
  <c r="FG7" i="4" a="1"/>
  <c r="BM68" i="3"/>
  <c r="BJ48" i="3"/>
  <c r="HF6" i="4" a="1"/>
  <c r="FW5" i="4" a="1"/>
  <c r="BF92" i="3"/>
  <c r="CL221" i="1" s="1"/>
  <c r="GC6" i="4" a="1"/>
  <c r="HG9" i="4" a="1"/>
  <c r="FV16" i="4" a="1"/>
  <c r="BB66" i="3"/>
  <c r="BS65" i="3"/>
  <c r="BK56" i="3"/>
  <c r="GF12" i="4" a="1"/>
  <c r="GF6" i="4" a="1"/>
  <c r="BF70" i="3"/>
  <c r="CL186" i="1" s="1"/>
  <c r="GP7" i="4" a="1"/>
  <c r="BL96" i="3"/>
  <c r="GB5" i="4" a="1"/>
  <c r="HD15" i="4" a="1"/>
  <c r="GA9" i="4" a="1"/>
  <c r="BM49" i="3"/>
  <c r="BJ62" i="3"/>
  <c r="FW12" i="4" a="1"/>
  <c r="GH7" i="4" a="1"/>
  <c r="GA16" i="4" a="1"/>
  <c r="GE16" i="4" a="1"/>
  <c r="BD59" i="3"/>
  <c r="AA113" i="2"/>
  <c r="FL9" i="4" a="1"/>
  <c r="BK92" i="3"/>
  <c r="FK9" i="4" a="1"/>
  <c r="GD7" i="4" a="1"/>
  <c r="BF94" i="3"/>
  <c r="BS58" i="3"/>
  <c r="GL7" i="4" a="1"/>
  <c r="FJ9" i="4" a="1"/>
  <c r="FR6" i="4" a="1"/>
  <c r="BL48" i="3"/>
  <c r="FU7" i="4" a="1"/>
  <c r="FR16" i="4" a="1"/>
  <c r="GE13" i="4" a="1"/>
  <c r="BM62" i="3"/>
  <c r="BJ65" i="3"/>
  <c r="BJ22" i="3"/>
  <c r="BA6" i="3"/>
  <c r="AA17" i="2"/>
  <c r="FF15" i="4" a="1"/>
  <c r="BC18" i="3"/>
  <c r="BA36" i="3"/>
  <c r="BB25" i="3"/>
  <c r="Y8" i="2"/>
  <c r="FO16" i="4" a="1"/>
  <c r="BJ69" i="3"/>
  <c r="GX11" i="4" a="1"/>
  <c r="GA6" i="4" a="1"/>
  <c r="BF74" i="3"/>
  <c r="CL190" i="1" s="1"/>
  <c r="BF85" i="3"/>
  <c r="CL207" i="1" s="1"/>
  <c r="BB70" i="3"/>
  <c r="HF11" i="4" a="1"/>
  <c r="BK78" i="3"/>
  <c r="FP16" i="4" a="1"/>
  <c r="BS90" i="3"/>
  <c r="GV16" i="4" a="1"/>
  <c r="BB48" i="3"/>
  <c r="BS47" i="3"/>
  <c r="HF12" i="4" a="1"/>
  <c r="BB59" i="3"/>
  <c r="BS63" i="3"/>
  <c r="BK66" i="3"/>
  <c r="BT95" i="3"/>
  <c r="FM15" i="4" a="1"/>
  <c r="GK16" i="4" a="1"/>
  <c r="BJ91" i="3"/>
  <c r="GQ15" i="4" a="1"/>
  <c r="FZ5" i="4" a="1"/>
  <c r="BS78" i="3"/>
  <c r="FQ6" i="4" a="1"/>
  <c r="GU5" i="4" a="1"/>
  <c r="GS16" i="4" a="1"/>
  <c r="FJ15" i="4" a="1"/>
  <c r="FX12" i="4" a="1"/>
  <c r="GR5" i="4" a="1"/>
  <c r="BB67" i="3"/>
  <c r="BM47" i="3"/>
  <c r="HH16" i="4" a="1"/>
  <c r="GN12" i="4" a="1"/>
  <c r="BJ55" i="3"/>
  <c r="FZ13" i="4" a="1"/>
  <c r="FO13" i="4" a="1"/>
  <c r="FM11" i="4" a="1"/>
  <c r="FI12" i="4" a="1"/>
  <c r="FV5" i="4" a="1"/>
  <c r="BT82" i="3"/>
  <c r="BM88" i="3"/>
  <c r="GK8" i="4" a="1"/>
  <c r="BD66" i="3"/>
  <c r="FJ11" i="4" a="1"/>
  <c r="GH5" i="4" a="1"/>
  <c r="GD9" i="4" a="1"/>
  <c r="FX5" i="4" a="1"/>
  <c r="GN11" i="4" a="1"/>
  <c r="GN9" i="4" a="1"/>
  <c r="BF48" i="3"/>
  <c r="FS7" i="4" a="1"/>
  <c r="GH12" i="4" a="1"/>
  <c r="BL89" i="3"/>
  <c r="BR90" i="3"/>
  <c r="GB6" i="4" a="1"/>
  <c r="BK60" i="3"/>
  <c r="BT72" i="3"/>
  <c r="BI82" i="3"/>
  <c r="GB14" i="4" a="1"/>
  <c r="BS59" i="3"/>
  <c r="GP8" i="4" a="1"/>
  <c r="FQ16" i="4" a="1"/>
  <c r="BI49" i="3"/>
  <c r="BR77" i="3"/>
  <c r="HA9" i="4" a="1"/>
  <c r="HF15" i="4" a="1"/>
  <c r="FG15" i="4" a="1"/>
  <c r="FV7" i="4" a="1"/>
  <c r="BK86" i="3"/>
  <c r="FL15" i="4" a="1"/>
  <c r="GW9" i="4" a="1"/>
  <c r="BT50" i="3"/>
  <c r="BJ68" i="3"/>
  <c r="FK11" i="4" a="1"/>
  <c r="FW16" i="4" a="1"/>
  <c r="GH6" i="4" a="1"/>
  <c r="GL16" i="4" a="1"/>
  <c r="HF5" i="4" a="1"/>
  <c r="HG11" i="4" a="1"/>
  <c r="FV15" i="4" a="1"/>
  <c r="GO11" i="4" a="1"/>
  <c r="BJ75" i="3"/>
  <c r="GC7" i="4" a="1"/>
  <c r="FG8" i="4" a="1"/>
  <c r="BD94" i="3"/>
  <c r="BJ50" i="3"/>
  <c r="BF49" i="3"/>
  <c r="GQ8" i="4" a="1"/>
  <c r="BD63" i="3"/>
  <c r="BD89" i="3"/>
  <c r="BM58" i="3"/>
  <c r="FP15" i="4" a="1"/>
  <c r="BD71" i="3"/>
  <c r="GL6" i="4" a="1"/>
  <c r="HG16" i="4" a="1"/>
  <c r="GZ7" i="4" a="1"/>
  <c r="BI75" i="3"/>
  <c r="BD92" i="3"/>
  <c r="GG6" i="4" a="1"/>
  <c r="BK65" i="3"/>
  <c r="BS64" i="3"/>
  <c r="GT9" i="4" a="1"/>
  <c r="FL8" i="4" a="1"/>
  <c r="GR14" i="4" a="1"/>
  <c r="GG15" i="4" a="1"/>
  <c r="FQ5" i="4" a="1"/>
  <c r="BS83" i="3"/>
  <c r="FM12" i="4" a="1"/>
  <c r="HE14" i="4" a="1"/>
  <c r="GG13" i="4" a="1"/>
  <c r="GE14" i="4" a="1"/>
  <c r="BS77" i="3"/>
  <c r="BT65" i="3"/>
  <c r="HC9" i="4" a="1"/>
  <c r="GI5" i="4" a="1"/>
  <c r="BR79" i="3"/>
  <c r="FM6" i="4" a="1"/>
  <c r="GQ9" i="4" a="1"/>
  <c r="BT63" i="3"/>
  <c r="GO7" i="4" a="1"/>
  <c r="GI12" i="4" a="1"/>
  <c r="FV9" i="4" a="1"/>
  <c r="BM91" i="3"/>
  <c r="FW8" i="4" a="1"/>
  <c r="BI54" i="3"/>
  <c r="HA14" i="4" a="1"/>
  <c r="FS12" i="4" a="1"/>
  <c r="FS15" i="4" a="1"/>
  <c r="BS71" i="3"/>
  <c r="GL11" i="4" a="1"/>
  <c r="FT8" i="4" a="1"/>
  <c r="BB56" i="3"/>
  <c r="HA11" i="4" a="1"/>
  <c r="BT92" i="3"/>
  <c r="GL5" i="4" a="1"/>
  <c r="GL12" i="4" a="1"/>
  <c r="GY15" i="4" a="1"/>
  <c r="FI11" i="4" a="1"/>
  <c r="BT55" i="3"/>
  <c r="GE12" i="4" a="1"/>
  <c r="BM95" i="3"/>
  <c r="GC8" i="4" a="1"/>
  <c r="BD90" i="3"/>
  <c r="BJ95" i="3"/>
  <c r="GH13" i="4" a="1"/>
  <c r="GV12" i="4" a="1"/>
  <c r="FU16" i="4" a="1"/>
  <c r="GX5" i="4" a="1"/>
  <c r="GK12" i="4" a="1"/>
  <c r="BL61" i="3"/>
  <c r="HF8" i="4" a="1"/>
  <c r="FO9" i="4" a="1"/>
  <c r="FH13" i="4" a="1"/>
  <c r="HE8" i="4" a="1"/>
  <c r="BJ54" i="3"/>
  <c r="GZ14" i="4" a="1"/>
  <c r="HF7" i="4" a="1"/>
  <c r="BL59" i="3"/>
  <c r="FJ5" i="4" a="1"/>
  <c r="GG5" i="4" a="1"/>
  <c r="BM76" i="3"/>
  <c r="HD9" i="4" a="1"/>
  <c r="GA15" i="4" a="1"/>
  <c r="HF16" i="4" a="1"/>
  <c r="GW6" i="4" a="1"/>
  <c r="AA111" i="2"/>
  <c r="GG11" i="4" a="1"/>
  <c r="GL14" i="4" a="1"/>
  <c r="BF64" i="3"/>
  <c r="CL212" i="1" s="1"/>
  <c r="HF13" i="4" a="1"/>
  <c r="GD8" i="4" a="1"/>
  <c r="BM61" i="3"/>
  <c r="BD79" i="3"/>
  <c r="FG13" i="4" a="1"/>
  <c r="BT87" i="3"/>
  <c r="GN7" i="4" a="1"/>
  <c r="BD69" i="3"/>
  <c r="BL71" i="3"/>
  <c r="GS14" i="4" a="1"/>
  <c r="FN15" i="4" a="1"/>
  <c r="HB15" i="4" a="1"/>
  <c r="BJ96" i="3"/>
  <c r="BB97" i="3"/>
  <c r="GK11" i="4" a="1"/>
  <c r="BT61" i="3"/>
  <c r="FG5" i="4" a="1"/>
  <c r="FY11" i="4" a="1"/>
  <c r="GM14" i="4" a="1"/>
  <c r="BM81" i="3"/>
  <c r="GS7" i="4" a="1"/>
  <c r="FY7" i="4" a="1"/>
  <c r="HF9" i="4" a="1"/>
  <c r="BM92" i="3"/>
  <c r="GD15" i="4" a="1"/>
  <c r="FI8" i="4" a="1"/>
  <c r="GO16" i="4" a="1"/>
  <c r="BD58" i="3"/>
  <c r="GR6" i="4" a="1"/>
  <c r="BD47" i="3"/>
  <c r="HA15" i="4" a="1"/>
  <c r="BT79" i="3"/>
  <c r="GA11" i="4" a="1"/>
  <c r="FP12" i="4" a="1"/>
  <c r="FG12" i="4" a="1"/>
  <c r="BT69" i="3"/>
  <c r="GW5" i="4" a="1"/>
  <c r="BM77" i="3"/>
  <c r="BT54" i="3"/>
  <c r="FJ14" i="4" a="1"/>
  <c r="HH8" i="4" a="1"/>
  <c r="GH11" i="4" a="1"/>
  <c r="GW12" i="4" a="1"/>
  <c r="BL92" i="3"/>
  <c r="FR8" i="4" a="1"/>
  <c r="GT16" i="4" a="1"/>
  <c r="BR62" i="3"/>
  <c r="HH9" i="4" a="1"/>
  <c r="BD61" i="3"/>
  <c r="BB75" i="3"/>
  <c r="GM11" i="4" a="1"/>
  <c r="FN14" i="4" a="1"/>
  <c r="FZ6" i="4" a="1"/>
  <c r="GW11" i="4" a="1"/>
  <c r="GM9" i="4" a="1"/>
  <c r="BL86" i="3"/>
  <c r="FO7" i="4" a="1"/>
  <c r="FL16" i="4" a="1"/>
  <c r="GS9" i="4" a="1"/>
  <c r="FW11" i="4" a="1"/>
  <c r="FN11" i="4" a="1"/>
  <c r="BF77" i="3"/>
  <c r="CL193" i="1" s="1"/>
  <c r="FH11" i="4" a="1"/>
  <c r="BL58" i="3"/>
  <c r="BM54" i="3"/>
  <c r="FJ12" i="4" a="1"/>
  <c r="FR13" i="4" a="1"/>
  <c r="BI65" i="3"/>
  <c r="GH16" i="4" a="1"/>
  <c r="BJ81" i="3"/>
  <c r="HB8" i="4" a="1"/>
  <c r="FS13" i="4" a="1"/>
  <c r="FY8" i="4" a="1"/>
  <c r="BI79" i="3"/>
  <c r="FU5" i="4" a="1"/>
  <c r="BJ60" i="3"/>
  <c r="BB92" i="3"/>
  <c r="FR12" i="4" a="1"/>
  <c r="FO8" i="4" a="1"/>
  <c r="HB13" i="4" a="1"/>
  <c r="GC11" i="4" a="1"/>
  <c r="FG9" i="4" a="1"/>
  <c r="BD62" i="3"/>
  <c r="BF47" i="3"/>
  <c r="FM13" i="4" a="1"/>
  <c r="BS97" i="3"/>
  <c r="FP6" i="4" a="1"/>
  <c r="GG16" i="4" a="1"/>
  <c r="BD65" i="3"/>
  <c r="BI72" i="3"/>
  <c r="BR83" i="3"/>
  <c r="HD6" i="4" a="1"/>
  <c r="FT16" i="4" a="1"/>
  <c r="GP12" i="4" a="1"/>
  <c r="BI86" i="3"/>
  <c r="BR96" i="3"/>
  <c r="GI8" i="4" a="1"/>
  <c r="FU15" i="4" a="1"/>
  <c r="GO6" i="4" a="1"/>
  <c r="BJ93" i="3"/>
  <c r="BL94" i="3"/>
  <c r="HH13" i="4" a="1"/>
  <c r="BD81" i="3"/>
  <c r="HB6" i="4" a="1"/>
  <c r="GV6" i="4" a="1"/>
  <c r="HE15" i="4" a="1"/>
  <c r="BD82" i="3"/>
  <c r="FV11" i="4" a="1"/>
  <c r="GN14" i="4" a="1"/>
  <c r="BD56" i="3"/>
  <c r="GV7" i="4" a="1"/>
  <c r="BL81" i="3"/>
  <c r="FM7" i="4" a="1"/>
  <c r="GK13" i="4" a="1"/>
  <c r="BD73" i="3"/>
  <c r="BT96" i="3"/>
  <c r="FH6" i="4" a="1"/>
  <c r="GA14" i="4" a="1"/>
  <c r="GC13" i="4" a="1"/>
  <c r="BM73" i="3"/>
  <c r="FK8" i="4" a="1"/>
  <c r="BS61" i="3"/>
  <c r="GI6" i="4" a="1"/>
  <c r="HB12" i="4" a="1"/>
  <c r="HG6" i="4" a="1"/>
  <c r="FK7" i="4" a="1"/>
  <c r="BB90" i="3"/>
  <c r="BI61" i="3"/>
  <c r="GZ16" i="4" a="1"/>
  <c r="FT14" i="4" a="1"/>
  <c r="GW14" i="4" a="1"/>
  <c r="HG7" i="4" a="1"/>
  <c r="FZ8" i="4" a="1"/>
  <c r="GP9" i="4" a="1"/>
  <c r="BF68" i="3"/>
  <c r="CL187" i="1" s="1"/>
  <c r="GP15" i="4" a="1"/>
  <c r="BD57" i="3"/>
  <c r="GV14" i="4" a="1"/>
  <c r="BT57" i="3"/>
  <c r="GY11" i="4" a="1"/>
  <c r="GO14" i="4" a="1"/>
  <c r="FQ13" i="4" a="1"/>
  <c r="HG13" i="4" a="1"/>
  <c r="FQ7" i="4" a="1"/>
  <c r="BM84" i="3"/>
  <c r="FT15" i="4" a="1"/>
  <c r="GC5" i="4" a="1"/>
  <c r="FM9" i="4" a="1"/>
  <c r="BF72" i="3"/>
  <c r="CL188" i="1" s="1"/>
  <c r="FO14" i="4" a="1"/>
  <c r="BJ59" i="3"/>
  <c r="HA6" i="4" a="1"/>
  <c r="HH11" i="4" a="1"/>
  <c r="FI6" i="4" a="1"/>
  <c r="BI91" i="3"/>
  <c r="GS12" i="4" a="1"/>
  <c r="FY14" i="4" a="1"/>
  <c r="FW14" i="4" a="1"/>
  <c r="GD12" i="4" a="1"/>
  <c r="GY5" i="4" a="1"/>
  <c r="GG14" i="4" a="1"/>
  <c r="BD88" i="3"/>
  <c r="FH15" i="4" a="1"/>
  <c r="BI50" i="3"/>
  <c r="FI14" i="4" a="1"/>
  <c r="GX15" i="4" a="1"/>
  <c r="GE8" i="4" a="1"/>
  <c r="FJ16" i="4" a="1"/>
  <c r="BL84" i="3"/>
  <c r="BS96" i="3"/>
  <c r="FT9" i="4" a="1"/>
  <c r="BT77" i="3"/>
  <c r="FO6" i="4" a="1"/>
  <c r="HF14" i="4" a="1"/>
  <c r="BS86" i="3"/>
  <c r="GN8" i="4" a="1"/>
  <c r="FR9" i="4" a="1"/>
  <c r="BD48" i="3"/>
  <c r="GX9" i="4" a="1"/>
  <c r="BR93" i="3"/>
  <c r="GO8" i="4" a="1"/>
  <c r="FQ9" i="4" a="1"/>
  <c r="GT12" i="4" a="1"/>
  <c r="BM55" i="3"/>
  <c r="GP13" i="4" a="1"/>
  <c r="GW13" i="4" a="1"/>
  <c r="BI89" i="3"/>
  <c r="BL76" i="3"/>
  <c r="BF90" i="3"/>
  <c r="CL179" i="1" s="1"/>
  <c r="FG6" i="4" a="1"/>
  <c r="HC15" i="4" a="1"/>
  <c r="GQ13" i="4" a="1"/>
  <c r="HD11" i="4" a="1"/>
  <c r="GZ12" i="4" a="1"/>
  <c r="BD84" i="3"/>
  <c r="BS82" i="3"/>
  <c r="GJ5" i="4" a="1"/>
  <c r="GE9" i="4" a="1"/>
  <c r="GR12" i="4" a="1"/>
  <c r="FK6" i="4" a="1"/>
  <c r="HA13" i="4" a="1"/>
  <c r="GD5" i="4" a="1"/>
  <c r="BJ49" i="3"/>
  <c r="GK14" i="4" a="1"/>
  <c r="BJ57" i="3"/>
  <c r="FI15" i="4" a="1"/>
  <c r="GT6" i="4" a="1"/>
  <c r="BI90" i="3"/>
  <c r="BM82" i="3"/>
  <c r="HB7" i="4" a="1"/>
  <c r="BF62" i="3"/>
  <c r="CL177" i="1" s="1"/>
  <c r="BL60" i="3"/>
  <c r="BN71" i="3"/>
  <c r="FT5" i="4" a="1"/>
  <c r="GO15" i="4" a="1"/>
  <c r="GJ7" i="4" a="1"/>
  <c r="BL74" i="3"/>
  <c r="BJ92" i="3"/>
  <c r="BB85" i="3"/>
  <c r="BS74" i="3"/>
  <c r="FL13" i="4" a="1"/>
  <c r="FO5" i="4" a="1"/>
  <c r="BD55" i="3"/>
  <c r="HB5" i="4" a="1"/>
  <c r="BI92" i="3"/>
  <c r="BJ66" i="3"/>
  <c r="HC13" i="4" a="1"/>
  <c r="FL6" i="4" a="1"/>
  <c r="BM64" i="3"/>
  <c r="BI71" i="3"/>
  <c r="HB11" i="4" a="1"/>
  <c r="FS6" i="4" a="1"/>
  <c r="GU7" i="4" a="1"/>
  <c r="BK93" i="3"/>
  <c r="GU6" i="4" a="1"/>
  <c r="FX15" i="4" a="1"/>
  <c r="BK87" i="3"/>
  <c r="BS79" i="3"/>
  <c r="BL66" i="3"/>
  <c r="GN15" i="4" a="1"/>
  <c r="FZ12" i="4" a="1"/>
  <c r="BM70" i="3"/>
  <c r="BT90" i="3"/>
  <c r="BJ89" i="3"/>
  <c r="FG14" i="4" a="1"/>
  <c r="BD77" i="3"/>
  <c r="BK63" i="3"/>
  <c r="GU13" i="4" a="1"/>
  <c r="GB12" i="4" a="1"/>
  <c r="BF60" i="3"/>
  <c r="CL175" i="1" s="1"/>
  <c r="BR75" i="3"/>
  <c r="GY7" i="4" a="1"/>
  <c r="BD60" i="3"/>
  <c r="HG5" i="4" a="1"/>
  <c r="FG16" i="4" a="1"/>
  <c r="FN12" i="4" a="1"/>
  <c r="BB80" i="3"/>
  <c r="GZ8" i="4" a="1"/>
  <c r="BG84" i="3"/>
  <c r="GM5" i="4" a="1"/>
  <c r="FU14" i="4" a="1"/>
  <c r="GH14" i="4" a="1"/>
  <c r="FH7" i="4" a="1"/>
  <c r="FX13" i="4" a="1"/>
  <c r="BR88" i="3"/>
  <c r="GM12" i="4" a="1"/>
  <c r="GJ9" i="4" a="1"/>
  <c r="FV14" i="4" a="1"/>
  <c r="BR78" i="3"/>
  <c r="GJ8" i="4" a="1"/>
  <c r="GM6" i="4" a="1"/>
  <c r="FT7" i="4" a="1"/>
  <c r="BD50" i="3"/>
  <c r="FI9" i="4" a="1"/>
  <c r="BP88" i="3"/>
  <c r="FZ16" i="4" a="1"/>
  <c r="BF80" i="3"/>
  <c r="CL225" i="1" s="1"/>
  <c r="BJ73" i="3"/>
  <c r="BJ74" i="3"/>
  <c r="FU11" i="4" a="1"/>
  <c r="BM69" i="3"/>
  <c r="BD85" i="3"/>
  <c r="GX6" i="4" a="1"/>
  <c r="FL5" i="4" a="1"/>
  <c r="BS50" i="3"/>
  <c r="HD5" i="4" a="1"/>
  <c r="GP16" i="4" a="1"/>
  <c r="BT89" i="3"/>
  <c r="FU12" i="4" a="1"/>
  <c r="GV5" i="4" a="1"/>
  <c r="GE5" i="4" a="1"/>
  <c r="FS9" i="4" a="1"/>
  <c r="BB95" i="3"/>
  <c r="HB16" i="4" a="1"/>
  <c r="FZ7" i="4" a="1"/>
  <c r="BI68" i="3"/>
  <c r="GB8" i="4" a="1"/>
  <c r="GX16" i="4" a="1"/>
  <c r="FK12" i="4" a="1"/>
  <c r="BK55" i="3"/>
  <c r="GI7" i="4" a="1"/>
  <c r="FS8" i="4" a="1"/>
  <c r="BM72" i="3"/>
  <c r="FS11" i="4" a="1"/>
  <c r="BJ97" i="3"/>
  <c r="BB71" i="3"/>
  <c r="BS62" i="3"/>
  <c r="GX12" i="4" a="1"/>
  <c r="GJ12" i="4" a="1"/>
  <c r="BI62" i="3"/>
  <c r="FN5" i="4" a="1"/>
  <c r="GA5" i="4" a="1"/>
  <c r="BI64" i="3"/>
  <c r="BJ84" i="3"/>
  <c r="GM13" i="4" a="1"/>
  <c r="GD6" i="4" a="1"/>
  <c r="FY5" i="4" a="1"/>
  <c r="GB16" i="4" a="1"/>
  <c r="FX14" i="4" a="1"/>
  <c r="HH5" i="4" a="1"/>
  <c r="FK15" i="4" a="1"/>
  <c r="BD74" i="3"/>
  <c r="GY6" i="4" a="1"/>
  <c r="BL69" i="3"/>
  <c r="FX7" i="4" a="1"/>
  <c r="BS60" i="3"/>
  <c r="GJ13" i="4" a="1"/>
  <c r="BT83" i="3"/>
  <c r="FV6" i="4" a="1"/>
  <c r="BB76" i="3"/>
  <c r="GY9" i="4" a="1"/>
  <c r="GA7" i="4" a="1"/>
  <c r="GO5" i="4" a="1"/>
  <c r="GM8" i="4" a="1"/>
  <c r="FS14" i="4" a="1"/>
  <c r="GM7" i="4" a="1"/>
  <c r="BJ87" i="3"/>
  <c r="GB15" i="4" a="1"/>
  <c r="BM71" i="3"/>
  <c r="FJ13" i="4" a="1"/>
  <c r="FP7" i="4" a="1"/>
  <c r="BT88" i="3"/>
  <c r="GM15" i="4" a="1"/>
  <c r="BV82" i="3"/>
  <c r="HC12" i="4" a="1"/>
  <c r="GA8" i="4" a="1"/>
  <c r="FT11" i="4" a="1"/>
  <c r="FR15" i="4" a="1"/>
  <c r="BJ47" i="3"/>
  <c r="BM80" i="3"/>
  <c r="BJ94" i="3"/>
  <c r="HB14" i="4" a="1"/>
  <c r="BR58" i="3"/>
  <c r="FI16" i="4" a="1"/>
  <c r="BI83" i="3"/>
  <c r="BD96" i="3"/>
  <c r="BI66" i="3"/>
  <c r="BT91" i="3"/>
  <c r="GV13" i="4" a="1"/>
  <c r="BI94" i="3"/>
  <c r="BS84" i="3"/>
  <c r="GC14" i="4" a="1"/>
  <c r="HG14" i="4" a="1"/>
  <c r="BI96" i="3"/>
  <c r="GU8" i="4" a="1"/>
  <c r="HA7" i="4" a="1"/>
  <c r="GJ16" i="4" a="1"/>
  <c r="GZ5" i="4" a="1"/>
  <c r="GE7" i="4" a="1"/>
  <c r="BM75" i="3"/>
  <c r="FJ7" i="4" a="1"/>
  <c r="BF96" i="3"/>
  <c r="CL230" i="1" s="1"/>
  <c r="BR71" i="3"/>
  <c r="GD14" i="4" a="1"/>
  <c r="GW16" i="4" a="1"/>
  <c r="HE9" i="4" a="1"/>
  <c r="GJ14" i="4" a="1"/>
  <c r="FW13" i="4" a="1"/>
  <c r="FY9" i="4" a="1"/>
  <c r="BE90" i="3"/>
  <c r="BS87" i="3"/>
  <c r="BM66" i="3"/>
  <c r="FU8" i="4" a="1"/>
  <c r="GF5" i="4" a="1"/>
  <c r="GF15" i="4" a="1"/>
  <c r="BK83" i="3"/>
  <c r="FH5" i="4" a="1"/>
  <c r="HH15" i="4" a="1"/>
  <c r="BS68" i="3"/>
  <c r="BQ80" i="3"/>
  <c r="BT47" i="3"/>
  <c r="GS6" i="4" a="1"/>
  <c r="BT75" i="3"/>
  <c r="GR11" i="4" a="1"/>
  <c r="GX8" i="4" a="1"/>
  <c r="GX13" i="4" a="1"/>
  <c r="GI13" i="4" a="1"/>
  <c r="BI59" i="3"/>
  <c r="BD80" i="3"/>
  <c r="GY14" i="4" a="1"/>
  <c r="GE6" i="4" a="1"/>
  <c r="FW7" i="4" a="1"/>
  <c r="FM16" i="4" a="1"/>
  <c r="HH6" i="4" a="1"/>
  <c r="GL9" i="4" a="1"/>
  <c r="HE13" i="4" a="1"/>
  <c r="GW15" i="4" a="1"/>
  <c r="FK14" i="4" a="1"/>
  <c r="FT6" i="4" a="1"/>
  <c r="GE11" i="4" a="1"/>
  <c r="GB13" i="4" a="1"/>
  <c r="BS66" i="3"/>
  <c r="FQ15" i="4" a="1"/>
  <c r="BS88" i="3"/>
  <c r="GI14" i="4" a="1"/>
  <c r="HD16" i="4" a="1"/>
  <c r="FI7" i="4" a="1"/>
  <c r="BJ58" i="3"/>
  <c r="FO12" i="4" a="1"/>
  <c r="GK7" i="4" a="1"/>
  <c r="BD95" i="3"/>
  <c r="GS11" i="4" a="1"/>
  <c r="HE5" i="4" a="1"/>
  <c r="GV11" i="4" a="1"/>
  <c r="BB68" i="3"/>
  <c r="FT13" i="4" a="1"/>
  <c r="GQ12" i="4" a="1"/>
  <c r="FY15" i="4" a="1"/>
  <c r="BM90" i="3"/>
  <c r="BR67" i="3"/>
  <c r="GH9" i="4" a="1"/>
  <c r="FR5" i="4" a="1"/>
  <c r="BH69" i="3"/>
  <c r="GR15" i="4" a="1"/>
  <c r="BF89" i="3"/>
  <c r="CL218" i="1" s="1"/>
  <c r="FV8" i="4" a="1"/>
  <c r="BB63" i="3"/>
  <c r="GN16" i="4" a="1"/>
  <c r="GK6" i="4" a="1"/>
  <c r="GZ13" i="4" a="1"/>
  <c r="BJ78" i="3"/>
  <c r="AZ42" i="3"/>
  <c r="EQ6" i="4" a="1"/>
  <c r="AW29" i="3"/>
  <c r="AZ41" i="3"/>
  <c r="ER11" i="4" a="1"/>
  <c r="AA6" i="6" a="1"/>
  <c r="AP6" i="6" a="1"/>
  <c r="EW12" i="4" a="1"/>
  <c r="AT9" i="3"/>
  <c r="AV25" i="3"/>
  <c r="AX45" i="3"/>
  <c r="AT16" i="3"/>
  <c r="AU6" i="6" a="1"/>
  <c r="AW6" i="3"/>
  <c r="AY34" i="3"/>
  <c r="EP15" i="4" a="1"/>
  <c r="AT46" i="3"/>
  <c r="AU18" i="3"/>
  <c r="AC5" i="6" a="1"/>
  <c r="AS40" i="3"/>
  <c r="EW11" i="4" a="1"/>
  <c r="AW35" i="3"/>
  <c r="EV6" i="4" a="1"/>
  <c r="AT18" i="3"/>
  <c r="AV19" i="3"/>
  <c r="AS20" i="3"/>
  <c r="AV36" i="3"/>
  <c r="AV35" i="3"/>
  <c r="AV11" i="3"/>
  <c r="EU7" i="4" a="1"/>
  <c r="AQ6" i="6" a="1"/>
  <c r="AT25" i="3"/>
  <c r="L5" i="6" a="1"/>
  <c r="EO14" i="4" a="1"/>
  <c r="AS24" i="3"/>
  <c r="AV8" i="3"/>
  <c r="ES8" i="4" a="1"/>
  <c r="AU21" i="3"/>
  <c r="AW27" i="3"/>
  <c r="EU8" i="4" a="1"/>
  <c r="AK6" i="6" a="1"/>
  <c r="AZ14" i="3"/>
  <c r="AR5" i="6" a="1"/>
  <c r="AV12" i="3"/>
  <c r="EV15" i="4" a="1"/>
  <c r="AK5" i="6" a="1"/>
  <c r="AP5" i="6" a="1"/>
  <c r="AU31" i="3"/>
  <c r="EV14" i="4" a="1"/>
  <c r="AZ8" i="3"/>
  <c r="AT8" i="3"/>
  <c r="F46" i="3"/>
  <c r="AJ5" i="6" a="1"/>
  <c r="EO6" i="4" a="1"/>
  <c r="AX7" i="3"/>
  <c r="ET14" i="4" a="1"/>
  <c r="AX30" i="3"/>
  <c r="AX23" i="3"/>
  <c r="EW6" i="4" a="1"/>
  <c r="AF42" i="3"/>
  <c r="AT24" i="3"/>
  <c r="AS29" i="3"/>
  <c r="AZ27" i="3"/>
  <c r="AV33" i="3"/>
  <c r="EO13" i="4" a="1"/>
  <c r="AP6" i="3"/>
  <c r="AS36" i="3"/>
  <c r="AX27" i="3"/>
  <c r="EQ5" i="4" a="1"/>
  <c r="AW6" i="6" a="1"/>
  <c r="AF9" i="3"/>
  <c r="AY7" i="3"/>
  <c r="EP7" i="4" a="1"/>
  <c r="AT41" i="3"/>
  <c r="AZ36" i="3"/>
  <c r="EP13" i="4" a="1"/>
  <c r="AE5" i="6" a="1"/>
  <c r="AW37" i="3"/>
  <c r="AT27" i="3"/>
  <c r="AF27" i="3"/>
  <c r="AS5" i="3"/>
  <c r="AS21" i="3"/>
  <c r="AW32" i="3"/>
  <c r="AY24" i="3"/>
  <c r="AF15" i="3"/>
  <c r="AT17" i="3"/>
  <c r="EL12" i="4" a="1"/>
  <c r="AX9" i="3"/>
  <c r="AU23" i="3"/>
  <c r="X5" i="6" a="1"/>
  <c r="AW39" i="3"/>
  <c r="EM9" i="4" a="1"/>
  <c r="AT38" i="3"/>
  <c r="AW41" i="3"/>
  <c r="EN11" i="4" a="1"/>
  <c r="AR7" i="3"/>
  <c r="EW13" i="4" a="1"/>
  <c r="AV17" i="3"/>
  <c r="AW31" i="3"/>
  <c r="AB6" i="6" a="1"/>
  <c r="AZ25" i="3"/>
  <c r="AV26" i="3"/>
  <c r="AT28" i="3"/>
  <c r="AM5" i="6" a="1"/>
  <c r="AT23" i="3"/>
  <c r="AW11" i="3"/>
  <c r="G6" i="6" a="1"/>
  <c r="AV20" i="3"/>
  <c r="ER12" i="4" a="1"/>
  <c r="P5" i="6" a="1"/>
  <c r="AX35" i="3"/>
  <c r="AZ34" i="3"/>
  <c r="AU37" i="3"/>
  <c r="AW7" i="3"/>
  <c r="V6" i="6" a="1"/>
  <c r="AT21" i="3"/>
  <c r="ER5" i="4" a="1"/>
  <c r="AU14" i="3"/>
  <c r="AF30" i="3"/>
  <c r="AU40" i="3"/>
  <c r="AZ26" i="3"/>
  <c r="AY20" i="3"/>
  <c r="EW16" i="4" a="1"/>
  <c r="AV5" i="6" a="1"/>
  <c r="AV42" i="3"/>
  <c r="AY39" i="3"/>
  <c r="AV34" i="3"/>
  <c r="AU28" i="3"/>
  <c r="AT33" i="3"/>
  <c r="AS8" i="3"/>
  <c r="I6" i="6" a="1"/>
  <c r="ER16" i="4" a="1"/>
  <c r="AY11" i="3"/>
  <c r="AT22" i="3"/>
  <c r="Y6" i="6" a="1"/>
  <c r="D6" i="6" a="1"/>
  <c r="AZ9" i="3"/>
  <c r="AV6" i="3"/>
  <c r="AY13" i="3"/>
  <c r="AW13" i="3"/>
  <c r="AX38" i="3"/>
  <c r="K6" i="6" a="1"/>
  <c r="AS6" i="6" a="1"/>
  <c r="AX40" i="3"/>
  <c r="EV8" i="4" a="1"/>
  <c r="T6" i="6" a="1"/>
  <c r="U6" i="6" a="1"/>
  <c r="AP7" i="3"/>
  <c r="AS12" i="3"/>
  <c r="AS14" i="3"/>
  <c r="AY30" i="3"/>
  <c r="F6" i="6" a="1"/>
  <c r="AW21" i="3"/>
  <c r="ET6" i="4" a="1"/>
  <c r="AZ15" i="3"/>
  <c r="R6" i="6" a="1"/>
  <c r="AY42" i="3"/>
  <c r="AZ29" i="3"/>
  <c r="AX6" i="6" a="1"/>
  <c r="AF31" i="3"/>
  <c r="AU32" i="3"/>
  <c r="AX24" i="3"/>
  <c r="N6" i="6" a="1"/>
  <c r="C6" i="4" a="1"/>
  <c r="AW22" i="3"/>
  <c r="AF35" i="3"/>
  <c r="AV6" i="6" a="1"/>
  <c r="AS38" i="3"/>
  <c r="AU34" i="3"/>
  <c r="AV14" i="3"/>
  <c r="AQ5" i="6" a="1"/>
  <c r="AU41" i="3"/>
  <c r="AZ35" i="3"/>
  <c r="AT36" i="3"/>
  <c r="ET16" i="4" a="1"/>
  <c r="AS23" i="3"/>
  <c r="AX31" i="3"/>
  <c r="ER7" i="4" a="1"/>
  <c r="AZ11" i="3"/>
  <c r="AU22" i="3"/>
  <c r="AX8" i="3"/>
  <c r="AX12" i="3"/>
  <c r="AX39" i="3"/>
  <c r="AS22" i="3"/>
  <c r="AY12" i="3"/>
  <c r="AS46" i="3"/>
  <c r="AT6" i="3"/>
  <c r="AF20" i="3"/>
  <c r="EO11" i="4" a="1"/>
  <c r="AW45" i="3"/>
  <c r="X6" i="6" a="1"/>
  <c r="AY32" i="3"/>
  <c r="AT5" i="6" a="1"/>
  <c r="AS9" i="3"/>
  <c r="AZ17" i="3"/>
  <c r="AS5" i="6" a="1"/>
  <c r="AV40" i="3"/>
  <c r="EQ8" i="4" a="1"/>
  <c r="AF21" i="3"/>
  <c r="AU5" i="6" a="1"/>
  <c r="AY35" i="3"/>
  <c r="AF38" i="3"/>
  <c r="AF45" i="3"/>
  <c r="EP11" i="4" a="1"/>
  <c r="C5" i="3"/>
  <c r="AU46" i="3"/>
  <c r="EM14" i="4" a="1"/>
  <c r="AW38" i="3"/>
  <c r="AU38" i="3"/>
  <c r="EU12" i="4" a="1"/>
  <c r="EO16" i="4" a="1"/>
  <c r="EP12" i="4" a="1"/>
  <c r="AY22" i="3"/>
  <c r="AZ19" i="3"/>
  <c r="AW10" i="3"/>
  <c r="AS39" i="3"/>
  <c r="AX33" i="3"/>
  <c r="AW26" i="3"/>
  <c r="AS37" i="3"/>
  <c r="AS35" i="3"/>
  <c r="AX37" i="3"/>
  <c r="AF34" i="3"/>
  <c r="EV7" i="4" a="1"/>
  <c r="AZ20" i="3"/>
  <c r="EQ11" i="4" a="1"/>
  <c r="AW30" i="3"/>
  <c r="EU5" i="4" a="1"/>
  <c r="C5" i="6" a="1"/>
  <c r="EO8" i="4" a="1"/>
  <c r="AS11" i="3"/>
  <c r="AU27" i="3"/>
  <c r="EM5" i="4" a="1"/>
  <c r="EP9" i="4" a="1"/>
  <c r="E6" i="6" a="1"/>
  <c r="AV23" i="3"/>
  <c r="AS30" i="3"/>
  <c r="AY14" i="3"/>
  <c r="AW18" i="3"/>
  <c r="AZ31" i="3"/>
  <c r="AT15" i="3"/>
  <c r="AY26" i="3"/>
  <c r="EQ15" i="4" a="1"/>
  <c r="AY9" i="3"/>
  <c r="AE6" i="6" a="1"/>
  <c r="AS41" i="3"/>
  <c r="AZ18" i="3"/>
  <c r="EQ12" i="4" a="1"/>
  <c r="AY8" i="3"/>
  <c r="AX36" i="3"/>
  <c r="AY40" i="3"/>
  <c r="AT19" i="3"/>
  <c r="AZ21" i="3"/>
  <c r="EM6" i="4" a="1"/>
  <c r="J6" i="6" a="1"/>
  <c r="AI6" i="6" a="1"/>
  <c r="D5" i="6" a="1"/>
  <c r="AX32" i="3"/>
  <c r="AW12" i="3"/>
  <c r="AX42" i="3"/>
  <c r="AZ12" i="3"/>
  <c r="AA5" i="6" a="1"/>
  <c r="S6" i="6" a="1"/>
  <c r="AZ30" i="3"/>
  <c r="EL5" i="4" a="1"/>
  <c r="AX5" i="3"/>
  <c r="AF41" i="3"/>
  <c r="AZ38" i="3"/>
  <c r="AW42" i="3"/>
  <c r="AZ32" i="3"/>
  <c r="EN8" i="4" a="1"/>
  <c r="AT5" i="3"/>
  <c r="EO5" i="4" a="1"/>
  <c r="AF7" i="3"/>
  <c r="AV39" i="3"/>
  <c r="EU11" i="4" a="1"/>
  <c r="EO9" i="4" a="1"/>
  <c r="AV29" i="3"/>
  <c r="EP5" i="4" a="1"/>
  <c r="AS10" i="3"/>
  <c r="AF6" i="6" a="1"/>
  <c r="EW9" i="4" a="1"/>
  <c r="AV46" i="3"/>
  <c r="Y5" i="6" a="1"/>
  <c r="AX5" i="6" a="1"/>
  <c r="AW28" i="3"/>
  <c r="ES13" i="4" a="1"/>
  <c r="AW25" i="3"/>
  <c r="EL7" i="4" a="1"/>
  <c r="EN15" i="4" a="1"/>
  <c r="M5" i="6" a="1"/>
  <c r="AV45" i="3"/>
  <c r="EP8" i="4" a="1"/>
  <c r="AT20" i="3"/>
  <c r="U5" i="6" a="1"/>
  <c r="AU39" i="3"/>
  <c r="EV12" i="4" a="1"/>
  <c r="AX14" i="3"/>
  <c r="K5" i="6" a="1"/>
  <c r="AF5" i="6" a="1"/>
  <c r="AF6" i="3"/>
  <c r="AW5" i="3"/>
  <c r="EP16" i="4" a="1"/>
  <c r="AF18" i="3"/>
  <c r="Z6" i="6" a="1"/>
  <c r="EW8" i="4" a="1"/>
  <c r="AU20" i="3"/>
  <c r="T5" i="6" a="1"/>
  <c r="AY37" i="3"/>
  <c r="AW9" i="3"/>
  <c r="AZ23" i="3"/>
  <c r="AV31" i="3"/>
  <c r="EN14" i="4" a="1"/>
  <c r="AR5" i="3"/>
  <c r="AY27" i="3"/>
  <c r="EU16" i="4" a="1"/>
  <c r="AV22" i="3"/>
  <c r="AY33" i="3"/>
  <c r="AW17" i="3"/>
  <c r="AO5" i="6" a="1"/>
  <c r="AS33" i="3"/>
  <c r="AH6" i="6" a="1"/>
  <c r="AS16" i="3"/>
  <c r="M6" i="6" a="1"/>
  <c r="ER6" i="4" a="1"/>
  <c r="AZ24" i="3"/>
  <c r="AX21" i="3"/>
  <c r="AU8" i="3"/>
  <c r="AV15" i="3"/>
  <c r="AG5" i="6" a="1"/>
  <c r="EQ7" i="4" a="1"/>
  <c r="AT26" i="3"/>
  <c r="EN7" i="4" a="1"/>
  <c r="ES6" i="4" a="1"/>
  <c r="AZ33" i="3"/>
  <c r="AS45" i="3"/>
  <c r="ER14" i="4" a="1"/>
  <c r="AM6" i="6" a="1"/>
  <c r="L6" i="6" a="1"/>
  <c r="AU7" i="3"/>
  <c r="AF46" i="3"/>
  <c r="AF32" i="3"/>
  <c r="AS42" i="3"/>
  <c r="AF12" i="3"/>
  <c r="AT13" i="3"/>
  <c r="AV41" i="3"/>
  <c r="AF28" i="3"/>
  <c r="ET13" i="4" a="1"/>
  <c r="EN13" i="4" a="1"/>
  <c r="EV9" i="4" a="1"/>
  <c r="AL6" i="6" a="1"/>
  <c r="AX10" i="3"/>
  <c r="EL15" i="4" a="1"/>
  <c r="AY38" i="3"/>
  <c r="AV30" i="3"/>
  <c r="EU13" i="4" a="1"/>
  <c r="EN12" i="4" a="1"/>
  <c r="AY23" i="3"/>
  <c r="AY10" i="3"/>
  <c r="AX25" i="3"/>
  <c r="AB5" i="3"/>
  <c r="AY17" i="3"/>
  <c r="G5" i="6" a="1"/>
  <c r="AX26" i="3"/>
  <c r="ES5" i="4" a="1"/>
  <c r="AW23" i="3"/>
  <c r="AT31" i="3"/>
  <c r="AF5" i="3"/>
  <c r="AW14" i="3"/>
  <c r="AS17" i="3"/>
  <c r="AW36" i="3"/>
  <c r="ET11" i="4" a="1"/>
  <c r="AU9" i="3"/>
  <c r="N5" i="6" a="1"/>
  <c r="AZ40" i="3"/>
  <c r="AN6" i="6" a="1"/>
  <c r="AX29" i="3"/>
  <c r="AW24" i="3"/>
  <c r="AS13" i="3"/>
  <c r="EM8" i="4" a="1"/>
  <c r="EW15" i="4" a="1"/>
  <c r="AX19" i="3"/>
  <c r="AT12" i="3"/>
  <c r="AR6" i="6" a="1"/>
  <c r="AU10" i="3"/>
  <c r="EM12" i="4" a="1"/>
  <c r="AT35" i="3"/>
  <c r="AU35" i="3"/>
  <c r="AZ13" i="3"/>
  <c r="ES9" i="4" a="1"/>
  <c r="AT11" i="3"/>
  <c r="ES7" i="4" a="1"/>
  <c r="V5" i="6" a="1"/>
  <c r="AF40" i="3"/>
  <c r="EW7" i="4" a="1"/>
  <c r="AX17" i="3"/>
  <c r="AF37" i="3"/>
  <c r="AS15" i="3"/>
  <c r="EL16" i="4" a="1"/>
  <c r="ET7" i="4" a="1"/>
  <c r="AY6" i="3"/>
  <c r="AU36" i="3"/>
  <c r="AY46" i="3"/>
  <c r="C5" i="4" a="1"/>
  <c r="AZ28" i="3"/>
  <c r="R5" i="6" a="1"/>
  <c r="AT6" i="6" a="1"/>
  <c r="AN5" i="6" a="1"/>
  <c r="AY5" i="6" a="1"/>
  <c r="AX6" i="3"/>
  <c r="P6" i="6" a="1"/>
  <c r="EM16" i="4" a="1"/>
  <c r="EW14" i="4" a="1"/>
  <c r="Z5" i="6" a="1"/>
  <c r="AJ6" i="6" a="1"/>
  <c r="AV27" i="3"/>
  <c r="AF24" i="3"/>
  <c r="EV16" i="4" a="1"/>
  <c r="ER9" i="4" a="1"/>
  <c r="AW19" i="3"/>
  <c r="EN16" i="4" a="1"/>
  <c r="AY16" i="3"/>
  <c r="AZ16" i="3"/>
  <c r="AW15" i="3"/>
  <c r="AI5" i="6" a="1"/>
  <c r="EP6" i="4" a="1"/>
  <c r="AT30" i="3"/>
  <c r="AU13" i="3"/>
  <c r="H6" i="6" a="1"/>
  <c r="AV21" i="3"/>
  <c r="AT32" i="3"/>
  <c r="EW5" i="4" a="1"/>
  <c r="AV13" i="3"/>
  <c r="AS31" i="3"/>
  <c r="AV18" i="3"/>
  <c r="AY36" i="3"/>
  <c r="AY21" i="3"/>
  <c r="AS34" i="3"/>
  <c r="EP14" i="4" a="1"/>
  <c r="AY28" i="3"/>
  <c r="EL9" i="4" a="1"/>
  <c r="I5" i="6" a="1"/>
  <c r="ES16" i="4" a="1"/>
  <c r="EN5" i="4" a="1"/>
  <c r="AS19" i="3"/>
  <c r="AU29" i="3"/>
  <c r="AY6" i="6" a="1"/>
  <c r="AX16" i="3"/>
  <c r="AF14" i="3"/>
  <c r="AV28" i="3"/>
  <c r="AY31" i="3"/>
  <c r="AU19" i="3"/>
  <c r="AT37" i="3"/>
  <c r="AV16" i="3"/>
  <c r="AS6" i="3"/>
  <c r="AY18" i="3"/>
  <c r="AF11" i="3"/>
  <c r="AF16" i="3"/>
  <c r="AU45" i="3"/>
  <c r="AU5" i="3"/>
  <c r="AW8" i="3"/>
  <c r="AU24" i="3"/>
  <c r="EQ14" i="4" a="1"/>
  <c r="AT10" i="3"/>
  <c r="EU6" i="4" a="1"/>
  <c r="AF23" i="3"/>
  <c r="AF36" i="3"/>
  <c r="AZ37" i="3"/>
  <c r="AS7" i="3"/>
  <c r="EN6" i="4" a="1"/>
  <c r="Q5" i="6" a="1"/>
  <c r="AV24" i="3"/>
  <c r="J5" i="6" a="1"/>
  <c r="EU14" i="4" a="1"/>
  <c r="EM15" i="4" a="1"/>
  <c r="O5" i="6" a="1"/>
  <c r="EU15" i="4" a="1"/>
  <c r="EL8" i="4" a="1"/>
  <c r="AS26" i="3"/>
  <c r="ET5" i="4" a="1"/>
  <c r="AZ39" i="3"/>
  <c r="ES11" i="4" a="1"/>
  <c r="AZ22" i="3"/>
  <c r="EL14" i="4" a="1"/>
  <c r="AB5" i="6" a="1"/>
  <c r="AS28" i="3"/>
  <c r="AU26" i="3"/>
  <c r="EQ9" i="4" a="1"/>
  <c r="EO12" i="4" a="1"/>
  <c r="AW34" i="3"/>
  <c r="AO6" i="6" a="1"/>
  <c r="H5" i="6" a="1"/>
  <c r="ET15" i="4" a="1"/>
  <c r="AU30" i="3"/>
  <c r="AD6" i="6" a="1"/>
  <c r="C6" i="6" a="1"/>
  <c r="AH5" i="6" a="1"/>
  <c r="AF22" i="3"/>
  <c r="AC6" i="6" a="1"/>
  <c r="AF39" i="3"/>
  <c r="ET12" i="4" a="1"/>
  <c r="AR6" i="3"/>
  <c r="W5" i="6" a="1"/>
  <c r="EM13" i="4" a="1"/>
  <c r="ER13" i="4" a="1"/>
  <c r="AV32" i="3"/>
  <c r="AF10" i="3"/>
  <c r="EV13" i="4" a="1"/>
  <c r="AX11" i="3"/>
  <c r="AF8" i="3"/>
  <c r="AF33" i="3"/>
  <c r="AW5" i="6" a="1"/>
  <c r="E5" i="6" a="1"/>
  <c r="AT40" i="3"/>
  <c r="AT14" i="3"/>
  <c r="AV7" i="3"/>
  <c r="AW46" i="3"/>
  <c r="AF25" i="3"/>
  <c r="AP5" i="3"/>
  <c r="AZ6" i="3"/>
  <c r="O6" i="6" a="1"/>
  <c r="AX13" i="3"/>
  <c r="AU12" i="3"/>
  <c r="AS27" i="3"/>
  <c r="AG6" i="6" a="1"/>
  <c r="Q6" i="6" a="1"/>
  <c r="AU16" i="3"/>
  <c r="AF17" i="3"/>
  <c r="AW33" i="3"/>
  <c r="AY19" i="3"/>
  <c r="EO15" i="4" a="1"/>
  <c r="AX46" i="3"/>
  <c r="AY25" i="3"/>
  <c r="AZ10" i="3"/>
  <c r="EM11" i="4" a="1"/>
  <c r="AX20" i="3"/>
  <c r="AY45" i="3"/>
  <c r="AF19" i="3"/>
  <c r="EM7" i="4" a="1"/>
  <c r="AL5" i="6" a="1"/>
  <c r="AS32" i="3"/>
  <c r="AU25" i="3"/>
  <c r="S5" i="6" a="1"/>
  <c r="AX28" i="3"/>
  <c r="AU15" i="3"/>
  <c r="AF13" i="3"/>
  <c r="AT45" i="3"/>
  <c r="EL11" i="4" a="1"/>
  <c r="AS25" i="3"/>
  <c r="AV5" i="3"/>
  <c r="AT7" i="3"/>
  <c r="EL6" i="4" a="1"/>
  <c r="ES14" i="4" a="1"/>
  <c r="AZ46" i="3"/>
  <c r="AD5" i="6" a="1"/>
  <c r="AX15" i="3"/>
  <c r="AT34" i="3"/>
  <c r="AT39" i="3"/>
  <c r="AU17" i="3"/>
  <c r="EV11" i="4" a="1"/>
  <c r="AZ7" i="3"/>
  <c r="AY15" i="3"/>
  <c r="AV38" i="3"/>
  <c r="AX18" i="3"/>
  <c r="ES15" i="4" a="1"/>
  <c r="EQ13" i="4" a="1"/>
  <c r="EN9" i="4" a="1"/>
  <c r="AW40" i="3"/>
  <c r="ET9" i="4" a="1"/>
  <c r="AZ45" i="3"/>
  <c r="EO7" i="4" a="1"/>
  <c r="EL13" i="4" a="1"/>
  <c r="ER8" i="4" a="1"/>
  <c r="AU33" i="3"/>
  <c r="ES12" i="4" a="1"/>
  <c r="ET8" i="4" a="1"/>
  <c r="AX22" i="3"/>
  <c r="AW20" i="3"/>
  <c r="AU6" i="3"/>
  <c r="AF29" i="3"/>
  <c r="AT42" i="3"/>
  <c r="ER15" i="4" a="1"/>
  <c r="AV9" i="3"/>
  <c r="AY5" i="3"/>
  <c r="AX41" i="3"/>
  <c r="F5" i="6" a="1"/>
  <c r="AU11" i="3"/>
  <c r="AV37" i="3"/>
  <c r="AS18" i="3"/>
  <c r="AW16" i="3"/>
  <c r="EV5" i="4" a="1"/>
  <c r="EQ16" i="4" a="1"/>
  <c r="AT29" i="3"/>
  <c r="W6" i="6" a="1"/>
  <c r="F45" i="3"/>
  <c r="AZ5" i="3"/>
  <c r="AX34" i="3"/>
  <c r="AU42" i="3"/>
  <c r="AF26" i="3"/>
  <c r="EU9" i="4" a="1"/>
  <c r="AY41" i="3"/>
  <c r="BL73" i="3"/>
  <c r="BL83" i="3"/>
  <c r="BL90" i="3"/>
  <c r="BT80" i="3"/>
  <c r="BT76" i="3"/>
  <c r="BT58" i="3"/>
  <c r="BO71" i="3"/>
  <c r="BO70" i="3"/>
  <c r="BO74" i="3"/>
  <c r="BO58" i="3"/>
  <c r="BO75" i="3"/>
  <c r="BB84" i="3"/>
  <c r="BB50" i="3"/>
  <c r="BR57" i="3"/>
  <c r="BR48" i="3"/>
  <c r="BR84" i="3"/>
  <c r="BR50" i="3"/>
  <c r="BR47" i="3"/>
  <c r="BR49" i="3"/>
  <c r="BR56" i="3"/>
  <c r="BR95" i="3"/>
  <c r="BR87" i="3"/>
  <c r="BR59" i="3"/>
  <c r="BR97" i="3"/>
  <c r="BR89" i="3"/>
  <c r="BR55" i="3"/>
  <c r="BR69" i="3"/>
  <c r="BI56" i="3"/>
  <c r="BI55" i="3"/>
  <c r="BI48" i="3"/>
  <c r="BI60" i="3"/>
  <c r="BI93" i="3"/>
  <c r="BI69" i="3"/>
  <c r="BK57" i="3"/>
  <c r="BK69" i="3"/>
  <c r="BK71" i="3"/>
  <c r="BK79" i="3"/>
  <c r="BK74" i="3"/>
  <c r="BQ56" i="3" l="1"/>
  <c r="BL47" i="3"/>
  <c r="BL62" i="3"/>
  <c r="BL82" i="3"/>
  <c r="BI95" i="3"/>
  <c r="BL77" i="3"/>
  <c r="BT85" i="3"/>
  <c r="BI88" i="3"/>
  <c r="BL63" i="3"/>
  <c r="BL49" i="3"/>
  <c r="BL87" i="3"/>
  <c r="BL70" i="3"/>
  <c r="BL65" i="3"/>
  <c r="BI81" i="3"/>
  <c r="BK90" i="3"/>
  <c r="BK84" i="3"/>
  <c r="BL97" i="3"/>
  <c r="BT64" i="3"/>
  <c r="BO93" i="3"/>
  <c r="BB60" i="3"/>
  <c r="BB78" i="3"/>
  <c r="BB64" i="3"/>
  <c r="BI74" i="3"/>
  <c r="BI70" i="3"/>
  <c r="BI80" i="3"/>
  <c r="BI47" i="3"/>
  <c r="BK58" i="3"/>
  <c r="BK72" i="3"/>
  <c r="BK77" i="3"/>
  <c r="BK95" i="3"/>
  <c r="BK61" i="3"/>
  <c r="BK62" i="3"/>
  <c r="CL181" i="1"/>
  <c r="CL228" i="1"/>
  <c r="BG87" i="3"/>
  <c r="BV71" i="3"/>
  <c r="BN84" i="3"/>
  <c r="BQ86" i="3"/>
  <c r="BE58" i="3"/>
  <c r="BH87" i="3"/>
  <c r="BP63" i="3"/>
  <c r="BH92" i="3"/>
  <c r="BN77" i="3"/>
  <c r="BE75" i="3"/>
  <c r="BU82" i="3"/>
  <c r="BG77" i="3"/>
  <c r="BA79" i="3"/>
  <c r="BV55" i="3"/>
  <c r="BU83" i="3"/>
  <c r="BG60" i="3"/>
  <c r="BA86" i="3"/>
  <c r="BA63" i="3"/>
  <c r="BA59" i="3"/>
  <c r="BE71" i="3"/>
  <c r="Y111" i="2"/>
  <c r="BG96" i="3"/>
  <c r="BV47" i="3"/>
  <c r="BP91" i="3"/>
  <c r="BU93" i="3"/>
  <c r="BH68" i="3"/>
  <c r="BU71" i="3"/>
  <c r="BH73" i="3"/>
  <c r="BG71" i="3"/>
  <c r="BV77" i="3"/>
  <c r="BP94" i="3"/>
  <c r="BA94" i="3"/>
  <c r="BV89" i="3"/>
  <c r="BE84" i="3"/>
  <c r="BU54" i="3"/>
  <c r="BH84" i="3"/>
  <c r="BN95" i="3"/>
  <c r="BU79" i="3"/>
  <c r="BQ81" i="3"/>
  <c r="BQ84" i="3"/>
  <c r="BG56" i="3"/>
  <c r="BN90" i="3"/>
  <c r="BH74" i="3"/>
  <c r="BN82" i="3"/>
  <c r="BH63" i="3"/>
  <c r="BG62" i="3"/>
  <c r="BA74" i="3"/>
  <c r="BV63" i="3"/>
  <c r="BA49" i="3"/>
  <c r="BE93" i="3"/>
  <c r="BQ47" i="3"/>
  <c r="BA97" i="3"/>
  <c r="BV97" i="3"/>
  <c r="BA56" i="3"/>
  <c r="BE68" i="3"/>
  <c r="BE62" i="3"/>
  <c r="BG67" i="3"/>
  <c r="BV49" i="3"/>
  <c r="BH56" i="3"/>
  <c r="BN80" i="3"/>
  <c r="BH58" i="3"/>
  <c r="BA57" i="3"/>
  <c r="BV66" i="3"/>
  <c r="BA64" i="3"/>
  <c r="BV74" i="3"/>
  <c r="BE63" i="3"/>
  <c r="BP79" i="3"/>
  <c r="BG83" i="3"/>
  <c r="BV81" i="3"/>
  <c r="BP84" i="3"/>
  <c r="BG64" i="3"/>
  <c r="BQ94" i="3"/>
  <c r="BE81" i="3"/>
  <c r="BH70" i="3"/>
  <c r="BG90" i="3"/>
  <c r="BQ64" i="3"/>
  <c r="BQ68" i="3"/>
  <c r="BH89" i="3"/>
  <c r="Z113" i="2"/>
  <c r="BV50" i="3"/>
  <c r="BP68" i="3"/>
  <c r="BR82" i="3"/>
  <c r="BV48" i="3"/>
  <c r="BP73" i="3"/>
  <c r="BP72" i="3"/>
  <c r="BU62" i="3"/>
  <c r="BQ79" i="3"/>
  <c r="BV95" i="3"/>
  <c r="BQ63" i="3"/>
  <c r="BP47" i="3"/>
  <c r="BV68" i="3"/>
  <c r="BU64" i="3"/>
  <c r="BU96" i="3"/>
  <c r="BE66" i="3"/>
  <c r="BP75" i="3"/>
  <c r="BN70" i="3"/>
  <c r="BU48" i="3"/>
  <c r="BR72" i="3"/>
  <c r="BU84" i="3"/>
  <c r="BU76" i="3"/>
  <c r="BU77" i="3"/>
  <c r="BV93" i="3"/>
  <c r="BU66" i="3"/>
  <c r="BA73" i="3"/>
  <c r="BH85" i="3"/>
  <c r="BG49" i="3"/>
  <c r="BG78" i="3"/>
  <c r="BR60" i="3"/>
  <c r="BQ55" i="3"/>
  <c r="BB96" i="3"/>
  <c r="BU59" i="3"/>
  <c r="BV60" i="3"/>
  <c r="BB82" i="3"/>
  <c r="BV84" i="3"/>
  <c r="BR68" i="3"/>
  <c r="BP81" i="3"/>
  <c r="BP55" i="3"/>
  <c r="BA55" i="3"/>
  <c r="BA78" i="3"/>
  <c r="BV96" i="3"/>
  <c r="BV91" i="3"/>
  <c r="BV72" i="3"/>
  <c r="BA71" i="3"/>
  <c r="BV76" i="3"/>
  <c r="BH59" i="3"/>
  <c r="BA90" i="3"/>
  <c r="BE94" i="3"/>
  <c r="BB49" i="3"/>
  <c r="BH97" i="3"/>
  <c r="BV59" i="3"/>
  <c r="BA88" i="3"/>
  <c r="BR80" i="3"/>
  <c r="BN69" i="3"/>
  <c r="BG65" i="3"/>
  <c r="BN85" i="3"/>
  <c r="BH71" i="3"/>
  <c r="BQ48" i="3"/>
  <c r="BP66" i="3"/>
  <c r="BR70" i="3"/>
  <c r="BQ82" i="3"/>
  <c r="BH80" i="3"/>
  <c r="BN89" i="3"/>
  <c r="BH57" i="3"/>
  <c r="BG85" i="3"/>
  <c r="BN56" i="3"/>
  <c r="BP77" i="3"/>
  <c r="BN83" i="3"/>
  <c r="BV80" i="3"/>
  <c r="BA92" i="3"/>
  <c r="BV73" i="3"/>
  <c r="BH79" i="3"/>
  <c r="BE50" i="3"/>
  <c r="BP65" i="3"/>
  <c r="BH82" i="3"/>
  <c r="BN96" i="3"/>
  <c r="BG73" i="3"/>
  <c r="BA96" i="3"/>
  <c r="BN61" i="3"/>
  <c r="BQ88" i="3"/>
  <c r="BP87" i="3"/>
  <c r="BG86" i="3"/>
  <c r="BP54" i="3"/>
  <c r="Z112" i="2"/>
  <c r="BN47" i="3"/>
  <c r="BE56" i="3"/>
  <c r="BA67" i="3"/>
  <c r="BE72" i="3"/>
  <c r="BP48" i="3"/>
  <c r="BN87" i="3"/>
  <c r="BQ59" i="3"/>
  <c r="BG75" i="3"/>
  <c r="BN72" i="3"/>
  <c r="BP83" i="3"/>
  <c r="BN97" i="3"/>
  <c r="BG76" i="3"/>
  <c r="BN88" i="3"/>
  <c r="BU95" i="3"/>
  <c r="BV58" i="3"/>
  <c r="BE91" i="3"/>
  <c r="BN91" i="3"/>
  <c r="BE83" i="3"/>
  <c r="BP82" i="3"/>
  <c r="BH65" i="3"/>
  <c r="BU47" i="3"/>
  <c r="BU49" i="3"/>
  <c r="BE89" i="3"/>
  <c r="BP92" i="3"/>
  <c r="BR85" i="3"/>
  <c r="BK82" i="3"/>
  <c r="BG59" i="3"/>
  <c r="BU65" i="3"/>
  <c r="BB87" i="3"/>
  <c r="BK91" i="3"/>
  <c r="BK80" i="3"/>
  <c r="BB83" i="3"/>
  <c r="BN57" i="3"/>
  <c r="BH72" i="3"/>
  <c r="BA65" i="3"/>
  <c r="BQ87" i="3"/>
  <c r="BG97" i="3"/>
  <c r="BE55" i="3"/>
  <c r="BG66" i="3"/>
  <c r="BN86" i="3"/>
  <c r="BH60" i="3"/>
  <c r="BG80" i="3"/>
  <c r="BK67" i="3"/>
  <c r="BH88" i="3"/>
  <c r="BU58" i="3"/>
  <c r="BH93" i="3"/>
  <c r="BA72" i="3"/>
  <c r="BU80" i="3"/>
  <c r="BN73" i="3"/>
  <c r="BB58" i="3"/>
  <c r="BB47" i="3"/>
  <c r="BQ78" i="3"/>
  <c r="BE87" i="3"/>
  <c r="BB77" i="3"/>
  <c r="BK96" i="3"/>
  <c r="BK89" i="3"/>
  <c r="BN79" i="3"/>
  <c r="BH91" i="3"/>
  <c r="BB62" i="3"/>
  <c r="BU86" i="3"/>
  <c r="BQ92" i="3"/>
  <c r="BV90" i="3"/>
  <c r="BN63" i="3"/>
  <c r="BE77" i="3"/>
  <c r="BK50" i="3"/>
  <c r="BH95" i="3"/>
  <c r="BU70" i="3"/>
  <c r="BN58" i="3"/>
  <c r="BH83" i="3"/>
  <c r="BE79" i="3"/>
  <c r="BR92" i="3"/>
  <c r="BV56" i="3"/>
  <c r="BH90" i="3"/>
  <c r="BK73" i="3"/>
  <c r="BH78" i="3"/>
  <c r="BN92" i="3"/>
  <c r="BK49" i="3"/>
  <c r="BP95" i="3"/>
  <c r="BR76" i="3"/>
  <c r="BK48" i="3"/>
  <c r="BB88" i="3"/>
  <c r="BU97" i="3"/>
  <c r="BE73" i="3"/>
  <c r="BR94" i="3"/>
  <c r="BG50" i="3"/>
  <c r="BB79" i="3"/>
  <c r="BK54" i="3"/>
  <c r="BU60" i="3"/>
  <c r="BU73" i="3"/>
  <c r="BE74" i="3"/>
  <c r="BU87" i="3"/>
  <c r="BQ67" i="3"/>
  <c r="BE59" i="3"/>
  <c r="BV62" i="3"/>
  <c r="BU68" i="3"/>
  <c r="BG57" i="3"/>
  <c r="BU56" i="3"/>
  <c r="BA54" i="3"/>
  <c r="BV78" i="3"/>
  <c r="BA70" i="3"/>
  <c r="BE70" i="3"/>
  <c r="BE95" i="3"/>
  <c r="BP89" i="3"/>
  <c r="BA83" i="3"/>
  <c r="BV69" i="3"/>
  <c r="BP49" i="3"/>
  <c r="BH50" i="3"/>
  <c r="BQ72" i="3"/>
  <c r="BE67" i="3"/>
  <c r="BH81" i="3"/>
  <c r="BG48" i="3"/>
  <c r="BA62" i="3"/>
  <c r="BE64" i="3"/>
  <c r="BA48" i="3"/>
  <c r="BE80" i="3"/>
  <c r="BG88" i="3"/>
  <c r="BA89" i="3"/>
  <c r="BA87" i="3"/>
  <c r="BE76" i="3"/>
  <c r="BG69" i="3"/>
  <c r="BV75" i="3"/>
  <c r="BU89" i="3"/>
  <c r="BH77" i="3"/>
  <c r="BU57" i="3"/>
  <c r="BA75" i="3"/>
  <c r="BA50" i="3"/>
  <c r="BU94" i="3"/>
  <c r="BP93" i="3"/>
  <c r="BU91" i="3"/>
  <c r="BU88" i="3"/>
  <c r="BG70" i="3"/>
  <c r="BE97" i="3"/>
  <c r="BK85" i="3"/>
  <c r="BE60" i="3"/>
  <c r="BQ97" i="3"/>
  <c r="BN74" i="3"/>
  <c r="BN55" i="3"/>
  <c r="BG94" i="3"/>
  <c r="BP97" i="3"/>
  <c r="BG95" i="3"/>
  <c r="BP78" i="3"/>
  <c r="BP70" i="3"/>
  <c r="BE49" i="3"/>
  <c r="BV86" i="3"/>
  <c r="BQ54" i="3"/>
  <c r="BQ90" i="3"/>
  <c r="BG47" i="3"/>
  <c r="BK75" i="3"/>
  <c r="BE78" i="3"/>
  <c r="BQ60" i="3"/>
  <c r="BG89" i="3"/>
  <c r="BQ69" i="3"/>
  <c r="BN81" i="3"/>
  <c r="BU81" i="3"/>
  <c r="BK81" i="3"/>
  <c r="BA58" i="3"/>
  <c r="BA91" i="3"/>
  <c r="BA84" i="3"/>
  <c r="BU74" i="3"/>
  <c r="BQ77" i="3"/>
  <c r="BK64" i="3"/>
  <c r="BG81" i="3"/>
  <c r="BK94" i="3"/>
  <c r="BP85" i="3"/>
  <c r="BK70" i="3"/>
  <c r="BA60" i="3"/>
  <c r="BA47" i="3"/>
  <c r="BV70" i="3"/>
  <c r="Z111" i="2"/>
  <c r="BU69" i="3"/>
  <c r="BQ91" i="3"/>
  <c r="BE57" i="3"/>
  <c r="BP74" i="3"/>
  <c r="BG58" i="3"/>
  <c r="BA66" i="3"/>
  <c r="BH86" i="3"/>
  <c r="BN50" i="3"/>
  <c r="BP62" i="3"/>
  <c r="BQ49" i="3"/>
  <c r="BQ95" i="3"/>
  <c r="BP56" i="3"/>
  <c r="BA85" i="3"/>
  <c r="BH96" i="3"/>
  <c r="BQ85" i="3"/>
  <c r="BA80" i="3"/>
  <c r="BQ96" i="3"/>
  <c r="BQ58" i="3"/>
  <c r="BP58" i="3"/>
  <c r="BQ65" i="3"/>
  <c r="BH67" i="3"/>
  <c r="BE96" i="3"/>
  <c r="BE65" i="3"/>
  <c r="BH47" i="3"/>
  <c r="BG82" i="3"/>
  <c r="BE85" i="3"/>
  <c r="BA77" i="3"/>
  <c r="BV94" i="3"/>
  <c r="BH48" i="3"/>
  <c r="BN59" i="3"/>
  <c r="BQ70" i="3"/>
  <c r="BH61" i="3"/>
  <c r="BN75" i="3"/>
  <c r="BN62" i="3"/>
  <c r="BG93" i="3"/>
  <c r="BQ89" i="3"/>
  <c r="BN68" i="3"/>
  <c r="BH55" i="3"/>
  <c r="BQ75" i="3"/>
  <c r="BN65" i="3"/>
  <c r="BN49" i="3"/>
  <c r="BU75" i="3"/>
  <c r="BU50" i="3"/>
  <c r="BQ66" i="3"/>
  <c r="BE69" i="3"/>
  <c r="BU90" i="3"/>
  <c r="BG55" i="3"/>
  <c r="BU78" i="3"/>
  <c r="BG68" i="3"/>
  <c r="BE47" i="3"/>
  <c r="Y112" i="2"/>
  <c r="BH64" i="3"/>
  <c r="BV92" i="3"/>
  <c r="BN67" i="3"/>
  <c r="BU55" i="3"/>
  <c r="BG92" i="3"/>
  <c r="BN64" i="3"/>
  <c r="BP59" i="3"/>
  <c r="BG54" i="3"/>
  <c r="BV61" i="3"/>
  <c r="BV79" i="3"/>
  <c r="BN76" i="3"/>
  <c r="BH76" i="3"/>
  <c r="BE54" i="3"/>
  <c r="BP64" i="3"/>
  <c r="BG63" i="3"/>
  <c r="BH75" i="3"/>
  <c r="BG61" i="3"/>
  <c r="BE61" i="3"/>
  <c r="BE88" i="3"/>
  <c r="BH49" i="3"/>
  <c r="BQ74" i="3"/>
  <c r="BE86" i="3"/>
  <c r="Y113" i="2"/>
  <c r="BP80" i="3"/>
  <c r="BQ57" i="3"/>
  <c r="BE82" i="3"/>
  <c r="BU61" i="3"/>
  <c r="BP61" i="3"/>
  <c r="BV88" i="3"/>
  <c r="BP67" i="3"/>
  <c r="BA93" i="3"/>
  <c r="BQ61" i="3"/>
  <c r="BA76" i="3"/>
  <c r="BV87" i="3"/>
  <c r="BN48" i="3"/>
  <c r="BU63" i="3"/>
  <c r="BU67" i="3"/>
  <c r="BA95" i="3"/>
  <c r="BQ73" i="3"/>
  <c r="BN78" i="3"/>
  <c r="BN93" i="3"/>
  <c r="BV85" i="3"/>
  <c r="BA82" i="3"/>
  <c r="BQ76" i="3"/>
  <c r="BV54" i="3"/>
  <c r="BA68" i="3"/>
  <c r="BQ50" i="3"/>
  <c r="BE92" i="3"/>
  <c r="BV65" i="3"/>
  <c r="BP69" i="3"/>
  <c r="BP71" i="3"/>
  <c r="BV83" i="3"/>
  <c r="BG74" i="3"/>
  <c r="BN66" i="3"/>
  <c r="BN60" i="3"/>
  <c r="BP90" i="3"/>
  <c r="BP76" i="3"/>
  <c r="BP86" i="3"/>
  <c r="BG91" i="3"/>
  <c r="BU85" i="3"/>
  <c r="BU92" i="3"/>
  <c r="BV57" i="3"/>
  <c r="BH94" i="3"/>
  <c r="BQ83" i="3"/>
  <c r="BG72" i="3"/>
  <c r="BQ93" i="3"/>
  <c r="BP96" i="3"/>
  <c r="BA69" i="3"/>
  <c r="BE48" i="3"/>
  <c r="BV67" i="3"/>
  <c r="BN94" i="3"/>
  <c r="BG79" i="3"/>
  <c r="BQ71" i="3"/>
  <c r="BV64" i="3"/>
  <c r="BA61" i="3"/>
  <c r="BH66" i="3"/>
  <c r="BN54" i="3"/>
  <c r="BP57" i="3"/>
  <c r="BU72" i="3"/>
  <c r="BA81" i="3"/>
  <c r="BH54" i="3"/>
  <c r="BB73" i="3"/>
  <c r="BR61" i="3"/>
  <c r="BI63" i="3"/>
  <c r="BI76" i="3"/>
  <c r="BB94" i="3"/>
  <c r="BI85" i="3"/>
  <c r="BB54" i="3"/>
  <c r="BR66" i="3"/>
  <c r="BR74" i="3"/>
  <c r="BR73" i="3"/>
  <c r="BI78" i="3"/>
  <c r="BB57" i="3"/>
  <c r="BT66" i="3"/>
  <c r="BM57" i="3"/>
  <c r="BF86" i="3"/>
  <c r="BT68" i="3"/>
  <c r="BS67" i="3"/>
  <c r="BR91" i="3"/>
  <c r="BM63" i="3"/>
  <c r="BT81" i="3"/>
  <c r="BF76" i="3"/>
  <c r="BR65" i="3"/>
  <c r="BL88" i="3"/>
  <c r="BT60" i="3"/>
  <c r="BJ64" i="3"/>
  <c r="BD93" i="3"/>
  <c r="BS85" i="3"/>
  <c r="BT84" i="3"/>
  <c r="BB69" i="3"/>
  <c r="BB81" i="3"/>
  <c r="BB91" i="3"/>
  <c r="BB61" i="3"/>
  <c r="BB65" i="3"/>
  <c r="BC83" i="3"/>
  <c r="BC57" i="3"/>
  <c r="BC68" i="3"/>
  <c r="BO69" i="3"/>
  <c r="BC49" i="3"/>
  <c r="BO84" i="3"/>
  <c r="BO73" i="3"/>
  <c r="BO64" i="3"/>
  <c r="BC56" i="3"/>
  <c r="BC94" i="3"/>
  <c r="BO50" i="3"/>
  <c r="BC65" i="3"/>
  <c r="BO65" i="3"/>
  <c r="BC67" i="3"/>
  <c r="BC80" i="3"/>
  <c r="BO97" i="3"/>
  <c r="BC71" i="3"/>
  <c r="BC91" i="3"/>
  <c r="BO96" i="3"/>
  <c r="BO82" i="3"/>
  <c r="BO62" i="3"/>
  <c r="BO68" i="3"/>
  <c r="BC88" i="3"/>
  <c r="BC84" i="3"/>
  <c r="BC63" i="3"/>
  <c r="BK59" i="3"/>
  <c r="BO92" i="3"/>
  <c r="BO72" i="3"/>
  <c r="BO47" i="3"/>
  <c r="BO83" i="3"/>
  <c r="BC59" i="3"/>
  <c r="BC73" i="3"/>
  <c r="BC93" i="3"/>
  <c r="BC48" i="3"/>
  <c r="BO95" i="3"/>
  <c r="BC95" i="3"/>
  <c r="BC47" i="3"/>
  <c r="BO81" i="3"/>
  <c r="BO94" i="3"/>
  <c r="BC60" i="3"/>
  <c r="BC89" i="3"/>
  <c r="BC70" i="3"/>
  <c r="BO55" i="3"/>
  <c r="BO89" i="3"/>
  <c r="BO49" i="3"/>
  <c r="BO76" i="3"/>
  <c r="BO79" i="3"/>
  <c r="BC96" i="3"/>
  <c r="BO88" i="3"/>
  <c r="BC62" i="3"/>
  <c r="BC50" i="3"/>
  <c r="BO56" i="3"/>
  <c r="BC61" i="3"/>
  <c r="BC85" i="3"/>
  <c r="BC81" i="3"/>
  <c r="BC97" i="3"/>
  <c r="BC69" i="3"/>
  <c r="BO80" i="3"/>
  <c r="BO85" i="3"/>
  <c r="BC64" i="3"/>
  <c r="BC66" i="3"/>
  <c r="BC86" i="3"/>
  <c r="BO61" i="3"/>
  <c r="BO48" i="3"/>
  <c r="BC76" i="3"/>
  <c r="BO60" i="3"/>
  <c r="BC92" i="3"/>
  <c r="BC87" i="3"/>
  <c r="BO54" i="3"/>
  <c r="BC79" i="3"/>
  <c r="BC54" i="3"/>
  <c r="BC55" i="3"/>
  <c r="BO66" i="3"/>
  <c r="BO59" i="3"/>
  <c r="BC75" i="3"/>
  <c r="BO78" i="3"/>
  <c r="BC58" i="3"/>
  <c r="BO63" i="3"/>
  <c r="BO87" i="3"/>
  <c r="BO67" i="3"/>
  <c r="BO57" i="3"/>
  <c r="BC72" i="3"/>
  <c r="BC77" i="3"/>
  <c r="BC74" i="3"/>
  <c r="BO77" i="3"/>
  <c r="BO86" i="3"/>
  <c r="BC90" i="3"/>
  <c r="BC78" i="3"/>
  <c r="BO90" i="3"/>
  <c r="BO91" i="3"/>
  <c r="BC82" i="3"/>
  <c r="CL79" i="1"/>
  <c r="CL222" i="1"/>
  <c r="CL60" i="1"/>
  <c r="CL61" i="1"/>
  <c r="CL173" i="1"/>
  <c r="CL182" i="1" s="1"/>
  <c r="CL191" i="1"/>
  <c r="CW35" i="1"/>
  <c r="CW42" i="1"/>
  <c r="CH127" i="1"/>
  <c r="CJ231" i="1"/>
  <c r="CK231" i="1" s="1"/>
  <c r="CM231" i="1" s="1"/>
  <c r="CN231" i="1" s="1"/>
  <c r="CO231" i="1" s="1"/>
  <c r="CP231" i="1" s="1"/>
  <c r="CQ231" i="1" s="1"/>
  <c r="CR231" i="1" s="1"/>
  <c r="CS231" i="1" s="1"/>
  <c r="CT231" i="1" s="1"/>
  <c r="CU231" i="1" s="1"/>
  <c r="CV231" i="1" s="1"/>
  <c r="CW231" i="1" s="1"/>
  <c r="CX231" i="1" s="1"/>
  <c r="CY231" i="1" s="1"/>
  <c r="CZ231" i="1" s="1"/>
  <c r="DA231" i="1" s="1"/>
  <c r="DB231" i="1" s="1"/>
  <c r="KA7" i="4" s="1"/>
  <c r="CJ225" i="1"/>
  <c r="JZ14" i="4" s="1"/>
  <c r="KG9" i="4" s="1"/>
  <c r="JZ16" i="4" s="1"/>
  <c r="CJ230" i="1"/>
  <c r="CK230" i="1" s="1"/>
  <c r="CM230" i="1" s="1"/>
  <c r="CN230" i="1" s="1"/>
  <c r="CO230" i="1" s="1"/>
  <c r="CP230" i="1" s="1"/>
  <c r="CQ230" i="1" s="1"/>
  <c r="CR230" i="1" s="1"/>
  <c r="CS230" i="1" s="1"/>
  <c r="CT230" i="1" s="1"/>
  <c r="CU230" i="1" s="1"/>
  <c r="CV230" i="1" s="1"/>
  <c r="CW230" i="1" s="1"/>
  <c r="CX230" i="1" s="1"/>
  <c r="CY230" i="1" s="1"/>
  <c r="CZ230" i="1" s="1"/>
  <c r="DA230" i="1" s="1"/>
  <c r="DB230" i="1" s="1"/>
  <c r="JQ16" i="4" s="1"/>
  <c r="CJ190" i="1"/>
  <c r="CK190" i="1" s="1"/>
  <c r="CM190" i="1" s="1"/>
  <c r="CN190" i="1" s="1"/>
  <c r="CO190" i="1" s="1"/>
  <c r="CP190" i="1" s="1"/>
  <c r="CQ190" i="1" s="1"/>
  <c r="CR190" i="1" s="1"/>
  <c r="CS190" i="1" s="1"/>
  <c r="CT190" i="1" s="1"/>
  <c r="CU190" i="1" s="1"/>
  <c r="CV190" i="1" s="1"/>
  <c r="CW190" i="1" s="1"/>
  <c r="CX190" i="1" s="1"/>
  <c r="CY190" i="1" s="1"/>
  <c r="CZ190" i="1" s="1"/>
  <c r="DA190" i="1" s="1"/>
  <c r="DB190" i="1" s="1"/>
  <c r="JU8" i="4" s="1"/>
  <c r="JZ7" i="4" s="1"/>
  <c r="KF16" i="4" s="1"/>
  <c r="KB16" i="4" s="1"/>
  <c r="CJ207" i="1"/>
  <c r="JQ9" i="4" s="1"/>
  <c r="CJ127" i="1"/>
  <c r="JZ9" i="4" s="1"/>
  <c r="CJ175" i="1"/>
  <c r="CK175" i="1" s="1"/>
  <c r="CM175" i="1" s="1"/>
  <c r="CN175" i="1" s="1"/>
  <c r="CO175" i="1" s="1"/>
  <c r="CP175" i="1" s="1"/>
  <c r="CQ175" i="1" s="1"/>
  <c r="CR175" i="1" s="1"/>
  <c r="CS175" i="1" s="1"/>
  <c r="CT175" i="1" s="1"/>
  <c r="CU175" i="1" s="1"/>
  <c r="CV175" i="1" s="1"/>
  <c r="CW175" i="1" s="1"/>
  <c r="CX175" i="1" s="1"/>
  <c r="CY175" i="1" s="1"/>
  <c r="CZ175" i="1" s="1"/>
  <c r="DA175" i="1" s="1"/>
  <c r="DB175" i="1" s="1"/>
  <c r="CJ193" i="1"/>
  <c r="KB15" i="4" s="1"/>
  <c r="JQ15" i="4" s="1"/>
  <c r="CJ204" i="1"/>
  <c r="JT9" i="4" s="1"/>
  <c r="CJ180" i="1"/>
  <c r="CK180" i="1" s="1"/>
  <c r="CM180" i="1" s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DB180" i="1" s="1"/>
  <c r="JY14" i="4" s="1"/>
  <c r="CJ171" i="1"/>
  <c r="CK171" i="1" s="1"/>
  <c r="CM171" i="1" s="1"/>
  <c r="CN171" i="1" s="1"/>
  <c r="CO171" i="1" s="1"/>
  <c r="CP171" i="1" s="1"/>
  <c r="CQ171" i="1" s="1"/>
  <c r="CR171" i="1" s="1"/>
  <c r="CS171" i="1" s="1"/>
  <c r="CT171" i="1" s="1"/>
  <c r="CU171" i="1" s="1"/>
  <c r="CV171" i="1" s="1"/>
  <c r="CW171" i="1" s="1"/>
  <c r="CX171" i="1" s="1"/>
  <c r="CY171" i="1" s="1"/>
  <c r="CZ171" i="1" s="1"/>
  <c r="DA171" i="1" s="1"/>
  <c r="DB171" i="1" s="1"/>
  <c r="KB9" i="4" s="1"/>
  <c r="KH7" i="4" s="1"/>
  <c r="JR8" i="4" s="1"/>
  <c r="JW14" i="4" s="1"/>
  <c r="CJ170" i="1"/>
  <c r="CK170" i="1" s="1"/>
  <c r="CM170" i="1" s="1"/>
  <c r="CN170" i="1" s="1"/>
  <c r="CO170" i="1" s="1"/>
  <c r="CP170" i="1" s="1"/>
  <c r="CQ170" i="1" s="1"/>
  <c r="CR170" i="1" s="1"/>
  <c r="CS170" i="1" s="1"/>
  <c r="CT170" i="1" s="1"/>
  <c r="CU170" i="1" s="1"/>
  <c r="CV170" i="1" s="1"/>
  <c r="CW170" i="1" s="1"/>
  <c r="CX170" i="1" s="1"/>
  <c r="CY170" i="1" s="1"/>
  <c r="CZ170" i="1" s="1"/>
  <c r="DA170" i="1" s="1"/>
  <c r="DB170" i="1" s="1"/>
  <c r="CJ203" i="1"/>
  <c r="CJ202" i="1"/>
  <c r="CJ215" i="1"/>
  <c r="CJ177" i="1"/>
  <c r="CK177" i="1" s="1"/>
  <c r="JW8" i="4" s="1"/>
  <c r="KC9" i="4" s="1"/>
  <c r="JR16" i="4" s="1"/>
  <c r="KA9" i="4" s="1"/>
  <c r="KH9" i="4" s="1"/>
  <c r="JR14" i="4" s="1"/>
  <c r="CJ172" i="1"/>
  <c r="CJ197" i="1"/>
  <c r="JX8" i="4" s="1"/>
  <c r="CJ179" i="1"/>
  <c r="CK179" i="1" s="1"/>
  <c r="CM179" i="1" s="1"/>
  <c r="CN179" i="1" s="1"/>
  <c r="CO179" i="1" s="1"/>
  <c r="CP179" i="1" s="1"/>
  <c r="CQ179" i="1" s="1"/>
  <c r="CR179" i="1" s="1"/>
  <c r="CS179" i="1" s="1"/>
  <c r="CT179" i="1" s="1"/>
  <c r="CU179" i="1" s="1"/>
  <c r="CV179" i="1" s="1"/>
  <c r="CW179" i="1" s="1"/>
  <c r="CX179" i="1" s="1"/>
  <c r="CY179" i="1" s="1"/>
  <c r="CZ179" i="1" s="1"/>
  <c r="DA179" i="1" s="1"/>
  <c r="DB179" i="1" s="1"/>
  <c r="CJ221" i="1"/>
  <c r="JT15" i="4" s="1"/>
  <c r="CJ218" i="1"/>
  <c r="CJ178" i="1"/>
  <c r="CK178" i="1" s="1"/>
  <c r="CM178" i="1" s="1"/>
  <c r="CN178" i="1" s="1"/>
  <c r="CO178" i="1" s="1"/>
  <c r="CP178" i="1" s="1"/>
  <c r="CQ178" i="1" s="1"/>
  <c r="JV15" i="4" s="1"/>
  <c r="JR15" i="4" s="1"/>
  <c r="JV7" i="4" s="1"/>
  <c r="JX14" i="4" s="1"/>
  <c r="CJ216" i="1"/>
  <c r="KH16" i="4" s="1"/>
  <c r="KC16" i="4" s="1"/>
  <c r="KC21" i="4" s="1"/>
  <c r="KD16" i="4" s="1"/>
  <c r="CH89" i="1"/>
  <c r="CI78" i="1"/>
  <c r="Z72" i="1"/>
  <c r="CG59" i="1"/>
  <c r="Z127" i="1"/>
  <c r="JW16" i="4" s="1"/>
  <c r="JW9" i="4" s="1"/>
  <c r="JW21" i="4" s="1"/>
  <c r="KG15" i="4" s="1"/>
  <c r="CJ217" i="1"/>
  <c r="CK98" i="1"/>
  <c r="CM98" i="1" s="1"/>
  <c r="CN98" i="1" s="1"/>
  <c r="CO98" i="1" s="1"/>
  <c r="CP98" i="1" s="1"/>
  <c r="CQ98" i="1" s="1"/>
  <c r="CJ195" i="1"/>
  <c r="JO9" i="4" s="1"/>
  <c r="CK66" i="1"/>
  <c r="Z171" i="1"/>
  <c r="KG7" i="4" s="1"/>
  <c r="CJ188" i="1"/>
  <c r="CK188" i="1" s="1"/>
  <c r="CM188" i="1" s="1"/>
  <c r="CN188" i="1" s="1"/>
  <c r="CO188" i="1" s="1"/>
  <c r="CP188" i="1" s="1"/>
  <c r="CQ188" i="1" s="1"/>
  <c r="CR188" i="1" s="1"/>
  <c r="CS188" i="1" s="1"/>
  <c r="CT188" i="1" s="1"/>
  <c r="CU188" i="1" s="1"/>
  <c r="CV188" i="1" s="1"/>
  <c r="CW188" i="1" s="1"/>
  <c r="CX188" i="1" s="1"/>
  <c r="CY188" i="1" s="1"/>
  <c r="CZ188" i="1" s="1"/>
  <c r="DA188" i="1" s="1"/>
  <c r="DB188" i="1" s="1"/>
  <c r="CJ187" i="1"/>
  <c r="KD15" i="4" s="1"/>
  <c r="CJ219" i="1"/>
  <c r="KE8" i="4" s="1"/>
  <c r="KF9" i="4" s="1"/>
  <c r="JS7" i="4" s="1"/>
  <c r="KE7" i="4" s="1"/>
  <c r="KD7" i="4" s="1"/>
  <c r="X132" i="1"/>
  <c r="KE16" i="4" s="1"/>
  <c r="X215" i="1"/>
  <c r="CE92" i="1"/>
  <c r="JY7" i="4" s="1"/>
  <c r="CI66" i="1"/>
  <c r="KA8" i="4" s="1"/>
  <c r="KG14" i="4" s="1"/>
  <c r="JS8" i="4" s="1"/>
  <c r="KG16" i="4" s="1"/>
  <c r="KA15" i="4" s="1"/>
  <c r="CJ186" i="1"/>
  <c r="CK186" i="1" s="1"/>
  <c r="CM186" i="1" s="1"/>
  <c r="CN186" i="1" s="1"/>
  <c r="CO186" i="1" s="1"/>
  <c r="CP186" i="1" s="1"/>
  <c r="X100" i="1"/>
  <c r="Z89" i="1"/>
  <c r="X218" i="1"/>
  <c r="Z126" i="1"/>
  <c r="Y59" i="1"/>
  <c r="Y298" i="1" s="1"/>
  <c r="X238" i="1"/>
  <c r="Z175" i="1"/>
  <c r="X88" i="1"/>
  <c r="CH72" i="1"/>
  <c r="Y231" i="1"/>
  <c r="Y92" i="1"/>
  <c r="Y130" i="1"/>
  <c r="JZ8" i="4" s="1"/>
  <c r="Y88" i="1"/>
  <c r="CJ72" i="1"/>
  <c r="CK75" i="1"/>
  <c r="Y190" i="1"/>
  <c r="CJ89" i="1"/>
  <c r="Z189" i="1"/>
  <c r="Z60" i="1"/>
  <c r="Z177" i="1"/>
  <c r="AA39" i="1" s="1"/>
  <c r="Y225" i="1"/>
  <c r="X170" i="1"/>
  <c r="CK116" i="1"/>
  <c r="CL116" i="1" s="1"/>
  <c r="X89" i="1"/>
  <c r="Y179" i="1"/>
  <c r="Y219" i="1" s="1"/>
  <c r="CI88" i="1"/>
  <c r="Y66" i="1"/>
  <c r="Z231" i="1"/>
  <c r="CH231" i="1" s="1"/>
  <c r="CI231" i="1" s="1"/>
  <c r="Y171" i="1"/>
  <c r="Z98" i="1"/>
  <c r="Y189" i="1"/>
  <c r="X230" i="1"/>
  <c r="CJ226" i="1"/>
  <c r="CJ228" i="1" s="1"/>
  <c r="JZ15" i="4" s="1"/>
  <c r="JZ20" i="4" s="1"/>
  <c r="CK117" i="1"/>
  <c r="CL117" i="1" s="1"/>
  <c r="Z237" i="1"/>
  <c r="X195" i="1"/>
  <c r="X190" i="1"/>
  <c r="X59" i="1"/>
  <c r="X185" i="1"/>
  <c r="Y186" i="1"/>
  <c r="CH77" i="1"/>
  <c r="CH59" i="1"/>
  <c r="X66" i="1"/>
  <c r="X207" i="1"/>
  <c r="Y71" i="1"/>
  <c r="CI65" i="1"/>
  <c r="Z216" i="1"/>
  <c r="CH216" i="1" s="1"/>
  <c r="Y197" i="1"/>
  <c r="X92" i="1"/>
  <c r="Y100" i="1"/>
  <c r="Z88" i="1"/>
  <c r="Z230" i="1"/>
  <c r="CH217" i="1" s="1"/>
  <c r="CK89" i="1"/>
  <c r="KD9" i="4" s="1"/>
  <c r="KG8" i="4" s="1"/>
  <c r="CJ126" i="1"/>
  <c r="X226" i="1"/>
  <c r="Y99" i="1"/>
  <c r="X179" i="1"/>
  <c r="X219" i="1" s="1"/>
  <c r="CJ60" i="1"/>
  <c r="CH60" i="1"/>
  <c r="Y170" i="1"/>
  <c r="CJ98" i="1"/>
  <c r="Y195" i="1"/>
  <c r="Z212" i="1"/>
  <c r="CK92" i="1"/>
  <c r="CG66" i="1"/>
  <c r="JP8" i="4" s="1"/>
  <c r="CG65" i="1"/>
  <c r="CK85" i="1"/>
  <c r="CK261" i="1" s="1"/>
  <c r="Y230" i="1"/>
  <c r="CH88" i="1"/>
  <c r="Z100" i="1"/>
  <c r="Z92" i="1"/>
  <c r="CG71" i="1"/>
  <c r="Y77" i="1"/>
  <c r="Y78" i="1"/>
  <c r="CJ74" i="1"/>
  <c r="Y64" i="1"/>
  <c r="JP16" i="4" s="1"/>
  <c r="Z185" i="1"/>
  <c r="CJ85" i="1"/>
  <c r="Y203" i="1"/>
  <c r="Y237" i="1"/>
  <c r="JO16" i="4" s="1"/>
  <c r="Z59" i="1"/>
  <c r="CH98" i="1"/>
  <c r="Y131" i="1"/>
  <c r="CJ77" i="1"/>
  <c r="X231" i="1"/>
  <c r="X71" i="1"/>
  <c r="Y218" i="1"/>
  <c r="Z120" i="1"/>
  <c r="CG92" i="1"/>
  <c r="CH100" i="1"/>
  <c r="CG85" i="1"/>
  <c r="CJ212" i="1"/>
  <c r="JR7" i="4" s="1"/>
  <c r="X177" i="1"/>
  <c r="Y216" i="1"/>
  <c r="Y178" i="1"/>
  <c r="Y221" i="1"/>
  <c r="Y202" i="1"/>
  <c r="Z238" i="1"/>
  <c r="X202" i="1"/>
  <c r="Y85" i="1"/>
  <c r="Y261" i="1" s="1"/>
  <c r="Y212" i="1"/>
  <c r="JX16" i="4" s="1"/>
  <c r="Z64" i="1"/>
  <c r="Z188" i="1"/>
  <c r="X77" i="1"/>
  <c r="CI92" i="1"/>
  <c r="CI85" i="1"/>
  <c r="CI261" i="1" s="1"/>
  <c r="X60" i="1"/>
  <c r="X204" i="1"/>
  <c r="CG77" i="1"/>
  <c r="Z204" i="1"/>
  <c r="CJ71" i="1"/>
  <c r="X85" i="1"/>
  <c r="X261" i="1" s="1"/>
  <c r="JO15" i="4" s="1"/>
  <c r="JO20" i="4" s="1"/>
  <c r="CI132" i="1" s="1"/>
  <c r="Z99" i="1"/>
  <c r="CJ75" i="1"/>
  <c r="CG60" i="1"/>
  <c r="CK65" i="1"/>
  <c r="Z186" i="1"/>
  <c r="CI77" i="1"/>
  <c r="Z104" i="1"/>
  <c r="CH75" i="1"/>
  <c r="Z75" i="1"/>
  <c r="X239" i="1"/>
  <c r="CK99" i="1"/>
  <c r="CM99" i="1" s="1"/>
  <c r="CN99" i="1" s="1"/>
  <c r="CO99" i="1" s="1"/>
  <c r="CP99" i="1" s="1"/>
  <c r="CQ99" i="1" s="1"/>
  <c r="CR99" i="1" s="1"/>
  <c r="CS99" i="1" s="1"/>
  <c r="CT99" i="1" s="1"/>
  <c r="CU99" i="1" s="1"/>
  <c r="CV99" i="1" s="1"/>
  <c r="CW99" i="1" s="1"/>
  <c r="CX99" i="1" s="1"/>
  <c r="CY99" i="1" s="1"/>
  <c r="Y180" i="1"/>
  <c r="Y215" i="1"/>
  <c r="CK88" i="1"/>
  <c r="Y185" i="1"/>
  <c r="Z225" i="1"/>
  <c r="CG78" i="1"/>
  <c r="X197" i="1"/>
  <c r="CG104" i="1"/>
  <c r="Y239" i="1"/>
  <c r="Y132" i="1"/>
  <c r="X189" i="1"/>
  <c r="CI74" i="1"/>
  <c r="CI98" i="1"/>
  <c r="Y207" i="1"/>
  <c r="X72" i="1"/>
  <c r="CJ59" i="1"/>
  <c r="Z71" i="1"/>
  <c r="Z78" i="1"/>
  <c r="CH64" i="1"/>
  <c r="Z218" i="1"/>
  <c r="CI75" i="1"/>
  <c r="CI71" i="1"/>
  <c r="CM71" i="1" s="1"/>
  <c r="CQ71" i="1" s="1"/>
  <c r="CU71" i="1" s="1"/>
  <c r="CY71" i="1" s="1"/>
  <c r="Y172" i="1"/>
  <c r="Z215" i="1"/>
  <c r="Z172" i="1"/>
  <c r="Z221" i="1"/>
  <c r="CH78" i="1"/>
  <c r="CG98" i="1"/>
  <c r="Z131" i="1"/>
  <c r="X172" i="1"/>
  <c r="X178" i="1"/>
  <c r="Y204" i="1"/>
  <c r="CJ78" i="1"/>
  <c r="Z193" i="1"/>
  <c r="AA269" i="1" s="1"/>
  <c r="CG72" i="1"/>
  <c r="CG64" i="1"/>
  <c r="CK100" i="1"/>
  <c r="Y98" i="1"/>
  <c r="CJ104" i="1"/>
  <c r="CH71" i="1"/>
  <c r="CP71" i="1" s="1"/>
  <c r="CT71" i="1" s="1"/>
  <c r="CX71" i="1" s="1"/>
  <c r="DB71" i="1" s="1"/>
  <c r="CI100" i="1"/>
  <c r="X225" i="1"/>
  <c r="Y75" i="1"/>
  <c r="Y104" i="1"/>
  <c r="X180" i="1"/>
  <c r="X237" i="1"/>
  <c r="CJ64" i="1"/>
  <c r="CK104" i="1"/>
  <c r="X221" i="1"/>
  <c r="X193" i="1"/>
  <c r="CK60" i="1"/>
  <c r="JN14" i="4" s="1"/>
  <c r="JN19" i="4" s="1"/>
  <c r="CH131" i="1" s="1"/>
  <c r="Y60" i="1"/>
  <c r="X130" i="1"/>
  <c r="Z190" i="1"/>
  <c r="Y175" i="1"/>
  <c r="Y89" i="1"/>
  <c r="CI99" i="1"/>
  <c r="CK77" i="1"/>
  <c r="CH65" i="1"/>
  <c r="CJ100" i="1"/>
  <c r="X78" i="1"/>
  <c r="Z207" i="1"/>
  <c r="CH207" i="1" s="1"/>
  <c r="CJ88" i="1"/>
  <c r="CB64" i="1"/>
  <c r="JN16" i="4" s="1"/>
  <c r="Y177" i="1"/>
  <c r="CI72" i="1"/>
  <c r="Z130" i="1"/>
  <c r="Z66" i="1"/>
  <c r="Z85" i="1"/>
  <c r="CH85" i="1"/>
  <c r="X186" i="1"/>
  <c r="Z180" i="1"/>
  <c r="Z77" i="1"/>
  <c r="Y193" i="1"/>
  <c r="CH66" i="1"/>
  <c r="CI60" i="1"/>
  <c r="X212" i="1"/>
  <c r="Y226" i="1"/>
  <c r="CK71" i="1"/>
  <c r="CG88" i="1"/>
  <c r="X98" i="1"/>
  <c r="CI89" i="1"/>
  <c r="Z197" i="1"/>
  <c r="CH92" i="1"/>
  <c r="Z239" i="1"/>
  <c r="CJ66" i="1"/>
  <c r="JO7" i="4" s="1"/>
  <c r="X99" i="1"/>
  <c r="CG99" i="1"/>
  <c r="Y72" i="1"/>
  <c r="Z226" i="1"/>
  <c r="CH226" i="1" s="1"/>
  <c r="CJ99" i="1"/>
  <c r="CI59" i="1"/>
  <c r="CI298" i="1" s="1"/>
  <c r="Y188" i="1"/>
  <c r="Y184" i="1" s="1"/>
  <c r="Z203" i="1"/>
  <c r="JN9" i="4" s="1"/>
  <c r="CJ116" i="1"/>
  <c r="Y120" i="1"/>
  <c r="CJ65" i="1"/>
  <c r="CJ117" i="1"/>
  <c r="CI117" i="1" s="1"/>
  <c r="CH117" i="1" s="1"/>
  <c r="CG117" i="1" s="1"/>
  <c r="CF117" i="1" s="1"/>
  <c r="CE117" i="1" s="1"/>
  <c r="CD117" i="1" s="1"/>
  <c r="CC117" i="1" s="1"/>
  <c r="CB117" i="1" s="1"/>
  <c r="CA117" i="1" s="1"/>
  <c r="BZ117" i="1" s="1"/>
  <c r="BY117" i="1" s="1"/>
  <c r="BX117" i="1" s="1"/>
  <c r="BW117" i="1" s="1"/>
  <c r="BV117" i="1" s="1"/>
  <c r="BU117" i="1" s="1"/>
  <c r="BT117" i="1" s="1"/>
  <c r="BS117" i="1" s="1"/>
  <c r="BR117" i="1" s="1"/>
  <c r="BQ117" i="1" s="1"/>
  <c r="BP117" i="1" s="1"/>
  <c r="BO117" i="1" s="1"/>
  <c r="BN117" i="1" s="1"/>
  <c r="BM117" i="1" s="1"/>
  <c r="BL117" i="1" s="1"/>
  <c r="BK117" i="1" s="1"/>
  <c r="BJ117" i="1" s="1"/>
  <c r="BI117" i="1" s="1"/>
  <c r="BH117" i="1" s="1"/>
  <c r="BG117" i="1" s="1"/>
  <c r="BF117" i="1" s="1"/>
  <c r="BE117" i="1" s="1"/>
  <c r="BD117" i="1" s="1"/>
  <c r="BC117" i="1" s="1"/>
  <c r="BB117" i="1" s="1"/>
  <c r="BA117" i="1" s="1"/>
  <c r="AZ117" i="1" s="1"/>
  <c r="AY117" i="1" s="1"/>
  <c r="AX117" i="1" s="1"/>
  <c r="AW117" i="1" s="1"/>
  <c r="AV117" i="1" s="1"/>
  <c r="AU117" i="1" s="1"/>
  <c r="AT117" i="1" s="1"/>
  <c r="AS117" i="1" s="1"/>
  <c r="AR117" i="1" s="1"/>
  <c r="AQ117" i="1" s="1"/>
  <c r="AP117" i="1" s="1"/>
  <c r="AO117" i="1" s="1"/>
  <c r="AN117" i="1" s="1"/>
  <c r="AM117" i="1" s="1"/>
  <c r="AL117" i="1" s="1"/>
  <c r="AK117" i="1" s="1"/>
  <c r="AJ117" i="1" s="1"/>
  <c r="AI117" i="1" s="1"/>
  <c r="X131" i="1"/>
  <c r="Z74" i="1"/>
  <c r="CI104" i="1"/>
  <c r="Z179" i="1"/>
  <c r="CK72" i="1"/>
  <c r="Z195" i="1"/>
  <c r="CH195" i="1" s="1"/>
  <c r="Y74" i="1"/>
  <c r="CK64" i="1"/>
  <c r="X216" i="1"/>
  <c r="CG100" i="1"/>
  <c r="X203" i="1"/>
  <c r="Y238" i="1"/>
  <c r="CK59" i="1"/>
  <c r="Z178" i="1"/>
  <c r="CG74" i="1"/>
  <c r="X175" i="1"/>
  <c r="CH104" i="1"/>
  <c r="X75" i="1"/>
  <c r="CJ92" i="1"/>
  <c r="X188" i="1"/>
  <c r="X184" i="1" s="1"/>
  <c r="CH99" i="1"/>
  <c r="CK78" i="1"/>
  <c r="Z132" i="1"/>
  <c r="Z170" i="1"/>
  <c r="CG75" i="1"/>
  <c r="X74" i="1"/>
  <c r="X171" i="1"/>
  <c r="CK74" i="1"/>
  <c r="X104" i="1"/>
  <c r="CI64" i="1"/>
  <c r="CG89" i="1"/>
  <c r="CH74" i="1"/>
  <c r="Z202" i="1"/>
  <c r="X120" i="1"/>
  <c r="X64" i="1"/>
  <c r="AA11" i="1"/>
  <c r="CX7" i="1"/>
  <c r="CX25" i="1" s="1"/>
  <c r="JO8" i="4"/>
  <c r="JN7" i="4"/>
  <c r="KF8" i="4"/>
  <c r="JN8" i="4"/>
  <c r="JS15" i="4"/>
  <c r="JQ7" i="4"/>
  <c r="KE15" i="4"/>
  <c r="JV14" i="4"/>
  <c r="KA14" i="4"/>
  <c r="JU7" i="4"/>
  <c r="JW15" i="4"/>
  <c r="JW7" i="4"/>
  <c r="BY74" i="1"/>
  <c r="CA60" i="1"/>
  <c r="CE74" i="1"/>
  <c r="CA74" i="1"/>
  <c r="CF74" i="1"/>
  <c r="CD74" i="1"/>
  <c r="BZ74" i="1"/>
  <c r="BL74" i="1"/>
  <c r="CC74" i="1"/>
  <c r="CB74" i="1"/>
  <c r="CF60" i="1"/>
  <c r="CD60" i="1"/>
  <c r="BY60" i="1"/>
  <c r="CE60" i="1"/>
  <c r="BZ60" i="1"/>
  <c r="CC60" i="1"/>
  <c r="CB60" i="1"/>
  <c r="BL60" i="1"/>
  <c r="CD78" i="1"/>
  <c r="CC98" i="1"/>
  <c r="CA59" i="1"/>
  <c r="CA298" i="1" s="1"/>
  <c r="CD92" i="1"/>
  <c r="AH7" i="6" s="1"/>
  <c r="CD88" i="1"/>
  <c r="CF89" i="1"/>
  <c r="BY98" i="1"/>
  <c r="BL98" i="1"/>
  <c r="CD99" i="1"/>
  <c r="AV7" i="6" s="1"/>
  <c r="CB71" i="1"/>
  <c r="R7" i="6" s="1"/>
  <c r="X7" i="6" s="1"/>
  <c r="CD98" i="1"/>
  <c r="CD66" i="1"/>
  <c r="V7" i="6" s="1"/>
  <c r="BY66" i="1"/>
  <c r="CB59" i="1"/>
  <c r="CB298" i="1" s="1"/>
  <c r="BY104" i="1"/>
  <c r="BL59" i="1"/>
  <c r="AW7" i="6" s="1"/>
  <c r="BY72" i="1"/>
  <c r="CA64" i="1"/>
  <c r="CB75" i="1"/>
  <c r="BZ89" i="1"/>
  <c r="O7" i="6" s="1"/>
  <c r="BL100" i="1"/>
  <c r="AQ7" i="6" s="1"/>
  <c r="CF59" i="1"/>
  <c r="JJ9" i="4" s="1"/>
  <c r="BY99" i="1"/>
  <c r="AM7" i="6" s="1"/>
  <c r="JM16" i="4" s="1"/>
  <c r="CF100" i="1"/>
  <c r="CA77" i="1"/>
  <c r="BL75" i="1"/>
  <c r="BL99" i="1"/>
  <c r="CF88" i="1"/>
  <c r="BL89" i="1"/>
  <c r="BZ98" i="1"/>
  <c r="CC78" i="1"/>
  <c r="CC72" i="1"/>
  <c r="JM9" i="4" s="1"/>
  <c r="CA72" i="1"/>
  <c r="JL16" i="4" s="1"/>
  <c r="BZ77" i="1"/>
  <c r="CB72" i="1"/>
  <c r="CC64" i="1"/>
  <c r="JK16" i="4" s="1"/>
  <c r="CA104" i="1"/>
  <c r="BZ65" i="1"/>
  <c r="CE66" i="1"/>
  <c r="CC65" i="1"/>
  <c r="C7" i="6" s="1"/>
  <c r="T7" i="6" s="1"/>
  <c r="BY77" i="1"/>
  <c r="CC99" i="1"/>
  <c r="CC59" i="1"/>
  <c r="CC298" i="1" s="1"/>
  <c r="CB88" i="1"/>
  <c r="JL9" i="4" s="1"/>
  <c r="CF92" i="1"/>
  <c r="AL7" i="6" s="1"/>
  <c r="BZ85" i="1"/>
  <c r="BZ261" i="1" s="1"/>
  <c r="BZ88" i="1"/>
  <c r="J7" i="6" s="1"/>
  <c r="BY100" i="1"/>
  <c r="Z7" i="6" s="1"/>
  <c r="BL71" i="1"/>
  <c r="CF64" i="1"/>
  <c r="CF75" i="1"/>
  <c r="BZ64" i="1"/>
  <c r="CA66" i="1"/>
  <c r="CD65" i="1"/>
  <c r="BL72" i="1"/>
  <c r="BY65" i="1"/>
  <c r="CE85" i="1"/>
  <c r="CE261" i="1" s="1"/>
  <c r="AD7" i="6" s="1"/>
  <c r="CF78" i="1"/>
  <c r="CE71" i="1"/>
  <c r="CA100" i="1"/>
  <c r="CD89" i="1"/>
  <c r="CB77" i="1"/>
  <c r="CD100" i="1"/>
  <c r="AP7" i="6" s="1"/>
  <c r="Y7" i="6" s="1"/>
  <c r="CA78" i="1"/>
  <c r="AA7" i="6" s="1"/>
  <c r="AJ7" i="6" s="1"/>
  <c r="BY59" i="1"/>
  <c r="BY75" i="1"/>
  <c r="CB92" i="1"/>
  <c r="CE78" i="1"/>
  <c r="I7" i="6" s="1"/>
  <c r="AK7" i="6" s="1"/>
  <c r="CE65" i="1"/>
  <c r="K7" i="6" s="1"/>
  <c r="F7" i="6" s="1"/>
  <c r="CB98" i="1"/>
  <c r="CF77" i="1"/>
  <c r="AC7" i="6" s="1"/>
  <c r="AE7" i="6" s="1"/>
  <c r="M7" i="6" s="1"/>
  <c r="Q7" i="6" s="1"/>
  <c r="CA99" i="1"/>
  <c r="BZ99" i="1"/>
  <c r="CA89" i="1"/>
  <c r="CF99" i="1"/>
  <c r="AU7" i="6" s="1"/>
  <c r="BL66" i="1"/>
  <c r="CE77" i="1"/>
  <c r="CB85" i="1"/>
  <c r="CB261" i="1" s="1"/>
  <c r="CC100" i="1"/>
  <c r="CC104" i="1"/>
  <c r="AX7" i="6" s="1"/>
  <c r="BZ75" i="1"/>
  <c r="AT7" i="6" s="1"/>
  <c r="S7" i="6" s="1"/>
  <c r="BY64" i="1"/>
  <c r="CE88" i="1"/>
  <c r="CA98" i="1"/>
  <c r="CB100" i="1"/>
  <c r="CA88" i="1"/>
  <c r="CF104" i="1"/>
  <c r="CF72" i="1"/>
  <c r="CA71" i="1"/>
  <c r="AN7" i="6" s="1"/>
  <c r="CE99" i="1"/>
  <c r="CC66" i="1"/>
  <c r="CE104" i="1"/>
  <c r="CF66" i="1"/>
  <c r="G7" i="6" s="1"/>
  <c r="BL85" i="1"/>
  <c r="AF7" i="6" s="1"/>
  <c r="CC71" i="1"/>
  <c r="CD71" i="1"/>
  <c r="JJ16" i="4" s="1"/>
  <c r="BY78" i="1"/>
  <c r="CB99" i="1"/>
  <c r="CE59" i="1"/>
  <c r="AB7" i="6" s="1"/>
  <c r="BL65" i="1"/>
  <c r="CD104" i="1"/>
  <c r="BY71" i="1"/>
  <c r="BZ66" i="1"/>
  <c r="CD72" i="1"/>
  <c r="L7" i="6" s="1"/>
  <c r="BL92" i="1"/>
  <c r="BZ59" i="1"/>
  <c r="BZ298" i="1" s="1"/>
  <c r="CA85" i="1"/>
  <c r="BZ92" i="1"/>
  <c r="BY85" i="1"/>
  <c r="BY261" i="1" s="1"/>
  <c r="AI7" i="6" s="1"/>
  <c r="CC92" i="1"/>
  <c r="D7" i="6" s="1"/>
  <c r="BZ72" i="1"/>
  <c r="AG7" i="6" s="1"/>
  <c r="BZ71" i="1"/>
  <c r="BL104" i="1"/>
  <c r="W7" i="6" s="1"/>
  <c r="CB104" i="1"/>
  <c r="CE100" i="1"/>
  <c r="CF71" i="1"/>
  <c r="CC75" i="1"/>
  <c r="CD75" i="1"/>
  <c r="CE64" i="1"/>
  <c r="BY88" i="1"/>
  <c r="CC88" i="1"/>
  <c r="BZ104" i="1"/>
  <c r="AS7" i="6" s="1"/>
  <c r="BZ100" i="1"/>
  <c r="CE89" i="1"/>
  <c r="CD64" i="1"/>
  <c r="BL88" i="1"/>
  <c r="CB65" i="1"/>
  <c r="CC85" i="1"/>
  <c r="CC261" i="1" s="1"/>
  <c r="BY92" i="1"/>
  <c r="H7" i="6" s="1"/>
  <c r="CA75" i="1"/>
  <c r="BZ78" i="1"/>
  <c r="CD59" i="1"/>
  <c r="CD298" i="1" s="1"/>
  <c r="AR7" i="6" s="1"/>
  <c r="CF65" i="1"/>
  <c r="BL64" i="1"/>
  <c r="BL77" i="1"/>
  <c r="JK9" i="4" s="1"/>
  <c r="AO7" i="6" s="1"/>
  <c r="CA92" i="1"/>
  <c r="BL78" i="1"/>
  <c r="CA65" i="1"/>
  <c r="CE98" i="1"/>
  <c r="CD77" i="1"/>
  <c r="P7" i="6" s="1"/>
  <c r="E7" i="6" s="1"/>
  <c r="U7" i="6" s="1"/>
  <c r="CC77" i="1"/>
  <c r="AY7" i="6" s="1"/>
  <c r="CD85" i="1"/>
  <c r="CB66" i="1"/>
  <c r="CC89" i="1"/>
  <c r="CB89" i="1"/>
  <c r="CE75" i="1"/>
  <c r="CE72" i="1"/>
  <c r="CF85" i="1"/>
  <c r="CF261" i="1" s="1"/>
  <c r="CB78" i="1"/>
  <c r="BY89" i="1"/>
  <c r="CF98" i="1"/>
  <c r="N7" i="6" s="1"/>
  <c r="AD88" i="1"/>
  <c r="AS57" i="3"/>
  <c r="AW85" i="3"/>
  <c r="AF94" i="3"/>
  <c r="C83" i="3"/>
  <c r="AX74" i="3"/>
  <c r="AV89" i="3"/>
  <c r="AZ58" i="3"/>
  <c r="AX55" i="3"/>
  <c r="AZ62" i="3"/>
  <c r="AF59" i="3"/>
  <c r="C91" i="3"/>
  <c r="AF71" i="3"/>
  <c r="AV62" i="3"/>
  <c r="AV82" i="3"/>
  <c r="AT58" i="3"/>
  <c r="C62" i="3"/>
  <c r="AW78" i="3"/>
  <c r="AW75" i="3"/>
  <c r="C73" i="3"/>
  <c r="AW90" i="3"/>
  <c r="AF78" i="3"/>
  <c r="AF85" i="3"/>
  <c r="AY72" i="3"/>
  <c r="AY50" i="3"/>
  <c r="AZ63" i="3"/>
  <c r="AZ55" i="3"/>
  <c r="AY95" i="3"/>
  <c r="AW84" i="3"/>
  <c r="AX61" i="3"/>
  <c r="AS48" i="3"/>
  <c r="AY63" i="3"/>
  <c r="AT50" i="3"/>
  <c r="AX64" i="3"/>
  <c r="AY91" i="3"/>
  <c r="AV93" i="3"/>
  <c r="AW96" i="3"/>
  <c r="AS72" i="3"/>
  <c r="AZ65" i="3"/>
  <c r="AU56" i="3"/>
  <c r="C67" i="3"/>
  <c r="C68" i="3"/>
  <c r="AU79" i="3"/>
  <c r="AS75" i="3"/>
  <c r="AU86" i="3"/>
  <c r="C85" i="3"/>
  <c r="AF69" i="3"/>
  <c r="AZ74" i="3"/>
  <c r="C71" i="3"/>
  <c r="AT93" i="3"/>
  <c r="AY97" i="3"/>
  <c r="AF57" i="3"/>
  <c r="AZ75" i="3"/>
  <c r="AZ96" i="3"/>
  <c r="AY92" i="3"/>
  <c r="AS71" i="3"/>
  <c r="C58" i="3"/>
  <c r="AX67" i="3"/>
  <c r="AV71" i="3"/>
  <c r="AT81" i="3"/>
  <c r="AY66" i="3"/>
  <c r="AX73" i="3"/>
  <c r="AX50" i="3"/>
  <c r="AT87" i="3"/>
  <c r="AW47" i="3"/>
  <c r="AT84" i="3"/>
  <c r="AT94" i="3"/>
  <c r="AW71" i="3"/>
  <c r="AW70" i="3"/>
  <c r="AU65" i="3"/>
  <c r="AF54" i="3"/>
  <c r="AT78" i="3"/>
  <c r="AW65" i="3"/>
  <c r="AT59" i="3"/>
  <c r="AW54" i="3"/>
  <c r="AU70" i="3"/>
  <c r="AY61" i="3"/>
  <c r="AX47" i="3"/>
  <c r="AV81" i="3"/>
  <c r="AW55" i="3"/>
  <c r="AZ70" i="3"/>
  <c r="AU71" i="3"/>
  <c r="AV97" i="3"/>
  <c r="AT67" i="3"/>
  <c r="AX89" i="3"/>
  <c r="AT90" i="3"/>
  <c r="AF49" i="3"/>
  <c r="AS96" i="3"/>
  <c r="C66" i="3"/>
  <c r="C90" i="3"/>
  <c r="AS85" i="3"/>
  <c r="AF66" i="3"/>
  <c r="AU94" i="3"/>
  <c r="AT49" i="3"/>
  <c r="AV86" i="3"/>
  <c r="AX85" i="3"/>
  <c r="AX82" i="3"/>
  <c r="AV69" i="3"/>
  <c r="AZ86" i="3"/>
  <c r="AZ95" i="3"/>
  <c r="AV66" i="3"/>
  <c r="AV72" i="3"/>
  <c r="AX62" i="3"/>
  <c r="AV57" i="3"/>
  <c r="AU50" i="3"/>
  <c r="AF55" i="3"/>
  <c r="AY67" i="3"/>
  <c r="AZ68" i="3"/>
  <c r="AY78" i="3"/>
  <c r="AV91" i="3"/>
  <c r="AV47" i="3"/>
  <c r="AW95" i="3"/>
  <c r="AV63" i="3"/>
  <c r="AY85" i="3"/>
  <c r="AF73" i="3"/>
  <c r="C76" i="3"/>
  <c r="AZ82" i="3"/>
  <c r="AZ90" i="3"/>
  <c r="BP60" i="3"/>
  <c r="AW56" i="3"/>
  <c r="AS87" i="3"/>
  <c r="AS74" i="3"/>
  <c r="AW48" i="3"/>
  <c r="AX66" i="3"/>
  <c r="AZ49" i="3"/>
  <c r="AV68" i="3"/>
  <c r="AT88" i="3"/>
  <c r="AT56" i="3"/>
  <c r="AF83" i="3"/>
  <c r="AZ60" i="3"/>
  <c r="C59" i="3"/>
  <c r="AY60" i="3"/>
  <c r="AX48" i="3"/>
  <c r="AS79" i="3"/>
  <c r="AT82" i="3"/>
  <c r="AF97" i="3"/>
  <c r="AY94" i="3"/>
  <c r="AT55" i="3"/>
  <c r="AU66" i="3"/>
  <c r="AF81" i="3"/>
  <c r="AY48" i="3"/>
  <c r="AF89" i="3"/>
  <c r="AW62" i="3"/>
  <c r="AY49" i="3"/>
  <c r="AU82" i="3"/>
  <c r="AZ54" i="3"/>
  <c r="AX87" i="3"/>
  <c r="AZ85" i="3"/>
  <c r="C88" i="3"/>
  <c r="AT70" i="3"/>
  <c r="AF96" i="3"/>
  <c r="AV56" i="3"/>
  <c r="AT77" i="3"/>
  <c r="AV54" i="3"/>
  <c r="AT71" i="3"/>
  <c r="AW57" i="3"/>
  <c r="AX93" i="3"/>
  <c r="AX69" i="3"/>
  <c r="AT65" i="3"/>
  <c r="AW64" i="3"/>
  <c r="AU78" i="3"/>
  <c r="C74" i="3"/>
  <c r="AX77" i="3"/>
  <c r="AU87" i="3"/>
  <c r="AZ72" i="3"/>
  <c r="AS65" i="3"/>
  <c r="AU93" i="3"/>
  <c r="C64" i="3"/>
  <c r="AX92" i="3"/>
  <c r="AF68" i="3"/>
  <c r="AW88" i="3"/>
  <c r="AS64" i="3"/>
  <c r="AX94" i="3"/>
  <c r="AY80" i="3"/>
  <c r="AW66" i="3"/>
  <c r="AS81" i="3"/>
  <c r="AW94" i="3"/>
  <c r="C63" i="3"/>
  <c r="AX60" i="3"/>
  <c r="AT48" i="3"/>
  <c r="AY89" i="3"/>
  <c r="AU55" i="3"/>
  <c r="AW49" i="3"/>
  <c r="AX97" i="3"/>
  <c r="AZ80" i="3"/>
  <c r="AT76" i="3"/>
  <c r="C55" i="3"/>
  <c r="AW76" i="3"/>
  <c r="AY96" i="3"/>
  <c r="AF56" i="3"/>
  <c r="AS80" i="3"/>
  <c r="AY70" i="3"/>
  <c r="AS58" i="3"/>
  <c r="AW69" i="3"/>
  <c r="AY81" i="3"/>
  <c r="AX49" i="3"/>
  <c r="C79" i="3"/>
  <c r="AS91" i="3"/>
  <c r="AZ88" i="3"/>
  <c r="AZ87" i="3"/>
  <c r="AS83" i="3"/>
  <c r="AY59" i="3"/>
  <c r="AW77" i="3"/>
  <c r="AX70" i="3"/>
  <c r="AY47" i="3"/>
  <c r="AF93" i="3"/>
  <c r="AV64" i="3"/>
  <c r="AV59" i="3"/>
  <c r="AZ56" i="3"/>
  <c r="AX96" i="3"/>
  <c r="AF63" i="3"/>
  <c r="AY84" i="3"/>
  <c r="AV49" i="3"/>
  <c r="AT89" i="3"/>
  <c r="AW60" i="3"/>
  <c r="AF65" i="3"/>
  <c r="AF62" i="3"/>
  <c r="AV85" i="3"/>
  <c r="AT57" i="3"/>
  <c r="AF75" i="3"/>
  <c r="AY79" i="3"/>
  <c r="AV65" i="3"/>
  <c r="AU60" i="3"/>
  <c r="AS61" i="3"/>
  <c r="C94" i="3"/>
  <c r="AZ47" i="3"/>
  <c r="AV94" i="3"/>
  <c r="AZ48" i="3"/>
  <c r="AT74" i="3"/>
  <c r="AX76" i="3"/>
  <c r="C77" i="3"/>
  <c r="AU89" i="3"/>
  <c r="AV50" i="3"/>
  <c r="AW67" i="3"/>
  <c r="AX91" i="3"/>
  <c r="AF92" i="3"/>
  <c r="AU90" i="3"/>
  <c r="AX59" i="3"/>
  <c r="AU88" i="3"/>
  <c r="AY64" i="3"/>
  <c r="AS69" i="3"/>
  <c r="AU92" i="3"/>
  <c r="AF80" i="3"/>
  <c r="AZ84" i="3"/>
  <c r="AX75" i="3"/>
  <c r="C54" i="3"/>
  <c r="AY90" i="3"/>
  <c r="C70" i="3"/>
  <c r="AF64" i="3"/>
  <c r="AS94" i="3"/>
  <c r="AU61" i="3"/>
  <c r="AU49" i="3"/>
  <c r="AV60" i="3"/>
  <c r="AU59" i="3"/>
  <c r="C86" i="3"/>
  <c r="AF67" i="3"/>
  <c r="AT96" i="3"/>
  <c r="AF86" i="3"/>
  <c r="AV83" i="3"/>
  <c r="AX88" i="3"/>
  <c r="AY56" i="3"/>
  <c r="AZ78" i="3"/>
  <c r="AF60" i="3"/>
  <c r="C97" i="3"/>
  <c r="AW97" i="3"/>
  <c r="AX63" i="3"/>
  <c r="AT95" i="3"/>
  <c r="AW59" i="3"/>
  <c r="AS50" i="3"/>
  <c r="AT61" i="3"/>
  <c r="AW83" i="3"/>
  <c r="AW79" i="3"/>
  <c r="AX81" i="3"/>
  <c r="AT97" i="3"/>
  <c r="AX65" i="3"/>
  <c r="AY65" i="3"/>
  <c r="AS84" i="3"/>
  <c r="AU47" i="3"/>
  <c r="AY73" i="3"/>
  <c r="AS78" i="3"/>
  <c r="C65" i="3"/>
  <c r="AS89" i="3"/>
  <c r="AV73" i="3"/>
  <c r="AU80" i="3"/>
  <c r="AF76" i="3"/>
  <c r="AV67" i="3"/>
  <c r="AW50" i="3"/>
  <c r="AF90" i="3"/>
  <c r="AV74" i="3"/>
  <c r="AZ89" i="3"/>
  <c r="AU69" i="3"/>
  <c r="C69" i="3"/>
  <c r="AZ81" i="3"/>
  <c r="AU67" i="3"/>
  <c r="AF72" i="3"/>
  <c r="AV76" i="3"/>
  <c r="AS90" i="3"/>
  <c r="AW80" i="3"/>
  <c r="AF79" i="3"/>
  <c r="AX83" i="3"/>
  <c r="AT73" i="3"/>
  <c r="C82" i="3"/>
  <c r="AX71" i="3"/>
  <c r="AU68" i="3"/>
  <c r="AU72" i="3"/>
  <c r="AT64" i="3"/>
  <c r="AY55" i="3"/>
  <c r="AF95" i="3"/>
  <c r="AV79" i="3"/>
  <c r="AZ69" i="3"/>
  <c r="AT79" i="3"/>
  <c r="AT75" i="3"/>
  <c r="C78" i="3"/>
  <c r="AZ67" i="3"/>
  <c r="AU64" i="3"/>
  <c r="AU54" i="3"/>
  <c r="AZ61" i="3"/>
  <c r="AV61" i="3"/>
  <c r="AS63" i="3"/>
  <c r="AT85" i="3"/>
  <c r="AW86" i="3"/>
  <c r="AS93" i="3"/>
  <c r="AS59" i="3"/>
  <c r="AX57" i="3"/>
  <c r="AS88" i="3"/>
  <c r="AZ76" i="3"/>
  <c r="AW68" i="3"/>
  <c r="AS77" i="3"/>
  <c r="AV88" i="3"/>
  <c r="AU63" i="3"/>
  <c r="AU48" i="3"/>
  <c r="AX72" i="3"/>
  <c r="AY83" i="3"/>
  <c r="C93" i="3"/>
  <c r="AV55" i="3"/>
  <c r="AF74" i="3"/>
  <c r="AY77" i="3"/>
  <c r="AW61" i="3"/>
  <c r="AW93" i="3"/>
  <c r="AS73" i="3"/>
  <c r="AT80" i="3"/>
  <c r="AS82" i="3"/>
  <c r="AS56" i="3"/>
  <c r="AX78" i="3"/>
  <c r="AT72" i="3"/>
  <c r="AZ79" i="3"/>
  <c r="AX80" i="3"/>
  <c r="AU95" i="3"/>
  <c r="AU57" i="3"/>
  <c r="AV75" i="3"/>
  <c r="AF77" i="3"/>
  <c r="C81" i="3"/>
  <c r="AX58" i="3"/>
  <c r="AZ50" i="3"/>
  <c r="AY74" i="3"/>
  <c r="AY86" i="3"/>
  <c r="AS76" i="3"/>
  <c r="AF87" i="3"/>
  <c r="C96" i="3"/>
  <c r="AZ64" i="3"/>
  <c r="AY62" i="3"/>
  <c r="AW89" i="3"/>
  <c r="AT66" i="3"/>
  <c r="AT47" i="3"/>
  <c r="AF70" i="3"/>
  <c r="C56" i="3"/>
  <c r="AF61" i="3"/>
  <c r="AW81" i="3"/>
  <c r="AV95" i="3"/>
  <c r="AV48" i="3"/>
  <c r="AX90" i="3"/>
  <c r="AS68" i="3"/>
  <c r="AS66" i="3"/>
  <c r="AZ73" i="3"/>
  <c r="AW63" i="3"/>
  <c r="AY71" i="3"/>
  <c r="AS54" i="3"/>
  <c r="AV58" i="3"/>
  <c r="AU91" i="3"/>
  <c r="AW82" i="3"/>
  <c r="AY75" i="3"/>
  <c r="AX79" i="3"/>
  <c r="AZ77" i="3"/>
  <c r="AY76" i="3"/>
  <c r="AU62" i="3"/>
  <c r="AX56" i="3"/>
  <c r="AT62" i="3"/>
  <c r="AX95" i="3"/>
  <c r="AF82" i="3"/>
  <c r="AS95" i="3"/>
  <c r="AV77" i="3"/>
  <c r="AY69" i="3"/>
  <c r="AZ83" i="3"/>
  <c r="AU96" i="3"/>
  <c r="AY88" i="3"/>
  <c r="AF58" i="3"/>
  <c r="AX54" i="3"/>
  <c r="C72" i="3"/>
  <c r="AF88" i="3"/>
  <c r="AT83" i="3"/>
  <c r="AV78" i="3"/>
  <c r="AX84" i="3"/>
  <c r="C84" i="3"/>
  <c r="AT91" i="3"/>
  <c r="AZ57" i="3"/>
  <c r="AV90" i="3"/>
  <c r="AS97" i="3"/>
  <c r="AZ97" i="3"/>
  <c r="AS70" i="3"/>
  <c r="AW73" i="3"/>
  <c r="AX86" i="3"/>
  <c r="AV96" i="3"/>
  <c r="C92" i="3"/>
  <c r="C80" i="3"/>
  <c r="AW92" i="3"/>
  <c r="AZ71" i="3"/>
  <c r="AW74" i="3"/>
  <c r="AU83" i="3"/>
  <c r="AT54" i="3"/>
  <c r="AU76" i="3"/>
  <c r="AW72" i="3"/>
  <c r="C60" i="3"/>
  <c r="AU81" i="3"/>
  <c r="AZ91" i="3"/>
  <c r="AY82" i="3"/>
  <c r="C75" i="3"/>
  <c r="C89" i="3"/>
  <c r="AY87" i="3"/>
  <c r="AU97" i="3"/>
  <c r="AY68" i="3"/>
  <c r="AU85" i="3"/>
  <c r="AU84" i="3"/>
  <c r="AY58" i="3"/>
  <c r="AS55" i="3"/>
  <c r="AF84" i="3"/>
  <c r="AZ94" i="3"/>
  <c r="AU74" i="3"/>
  <c r="AU77" i="3"/>
  <c r="C61" i="3"/>
  <c r="AT69" i="3"/>
  <c r="AT60" i="3"/>
  <c r="AF91" i="3"/>
  <c r="AS92" i="3"/>
  <c r="C87" i="3"/>
  <c r="AW87" i="3"/>
  <c r="AW91" i="3"/>
  <c r="AS67" i="3"/>
  <c r="AV92" i="3"/>
  <c r="C57" i="3"/>
  <c r="C50" i="3"/>
  <c r="AU75" i="3"/>
  <c r="AZ92" i="3"/>
  <c r="AV84" i="3"/>
  <c r="AU73" i="3"/>
  <c r="AZ59" i="3"/>
  <c r="C95" i="3"/>
  <c r="AV80" i="3"/>
  <c r="AY54" i="3"/>
  <c r="AT92" i="3"/>
  <c r="AT86" i="3"/>
  <c r="AV70" i="3"/>
  <c r="AZ66" i="3"/>
  <c r="AS62" i="3"/>
  <c r="AZ93" i="3"/>
  <c r="AX68" i="3"/>
  <c r="AU58" i="3"/>
  <c r="AY57" i="3"/>
  <c r="AY93" i="3"/>
  <c r="AS60" i="3"/>
  <c r="AS86" i="3"/>
  <c r="AV87" i="3"/>
  <c r="AT68" i="3"/>
  <c r="AW58" i="3"/>
  <c r="AT63" i="3"/>
  <c r="AF47" i="3"/>
  <c r="CK126" i="1" l="1"/>
  <c r="X127" i="1"/>
  <c r="JX9" i="4" s="1"/>
  <c r="X126" i="1"/>
  <c r="CK127" i="1"/>
  <c r="CG127" i="1"/>
  <c r="JU9" i="4" s="1"/>
  <c r="Y126" i="1"/>
  <c r="CH126" i="1"/>
  <c r="Y127" i="1"/>
  <c r="CG126" i="1"/>
  <c r="JV9" i="4" s="1"/>
  <c r="JY9" i="4" s="1"/>
  <c r="CL197" i="1"/>
  <c r="CL211" i="1" s="1"/>
  <c r="CL223" i="1" s="1"/>
  <c r="Y247" i="1"/>
  <c r="JX21" i="4"/>
  <c r="JQ21" i="4"/>
  <c r="CK130" i="1" s="1"/>
  <c r="JT7" i="4" s="1"/>
  <c r="JX15" i="4" s="1"/>
  <c r="JY19" i="4"/>
  <c r="KB14" i="4" s="1"/>
  <c r="Y228" i="1"/>
  <c r="JP9" i="4" s="1"/>
  <c r="CI126" i="1"/>
  <c r="X211" i="1"/>
  <c r="CG79" i="1"/>
  <c r="JN21" i="4"/>
  <c r="CH130" i="1" s="1"/>
  <c r="JR19" i="4"/>
  <c r="CL131" i="1" s="1"/>
  <c r="CI127" i="1"/>
  <c r="KD21" i="4"/>
  <c r="JS16" i="4" s="1"/>
  <c r="KG20" i="4"/>
  <c r="Y250" i="1"/>
  <c r="X181" i="1"/>
  <c r="X90" i="1" s="1"/>
  <c r="CJ79" i="1"/>
  <c r="X187" i="1"/>
  <c r="X173" i="1"/>
  <c r="X242" i="1" s="1"/>
  <c r="X228" i="1"/>
  <c r="Y276" i="1" s="1"/>
  <c r="CK118" i="1"/>
  <c r="CK61" i="1"/>
  <c r="CL63" i="1" s="1"/>
  <c r="Y181" i="1"/>
  <c r="KH21" i="4"/>
  <c r="CJ250" i="1"/>
  <c r="CK250" i="1" s="1"/>
  <c r="KB21" i="4"/>
  <c r="CH225" i="1"/>
  <c r="CJ246" i="1"/>
  <c r="CK246" i="1" s="1"/>
  <c r="CJ319" i="1"/>
  <c r="Z247" i="1"/>
  <c r="CL80" i="1"/>
  <c r="CL67" i="1"/>
  <c r="CL232" i="1"/>
  <c r="CJ222" i="1"/>
  <c r="JY16" i="4" s="1"/>
  <c r="CG320" i="1"/>
  <c r="JT16" i="4" s="1"/>
  <c r="Y222" i="1"/>
  <c r="CH319" i="1"/>
  <c r="Y240" i="1"/>
  <c r="CJ61" i="1"/>
  <c r="CJ32" i="1" s="1"/>
  <c r="Y319" i="1"/>
  <c r="CH197" i="1"/>
  <c r="Z320" i="1"/>
  <c r="CH320" i="1"/>
  <c r="CI319" i="1"/>
  <c r="Y187" i="1"/>
  <c r="Y191" i="1" s="1"/>
  <c r="Y79" i="1"/>
  <c r="Z246" i="1"/>
  <c r="Y246" i="1"/>
  <c r="Z250" i="1"/>
  <c r="CG261" i="1"/>
  <c r="CI116" i="1"/>
  <c r="CH203" i="1"/>
  <c r="CH247" i="1" s="1"/>
  <c r="CI247" i="1" s="1"/>
  <c r="CH177" i="1"/>
  <c r="CK193" i="1"/>
  <c r="CK269" i="1" s="1"/>
  <c r="CN71" i="1"/>
  <c r="CR71" i="1" s="1"/>
  <c r="CV71" i="1" s="1"/>
  <c r="CZ71" i="1" s="1"/>
  <c r="CK86" i="1"/>
  <c r="JZ21" i="4"/>
  <c r="Z319" i="1"/>
  <c r="CO71" i="1"/>
  <c r="CS71" i="1" s="1"/>
  <c r="CW71" i="1" s="1"/>
  <c r="DA71" i="1" s="1"/>
  <c r="X222" i="1"/>
  <c r="CH230" i="1"/>
  <c r="CG298" i="1"/>
  <c r="Z298" i="1"/>
  <c r="CL118" i="1"/>
  <c r="AD25" i="1"/>
  <c r="AD35" i="1" s="1"/>
  <c r="CX42" i="1"/>
  <c r="AB99" i="1"/>
  <c r="AC99" i="1"/>
  <c r="JU14" i="4"/>
  <c r="KD8" i="4"/>
  <c r="KC14" i="4"/>
  <c r="KF7" i="4"/>
  <c r="KB8" i="4"/>
  <c r="KB20" i="4" s="1"/>
  <c r="CH79" i="1"/>
  <c r="CH298" i="1"/>
  <c r="Y61" i="1"/>
  <c r="Y32" i="1" s="1"/>
  <c r="X61" i="1"/>
  <c r="X32" i="1" s="1"/>
  <c r="Y173" i="1"/>
  <c r="Y242" i="1" s="1"/>
  <c r="X250" i="1"/>
  <c r="Y211" i="1"/>
  <c r="Y249" i="1" s="1"/>
  <c r="JY15" i="4"/>
  <c r="KC7" i="4"/>
  <c r="Y269" i="1"/>
  <c r="X320" i="1"/>
  <c r="JP7" i="4"/>
  <c r="JV8" i="4"/>
  <c r="JV20" i="4" s="1"/>
  <c r="Z261" i="1"/>
  <c r="X298" i="1"/>
  <c r="CH61" i="1"/>
  <c r="CH261" i="1"/>
  <c r="KF15" i="4"/>
  <c r="JS14" i="4"/>
  <c r="JS19" i="4" s="1"/>
  <c r="JT14" i="4"/>
  <c r="KF14" i="4"/>
  <c r="KF20" i="4"/>
  <c r="X240" i="1"/>
  <c r="CJ320" i="1"/>
  <c r="KE14" i="4"/>
  <c r="KE19" i="4" s="1"/>
  <c r="JU15" i="4"/>
  <c r="JU20" i="4" s="1"/>
  <c r="KH14" i="4"/>
  <c r="JN15" i="4"/>
  <c r="JN20" i="4" s="1"/>
  <c r="CH132" i="1" s="1"/>
  <c r="JO14" i="4"/>
  <c r="X79" i="1"/>
  <c r="JP14" i="4"/>
  <c r="JP19" i="4" s="1"/>
  <c r="CJ131" i="1" s="1"/>
  <c r="KA20" i="4"/>
  <c r="CJ191" i="1"/>
  <c r="KC15" i="4"/>
  <c r="KD14" i="4"/>
  <c r="KD19" i="4" s="1"/>
  <c r="JZ19" i="4"/>
  <c r="KE20" i="4"/>
  <c r="CK79" i="1"/>
  <c r="KH8" i="4"/>
  <c r="JQ14" i="4"/>
  <c r="JQ19" i="4" s="1"/>
  <c r="CK131" i="1" s="1"/>
  <c r="JV19" i="4"/>
  <c r="JP15" i="4"/>
  <c r="JP20" i="4" s="1"/>
  <c r="CJ132" i="1" s="1"/>
  <c r="CJ211" i="1"/>
  <c r="CJ249" i="1" s="1"/>
  <c r="CJ298" i="1"/>
  <c r="CI320" i="1"/>
  <c r="CJ173" i="1"/>
  <c r="JQ8" i="4"/>
  <c r="JQ20" i="4" s="1"/>
  <c r="CK132" i="1" s="1"/>
  <c r="KB7" i="4"/>
  <c r="KB19" i="4" s="1"/>
  <c r="KF21" i="4"/>
  <c r="CI61" i="1"/>
  <c r="CI32" i="1" s="1"/>
  <c r="CK151" i="1"/>
  <c r="CJ247" i="1"/>
  <c r="CK247" i="1" s="1"/>
  <c r="CL247" i="1" s="1"/>
  <c r="CM247" i="1" s="1"/>
  <c r="CN247" i="1" s="1"/>
  <c r="CO247" i="1" s="1"/>
  <c r="CP247" i="1" s="1"/>
  <c r="CQ247" i="1" s="1"/>
  <c r="CR247" i="1" s="1"/>
  <c r="CS247" i="1" s="1"/>
  <c r="CT247" i="1" s="1"/>
  <c r="CU247" i="1" s="1"/>
  <c r="CJ118" i="1"/>
  <c r="CJ181" i="1"/>
  <c r="CI79" i="1"/>
  <c r="CI80" i="1" s="1"/>
  <c r="X319" i="1"/>
  <c r="JO21" i="4"/>
  <c r="CI130" i="1" s="1"/>
  <c r="KC8" i="4"/>
  <c r="KG21" i="4"/>
  <c r="CG319" i="1"/>
  <c r="CG61" i="1"/>
  <c r="CG32" i="1" s="1"/>
  <c r="CJ261" i="1"/>
  <c r="Y320" i="1"/>
  <c r="X246" i="1"/>
  <c r="X247" i="1"/>
  <c r="JP21" i="4"/>
  <c r="CJ130" i="1" s="1"/>
  <c r="CJ151" i="1"/>
  <c r="KH15" i="4"/>
  <c r="JX7" i="4"/>
  <c r="CX35" i="1"/>
  <c r="CY7" i="1"/>
  <c r="CY25" i="1" s="1"/>
  <c r="CZ7" i="1"/>
  <c r="CZ25" i="1" s="1"/>
  <c r="KA19" i="4"/>
  <c r="JW20" i="4"/>
  <c r="JW19" i="4"/>
  <c r="JS20" i="4"/>
  <c r="AB98" i="1"/>
  <c r="JR20" i="4"/>
  <c r="CL132" i="1" s="1"/>
  <c r="CK276" i="1"/>
  <c r="CQ186" i="1"/>
  <c r="CR186" i="1" s="1"/>
  <c r="CS186" i="1" s="1"/>
  <c r="CT186" i="1" s="1"/>
  <c r="AB186" i="1"/>
  <c r="KG19" i="4"/>
  <c r="CR98" i="1"/>
  <c r="CS98" i="1" s="1"/>
  <c r="CT98" i="1" s="1"/>
  <c r="CU98" i="1" s="1"/>
  <c r="CK181" i="1"/>
  <c r="CR178" i="1"/>
  <c r="BZ178" i="1"/>
  <c r="CA178" i="1" s="1"/>
  <c r="BL126" i="1"/>
  <c r="CF127" i="1"/>
  <c r="CB204" i="1"/>
  <c r="CC204" i="1" s="1"/>
  <c r="CD218" i="1"/>
  <c r="CD250" i="1" s="1"/>
  <c r="CE250" i="1" s="1"/>
  <c r="CB231" i="1"/>
  <c r="CC231" i="1" s="1"/>
  <c r="BL177" i="1"/>
  <c r="BM177" i="1" s="1"/>
  <c r="CD186" i="1"/>
  <c r="CD177" i="1"/>
  <c r="CE177" i="1" s="1"/>
  <c r="CF180" i="1"/>
  <c r="CG180" i="1" s="1"/>
  <c r="CB180" i="1"/>
  <c r="CC180" i="1" s="1"/>
  <c r="CB217" i="1"/>
  <c r="CC217" i="1" s="1"/>
  <c r="CB202" i="1"/>
  <c r="CB246" i="1" s="1"/>
  <c r="CC246" i="1" s="1"/>
  <c r="BZ218" i="1"/>
  <c r="BZ250" i="1" s="1"/>
  <c r="CA250" i="1" s="1"/>
  <c r="BZ231" i="1"/>
  <c r="CA231" i="1" s="1"/>
  <c r="BZ219" i="1"/>
  <c r="CA219" i="1" s="1"/>
  <c r="BZ226" i="1"/>
  <c r="BZ215" i="1"/>
  <c r="CA215" i="1" s="1"/>
  <c r="BZ185" i="1"/>
  <c r="BL203" i="1"/>
  <c r="BL247" i="1" s="1"/>
  <c r="BM247" i="1" s="1"/>
  <c r="BL218" i="1"/>
  <c r="BL250" i="1" s="1"/>
  <c r="BM250" i="1" s="1"/>
  <c r="BL175" i="1"/>
  <c r="BM175" i="1" s="1"/>
  <c r="CA126" i="1"/>
  <c r="CF126" i="1"/>
  <c r="CF204" i="1"/>
  <c r="CG204" i="1" s="1"/>
  <c r="CF186" i="1"/>
  <c r="CB127" i="1"/>
  <c r="CF202" i="1"/>
  <c r="CF246" i="1" s="1"/>
  <c r="CG246" i="1" s="1"/>
  <c r="CF175" i="1"/>
  <c r="CG175" i="1" s="1"/>
  <c r="CB212" i="1"/>
  <c r="CC212" i="1" s="1"/>
  <c r="CF231" i="1"/>
  <c r="CG231" i="1" s="1"/>
  <c r="CB178" i="1"/>
  <c r="CC178" i="1" s="1"/>
  <c r="CB230" i="1"/>
  <c r="CC230" i="1" s="1"/>
  <c r="CD127" i="1"/>
  <c r="CB225" i="1"/>
  <c r="CD203" i="1"/>
  <c r="CD247" i="1" s="1"/>
  <c r="CE247" i="1" s="1"/>
  <c r="CD175" i="1"/>
  <c r="CE175" i="1" s="1"/>
  <c r="BL178" i="1"/>
  <c r="CD184" i="1"/>
  <c r="CD216" i="1"/>
  <c r="CE216" i="1" s="1"/>
  <c r="CD225" i="1"/>
  <c r="CD195" i="1"/>
  <c r="CF193" i="1"/>
  <c r="CF179" i="1"/>
  <c r="CG179" i="1" s="1"/>
  <c r="CB195" i="1"/>
  <c r="BL219" i="1"/>
  <c r="BM219" i="1" s="1"/>
  <c r="BL230" i="1"/>
  <c r="BM230" i="1" s="1"/>
  <c r="BL231" i="1"/>
  <c r="CB179" i="1"/>
  <c r="CC179" i="1" s="1"/>
  <c r="CE127" i="1"/>
  <c r="BZ225" i="1"/>
  <c r="BZ230" i="1"/>
  <c r="CA230" i="1" s="1"/>
  <c r="BZ172" i="1"/>
  <c r="BZ180" i="1"/>
  <c r="CA180" i="1" s="1"/>
  <c r="CF203" i="1"/>
  <c r="CF247" i="1" s="1"/>
  <c r="CG247" i="1" s="1"/>
  <c r="CF185" i="1"/>
  <c r="CF212" i="1"/>
  <c r="CB172" i="1"/>
  <c r="CB203" i="1"/>
  <c r="CB247" i="1" s="1"/>
  <c r="CC247" i="1" s="1"/>
  <c r="CD226" i="1"/>
  <c r="CD217" i="1"/>
  <c r="CE217" i="1" s="1"/>
  <c r="CB126" i="1"/>
  <c r="BZ221" i="1"/>
  <c r="CA221" i="1" s="1"/>
  <c r="BZ186" i="1"/>
  <c r="BZ170" i="1"/>
  <c r="BZ207" i="1"/>
  <c r="CA207" i="1" s="1"/>
  <c r="BZ127" i="1"/>
  <c r="BZ177" i="1"/>
  <c r="CA177" i="1" s="1"/>
  <c r="BZ179" i="1"/>
  <c r="CA179" i="1" s="1"/>
  <c r="BZ195" i="1"/>
  <c r="BZ184" i="1"/>
  <c r="BL186" i="1"/>
  <c r="BL212" i="1"/>
  <c r="BM212" i="1" s="1"/>
  <c r="CF177" i="1"/>
  <c r="CF218" i="1"/>
  <c r="CF250" i="1" s="1"/>
  <c r="CG250" i="1" s="1"/>
  <c r="CD219" i="1"/>
  <c r="CE219" i="1" s="1"/>
  <c r="CF219" i="1"/>
  <c r="CG219" i="1" s="1"/>
  <c r="CB184" i="1"/>
  <c r="CB219" i="1"/>
  <c r="CC219" i="1" s="1"/>
  <c r="BY127" i="1"/>
  <c r="CD230" i="1"/>
  <c r="CE230" i="1" s="1"/>
  <c r="CD188" i="1"/>
  <c r="CE188" i="1" s="1"/>
  <c r="BL226" i="1"/>
  <c r="CB218" i="1"/>
  <c r="CB250" i="1" s="1"/>
  <c r="CC250" i="1" s="1"/>
  <c r="CB171" i="1"/>
  <c r="CC171" i="1" s="1"/>
  <c r="BL215" i="1"/>
  <c r="BM215" i="1" s="1"/>
  <c r="CD180" i="1"/>
  <c r="CE180" i="1" s="1"/>
  <c r="CD207" i="1"/>
  <c r="CE207" i="1" s="1"/>
  <c r="CD172" i="1"/>
  <c r="CD204" i="1"/>
  <c r="CE204" i="1" s="1"/>
  <c r="CD221" i="1"/>
  <c r="CE221" i="1" s="1"/>
  <c r="CD193" i="1"/>
  <c r="CE193" i="1" s="1"/>
  <c r="CF170" i="1"/>
  <c r="CF171" i="1"/>
  <c r="CG171" i="1" s="1"/>
  <c r="CF216" i="1"/>
  <c r="CG216" i="1" s="1"/>
  <c r="CF230" i="1"/>
  <c r="CG230" i="1" s="1"/>
  <c r="CB226" i="1"/>
  <c r="CB193" i="1"/>
  <c r="AI127" i="1"/>
  <c r="BL207" i="1"/>
  <c r="BM207" i="1" s="1"/>
  <c r="BL188" i="1"/>
  <c r="BM188" i="1" s="1"/>
  <c r="BL179" i="1"/>
  <c r="BM179" i="1" s="1"/>
  <c r="CB177" i="1"/>
  <c r="CC177" i="1" s="1"/>
  <c r="BL204" i="1"/>
  <c r="BM204" i="1" s="1"/>
  <c r="BZ188" i="1"/>
  <c r="CA188" i="1" s="1"/>
  <c r="BZ126" i="1"/>
  <c r="BL217" i="1"/>
  <c r="BM217" i="1" s="1"/>
  <c r="CB185" i="1"/>
  <c r="CF207" i="1"/>
  <c r="CG207" i="1" s="1"/>
  <c r="CB207" i="1"/>
  <c r="CC207" i="1" s="1"/>
  <c r="CD126" i="1"/>
  <c r="CC127" i="1"/>
  <c r="CD171" i="1"/>
  <c r="CE171" i="1" s="1"/>
  <c r="BL172" i="1"/>
  <c r="CD178" i="1"/>
  <c r="CE178" i="1" s="1"/>
  <c r="CF225" i="1"/>
  <c r="CF217" i="1"/>
  <c r="CG217" i="1" s="1"/>
  <c r="CE126" i="1"/>
  <c r="BZ203" i="1"/>
  <c r="BZ247" i="1" s="1"/>
  <c r="CA247" i="1" s="1"/>
  <c r="BZ175" i="1"/>
  <c r="CA175" i="1" s="1"/>
  <c r="BZ202" i="1"/>
  <c r="BZ246" i="1" s="1"/>
  <c r="CA246" i="1" s="1"/>
  <c r="BZ171" i="1"/>
  <c r="CA171" i="1" s="1"/>
  <c r="BZ212" i="1"/>
  <c r="BZ216" i="1"/>
  <c r="CA216" i="1" s="1"/>
  <c r="BZ204" i="1"/>
  <c r="CA204" i="1" s="1"/>
  <c r="BZ193" i="1"/>
  <c r="CA193" i="1" s="1"/>
  <c r="BZ217" i="1"/>
  <c r="CA217" i="1" s="1"/>
  <c r="BL221" i="1"/>
  <c r="BM221" i="1" s="1"/>
  <c r="BL202" i="1"/>
  <c r="BL246" i="1" s="1"/>
  <c r="BM246" i="1" s="1"/>
  <c r="BL184" i="1"/>
  <c r="BL185" i="1"/>
  <c r="CA127" i="1"/>
  <c r="CF221" i="1"/>
  <c r="CG221" i="1" s="1"/>
  <c r="CF215" i="1"/>
  <c r="CG215" i="1" s="1"/>
  <c r="CF226" i="1"/>
  <c r="CB170" i="1"/>
  <c r="CC170" i="1" s="1"/>
  <c r="CF184" i="1"/>
  <c r="CF172" i="1"/>
  <c r="CF178" i="1"/>
  <c r="CG178" i="1" s="1"/>
  <c r="CD179" i="1"/>
  <c r="CE179" i="1" s="1"/>
  <c r="CB221" i="1"/>
  <c r="CC221" i="1" s="1"/>
  <c r="CB188" i="1"/>
  <c r="CC188" i="1" s="1"/>
  <c r="CB216" i="1"/>
  <c r="CC216" i="1" s="1"/>
  <c r="CD170" i="1"/>
  <c r="BL193" i="1"/>
  <c r="CB186" i="1"/>
  <c r="BL180" i="1"/>
  <c r="BM180" i="1" s="1"/>
  <c r="CD185" i="1"/>
  <c r="CD202" i="1"/>
  <c r="CD246" i="1" s="1"/>
  <c r="CE246" i="1" s="1"/>
  <c r="CD215" i="1"/>
  <c r="CE215" i="1" s="1"/>
  <c r="CD212" i="1"/>
  <c r="CE212" i="1" s="1"/>
  <c r="CD231" i="1"/>
  <c r="CE231" i="1" s="1"/>
  <c r="CF188" i="1"/>
  <c r="CG188" i="1" s="1"/>
  <c r="CF195" i="1"/>
  <c r="CC126" i="1"/>
  <c r="CB215" i="1"/>
  <c r="CC215" i="1" s="1"/>
  <c r="CB175" i="1"/>
  <c r="CC175" i="1" s="1"/>
  <c r="BL225" i="1"/>
  <c r="BL170" i="1"/>
  <c r="BM170" i="1" s="1"/>
  <c r="BL216" i="1"/>
  <c r="BM216" i="1" s="1"/>
  <c r="BL195" i="1"/>
  <c r="BM195" i="1" s="1"/>
  <c r="BL171" i="1"/>
  <c r="BM171" i="1" s="1"/>
  <c r="BL320" i="1"/>
  <c r="CH151" i="1"/>
  <c r="CB190" i="1"/>
  <c r="CC190" i="1" s="1"/>
  <c r="CF190" i="1"/>
  <c r="CG190" i="1" s="1"/>
  <c r="CD190" i="1"/>
  <c r="CE190" i="1" s="1"/>
  <c r="BL190" i="1"/>
  <c r="BM190" i="1" s="1"/>
  <c r="BZ190" i="1"/>
  <c r="CA190" i="1" s="1"/>
  <c r="BL197" i="1"/>
  <c r="CD197" i="1"/>
  <c r="CB197" i="1"/>
  <c r="CF197" i="1"/>
  <c r="BZ197" i="1"/>
  <c r="CA319" i="1"/>
  <c r="JJ21" i="4"/>
  <c r="CD130" i="1" s="1"/>
  <c r="CA61" i="1"/>
  <c r="JK14" i="4"/>
  <c r="BL61" i="1"/>
  <c r="BY61" i="1"/>
  <c r="BL261" i="1"/>
  <c r="CF61" i="1"/>
  <c r="CF319" i="1"/>
  <c r="JL21" i="4"/>
  <c r="CF130" i="1" s="1"/>
  <c r="CF151" i="1"/>
  <c r="CB79" i="1"/>
  <c r="CE298" i="1"/>
  <c r="CC320" i="1"/>
  <c r="CA79" i="1"/>
  <c r="CE319" i="1"/>
  <c r="CC319" i="1"/>
  <c r="JM7" i="4"/>
  <c r="CA320" i="1"/>
  <c r="JJ8" i="4"/>
  <c r="CF79" i="1"/>
  <c r="BZ319" i="1"/>
  <c r="BZ61" i="1"/>
  <c r="BZ32" i="1" s="1"/>
  <c r="CA261" i="1"/>
  <c r="CD320" i="1"/>
  <c r="CB151" i="1"/>
  <c r="JK21" i="4"/>
  <c r="CE130" i="1" s="1"/>
  <c r="JK15" i="4"/>
  <c r="CD319" i="1"/>
  <c r="JL14" i="4"/>
  <c r="CC79" i="1"/>
  <c r="BY79" i="1"/>
  <c r="CI151" i="1"/>
  <c r="CF298" i="1"/>
  <c r="BY320" i="1"/>
  <c r="JL8" i="4"/>
  <c r="CE79" i="1"/>
  <c r="BL319" i="1"/>
  <c r="CE151" i="1"/>
  <c r="CD61" i="1"/>
  <c r="CC61" i="1"/>
  <c r="CC32" i="1" s="1"/>
  <c r="CD261" i="1"/>
  <c r="CE61" i="1"/>
  <c r="CE32" i="1" s="1"/>
  <c r="CG151" i="1"/>
  <c r="CD151" i="1"/>
  <c r="CB61" i="1"/>
  <c r="CB319" i="1"/>
  <c r="CC151" i="1"/>
  <c r="JJ15" i="4"/>
  <c r="CB320" i="1"/>
  <c r="BY319" i="1"/>
  <c r="CD79" i="1"/>
  <c r="JM8" i="4"/>
  <c r="JL7" i="4"/>
  <c r="CF320" i="1"/>
  <c r="JJ7" i="4"/>
  <c r="JK8" i="4"/>
  <c r="JM21" i="4"/>
  <c r="CG130" i="1" s="1"/>
  <c r="BZ320" i="1"/>
  <c r="CE320" i="1"/>
  <c r="JK7" i="4"/>
  <c r="BL79" i="1"/>
  <c r="JL15" i="4"/>
  <c r="BZ79" i="1"/>
  <c r="JM14" i="4"/>
  <c r="JM15" i="4"/>
  <c r="JJ14" i="4"/>
  <c r="AD99" i="1"/>
  <c r="CZ99" i="1"/>
  <c r="DA99" i="1" s="1"/>
  <c r="DB99" i="1" s="1"/>
  <c r="AE88" i="1"/>
  <c r="U59" i="1"/>
  <c r="V59" i="1"/>
  <c r="W59" i="1"/>
  <c r="AA111" i="1" l="1"/>
  <c r="Y90" i="1"/>
  <c r="X86" i="1"/>
  <c r="CH228" i="1"/>
  <c r="CK161" i="1"/>
  <c r="CJ252" i="1"/>
  <c r="KH20" i="4"/>
  <c r="JY21" i="4"/>
  <c r="Y80" i="1"/>
  <c r="CK67" i="1"/>
  <c r="CK32" i="1"/>
  <c r="X191" i="1"/>
  <c r="X311" i="1" s="1"/>
  <c r="X249" i="1"/>
  <c r="X182" i="1"/>
  <c r="X235" i="1"/>
  <c r="X162" i="1" s="1"/>
  <c r="CL250" i="1"/>
  <c r="Y316" i="1"/>
  <c r="Y273" i="1"/>
  <c r="Y235" i="1"/>
  <c r="Y162" i="1" s="1"/>
  <c r="X315" i="1"/>
  <c r="Z276" i="1"/>
  <c r="CL246" i="1"/>
  <c r="JX20" i="4"/>
  <c r="JS9" i="4" s="1"/>
  <c r="JS21" i="4" s="1"/>
  <c r="JU16" i="4" s="1"/>
  <c r="JU21" i="4" s="1"/>
  <c r="KE9" i="4"/>
  <c r="KE21" i="4" s="1"/>
  <c r="JV16" i="4" s="1"/>
  <c r="KD20" i="4"/>
  <c r="JX19" i="4"/>
  <c r="KC20" i="4"/>
  <c r="CK152" i="1"/>
  <c r="CJ251" i="1"/>
  <c r="CK251" i="1" s="1"/>
  <c r="CL251" i="1" s="1"/>
  <c r="CM251" i="1" s="1"/>
  <c r="CN251" i="1" s="1"/>
  <c r="CO251" i="1" s="1"/>
  <c r="CP251" i="1" s="1"/>
  <c r="CQ251" i="1" s="1"/>
  <c r="CJ160" i="1"/>
  <c r="CL68" i="1"/>
  <c r="CL81" i="1"/>
  <c r="JT21" i="4"/>
  <c r="JR9" i="4"/>
  <c r="JR21" i="4" s="1"/>
  <c r="CL130" i="1" s="1"/>
  <c r="JY8" i="4"/>
  <c r="JY20" i="4" s="1"/>
  <c r="KF19" i="4"/>
  <c r="JO19" i="4"/>
  <c r="CI131" i="1" s="1"/>
  <c r="CJ248" i="1"/>
  <c r="CK248" i="1" s="1"/>
  <c r="CL248" i="1" s="1"/>
  <c r="CJ145" i="1"/>
  <c r="CJ147" i="1" s="1"/>
  <c r="CJ152" i="1"/>
  <c r="CJ155" i="1" s="1"/>
  <c r="X223" i="1"/>
  <c r="X252" i="1"/>
  <c r="Y264" i="1"/>
  <c r="KH19" i="4"/>
  <c r="JT19" i="4"/>
  <c r="CI177" i="1"/>
  <c r="X80" i="1"/>
  <c r="KC19" i="4"/>
  <c r="CK80" i="1"/>
  <c r="X151" i="1"/>
  <c r="CK63" i="1"/>
  <c r="CJ67" i="1"/>
  <c r="CJ315" i="1"/>
  <c r="CI276" i="1"/>
  <c r="CJ80" i="1"/>
  <c r="Y67" i="1"/>
  <c r="Y62" i="1"/>
  <c r="Y151" i="1"/>
  <c r="Y255" i="1"/>
  <c r="Y311" i="1"/>
  <c r="CI67" i="1"/>
  <c r="CJ63" i="1"/>
  <c r="CH116" i="1"/>
  <c r="CI118" i="1"/>
  <c r="CG80" i="1"/>
  <c r="Y252" i="1"/>
  <c r="Y251" i="1" s="1"/>
  <c r="Y182" i="1"/>
  <c r="Y315" i="1"/>
  <c r="CJ182" i="1"/>
  <c r="CH80" i="1"/>
  <c r="CI230" i="1"/>
  <c r="JU19" i="4"/>
  <c r="CL269" i="1"/>
  <c r="Y86" i="1"/>
  <c r="CG203" i="1"/>
  <c r="CH32" i="1"/>
  <c r="CL62" i="1"/>
  <c r="CK81" i="1"/>
  <c r="CL70" i="1"/>
  <c r="CF32" i="1"/>
  <c r="AD7" i="1"/>
  <c r="AD12" i="1" s="1"/>
  <c r="CZ35" i="1"/>
  <c r="CZ42" i="1"/>
  <c r="AD42" i="1"/>
  <c r="CY35" i="1"/>
  <c r="CY42" i="1"/>
  <c r="CJ223" i="1"/>
  <c r="CJ232" i="1" s="1"/>
  <c r="CK160" i="1"/>
  <c r="Y313" i="1"/>
  <c r="Y223" i="1"/>
  <c r="Y232" i="1" s="1"/>
  <c r="Y263" i="1"/>
  <c r="CG202" i="1"/>
  <c r="CH63" i="1"/>
  <c r="CJ292" i="1"/>
  <c r="X67" i="1"/>
  <c r="CH67" i="1"/>
  <c r="CL69" i="1" s="1"/>
  <c r="CJ161" i="1"/>
  <c r="CA195" i="1"/>
  <c r="BZ211" i="1"/>
  <c r="CJ313" i="1"/>
  <c r="CG218" i="1"/>
  <c r="CK62" i="1"/>
  <c r="CJ311" i="1"/>
  <c r="CC195" i="1"/>
  <c r="CB211" i="1"/>
  <c r="CG195" i="1"/>
  <c r="CF211" i="1"/>
  <c r="CE195" i="1"/>
  <c r="CD211" i="1"/>
  <c r="CI63" i="1"/>
  <c r="CG67" i="1"/>
  <c r="CA67" i="1"/>
  <c r="CA68" i="1" s="1"/>
  <c r="CA32" i="1"/>
  <c r="CD67" i="1"/>
  <c r="CD81" i="1" s="1"/>
  <c r="CD48" i="1" s="1"/>
  <c r="CD32" i="1"/>
  <c r="BY67" i="1"/>
  <c r="BY68" i="1" s="1"/>
  <c r="BY32" i="1"/>
  <c r="BL67" i="1"/>
  <c r="BL68" i="1" s="1"/>
  <c r="BL32" i="1"/>
  <c r="CB67" i="1"/>
  <c r="CB81" i="1" s="1"/>
  <c r="CB48" i="1" s="1"/>
  <c r="CB32" i="1"/>
  <c r="AC98" i="1"/>
  <c r="CM177" i="1"/>
  <c r="CM193" i="1"/>
  <c r="CN193" i="1" s="1"/>
  <c r="Y248" i="1"/>
  <c r="CK273" i="1"/>
  <c r="CK316" i="1"/>
  <c r="CV98" i="1"/>
  <c r="CW98" i="1" s="1"/>
  <c r="CX98" i="1" s="1"/>
  <c r="CY98" i="1" s="1"/>
  <c r="CZ98" i="1" s="1"/>
  <c r="DA98" i="1" s="1"/>
  <c r="DB98" i="1" s="1"/>
  <c r="AE98" i="1" s="1"/>
  <c r="CU186" i="1"/>
  <c r="CV186" i="1" s="1"/>
  <c r="CW186" i="1" s="1"/>
  <c r="CX186" i="1" s="1"/>
  <c r="AC186" i="1"/>
  <c r="CS178" i="1"/>
  <c r="BZ228" i="1"/>
  <c r="BL228" i="1"/>
  <c r="CB269" i="1"/>
  <c r="CA170" i="1"/>
  <c r="BZ173" i="1"/>
  <c r="BL173" i="1"/>
  <c r="CB228" i="1"/>
  <c r="CC276" i="1" s="1"/>
  <c r="CG177" i="1"/>
  <c r="CG181" i="1" s="1"/>
  <c r="CF181" i="1"/>
  <c r="CD187" i="1"/>
  <c r="CE86" i="1" s="1"/>
  <c r="CC193" i="1"/>
  <c r="CE170" i="1"/>
  <c r="CD173" i="1"/>
  <c r="BM193" i="1"/>
  <c r="BM269" i="1" s="1"/>
  <c r="CD228" i="1"/>
  <c r="CF269" i="1"/>
  <c r="CE181" i="1"/>
  <c r="BM178" i="1"/>
  <c r="BM181" i="1" s="1"/>
  <c r="BL181" i="1"/>
  <c r="CG193" i="1"/>
  <c r="CG212" i="1"/>
  <c r="CF222" i="1"/>
  <c r="CF252" i="1" s="1"/>
  <c r="CF251" i="1" s="1"/>
  <c r="CG170" i="1"/>
  <c r="CF173" i="1"/>
  <c r="CA212" i="1"/>
  <c r="BZ222" i="1"/>
  <c r="BZ252" i="1" s="1"/>
  <c r="BZ251" i="1" s="1"/>
  <c r="BZ187" i="1"/>
  <c r="BZ191" i="1" s="1"/>
  <c r="CA181" i="1"/>
  <c r="CB187" i="1"/>
  <c r="CF228" i="1"/>
  <c r="BL187" i="1"/>
  <c r="CF187" i="1"/>
  <c r="CF191" i="1" s="1"/>
  <c r="CC181" i="1"/>
  <c r="CB181" i="1"/>
  <c r="CE269" i="1"/>
  <c r="BZ181" i="1"/>
  <c r="CB222" i="1"/>
  <c r="CB252" i="1" s="1"/>
  <c r="CB251" i="1" s="1"/>
  <c r="BL222" i="1"/>
  <c r="BL252" i="1" s="1"/>
  <c r="BL251" i="1" s="1"/>
  <c r="CD222" i="1"/>
  <c r="CD252" i="1" s="1"/>
  <c r="CD251" i="1" s="1"/>
  <c r="CB173" i="1"/>
  <c r="CD181" i="1"/>
  <c r="BM197" i="1"/>
  <c r="BL211" i="1"/>
  <c r="CE197" i="1"/>
  <c r="CC197" i="1"/>
  <c r="CG197" i="1"/>
  <c r="CA197" i="1"/>
  <c r="CA80" i="1"/>
  <c r="CA63" i="1"/>
  <c r="JK19" i="4"/>
  <c r="CE131" i="1" s="1"/>
  <c r="BL80" i="1"/>
  <c r="CC62" i="1"/>
  <c r="CC80" i="1"/>
  <c r="CI292" i="1"/>
  <c r="CF67" i="1"/>
  <c r="CG63" i="1"/>
  <c r="CJ62" i="1"/>
  <c r="BY80" i="1"/>
  <c r="JL20" i="4"/>
  <c r="CF132" i="1" s="1"/>
  <c r="BZ67" i="1"/>
  <c r="CF80" i="1"/>
  <c r="Y111" i="1"/>
  <c r="JJ19" i="4"/>
  <c r="CD131" i="1" s="1"/>
  <c r="JM20" i="4"/>
  <c r="CG132" i="1" s="1"/>
  <c r="CD80" i="1"/>
  <c r="JM19" i="4"/>
  <c r="CG131" i="1" s="1"/>
  <c r="CE218" i="1"/>
  <c r="CE222" i="1" s="1"/>
  <c r="CE252" i="1" s="1"/>
  <c r="CE251" i="1" s="1"/>
  <c r="JJ20" i="4"/>
  <c r="CD132" i="1" s="1"/>
  <c r="JL19" i="4"/>
  <c r="CF131" i="1" s="1"/>
  <c r="JK20" i="4"/>
  <c r="CE132" i="1" s="1"/>
  <c r="CD255" i="1"/>
  <c r="CD62" i="1"/>
  <c r="BZ63" i="1"/>
  <c r="CD292" i="1"/>
  <c r="BZ80" i="1"/>
  <c r="CE202" i="1"/>
  <c r="CE255" i="1"/>
  <c r="CG255" i="1"/>
  <c r="CF62" i="1"/>
  <c r="CH292" i="1"/>
  <c r="CJ255" i="1"/>
  <c r="CE80" i="1"/>
  <c r="CC67" i="1"/>
  <c r="CF292" i="1"/>
  <c r="CB63" i="1"/>
  <c r="CE62" i="1"/>
  <c r="CG292" i="1"/>
  <c r="CF63" i="1"/>
  <c r="CF255" i="1"/>
  <c r="CE292" i="1"/>
  <c r="CC63" i="1"/>
  <c r="CC292" i="1"/>
  <c r="CE203" i="1"/>
  <c r="CB80" i="1"/>
  <c r="CD63" i="1"/>
  <c r="CH62" i="1"/>
  <c r="CI255" i="1"/>
  <c r="CE67" i="1"/>
  <c r="CI62" i="1"/>
  <c r="CG62" i="1"/>
  <c r="CE63" i="1"/>
  <c r="CH255" i="1"/>
  <c r="CA269" i="1"/>
  <c r="AE99" i="1"/>
  <c r="V298" i="1"/>
  <c r="W298" i="1"/>
  <c r="U298" i="1"/>
  <c r="AA112" i="1" l="1"/>
  <c r="X251" i="1"/>
  <c r="CK69" i="1"/>
  <c r="CK155" i="1"/>
  <c r="CK68" i="1"/>
  <c r="X313" i="1"/>
  <c r="Y270" i="1"/>
  <c r="Y268" i="1" s="1"/>
  <c r="CJ253" i="1"/>
  <c r="CK156" i="1"/>
  <c r="CK252" i="1"/>
  <c r="CM250" i="1"/>
  <c r="CL252" i="1"/>
  <c r="CM246" i="1"/>
  <c r="X248" i="1"/>
  <c r="CR251" i="1"/>
  <c r="JV21" i="4"/>
  <c r="JT8" i="4"/>
  <c r="JT20" i="4" s="1"/>
  <c r="KA16" i="4" s="1"/>
  <c r="KA21" i="4" s="1"/>
  <c r="CK157" i="1"/>
  <c r="CM248" i="1"/>
  <c r="CN248" i="1" s="1"/>
  <c r="CO248" i="1" s="1"/>
  <c r="CP248" i="1" s="1"/>
  <c r="CQ248" i="1" s="1"/>
  <c r="CR248" i="1" s="1"/>
  <c r="CS248" i="1" s="1"/>
  <c r="CT248" i="1" s="1"/>
  <c r="CU248" i="1" s="1"/>
  <c r="CK82" i="1"/>
  <c r="CK87" i="1"/>
  <c r="CK91" i="1" s="1"/>
  <c r="Y233" i="1"/>
  <c r="CI160" i="1"/>
  <c r="CL87" i="1"/>
  <c r="CL91" i="1" s="1"/>
  <c r="CL82" i="1"/>
  <c r="CL48" i="1"/>
  <c r="CL84" i="1"/>
  <c r="CK48" i="1"/>
  <c r="CJ233" i="1"/>
  <c r="X232" i="1"/>
  <c r="X233" i="1" s="1"/>
  <c r="CK249" i="1"/>
  <c r="CJ156" i="1"/>
  <c r="CJ148" i="1"/>
  <c r="CK70" i="1"/>
  <c r="CJ81" i="1"/>
  <c r="CJ48" i="1" s="1"/>
  <c r="CJ68" i="1"/>
  <c r="CI161" i="1"/>
  <c r="CI68" i="1"/>
  <c r="CI81" i="1"/>
  <c r="CI48" i="1" s="1"/>
  <c r="CJ70" i="1"/>
  <c r="CI152" i="1"/>
  <c r="CI155" i="1" s="1"/>
  <c r="Y253" i="1"/>
  <c r="Y69" i="1"/>
  <c r="X81" i="1"/>
  <c r="X48" i="1" s="1"/>
  <c r="X68" i="1"/>
  <c r="CH81" i="1"/>
  <c r="CI70" i="1"/>
  <c r="CH68" i="1"/>
  <c r="CJ149" i="1"/>
  <c r="Y81" i="1"/>
  <c r="Y48" i="1" s="1"/>
  <c r="Y68" i="1"/>
  <c r="Y265" i="1"/>
  <c r="CJ157" i="1"/>
  <c r="CG116" i="1"/>
  <c r="CH118" i="1"/>
  <c r="CL249" i="1"/>
  <c r="X253" i="1"/>
  <c r="CF81" i="1"/>
  <c r="CH70" i="1"/>
  <c r="CG68" i="1"/>
  <c r="CG81" i="1"/>
  <c r="CG48" i="1" s="1"/>
  <c r="CE211" i="1"/>
  <c r="CG222" i="1"/>
  <c r="CG252" i="1" s="1"/>
  <c r="CG211" i="1"/>
  <c r="CG249" i="1" s="1"/>
  <c r="CG248" i="1" s="1"/>
  <c r="DA7" i="1"/>
  <c r="DA25" i="1" s="1"/>
  <c r="DA42" i="1" s="1"/>
  <c r="DB7" i="1"/>
  <c r="DB25" i="1" s="1"/>
  <c r="CB68" i="1"/>
  <c r="CA81" i="1"/>
  <c r="CC70" i="1"/>
  <c r="CB70" i="1"/>
  <c r="CD68" i="1"/>
  <c r="CE70" i="1"/>
  <c r="CH69" i="1"/>
  <c r="BY81" i="1"/>
  <c r="BL81" i="1"/>
  <c r="BL87" i="1" s="1"/>
  <c r="BL91" i="1" s="1"/>
  <c r="CD69" i="1"/>
  <c r="CM269" i="1"/>
  <c r="CM62" i="1"/>
  <c r="AD98" i="1"/>
  <c r="CL316" i="1"/>
  <c r="CL273" i="1"/>
  <c r="CY186" i="1"/>
  <c r="CZ186" i="1" s="1"/>
  <c r="DA186" i="1" s="1"/>
  <c r="DB186" i="1" s="1"/>
  <c r="AE186" i="1" s="1"/>
  <c r="AD186" i="1"/>
  <c r="CN177" i="1"/>
  <c r="CM181" i="1"/>
  <c r="CN269" i="1"/>
  <c r="CO193" i="1"/>
  <c r="CP193" i="1" s="1"/>
  <c r="CG269" i="1"/>
  <c r="CG316" i="1"/>
  <c r="CD269" i="1"/>
  <c r="CC269" i="1"/>
  <c r="CA276" i="1"/>
  <c r="BZ315" i="1"/>
  <c r="CT178" i="1"/>
  <c r="CD273" i="1"/>
  <c r="CF316" i="1"/>
  <c r="BM276" i="1"/>
  <c r="BL315" i="1"/>
  <c r="CF273" i="1"/>
  <c r="CF182" i="1"/>
  <c r="BL182" i="1"/>
  <c r="BL235" i="1"/>
  <c r="BL162" i="1" s="1"/>
  <c r="CA86" i="1"/>
  <c r="CA187" i="1"/>
  <c r="CB191" i="1"/>
  <c r="CC86" i="1"/>
  <c r="CC187" i="1"/>
  <c r="BZ235" i="1"/>
  <c r="BZ182" i="1"/>
  <c r="CD191" i="1"/>
  <c r="CE187" i="1"/>
  <c r="CE276" i="1"/>
  <c r="CD315" i="1"/>
  <c r="CA316" i="1"/>
  <c r="CA273" i="1"/>
  <c r="BM273" i="1"/>
  <c r="BM316" i="1"/>
  <c r="CG276" i="1"/>
  <c r="CF235" i="1"/>
  <c r="CF315" i="1"/>
  <c r="BM187" i="1"/>
  <c r="BM191" i="1" s="1"/>
  <c r="BL191" i="1"/>
  <c r="BL313" i="1" s="1"/>
  <c r="CG86" i="1"/>
  <c r="CG187" i="1"/>
  <c r="CG273" i="1"/>
  <c r="CB316" i="1"/>
  <c r="CB182" i="1"/>
  <c r="CB235" i="1"/>
  <c r="CB273" i="1"/>
  <c r="CB315" i="1"/>
  <c r="CC316" i="1"/>
  <c r="CC273" i="1"/>
  <c r="CE273" i="1"/>
  <c r="CD316" i="1"/>
  <c r="CD182" i="1"/>
  <c r="CD235" i="1"/>
  <c r="CE316" i="1"/>
  <c r="BL249" i="1"/>
  <c r="BL223" i="1"/>
  <c r="CD249" i="1"/>
  <c r="CD223" i="1"/>
  <c r="CB249" i="1"/>
  <c r="CB223" i="1"/>
  <c r="CF249" i="1"/>
  <c r="CF223" i="1"/>
  <c r="CF232" i="1" s="1"/>
  <c r="BZ249" i="1"/>
  <c r="BZ223" i="1"/>
  <c r="BZ232" i="1" s="1"/>
  <c r="BZ70" i="1"/>
  <c r="BZ81" i="1"/>
  <c r="BZ48" i="1" s="1"/>
  <c r="BZ68" i="1"/>
  <c r="CA70" i="1"/>
  <c r="CJ69" i="1"/>
  <c r="CF68" i="1"/>
  <c r="CG70" i="1"/>
  <c r="CF69" i="1"/>
  <c r="BZ313" i="1"/>
  <c r="CF313" i="1"/>
  <c r="CF311" i="1"/>
  <c r="CG69" i="1"/>
  <c r="CC68" i="1"/>
  <c r="Y112" i="1"/>
  <c r="CC81" i="1"/>
  <c r="CD70" i="1"/>
  <c r="CC69" i="1"/>
  <c r="CE264" i="1"/>
  <c r="CF264" i="1"/>
  <c r="CD82" i="1"/>
  <c r="CB82" i="1"/>
  <c r="CB299" i="1"/>
  <c r="CB300" i="1" s="1"/>
  <c r="CB87" i="1"/>
  <c r="CB91" i="1" s="1"/>
  <c r="CD299" i="1"/>
  <c r="CD300" i="1" s="1"/>
  <c r="CD87" i="1"/>
  <c r="CD91" i="1" s="1"/>
  <c r="CD94" i="1" s="1"/>
  <c r="CD301" i="1" s="1"/>
  <c r="CF70" i="1"/>
  <c r="CE69" i="1"/>
  <c r="CI69" i="1"/>
  <c r="CE81" i="1"/>
  <c r="CE68" i="1"/>
  <c r="AB215" i="1"/>
  <c r="A1" i="1"/>
  <c r="CH160" i="1" l="1"/>
  <c r="CH161" i="1"/>
  <c r="CN250" i="1"/>
  <c r="CM252" i="1"/>
  <c r="CH83" i="1"/>
  <c r="AA113" i="1"/>
  <c r="CJ87" i="1"/>
  <c r="CJ91" i="1" s="1"/>
  <c r="CJ299" i="1"/>
  <c r="CJ300" i="1" s="1"/>
  <c r="CL253" i="1"/>
  <c r="CH152" i="1"/>
  <c r="CN246" i="1"/>
  <c r="CM249" i="1"/>
  <c r="Y165" i="1"/>
  <c r="Y299" i="1"/>
  <c r="Y300" i="1" s="1"/>
  <c r="CS251" i="1"/>
  <c r="Y317" i="1"/>
  <c r="Y318" i="1" s="1"/>
  <c r="CK94" i="1"/>
  <c r="CK93" i="1"/>
  <c r="CG84" i="1"/>
  <c r="CI293" i="1"/>
  <c r="CF82" i="1"/>
  <c r="CF299" i="1"/>
  <c r="CF300" i="1" s="1"/>
  <c r="CJ83" i="1"/>
  <c r="CF87" i="1"/>
  <c r="CF83" i="1"/>
  <c r="CI156" i="1"/>
  <c r="CK253" i="1"/>
  <c r="CM68" i="1"/>
  <c r="CN68" i="1" s="1"/>
  <c r="CI157" i="1"/>
  <c r="CH299" i="1"/>
  <c r="CH300" i="1" s="1"/>
  <c r="CH87" i="1"/>
  <c r="CH91" i="1" s="1"/>
  <c r="CI84" i="1"/>
  <c r="CH82" i="1"/>
  <c r="CK165" i="1"/>
  <c r="Y83" i="1"/>
  <c r="CK84" i="1"/>
  <c r="CJ82" i="1"/>
  <c r="CJ317" i="1"/>
  <c r="CL93" i="1"/>
  <c r="CL94" i="1"/>
  <c r="CL83" i="1"/>
  <c r="CH48" i="1"/>
  <c r="CF48" i="1"/>
  <c r="X87" i="1"/>
  <c r="X299" i="1"/>
  <c r="X300" i="1" s="1"/>
  <c r="X165" i="1"/>
  <c r="X82" i="1"/>
  <c r="CF116" i="1"/>
  <c r="CG118" i="1"/>
  <c r="CG152" i="1" s="1"/>
  <c r="CG155" i="1" s="1"/>
  <c r="Y256" i="1"/>
  <c r="Y257" i="1" s="1"/>
  <c r="Y82" i="1"/>
  <c r="Y87" i="1"/>
  <c r="CI299" i="1"/>
  <c r="CI300" i="1" s="1"/>
  <c r="CI82" i="1"/>
  <c r="CI87" i="1"/>
  <c r="CI91" i="1" s="1"/>
  <c r="CJ84" i="1"/>
  <c r="CI317" i="1"/>
  <c r="CG87" i="1"/>
  <c r="CJ293" i="1"/>
  <c r="CG299" i="1"/>
  <c r="CG300" i="1" s="1"/>
  <c r="CJ165" i="1"/>
  <c r="CG264" i="1"/>
  <c r="CG223" i="1"/>
  <c r="DB35" i="1"/>
  <c r="DB42" i="1"/>
  <c r="AE42" i="1" s="1"/>
  <c r="CG82" i="1"/>
  <c r="CG263" i="1"/>
  <c r="CI165" i="1"/>
  <c r="CH84" i="1"/>
  <c r="CG317" i="1"/>
  <c r="CG318" i="1" s="1"/>
  <c r="CK83" i="1"/>
  <c r="CH317" i="1"/>
  <c r="BY82" i="1"/>
  <c r="BY48" i="1"/>
  <c r="CA299" i="1"/>
  <c r="CA300" i="1" s="1"/>
  <c r="CA48" i="1"/>
  <c r="CG293" i="1"/>
  <c r="CE48" i="1"/>
  <c r="CC87" i="1"/>
  <c r="CC91" i="1" s="1"/>
  <c r="CC94" i="1" s="1"/>
  <c r="CC48" i="1"/>
  <c r="Z22" i="1"/>
  <c r="Z211" i="1"/>
  <c r="AA263" i="1" s="1"/>
  <c r="CH175" i="1"/>
  <c r="CI175" i="1" s="1"/>
  <c r="CH172" i="1"/>
  <c r="CA87" i="1"/>
  <c r="CA91" i="1" s="1"/>
  <c r="CA94" i="1" s="1"/>
  <c r="CA101" i="1" s="1"/>
  <c r="CA260" i="1" s="1"/>
  <c r="CA262" i="1" s="1"/>
  <c r="BY87" i="1"/>
  <c r="BY91" i="1" s="1"/>
  <c r="BY93" i="1" s="1"/>
  <c r="DA35" i="1"/>
  <c r="AE25" i="1"/>
  <c r="BL82" i="1"/>
  <c r="CB317" i="1"/>
  <c r="CB318" i="1" s="1"/>
  <c r="CB84" i="1"/>
  <c r="CA82" i="1"/>
  <c r="CN62" i="1"/>
  <c r="CO62" i="1" s="1"/>
  <c r="CM316" i="1"/>
  <c r="CM273" i="1"/>
  <c r="CO177" i="1"/>
  <c r="CN181" i="1"/>
  <c r="CO269" i="1"/>
  <c r="CP269" i="1"/>
  <c r="CQ193" i="1"/>
  <c r="CO250" i="1"/>
  <c r="CN252" i="1"/>
  <c r="CF233" i="1"/>
  <c r="CA191" i="1"/>
  <c r="CB86" i="1"/>
  <c r="CB232" i="1"/>
  <c r="CB233" i="1" s="1"/>
  <c r="CD232" i="1"/>
  <c r="CD233" i="1" s="1"/>
  <c r="CU178" i="1"/>
  <c r="CB313" i="1"/>
  <c r="CB311" i="1"/>
  <c r="CE191" i="1"/>
  <c r="CF86" i="1"/>
  <c r="BZ233" i="1"/>
  <c r="CD86" i="1"/>
  <c r="CC191" i="1"/>
  <c r="BZ162" i="1"/>
  <c r="CA90" i="1"/>
  <c r="CD311" i="1"/>
  <c r="CD313" i="1"/>
  <c r="CF162" i="1"/>
  <c r="CG90" i="1"/>
  <c r="CH86" i="1"/>
  <c r="CG191" i="1"/>
  <c r="CB162" i="1"/>
  <c r="CC90" i="1"/>
  <c r="CD162" i="1"/>
  <c r="CE90" i="1"/>
  <c r="CF248" i="1"/>
  <c r="CF253" i="1"/>
  <c r="CJ256" i="1" s="1"/>
  <c r="BL253" i="1"/>
  <c r="BL248" i="1"/>
  <c r="CD253" i="1"/>
  <c r="CD248" i="1"/>
  <c r="CB253" i="1"/>
  <c r="CB248" i="1"/>
  <c r="BZ248" i="1"/>
  <c r="BZ253" i="1"/>
  <c r="BZ82" i="1"/>
  <c r="BZ87" i="1"/>
  <c r="CA317" i="1"/>
  <c r="CA318" i="1" s="1"/>
  <c r="CA84" i="1"/>
  <c r="BZ299" i="1"/>
  <c r="BZ300" i="1" s="1"/>
  <c r="CD83" i="1"/>
  <c r="BZ84" i="1"/>
  <c r="BZ317" i="1"/>
  <c r="CB165" i="1"/>
  <c r="CD165" i="1"/>
  <c r="CC317" i="1"/>
  <c r="CC318" i="1" s="1"/>
  <c r="CE263" i="1"/>
  <c r="CE265" i="1" s="1"/>
  <c r="CE223" i="1"/>
  <c r="CG251" i="1"/>
  <c r="CG253" i="1"/>
  <c r="CC299" i="1"/>
  <c r="CC300" i="1" s="1"/>
  <c r="CG83" i="1"/>
  <c r="Y113" i="1"/>
  <c r="CC82" i="1"/>
  <c r="CC293" i="1"/>
  <c r="CD317" i="1"/>
  <c r="CD318" i="1" s="1"/>
  <c r="CC165" i="1"/>
  <c r="CD293" i="1"/>
  <c r="CC84" i="1"/>
  <c r="CD84" i="1"/>
  <c r="CC83" i="1"/>
  <c r="CE249" i="1"/>
  <c r="CF263" i="1"/>
  <c r="CF265" i="1" s="1"/>
  <c r="CD93" i="1"/>
  <c r="CD95" i="1"/>
  <c r="CD312" i="1" s="1"/>
  <c r="CF165" i="1"/>
  <c r="CD101" i="1"/>
  <c r="CD105" i="1" s="1"/>
  <c r="CE84" i="1"/>
  <c r="CE165" i="1"/>
  <c r="CE293" i="1"/>
  <c r="CB93" i="1"/>
  <c r="CB94" i="1"/>
  <c r="CE317" i="1"/>
  <c r="CE318" i="1" s="1"/>
  <c r="CF317" i="1"/>
  <c r="CF318" i="1" s="1"/>
  <c r="CE299" i="1"/>
  <c r="CE300" i="1" s="1"/>
  <c r="CE83" i="1"/>
  <c r="CH165" i="1"/>
  <c r="CE82" i="1"/>
  <c r="CG165" i="1"/>
  <c r="CE87" i="1"/>
  <c r="CH293" i="1"/>
  <c r="CF84" i="1"/>
  <c r="CI83" i="1"/>
  <c r="CF293" i="1"/>
  <c r="BL94" i="1"/>
  <c r="BL93" i="1"/>
  <c r="CV247" i="1"/>
  <c r="AC215" i="1"/>
  <c r="CH155" i="1" l="1"/>
  <c r="CJ94" i="1"/>
  <c r="CJ93" i="1"/>
  <c r="CT251" i="1"/>
  <c r="CM253" i="1"/>
  <c r="CO68" i="1"/>
  <c r="CH156" i="1"/>
  <c r="CH157" i="1"/>
  <c r="CO246" i="1"/>
  <c r="CN249" i="1"/>
  <c r="CK95" i="1"/>
  <c r="CK101" i="1"/>
  <c r="CF91" i="1"/>
  <c r="CL97" i="1"/>
  <c r="CH94" i="1"/>
  <c r="CH93" i="1"/>
  <c r="CL95" i="1"/>
  <c r="CL101" i="1"/>
  <c r="CG156" i="1"/>
  <c r="CG157" i="1"/>
  <c r="CG161" i="1"/>
  <c r="CG160" i="1"/>
  <c r="X108" i="1"/>
  <c r="X91" i="1"/>
  <c r="CI94" i="1"/>
  <c r="CI93" i="1"/>
  <c r="CM93" i="1" s="1"/>
  <c r="CE116" i="1"/>
  <c r="CF118" i="1"/>
  <c r="CG91" i="1"/>
  <c r="CJ108" i="1"/>
  <c r="Y108" i="1"/>
  <c r="Y91" i="1"/>
  <c r="CG265" i="1"/>
  <c r="CH96" i="1"/>
  <c r="CL96" i="1"/>
  <c r="CC93" i="1"/>
  <c r="CA93" i="1"/>
  <c r="CD108" i="1"/>
  <c r="CA105" i="1"/>
  <c r="CA172" i="1"/>
  <c r="CA173" i="1" s="1"/>
  <c r="CA274" i="1" s="1"/>
  <c r="CA272" i="1" s="1"/>
  <c r="CA301" i="1"/>
  <c r="Z181" i="1"/>
  <c r="CA95" i="1"/>
  <c r="CA312" i="1" s="1"/>
  <c r="BY94" i="1"/>
  <c r="CC96" i="1" s="1"/>
  <c r="AE7" i="1"/>
  <c r="AE12" i="1" s="1"/>
  <c r="AE35" i="1"/>
  <c r="CP62" i="1"/>
  <c r="CQ62" i="1" s="1"/>
  <c r="CR62" i="1" s="1"/>
  <c r="CS62" i="1" s="1"/>
  <c r="CT62" i="1" s="1"/>
  <c r="CQ269" i="1"/>
  <c r="CR193" i="1"/>
  <c r="CP250" i="1"/>
  <c r="CO252" i="1"/>
  <c r="CN316" i="1"/>
  <c r="CN273" i="1"/>
  <c r="CK97" i="1"/>
  <c r="CP177" i="1"/>
  <c r="CO181" i="1"/>
  <c r="CU251" i="1"/>
  <c r="CG270" i="1"/>
  <c r="CG268" i="1" s="1"/>
  <c r="CA270" i="1"/>
  <c r="CA268" i="1" s="1"/>
  <c r="CB270" i="1"/>
  <c r="CB268" i="1" s="1"/>
  <c r="CE270" i="1"/>
  <c r="CE268" i="1" s="1"/>
  <c r="CF270" i="1"/>
  <c r="CF268" i="1" s="1"/>
  <c r="CV178" i="1"/>
  <c r="CD270" i="1"/>
  <c r="CD268" i="1" s="1"/>
  <c r="CC270" i="1"/>
  <c r="CC268" i="1" s="1"/>
  <c r="CF256" i="1"/>
  <c r="CD256" i="1"/>
  <c r="BZ91" i="1"/>
  <c r="CB108" i="1"/>
  <c r="CD294" i="1"/>
  <c r="CC301" i="1"/>
  <c r="CC101" i="1"/>
  <c r="CC95" i="1"/>
  <c r="CC312" i="1" s="1"/>
  <c r="CD97" i="1"/>
  <c r="CE248" i="1"/>
  <c r="CE253" i="1"/>
  <c r="CC97" i="1"/>
  <c r="CD260" i="1"/>
  <c r="CD262" i="1" s="1"/>
  <c r="CF108" i="1"/>
  <c r="CE91" i="1"/>
  <c r="CB101" i="1"/>
  <c r="CB97" i="1"/>
  <c r="CB301" i="1"/>
  <c r="CB95" i="1"/>
  <c r="CB312" i="1" s="1"/>
  <c r="BL101" i="1"/>
  <c r="BL95" i="1"/>
  <c r="BL312" i="1" s="1"/>
  <c r="CM117" i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W247" i="1"/>
  <c r="AE215" i="1"/>
  <c r="AD215" i="1"/>
  <c r="CJ95" i="1" l="1"/>
  <c r="CJ312" i="1" s="1"/>
  <c r="CJ301" i="1"/>
  <c r="CJ101" i="1"/>
  <c r="CP68" i="1"/>
  <c r="CK119" i="1"/>
  <c r="CK105" i="1"/>
  <c r="CN253" i="1"/>
  <c r="CP246" i="1"/>
  <c r="CO249" i="1"/>
  <c r="CF94" i="1"/>
  <c r="CF93" i="1"/>
  <c r="AA316" i="1"/>
  <c r="AA273" i="1"/>
  <c r="CI97" i="1"/>
  <c r="CH301" i="1"/>
  <c r="CH101" i="1"/>
  <c r="CH95" i="1"/>
  <c r="CH312" i="1" s="1"/>
  <c r="CN93" i="1"/>
  <c r="CL119" i="1"/>
  <c r="CL105" i="1"/>
  <c r="CI95" i="1"/>
  <c r="CI312" i="1" s="1"/>
  <c r="CI301" i="1"/>
  <c r="CI101" i="1"/>
  <c r="CJ97" i="1"/>
  <c r="CF152" i="1"/>
  <c r="CF161" i="1"/>
  <c r="CF164" i="1" s="1"/>
  <c r="CF167" i="1" s="1"/>
  <c r="CF160" i="1"/>
  <c r="CF163" i="1" s="1"/>
  <c r="CF166" i="1" s="1"/>
  <c r="CF145" i="1"/>
  <c r="CG94" i="1"/>
  <c r="CG93" i="1"/>
  <c r="CD116" i="1"/>
  <c r="CE118" i="1"/>
  <c r="X94" i="1"/>
  <c r="X93" i="1"/>
  <c r="Y94" i="1"/>
  <c r="Y114" i="1" s="1"/>
  <c r="Y93" i="1"/>
  <c r="BY95" i="1"/>
  <c r="BY312" i="1" s="1"/>
  <c r="BY101" i="1"/>
  <c r="BY105" i="1" s="1"/>
  <c r="CA182" i="1"/>
  <c r="AA37" i="1"/>
  <c r="Z273" i="1"/>
  <c r="Z316" i="1"/>
  <c r="Z11" i="1" s="1"/>
  <c r="CH188" i="1" s="1"/>
  <c r="CI188" i="1" s="1"/>
  <c r="CH189" i="1"/>
  <c r="CI189" i="1" s="1"/>
  <c r="CQ68" i="1"/>
  <c r="CR68" i="1" s="1"/>
  <c r="CO253" i="1"/>
  <c r="CR269" i="1"/>
  <c r="CS193" i="1"/>
  <c r="CQ246" i="1"/>
  <c r="CP249" i="1"/>
  <c r="CQ177" i="1"/>
  <c r="CP181" i="1"/>
  <c r="CQ250" i="1"/>
  <c r="CP252" i="1"/>
  <c r="CO316" i="1"/>
  <c r="CO273" i="1"/>
  <c r="CJ119" i="1"/>
  <c r="CJ105" i="1"/>
  <c r="CV251" i="1"/>
  <c r="CV248" i="1"/>
  <c r="CW178" i="1"/>
  <c r="BZ94" i="1"/>
  <c r="BZ93" i="1"/>
  <c r="CD107" i="1"/>
  <c r="CC105" i="1"/>
  <c r="CC172" i="1"/>
  <c r="CC173" i="1" s="1"/>
  <c r="CC260" i="1"/>
  <c r="CC262" i="1" s="1"/>
  <c r="CB105" i="1"/>
  <c r="CB260" i="1"/>
  <c r="CB262" i="1" s="1"/>
  <c r="CB274" i="1"/>
  <c r="CB272" i="1" s="1"/>
  <c r="CE94" i="1"/>
  <c r="CE93" i="1"/>
  <c r="BL260" i="1"/>
  <c r="BL262" i="1" s="1"/>
  <c r="BL105" i="1"/>
  <c r="CX247" i="1"/>
  <c r="AB179" i="1"/>
  <c r="AB189" i="1"/>
  <c r="AB188" i="1"/>
  <c r="AB180" i="1"/>
  <c r="AB175" i="1"/>
  <c r="AB216" i="1"/>
  <c r="AB197" i="1"/>
  <c r="AB171" i="1"/>
  <c r="CF301" i="1" l="1"/>
  <c r="CH105" i="1"/>
  <c r="CJ260" i="1"/>
  <c r="CJ262" i="1" s="1"/>
  <c r="CF96" i="1"/>
  <c r="CF95" i="1"/>
  <c r="CF312" i="1" s="1"/>
  <c r="CJ96" i="1"/>
  <c r="CF101" i="1"/>
  <c r="AA114" i="1"/>
  <c r="CH260" i="1"/>
  <c r="CH262" i="1" s="1"/>
  <c r="CH119" i="1"/>
  <c r="CO93" i="1"/>
  <c r="CF157" i="1"/>
  <c r="CF156" i="1"/>
  <c r="CG96" i="1"/>
  <c r="CG97" i="1"/>
  <c r="CI294" i="1"/>
  <c r="Y101" i="1"/>
  <c r="X301" i="1"/>
  <c r="X95" i="1"/>
  <c r="X312" i="1" s="1"/>
  <c r="Y96" i="1"/>
  <c r="X101" i="1"/>
  <c r="CK96" i="1"/>
  <c r="CG95" i="1"/>
  <c r="CG312" i="1" s="1"/>
  <c r="CG301" i="1"/>
  <c r="CG101" i="1"/>
  <c r="CJ294" i="1"/>
  <c r="CH97" i="1"/>
  <c r="CF155" i="1"/>
  <c r="CF147" i="1"/>
  <c r="CF148" i="1"/>
  <c r="CF149" i="1"/>
  <c r="CE152" i="1"/>
  <c r="CE160" i="1"/>
  <c r="CE161" i="1"/>
  <c r="CI172" i="1"/>
  <c r="CI105" i="1"/>
  <c r="CI119" i="1"/>
  <c r="CL122" i="1" s="1"/>
  <c r="CL125" i="1" s="1"/>
  <c r="CI260" i="1"/>
  <c r="CI262" i="1" s="1"/>
  <c r="CC116" i="1"/>
  <c r="CD118" i="1"/>
  <c r="Y301" i="1"/>
  <c r="Y95" i="1"/>
  <c r="Y312" i="1" s="1"/>
  <c r="BY260" i="1"/>
  <c r="BY262" i="1" s="1"/>
  <c r="CS68" i="1"/>
  <c r="CT68" i="1" s="1"/>
  <c r="CU68" i="1" s="1"/>
  <c r="CP253" i="1"/>
  <c r="CR246" i="1"/>
  <c r="CQ249" i="1"/>
  <c r="CR177" i="1"/>
  <c r="CQ181" i="1"/>
  <c r="CS269" i="1"/>
  <c r="CT193" i="1"/>
  <c r="CP316" i="1"/>
  <c r="CP273" i="1"/>
  <c r="CR250" i="1"/>
  <c r="CQ252" i="1"/>
  <c r="CW251" i="1"/>
  <c r="CW248" i="1"/>
  <c r="CX178" i="1"/>
  <c r="BZ95" i="1"/>
  <c r="BZ312" i="1" s="1"/>
  <c r="BZ97" i="1"/>
  <c r="CC294" i="1"/>
  <c r="BZ101" i="1"/>
  <c r="CC107" i="1" s="1"/>
  <c r="BZ301" i="1"/>
  <c r="CD96" i="1"/>
  <c r="CA97" i="1"/>
  <c r="CF260" i="1"/>
  <c r="CF262" i="1" s="1"/>
  <c r="CF266" i="1" s="1"/>
  <c r="CF280" i="1" s="1"/>
  <c r="CF105" i="1"/>
  <c r="CF119" i="1"/>
  <c r="CC182" i="1"/>
  <c r="CC108" i="1" s="1"/>
  <c r="CC274" i="1"/>
  <c r="CC272" i="1" s="1"/>
  <c r="CD274" i="1"/>
  <c r="CD272" i="1" s="1"/>
  <c r="CG294" i="1"/>
  <c r="CI96" i="1"/>
  <c r="CH294" i="1"/>
  <c r="CE97" i="1"/>
  <c r="CE95" i="1"/>
  <c r="CE312" i="1" s="1"/>
  <c r="CE96" i="1"/>
  <c r="CF97" i="1"/>
  <c r="CE101" i="1"/>
  <c r="CF294" i="1"/>
  <c r="CE294" i="1"/>
  <c r="CE301" i="1"/>
  <c r="CY247" i="1"/>
  <c r="AC189" i="1"/>
  <c r="AC179" i="1"/>
  <c r="AB231" i="1"/>
  <c r="AC175" i="1"/>
  <c r="AC216" i="1"/>
  <c r="AB207" i="1"/>
  <c r="AB219" i="1"/>
  <c r="AC197" i="1"/>
  <c r="AC180" i="1"/>
  <c r="AB221" i="1"/>
  <c r="AC171" i="1"/>
  <c r="AC188" i="1"/>
  <c r="CK122" i="1" l="1"/>
  <c r="CK138" i="1" s="1"/>
  <c r="CP93" i="1"/>
  <c r="CG260" i="1"/>
  <c r="CG262" i="1" s="1"/>
  <c r="CG266" i="1" s="1"/>
  <c r="CG280" i="1" s="1"/>
  <c r="X260" i="1"/>
  <c r="X262" i="1" s="1"/>
  <c r="Y274" i="1"/>
  <c r="Y272" i="1" s="1"/>
  <c r="Y107" i="1"/>
  <c r="Y260" i="1"/>
  <c r="Y262" i="1" s="1"/>
  <c r="Y266" i="1" s="1"/>
  <c r="Y280" i="1" s="1"/>
  <c r="Y105" i="1"/>
  <c r="CG105" i="1"/>
  <c r="CG119" i="1"/>
  <c r="CJ122" i="1" s="1"/>
  <c r="CJ107" i="1"/>
  <c r="CG172" i="1"/>
  <c r="CG173" i="1" s="1"/>
  <c r="CE155" i="1"/>
  <c r="CE156" i="1"/>
  <c r="CE157" i="1"/>
  <c r="CD152" i="1"/>
  <c r="CD145" i="1"/>
  <c r="CD160" i="1"/>
  <c r="CD163" i="1" s="1"/>
  <c r="CD166" i="1" s="1"/>
  <c r="CD161" i="1"/>
  <c r="CD164" i="1" s="1"/>
  <c r="CD167" i="1" s="1"/>
  <c r="CD119" i="1"/>
  <c r="X105" i="1"/>
  <c r="X107" i="1"/>
  <c r="CB116" i="1"/>
  <c r="CC118" i="1"/>
  <c r="Z228" i="1"/>
  <c r="AA276" i="1" s="1"/>
  <c r="CK140" i="1"/>
  <c r="CI122" i="1"/>
  <c r="CI138" i="1" s="1"/>
  <c r="CV68" i="1"/>
  <c r="CW68" i="1" s="1"/>
  <c r="CQ253" i="1"/>
  <c r="CS250" i="1"/>
  <c r="CR252" i="1"/>
  <c r="CS246" i="1"/>
  <c r="CR249" i="1"/>
  <c r="CT269" i="1"/>
  <c r="CU193" i="1"/>
  <c r="CU269" i="1" s="1"/>
  <c r="CS177" i="1"/>
  <c r="CR181" i="1"/>
  <c r="CQ316" i="1"/>
  <c r="CQ273" i="1"/>
  <c r="CX248" i="1"/>
  <c r="CX251" i="1"/>
  <c r="CY178" i="1"/>
  <c r="CB107" i="1"/>
  <c r="BZ105" i="1"/>
  <c r="BZ260" i="1"/>
  <c r="BZ262" i="1" s="1"/>
  <c r="CE105" i="1"/>
  <c r="CE172" i="1"/>
  <c r="CE173" i="1" s="1"/>
  <c r="CE107" i="1" s="1"/>
  <c r="CE260" i="1"/>
  <c r="CE262" i="1" s="1"/>
  <c r="CE266" i="1" s="1"/>
  <c r="CE280" i="1" s="1"/>
  <c r="CE119" i="1"/>
  <c r="CF107" i="1"/>
  <c r="CZ247" i="1"/>
  <c r="AE189" i="1"/>
  <c r="AD189" i="1"/>
  <c r="AE179" i="1"/>
  <c r="AD179" i="1"/>
  <c r="AC231" i="1"/>
  <c r="AE216" i="1"/>
  <c r="AD216" i="1"/>
  <c r="AE197" i="1"/>
  <c r="AD197" i="1"/>
  <c r="AD171" i="1"/>
  <c r="AE171" i="1"/>
  <c r="AC219" i="1"/>
  <c r="AE180" i="1"/>
  <c r="AD180" i="1"/>
  <c r="AE188" i="1"/>
  <c r="AD188" i="1"/>
  <c r="AC221" i="1"/>
  <c r="AC207" i="1"/>
  <c r="AE175" i="1"/>
  <c r="AD175" i="1"/>
  <c r="CA116" i="1" l="1"/>
  <c r="CB118" i="1"/>
  <c r="CC152" i="1"/>
  <c r="CC119" i="1"/>
  <c r="CK139" i="1"/>
  <c r="CG107" i="1"/>
  <c r="CQ93" i="1"/>
  <c r="CR93" i="1"/>
  <c r="Y277" i="1"/>
  <c r="Y278" i="1" s="1"/>
  <c r="CJ139" i="1"/>
  <c r="CD147" i="1"/>
  <c r="CD149" i="1"/>
  <c r="CD148" i="1"/>
  <c r="CJ140" i="1"/>
  <c r="CJ138" i="1"/>
  <c r="CD155" i="1"/>
  <c r="CD157" i="1"/>
  <c r="CD156" i="1"/>
  <c r="CG145" i="1"/>
  <c r="CG274" i="1"/>
  <c r="CG272" i="1" s="1"/>
  <c r="CG277" i="1" s="1"/>
  <c r="CG226" i="1" s="1"/>
  <c r="CG228" i="1" s="1"/>
  <c r="CG182" i="1"/>
  <c r="CG108" i="1" s="1"/>
  <c r="CC145" i="1"/>
  <c r="Z235" i="1"/>
  <c r="Z162" i="1" s="1"/>
  <c r="CI140" i="1"/>
  <c r="CX68" i="1"/>
  <c r="CY68" i="1" s="1"/>
  <c r="CI139" i="1"/>
  <c r="CB152" i="1"/>
  <c r="CB145" i="1"/>
  <c r="CB119" i="1"/>
  <c r="CE122" i="1" s="1"/>
  <c r="CT246" i="1"/>
  <c r="CS249" i="1"/>
  <c r="CT177" i="1"/>
  <c r="CS181" i="1"/>
  <c r="CR316" i="1"/>
  <c r="CR273" i="1"/>
  <c r="CV193" i="1"/>
  <c r="CV269" i="1" s="1"/>
  <c r="CT250" i="1"/>
  <c r="CS252" i="1"/>
  <c r="BZ116" i="1"/>
  <c r="CA118" i="1"/>
  <c r="CR253" i="1"/>
  <c r="CY251" i="1"/>
  <c r="CY248" i="1"/>
  <c r="CZ178" i="1"/>
  <c r="CF122" i="1"/>
  <c r="CH122" i="1"/>
  <c r="CL123" i="1" s="1"/>
  <c r="CG122" i="1"/>
  <c r="CK123" i="1" s="1"/>
  <c r="CE145" i="1"/>
  <c r="CF274" i="1"/>
  <c r="CF272" i="1" s="1"/>
  <c r="CE182" i="1"/>
  <c r="CE108" i="1" s="1"/>
  <c r="CE274" i="1"/>
  <c r="CE272" i="1" s="1"/>
  <c r="CE277" i="1" s="1"/>
  <c r="CE226" i="1" s="1"/>
  <c r="CE228" i="1" s="1"/>
  <c r="CE232" i="1" s="1"/>
  <c r="DA247" i="1"/>
  <c r="AE231" i="1"/>
  <c r="AD231" i="1"/>
  <c r="AE219" i="1"/>
  <c r="AD219" i="1"/>
  <c r="AE221" i="1"/>
  <c r="AD221" i="1"/>
  <c r="AE207" i="1"/>
  <c r="AD207" i="1"/>
  <c r="BY298" i="1"/>
  <c r="CS93" i="1" l="1"/>
  <c r="CT93" i="1"/>
  <c r="CG148" i="1"/>
  <c r="CG147" i="1"/>
  <c r="CG149" i="1"/>
  <c r="CH276" i="1"/>
  <c r="CG311" i="1"/>
  <c r="CG313" i="1"/>
  <c r="CG232" i="1"/>
  <c r="CG233" i="1" s="1"/>
  <c r="CG235" i="1"/>
  <c r="CG278" i="1"/>
  <c r="CG315" i="1"/>
  <c r="CZ68" i="1"/>
  <c r="DA68" i="1" s="1"/>
  <c r="DB68" i="1" s="1"/>
  <c r="CS253" i="1"/>
  <c r="CU177" i="1"/>
  <c r="CT181" i="1"/>
  <c r="CA119" i="1"/>
  <c r="CD122" i="1" s="1"/>
  <c r="CH123" i="1" s="1"/>
  <c r="CA145" i="1"/>
  <c r="CS316" i="1"/>
  <c r="CS273" i="1"/>
  <c r="BY116" i="1"/>
  <c r="BZ118" i="1"/>
  <c r="CU250" i="1"/>
  <c r="CT252" i="1"/>
  <c r="CU246" i="1"/>
  <c r="CT249" i="1"/>
  <c r="CW193" i="1"/>
  <c r="CW269" i="1" s="1"/>
  <c r="CZ248" i="1"/>
  <c r="CZ251" i="1"/>
  <c r="DA178" i="1"/>
  <c r="CE147" i="1"/>
  <c r="CE148" i="1"/>
  <c r="CE149" i="1"/>
  <c r="CE311" i="1"/>
  <c r="CE138" i="1"/>
  <c r="CE139" i="1"/>
  <c r="CI123" i="1"/>
  <c r="CE140" i="1"/>
  <c r="CE315" i="1"/>
  <c r="CG138" i="1"/>
  <c r="CG140" i="1"/>
  <c r="CG139" i="1"/>
  <c r="CE235" i="1"/>
  <c r="CE162" i="1" s="1"/>
  <c r="CE164" i="1" s="1"/>
  <c r="CE167" i="1" s="1"/>
  <c r="CF276" i="1"/>
  <c r="CF277" i="1" s="1"/>
  <c r="CF278" i="1" s="1"/>
  <c r="CE313" i="1"/>
  <c r="CH139" i="1"/>
  <c r="CK143" i="1" s="1"/>
  <c r="CH138" i="1"/>
  <c r="CH140" i="1"/>
  <c r="CE278" i="1"/>
  <c r="CJ123" i="1"/>
  <c r="CF140" i="1"/>
  <c r="CF138" i="1"/>
  <c r="CF139" i="1"/>
  <c r="CU62" i="1"/>
  <c r="CV62" i="1" s="1"/>
  <c r="DB247" i="1"/>
  <c r="CE233" i="1"/>
  <c r="AB71" i="1"/>
  <c r="CU93" i="1" l="1"/>
  <c r="CH90" i="1"/>
  <c r="CG162" i="1"/>
  <c r="CT253" i="1"/>
  <c r="CV246" i="1"/>
  <c r="CU249" i="1"/>
  <c r="CD139" i="1"/>
  <c r="CG143" i="1" s="1"/>
  <c r="CD138" i="1"/>
  <c r="CD140" i="1"/>
  <c r="CV250" i="1"/>
  <c r="CU252" i="1"/>
  <c r="BX116" i="1"/>
  <c r="BW116" i="1" s="1"/>
  <c r="BV116" i="1" s="1"/>
  <c r="BU116" i="1" s="1"/>
  <c r="BT116" i="1" s="1"/>
  <c r="BS116" i="1" s="1"/>
  <c r="BR116" i="1" s="1"/>
  <c r="BQ116" i="1" s="1"/>
  <c r="BP116" i="1" s="1"/>
  <c r="BO116" i="1" s="1"/>
  <c r="BN116" i="1" s="1"/>
  <c r="BM116" i="1" s="1"/>
  <c r="BL116" i="1" s="1"/>
  <c r="BY118" i="1"/>
  <c r="BY119" i="1" s="1"/>
  <c r="CT316" i="1"/>
  <c r="CT273" i="1"/>
  <c r="BZ145" i="1"/>
  <c r="BZ119" i="1"/>
  <c r="CC122" i="1" s="1"/>
  <c r="CG123" i="1" s="1"/>
  <c r="CX193" i="1"/>
  <c r="CY193" i="1" s="1"/>
  <c r="CV177" i="1"/>
  <c r="CU181" i="1"/>
  <c r="DA251" i="1"/>
  <c r="DA248" i="1"/>
  <c r="DB178" i="1"/>
  <c r="CJ143" i="1"/>
  <c r="CH143" i="1"/>
  <c r="CF90" i="1"/>
  <c r="CI143" i="1"/>
  <c r="CW62" i="1"/>
  <c r="CE163" i="1"/>
  <c r="CE166" i="1" s="1"/>
  <c r="AC71" i="1"/>
  <c r="BY299" i="1"/>
  <c r="BY300" i="1" s="1"/>
  <c r="CV93" i="1" l="1"/>
  <c r="CW93" i="1"/>
  <c r="CG164" i="1"/>
  <c r="CG167" i="1" s="1"/>
  <c r="CG163" i="1"/>
  <c r="CG166" i="1" s="1"/>
  <c r="CX269" i="1"/>
  <c r="CB122" i="1"/>
  <c r="CF123" i="1" s="1"/>
  <c r="BK116" i="1"/>
  <c r="BJ116" i="1" s="1"/>
  <c r="BI116" i="1" s="1"/>
  <c r="BH116" i="1" s="1"/>
  <c r="BG116" i="1" s="1"/>
  <c r="BF116" i="1" s="1"/>
  <c r="BE116" i="1" s="1"/>
  <c r="BD116" i="1" s="1"/>
  <c r="BC116" i="1" s="1"/>
  <c r="BB116" i="1" s="1"/>
  <c r="BA116" i="1" s="1"/>
  <c r="AZ116" i="1" s="1"/>
  <c r="AY116" i="1" s="1"/>
  <c r="AX116" i="1" s="1"/>
  <c r="AW116" i="1" s="1"/>
  <c r="AV116" i="1" s="1"/>
  <c r="AU116" i="1" s="1"/>
  <c r="AT116" i="1" s="1"/>
  <c r="AS116" i="1" s="1"/>
  <c r="AR116" i="1" s="1"/>
  <c r="AQ116" i="1" s="1"/>
  <c r="AP116" i="1" s="1"/>
  <c r="AO116" i="1" s="1"/>
  <c r="AN116" i="1" s="1"/>
  <c r="AM116" i="1" s="1"/>
  <c r="AL116" i="1" s="1"/>
  <c r="BL118" i="1"/>
  <c r="CU316" i="1"/>
  <c r="CU273" i="1"/>
  <c r="CY269" i="1"/>
  <c r="CZ193" i="1"/>
  <c r="CW250" i="1"/>
  <c r="CV252" i="1"/>
  <c r="CU253" i="1"/>
  <c r="CW177" i="1"/>
  <c r="CV181" i="1"/>
  <c r="CW246" i="1"/>
  <c r="CV249" i="1"/>
  <c r="DB248" i="1"/>
  <c r="DB251" i="1"/>
  <c r="CX62" i="1"/>
  <c r="CY62" i="1" s="1"/>
  <c r="CZ62" i="1" s="1"/>
  <c r="AD71" i="1"/>
  <c r="BY301" i="1"/>
  <c r="CX93" i="1" l="1"/>
  <c r="CY93" i="1"/>
  <c r="CZ93" i="1"/>
  <c r="CV316" i="1"/>
  <c r="CV273" i="1"/>
  <c r="CX177" i="1"/>
  <c r="CW181" i="1"/>
  <c r="CZ269" i="1"/>
  <c r="DA193" i="1"/>
  <c r="DB193" i="1" s="1"/>
  <c r="DB269" i="1" s="1"/>
  <c r="CV253" i="1"/>
  <c r="BL145" i="1"/>
  <c r="BL119" i="1"/>
  <c r="CX250" i="1"/>
  <c r="CW252" i="1"/>
  <c r="CX246" i="1"/>
  <c r="CW249" i="1"/>
  <c r="AK116" i="1"/>
  <c r="AJ116" i="1" s="1"/>
  <c r="AI116" i="1" s="1"/>
  <c r="AL118" i="1"/>
  <c r="DA62" i="1"/>
  <c r="DB62" i="1" s="1"/>
  <c r="AE71" i="1"/>
  <c r="DA93" i="1" l="1"/>
  <c r="DB93" i="1"/>
  <c r="CW253" i="1"/>
  <c r="DA269" i="1"/>
  <c r="CW316" i="1"/>
  <c r="CW273" i="1"/>
  <c r="CY177" i="1"/>
  <c r="CX181" i="1"/>
  <c r="CY246" i="1"/>
  <c r="CX249" i="1"/>
  <c r="CY250" i="1"/>
  <c r="CX252" i="1"/>
  <c r="BI118" i="1"/>
  <c r="AT118" i="1"/>
  <c r="BT118" i="1"/>
  <c r="AV118" i="1"/>
  <c r="AX118" i="1"/>
  <c r="AR118" i="1"/>
  <c r="CX253" i="1" l="1"/>
  <c r="CX316" i="1"/>
  <c r="CX273" i="1"/>
  <c r="CZ250" i="1"/>
  <c r="CY252" i="1"/>
  <c r="CZ246" i="1"/>
  <c r="CY249" i="1"/>
  <c r="CZ177" i="1"/>
  <c r="CY181" i="1"/>
  <c r="AO118" i="1"/>
  <c r="BK118" i="1"/>
  <c r="AN118" i="1"/>
  <c r="AW118" i="1"/>
  <c r="BB118" i="1"/>
  <c r="BM118" i="1"/>
  <c r="BQ118" i="1"/>
  <c r="AJ118" i="1"/>
  <c r="BS118" i="1"/>
  <c r="BR118" i="1"/>
  <c r="BO118" i="1"/>
  <c r="AM118" i="1"/>
  <c r="AI118" i="1"/>
  <c r="AP118" i="1"/>
  <c r="AZ118" i="1"/>
  <c r="AS118" i="1"/>
  <c r="BN118" i="1"/>
  <c r="BU118" i="1"/>
  <c r="BA118" i="1"/>
  <c r="BC118" i="1"/>
  <c r="AU118" i="1"/>
  <c r="BW118" i="1"/>
  <c r="BP118" i="1"/>
  <c r="BJ118" i="1"/>
  <c r="BH118" i="1"/>
  <c r="BX118" i="1"/>
  <c r="BG118" i="1"/>
  <c r="AQ118" i="1"/>
  <c r="AY118" i="1"/>
  <c r="AK118" i="1"/>
  <c r="BE118" i="1"/>
  <c r="BD118" i="1"/>
  <c r="BV118" i="1"/>
  <c r="BF118" i="1"/>
  <c r="CY253" i="1" l="1"/>
  <c r="CY316" i="1"/>
  <c r="CY273" i="1"/>
  <c r="DA177" i="1"/>
  <c r="CZ181" i="1"/>
  <c r="DA246" i="1"/>
  <c r="CZ249" i="1"/>
  <c r="DA250" i="1"/>
  <c r="CZ252" i="1"/>
  <c r="BL298" i="1"/>
  <c r="DB250" i="1" l="1"/>
  <c r="DB252" i="1" s="1"/>
  <c r="DA252" i="1"/>
  <c r="CZ253" i="1"/>
  <c r="DB246" i="1"/>
  <c r="DB249" i="1" s="1"/>
  <c r="DA249" i="1"/>
  <c r="CZ273" i="1"/>
  <c r="CZ316" i="1"/>
  <c r="DB177" i="1"/>
  <c r="DB181" i="1" s="1"/>
  <c r="DA181" i="1"/>
  <c r="AB193" i="1"/>
  <c r="DA253" i="1" l="1"/>
  <c r="DB253" i="1"/>
  <c r="DA316" i="1"/>
  <c r="DA273" i="1"/>
  <c r="DB316" i="1"/>
  <c r="DB273" i="1"/>
  <c r="CN130" i="1"/>
  <c r="AB269" i="1"/>
  <c r="CO130" i="1" l="1"/>
  <c r="CM116" i="1"/>
  <c r="CP130" i="1" l="1"/>
  <c r="CN116" i="1"/>
  <c r="CM118" i="1"/>
  <c r="L9" i="2"/>
  <c r="AS47" i="3"/>
  <c r="DL9" i="4" a="1"/>
  <c r="AZ8" i="4" a="1"/>
  <c r="BM5" i="4" a="1"/>
  <c r="CW16" i="4" a="1"/>
  <c r="R15" i="4" a="1"/>
  <c r="O18" i="2"/>
  <c r="N13" i="2"/>
  <c r="D28" i="3"/>
  <c r="BC5" i="4" a="1"/>
  <c r="M16" i="4" a="1"/>
  <c r="DD7" i="4" a="1"/>
  <c r="G22" i="2"/>
  <c r="T26" i="2"/>
  <c r="G27" i="2"/>
  <c r="J46" i="3"/>
  <c r="BQ7" i="4" a="1"/>
  <c r="DL5" i="4" a="1"/>
  <c r="DC8" i="4" a="1"/>
  <c r="CU7" i="4" a="1"/>
  <c r="DS11" i="4" a="1"/>
  <c r="E31" i="2"/>
  <c r="E21" i="2"/>
  <c r="BU12" i="4" a="1"/>
  <c r="DO6" i="4" a="1"/>
  <c r="CM14" i="4" a="1"/>
  <c r="CQ16" i="4" a="1"/>
  <c r="D35" i="2"/>
  <c r="G20" i="2"/>
  <c r="W28" i="2"/>
  <c r="AR30" i="3"/>
  <c r="DH8" i="4" a="1"/>
  <c r="AO14" i="4" a="1"/>
  <c r="DS16" i="4" a="1"/>
  <c r="BW9" i="4" a="1"/>
  <c r="Q46" i="2"/>
  <c r="E28" i="2"/>
  <c r="F33" i="3"/>
  <c r="DR5" i="4" a="1"/>
  <c r="BY14" i="4" a="1"/>
  <c r="D17" i="2"/>
  <c r="AR50" i="3"/>
  <c r="E7" i="3"/>
  <c r="W13" i="4" a="1"/>
  <c r="DX5" i="4" a="1"/>
  <c r="BX14" i="4" a="1"/>
  <c r="BG16" i="4" a="1"/>
  <c r="X9" i="2"/>
  <c r="S18" i="2"/>
  <c r="E36" i="3"/>
  <c r="DY8" i="4" a="1"/>
  <c r="BW7" i="4" a="1"/>
  <c r="F75" i="2"/>
  <c r="K59" i="2"/>
  <c r="AR33" i="3"/>
  <c r="DI14" i="4" a="1"/>
  <c r="EI12" i="4" a="1"/>
  <c r="AV14" i="4" a="1"/>
  <c r="DB5" i="4" a="1"/>
  <c r="Q19" i="2"/>
  <c r="U20" i="2"/>
  <c r="AI46" i="3"/>
  <c r="BV13" i="4" a="1"/>
  <c r="C21" i="2"/>
  <c r="P16" i="2"/>
  <c r="E11" i="3"/>
  <c r="D6" i="4" a="1"/>
  <c r="AL15" i="4" a="1"/>
  <c r="DW7" i="4" a="1"/>
  <c r="BL5" i="4" a="1"/>
  <c r="F13" i="2"/>
  <c r="R9" i="2"/>
  <c r="N15" i="2"/>
  <c r="BV5" i="4" a="1"/>
  <c r="F34" i="2"/>
  <c r="AR68" i="3"/>
  <c r="E15" i="3"/>
  <c r="AK6" i="4" a="1"/>
  <c r="AS8" i="4" a="1"/>
  <c r="CC7" i="4" a="1"/>
  <c r="EG9" i="4" a="1"/>
  <c r="O33" i="2"/>
  <c r="E36" i="2"/>
  <c r="AD9" i="3"/>
  <c r="O7" i="4" a="1"/>
  <c r="CD9" i="4" a="1"/>
  <c r="DH5" i="4" a="1"/>
  <c r="D26" i="2"/>
  <c r="L25" i="2"/>
  <c r="AD5" i="3"/>
  <c r="R21" i="2"/>
  <c r="M30" i="2"/>
  <c r="ED16" i="4" a="1"/>
  <c r="DF11" i="4" a="1"/>
  <c r="CC14" i="4" a="1"/>
  <c r="EC16" i="4" a="1"/>
  <c r="EH11" i="4" a="1"/>
  <c r="Q12" i="2"/>
  <c r="V17" i="2"/>
  <c r="E27" i="3"/>
  <c r="AY9" i="4" a="1"/>
  <c r="BR6" i="4" a="1"/>
  <c r="Z13" i="4" a="1"/>
  <c r="H49" i="2"/>
  <c r="O21" i="2"/>
  <c r="Y46" i="3"/>
  <c r="CP14" i="4" a="1"/>
  <c r="K8" i="2"/>
  <c r="R30" i="2"/>
  <c r="AM11" i="4" a="1"/>
  <c r="BV15" i="4" a="1"/>
  <c r="CF15" i="4" a="1"/>
  <c r="CP16" i="4" a="1"/>
  <c r="W16" i="2"/>
  <c r="I10" i="2"/>
  <c r="E40" i="3"/>
  <c r="BU7" i="4" a="1"/>
  <c r="BV16" i="4" a="1"/>
  <c r="V11" i="4" a="1"/>
  <c r="DW9" i="4" a="1"/>
  <c r="BK14" i="4" a="1"/>
  <c r="V5" i="2"/>
  <c r="D25" i="2"/>
  <c r="AI16" i="4" a="1"/>
  <c r="DZ6" i="4" a="1"/>
  <c r="H14" i="4" a="1"/>
  <c r="BT11" i="4" a="1"/>
  <c r="CZ12" i="4" a="1"/>
  <c r="S31" i="2"/>
  <c r="BZ13" i="4" a="1"/>
  <c r="I16" i="2"/>
  <c r="N8" i="2"/>
  <c r="DM6" i="4" a="1"/>
  <c r="DQ15" i="4" a="1"/>
  <c r="CY14" i="4" a="1"/>
  <c r="E5" i="4" a="1"/>
  <c r="W12" i="2"/>
  <c r="R26" i="2"/>
  <c r="D35" i="3"/>
  <c r="BD5" i="4" a="1"/>
  <c r="L7" i="4" a="1"/>
  <c r="DJ11" i="4" a="1"/>
  <c r="BH5" i="4" a="1"/>
  <c r="H18" i="2"/>
  <c r="DV6" i="4" a="1"/>
  <c r="M19" i="2"/>
  <c r="AR73" i="3"/>
  <c r="DT12" i="4" a="1"/>
  <c r="U5" i="4" a="1"/>
  <c r="CO5" i="4" a="1"/>
  <c r="EA12" i="4" a="1"/>
  <c r="S62" i="2"/>
  <c r="T32" i="2"/>
  <c r="D14" i="3"/>
  <c r="DP11" i="4" a="1"/>
  <c r="L11" i="4" a="1"/>
  <c r="DP9" i="4" a="1"/>
  <c r="M36" i="2"/>
  <c r="CL6" i="4" a="1"/>
  <c r="W13" i="2"/>
  <c r="S10" i="2"/>
  <c r="X16" i="4" a="1"/>
  <c r="DA11" i="4" a="1"/>
  <c r="AW13" i="4" a="1"/>
  <c r="P6" i="2"/>
  <c r="D39" i="3"/>
  <c r="K14" i="4" a="1"/>
  <c r="BF14" i="4" a="1"/>
  <c r="M45" i="3"/>
  <c r="H54" i="2"/>
  <c r="E9" i="4" a="1"/>
  <c r="G16" i="2"/>
  <c r="F8" i="2"/>
  <c r="BJ12" i="4" a="1"/>
  <c r="AX16" i="4" a="1"/>
  <c r="BP14" i="4" a="1"/>
  <c r="BW8" i="4" a="1"/>
  <c r="V33" i="2"/>
  <c r="AR88" i="3"/>
  <c r="P7" i="2"/>
  <c r="CV8" i="4" a="1"/>
  <c r="AE16" i="4" a="1"/>
  <c r="CR11" i="4" a="1"/>
  <c r="P24" i="2"/>
  <c r="G10" i="3"/>
  <c r="AX6" i="4" a="1"/>
  <c r="AD15" i="4" a="1"/>
  <c r="CT11" i="4" a="1"/>
  <c r="DD11" i="4" a="1"/>
  <c r="M26" i="2"/>
  <c r="V46" i="3"/>
  <c r="AO5" i="4" a="1"/>
  <c r="BQ15" i="4" a="1"/>
  <c r="DC5" i="4" a="1"/>
  <c r="D19" i="2"/>
  <c r="G25" i="2"/>
  <c r="E25" i="3"/>
  <c r="DV7" i="4" a="1"/>
  <c r="O15" i="2"/>
  <c r="N16" i="4" a="1"/>
  <c r="DL6" i="4" a="1"/>
  <c r="AN5" i="4" a="1"/>
  <c r="T14" i="2"/>
  <c r="G24" i="3"/>
  <c r="BI16" i="4" a="1"/>
  <c r="BB11" i="4" a="1"/>
  <c r="EH6" i="4" a="1"/>
  <c r="H29" i="2"/>
  <c r="U10" i="2"/>
  <c r="AP45" i="3"/>
  <c r="EK15" i="4" a="1"/>
  <c r="AJ9" i="4" a="1"/>
  <c r="CG5" i="4" a="1"/>
  <c r="CX11" i="4" a="1"/>
  <c r="T11" i="4" a="1"/>
  <c r="AG9" i="4" a="1"/>
  <c r="X21" i="2"/>
  <c r="O13" i="2"/>
  <c r="BK15" i="4" a="1"/>
  <c r="AQ11" i="4" a="1"/>
  <c r="L14" i="2"/>
  <c r="D46" i="3"/>
  <c r="G12" i="4" a="1"/>
  <c r="AJ7" i="4" a="1"/>
  <c r="AU8" i="4" a="1"/>
  <c r="F6" i="2"/>
  <c r="L6" i="2"/>
  <c r="AR38" i="3"/>
  <c r="DO12" i="4" a="1"/>
  <c r="AJ13" i="4" a="1"/>
  <c r="DD5" i="4" a="1"/>
  <c r="EE7" i="4" a="1"/>
  <c r="F19" i="3"/>
  <c r="R13" i="2"/>
  <c r="DH6" i="4" a="1"/>
  <c r="G15" i="2"/>
  <c r="D11" i="2"/>
  <c r="Y5" i="4" a="1"/>
  <c r="CS12" i="4" a="1"/>
  <c r="DZ13" i="4" a="1"/>
  <c r="CR15" i="4" a="1"/>
  <c r="P22" i="2"/>
  <c r="V11" i="2"/>
  <c r="AJ45" i="3"/>
  <c r="DP14" i="4" a="1"/>
  <c r="BR16" i="4" a="1"/>
  <c r="F39" i="3"/>
  <c r="AR89" i="3"/>
  <c r="CM6" i="4" a="1"/>
  <c r="DS14" i="4" a="1"/>
  <c r="O45" i="3"/>
  <c r="DP7" i="4" a="1"/>
  <c r="CG9" i="4" a="1"/>
  <c r="DD16" i="4" a="1"/>
  <c r="O28" i="2"/>
  <c r="T17" i="2"/>
  <c r="DG12" i="4" a="1"/>
  <c r="W12" i="4" a="1"/>
  <c r="AP13" i="4" a="1"/>
  <c r="EF16" i="4" a="1"/>
  <c r="CM5" i="4" a="1"/>
  <c r="K35" i="2"/>
  <c r="AR79" i="3"/>
  <c r="BN7" i="4" a="1"/>
  <c r="ED6" i="4" a="1"/>
  <c r="EK16" i="4" a="1"/>
  <c r="DI6" i="4" a="1"/>
  <c r="R28" i="2"/>
  <c r="I14" i="2"/>
  <c r="M32" i="2"/>
  <c r="AA45" i="3"/>
  <c r="AZ7" i="4" a="1"/>
  <c r="DS5" i="4" a="1"/>
  <c r="AH7" i="4" a="1"/>
  <c r="DC6" i="4" a="1"/>
  <c r="L34" i="2"/>
  <c r="T13" i="2"/>
  <c r="D37" i="3"/>
  <c r="BP7" i="4" a="1"/>
  <c r="X9" i="4" a="1"/>
  <c r="CU5" i="4" a="1"/>
  <c r="M22" i="2"/>
  <c r="T18" i="2"/>
  <c r="O27" i="2"/>
  <c r="X17" i="2"/>
  <c r="H46" i="3"/>
  <c r="DA7" i="4" a="1"/>
  <c r="AJ16" i="4" a="1"/>
  <c r="CX5" i="4" a="1"/>
  <c r="BK7" i="4" a="1"/>
  <c r="W17" i="2"/>
  <c r="V9" i="2"/>
  <c r="AR15" i="3"/>
  <c r="W5" i="4" a="1"/>
  <c r="BW12" i="4" a="1"/>
  <c r="M8" i="2"/>
  <c r="X32" i="2"/>
  <c r="F41" i="3"/>
  <c r="CP13" i="4" a="1"/>
  <c r="Y11" i="4" a="1"/>
  <c r="G13" i="4" a="1"/>
  <c r="DB9" i="4" a="1"/>
  <c r="M33" i="2"/>
  <c r="AR97" i="3"/>
  <c r="F21" i="3"/>
  <c r="DX13" i="4" a="1"/>
  <c r="DF14" i="4" a="1"/>
  <c r="K32" i="2"/>
  <c r="H15" i="2"/>
  <c r="K46" i="3"/>
  <c r="CX6" i="4" a="1"/>
  <c r="BV11" i="4" a="1"/>
  <c r="DL12" i="4" a="1"/>
  <c r="AS7" i="4" a="1"/>
  <c r="U14" i="2"/>
  <c r="L36" i="2"/>
  <c r="D40" i="3"/>
  <c r="CT8" i="4" a="1"/>
  <c r="G36" i="2"/>
  <c r="Q26" i="2"/>
  <c r="E10" i="3"/>
  <c r="BN11" i="4" a="1"/>
  <c r="Z16" i="4" a="1"/>
  <c r="BT6" i="4" a="1"/>
  <c r="DB15" i="4" a="1"/>
  <c r="O7" i="2"/>
  <c r="F9" i="2"/>
  <c r="AD10" i="3"/>
  <c r="EC7" i="4" a="1"/>
  <c r="X10" i="2"/>
  <c r="Q34" i="2"/>
  <c r="R16" i="4" a="1"/>
  <c r="EI6" i="4" a="1"/>
  <c r="CV5" i="4" a="1"/>
  <c r="AM8" i="4" a="1"/>
  <c r="DU15" i="4" a="1"/>
  <c r="C19" i="2"/>
  <c r="J8" i="2"/>
  <c r="Q46" i="3"/>
  <c r="EF13" i="4" a="1"/>
  <c r="EH7" i="4" a="1"/>
  <c r="S14" i="4" a="1"/>
  <c r="R32" i="2"/>
  <c r="AR92" i="3"/>
  <c r="E45" i="3"/>
  <c r="C59" i="2"/>
  <c r="I34" i="2"/>
  <c r="AK9" i="4" a="1"/>
  <c r="DP5" i="4" a="1"/>
  <c r="AV5" i="4" a="1"/>
  <c r="BA11" i="4" a="1"/>
  <c r="DE5" i="4" a="1"/>
  <c r="D12" i="2"/>
  <c r="AR48" i="3"/>
  <c r="BV7" i="4" a="1"/>
  <c r="DG16" i="4" a="1"/>
  <c r="G6" i="4" a="1"/>
  <c r="L12" i="4" a="1"/>
  <c r="W32" i="2"/>
  <c r="D5" i="2"/>
  <c r="BO14" i="4" a="1"/>
  <c r="Q28" i="2"/>
  <c r="D21" i="2"/>
  <c r="F18" i="2"/>
  <c r="DL14" i="4" a="1"/>
  <c r="DU11" i="4" a="1"/>
  <c r="AU12" i="4" a="1"/>
  <c r="DH16" i="4" a="1"/>
  <c r="D6" i="2"/>
  <c r="L28" i="2"/>
  <c r="AQ46" i="3"/>
  <c r="DC9" i="4" a="1"/>
  <c r="Z7" i="4" a="1"/>
  <c r="DZ7" i="4" a="1"/>
  <c r="Z12" i="4" a="1"/>
  <c r="Q18" i="2"/>
  <c r="P13" i="2"/>
  <c r="X46" i="3"/>
  <c r="BD6" i="4" a="1"/>
  <c r="DJ6" i="4" a="1"/>
  <c r="CM11" i="4" a="1"/>
  <c r="C8" i="2"/>
  <c r="AH15" i="4" a="1"/>
  <c r="W74" i="2"/>
  <c r="AX14" i="4" a="1"/>
  <c r="G31" i="2"/>
  <c r="C12" i="2"/>
  <c r="Q12" i="4" a="1"/>
  <c r="AV15" i="4" a="1"/>
  <c r="BK5" i="4" a="1"/>
  <c r="CU13" i="4" a="1"/>
  <c r="C22" i="2"/>
  <c r="AR95" i="3"/>
  <c r="AL12" i="4" a="1"/>
  <c r="DP12" i="4" a="1"/>
  <c r="AI15" i="4" a="1"/>
  <c r="CG11" i="4" a="1"/>
  <c r="EE12" i="4" a="1"/>
  <c r="H14" i="2"/>
  <c r="Y7" i="4" a="1"/>
  <c r="S36" i="2"/>
  <c r="J34" i="2"/>
  <c r="CQ6" i="4" a="1"/>
  <c r="AD16" i="4" a="1"/>
  <c r="CQ7" i="4" a="1"/>
  <c r="AB8" i="4" a="1"/>
  <c r="F11" i="2"/>
  <c r="C16" i="2"/>
  <c r="BY7" i="4" a="1"/>
  <c r="DQ14" i="4" a="1"/>
  <c r="DG9" i="4" a="1"/>
  <c r="BG11" i="4" a="1"/>
  <c r="AR80" i="3"/>
  <c r="AE11" i="4" a="1"/>
  <c r="F28" i="2"/>
  <c r="Q6" i="2"/>
  <c r="BU16" i="4" a="1"/>
  <c r="Q14" i="4" a="1"/>
  <c r="AD13" i="4" a="1"/>
  <c r="N7" i="2"/>
  <c r="E38" i="3"/>
  <c r="CW7" i="4" a="1"/>
  <c r="EC8" i="4" a="1"/>
  <c r="CQ13" i="4" a="1"/>
  <c r="G8" i="2"/>
  <c r="CR6" i="4" a="1"/>
  <c r="I8" i="2"/>
  <c r="N20" i="2"/>
  <c r="AD8" i="4" a="1"/>
  <c r="H6" i="4" a="1"/>
  <c r="G9" i="4" a="1"/>
  <c r="O15" i="4" a="1"/>
  <c r="C9" i="2"/>
  <c r="J14" i="2"/>
  <c r="V18" i="2"/>
  <c r="Y13" i="4" a="1"/>
  <c r="DK13" i="4" a="1"/>
  <c r="AJ6" i="4" a="1"/>
  <c r="C36" i="2"/>
  <c r="AD6" i="3"/>
  <c r="R54" i="2"/>
  <c r="AJ15" i="4" a="1"/>
  <c r="DC12" i="4" a="1"/>
  <c r="EE9" i="4" a="1"/>
  <c r="Q29" i="2"/>
  <c r="N46" i="3"/>
  <c r="AL5" i="4" a="1"/>
  <c r="DC14" i="4" a="1"/>
  <c r="V7" i="4" a="1"/>
  <c r="D32" i="2"/>
  <c r="F19" i="2"/>
  <c r="L46" i="3"/>
  <c r="EK5" i="4" a="1"/>
  <c r="T19" i="2"/>
  <c r="BI8" i="4" a="1"/>
  <c r="CE5" i="4" a="1"/>
  <c r="D5" i="4" a="1"/>
  <c r="U26" i="2"/>
  <c r="AR23" i="3"/>
  <c r="T8" i="4" a="1"/>
  <c r="EF7" i="4" a="1"/>
  <c r="BH15" i="4" a="1"/>
  <c r="C31" i="2"/>
  <c r="C32" i="2"/>
  <c r="F13" i="3"/>
  <c r="AC14" i="4" a="1"/>
  <c r="BX12" i="4" a="1"/>
  <c r="W7" i="4" a="1"/>
  <c r="K11" i="4" a="1"/>
  <c r="CG15" i="4" a="1"/>
  <c r="DS8" i="4" a="1"/>
  <c r="G7" i="3"/>
  <c r="K21" i="2"/>
  <c r="DZ11" i="4" a="1"/>
  <c r="O8" i="2"/>
  <c r="G21" i="2"/>
  <c r="DM5" i="4" a="1"/>
  <c r="CC16" i="4" a="1"/>
  <c r="AQ16" i="4" a="1"/>
  <c r="AF14" i="4" a="1"/>
  <c r="U11" i="2"/>
  <c r="R36" i="2"/>
  <c r="D6" i="3"/>
  <c r="CA8" i="4" a="1"/>
  <c r="BP12" i="4" a="1"/>
  <c r="CY12" i="4" a="1"/>
  <c r="EH14" i="4" a="1"/>
  <c r="BX9" i="4" a="1"/>
  <c r="E8" i="2"/>
  <c r="AS5" i="4" a="1"/>
  <c r="L12" i="2"/>
  <c r="E27" i="2"/>
  <c r="EG12" i="4" a="1"/>
  <c r="BM14" i="4" a="1"/>
  <c r="DJ9" i="4" a="1"/>
  <c r="AU6" i="4" a="1"/>
  <c r="W35" i="2"/>
  <c r="U33" i="2"/>
  <c r="K5" i="2"/>
  <c r="K24" i="2"/>
  <c r="F32" i="3"/>
  <c r="DF15" i="4" a="1"/>
  <c r="CK11" i="4" a="1"/>
  <c r="S12" i="4" a="1"/>
  <c r="AG5" i="4" a="1"/>
  <c r="U13" i="4" a="1"/>
  <c r="D36" i="2"/>
  <c r="U32" i="2"/>
  <c r="BW11" i="4" a="1"/>
  <c r="BJ9" i="4" a="1"/>
  <c r="DZ9" i="4" a="1"/>
  <c r="BS9" i="4" a="1"/>
  <c r="M27" i="2"/>
  <c r="O17" i="2"/>
  <c r="S8" i="2"/>
  <c r="E23" i="3"/>
  <c r="AK13" i="4" a="1"/>
  <c r="N12" i="4" a="1"/>
  <c r="CZ5" i="4" a="1"/>
  <c r="CB11" i="4" a="1"/>
  <c r="U36" i="2"/>
  <c r="P30" i="2"/>
  <c r="E18" i="3"/>
  <c r="AC16" i="4" a="1"/>
  <c r="BW16" i="4" a="1"/>
  <c r="DM8" i="4" a="1"/>
  <c r="U15" i="2"/>
  <c r="U8" i="2"/>
  <c r="T33" i="2"/>
  <c r="AR62" i="3"/>
  <c r="G19" i="3"/>
  <c r="AK7" i="4" a="1"/>
  <c r="DF6" i="4" a="1"/>
  <c r="H16" i="4" a="1"/>
  <c r="AR15" i="4" a="1"/>
  <c r="J26" i="2"/>
  <c r="M11" i="2"/>
  <c r="AC45" i="3"/>
  <c r="CD8" i="4" a="1"/>
  <c r="DN15" i="4" a="1"/>
  <c r="T7" i="2"/>
  <c r="AR47" i="3"/>
  <c r="BU6" i="4" a="1"/>
  <c r="AU13" i="4" a="1"/>
  <c r="CF8" i="4" a="1"/>
  <c r="AX7" i="4" a="1"/>
  <c r="AN14" i="4" a="1"/>
  <c r="X16" i="2"/>
  <c r="I6" i="2"/>
  <c r="EH5" i="4" a="1"/>
  <c r="X6" i="4" a="1"/>
  <c r="AZ9" i="4" a="1"/>
  <c r="V28" i="2"/>
  <c r="J32" i="2"/>
  <c r="E13" i="3"/>
  <c r="CJ9" i="4" a="1"/>
  <c r="AL6" i="4" a="1"/>
  <c r="CH5" i="4" a="1"/>
  <c r="AW6" i="4" a="1"/>
  <c r="G29" i="2"/>
  <c r="E15" i="2"/>
  <c r="AD14" i="3"/>
  <c r="BT13" i="4" a="1"/>
  <c r="H24" i="2"/>
  <c r="P29" i="2"/>
  <c r="AD45" i="3"/>
  <c r="BL12" i="4" a="1"/>
  <c r="BV8" i="4" a="1"/>
  <c r="DT5" i="4" a="1"/>
  <c r="EC6" i="4" a="1"/>
  <c r="R10" i="2"/>
  <c r="H26" i="2"/>
  <c r="F12" i="3"/>
  <c r="K15" i="4" a="1"/>
  <c r="E29" i="2"/>
  <c r="C15" i="2"/>
  <c r="BL13" i="4" a="1"/>
  <c r="DA8" i="4" a="1"/>
  <c r="AW12" i="4" a="1"/>
  <c r="CL7" i="4" a="1"/>
  <c r="EJ9" i="4" a="1"/>
  <c r="X34" i="2"/>
  <c r="AR74" i="3"/>
  <c r="DT7" i="4" a="1"/>
  <c r="AP15" i="4" a="1"/>
  <c r="N7" i="4" a="1"/>
  <c r="BC6" i="4" a="1"/>
  <c r="M25" i="2"/>
  <c r="W22" i="2"/>
  <c r="M14" i="2"/>
  <c r="V36" i="2"/>
  <c r="O14" i="2"/>
  <c r="CR8" i="4" a="1"/>
  <c r="CP8" i="4" a="1"/>
  <c r="BR7" i="4" a="1"/>
  <c r="CZ7" i="4" a="1"/>
  <c r="J6" i="4" a="1"/>
  <c r="Q24" i="2"/>
  <c r="M21" i="2"/>
  <c r="CF16" i="4" a="1"/>
  <c r="BB6" i="4" a="1"/>
  <c r="DD6" i="4" a="1"/>
  <c r="EJ15" i="4" a="1"/>
  <c r="N17" i="2"/>
  <c r="F14" i="2"/>
  <c r="EJ5" i="4" a="1"/>
  <c r="W25" i="2"/>
  <c r="L24" i="2"/>
  <c r="S45" i="3"/>
  <c r="AM7" i="4" a="1"/>
  <c r="BB14" i="4" a="1"/>
  <c r="CT6" i="4" a="1"/>
  <c r="BQ12" i="4" a="1"/>
  <c r="L13" i="2"/>
  <c r="Q15" i="2"/>
  <c r="E17" i="3"/>
  <c r="AQ12" i="4" a="1"/>
  <c r="DX7" i="4" a="1"/>
  <c r="DK6" i="4" a="1"/>
  <c r="AC8" i="4" a="1"/>
  <c r="O6" i="2"/>
  <c r="G28" i="2"/>
  <c r="AC46" i="3"/>
  <c r="DH12" i="4" a="1"/>
  <c r="BE5" i="4" a="1"/>
  <c r="DJ8" i="4" a="1"/>
  <c r="Q58" i="2"/>
  <c r="AQ5" i="4" a="1"/>
  <c r="C45" i="3"/>
  <c r="CP7" i="4" a="1"/>
  <c r="L32" i="2"/>
  <c r="D24" i="3"/>
  <c r="CW14" i="4" a="1"/>
  <c r="Q13" i="4" a="1"/>
  <c r="CL15" i="4" a="1"/>
  <c r="Q9" i="4" a="1"/>
  <c r="V10" i="2"/>
  <c r="I21" i="2"/>
  <c r="J9" i="4" a="1"/>
  <c r="AM6" i="4" a="1"/>
  <c r="AT5" i="4" a="1"/>
  <c r="AR6" i="4" a="1"/>
  <c r="EB16" i="4" a="1"/>
  <c r="G31" i="3"/>
  <c r="DU16" i="4" a="1"/>
  <c r="W8" i="2"/>
  <c r="AR13" i="3"/>
  <c r="DN9" i="4" a="1"/>
  <c r="T6" i="4" a="1"/>
  <c r="DA9" i="4" a="1"/>
  <c r="BL6" i="4" a="1"/>
  <c r="X15" i="2"/>
  <c r="F15" i="2"/>
  <c r="J16" i="4" a="1"/>
  <c r="DE16" i="4" a="1"/>
  <c r="AZ13" i="4" a="1"/>
  <c r="AR16" i="4" a="1"/>
  <c r="N45" i="3"/>
  <c r="DR7" i="4" a="1"/>
  <c r="W20" i="2"/>
  <c r="N19" i="2"/>
  <c r="EG13" i="4" a="1"/>
  <c r="DZ12" i="4" a="1"/>
  <c r="DR13" i="4" a="1"/>
  <c r="C18" i="2"/>
  <c r="F15" i="3"/>
  <c r="AU11" i="4" a="1"/>
  <c r="CB15" i="4" a="1"/>
  <c r="BC8" i="4" a="1"/>
  <c r="AR83" i="3"/>
  <c r="I8" i="4" a="1"/>
  <c r="F35" i="2"/>
  <c r="AM46" i="3"/>
  <c r="CM8" i="4" a="1"/>
  <c r="K9" i="4" a="1"/>
  <c r="BL7" i="4" a="1"/>
  <c r="BW14" i="4" a="1"/>
  <c r="J6" i="2"/>
  <c r="AR65" i="3"/>
  <c r="AR54" i="3"/>
  <c r="O19" i="2"/>
  <c r="AC6" i="4" a="1"/>
  <c r="E33" i="2"/>
  <c r="AR76" i="3"/>
  <c r="EJ14" i="4" a="1"/>
  <c r="M20" i="2"/>
  <c r="H13" i="4" a="1"/>
  <c r="Q5" i="4" a="1"/>
  <c r="CH9" i="4" a="1"/>
  <c r="I7" i="2"/>
  <c r="G8" i="3"/>
  <c r="BE6" i="4" a="1"/>
  <c r="O8" i="4" a="1"/>
  <c r="AZ16" i="4" a="1"/>
  <c r="R33" i="2"/>
  <c r="G11" i="2"/>
  <c r="E42" i="3"/>
  <c r="O16" i="2"/>
  <c r="W33" i="2"/>
  <c r="F29" i="3"/>
  <c r="BB13" i="4" a="1"/>
  <c r="BG7" i="4" a="1"/>
  <c r="DI5" i="4" a="1"/>
  <c r="EI7" i="4" a="1"/>
  <c r="K34" i="2"/>
  <c r="P11" i="2"/>
  <c r="AR22" i="3"/>
  <c r="BZ8" i="4" a="1"/>
  <c r="AK12" i="4" a="1"/>
  <c r="CQ12" i="4" a="1"/>
  <c r="S32" i="2"/>
  <c r="F7" i="2"/>
  <c r="R29" i="2"/>
  <c r="U5" i="2"/>
  <c r="D8" i="3"/>
  <c r="BP11" i="4" a="1"/>
  <c r="CS5" i="4" a="1"/>
  <c r="CE8" i="4" a="1"/>
  <c r="AL11" i="4" a="1"/>
  <c r="N18" i="2"/>
  <c r="M15" i="2"/>
  <c r="D11" i="3"/>
  <c r="BU8" i="4" a="1"/>
  <c r="AJ5" i="4" a="1"/>
  <c r="X11" i="4" a="1"/>
  <c r="O35" i="2"/>
  <c r="U16" i="2"/>
  <c r="S34" i="2"/>
  <c r="V30" i="2"/>
  <c r="L45" i="3"/>
  <c r="DB16" i="4" a="1"/>
  <c r="CA6" i="4" a="1"/>
  <c r="CK8" i="4" a="1"/>
  <c r="AP6" i="4" a="1"/>
  <c r="J22" i="2"/>
  <c r="E7" i="2"/>
  <c r="G30" i="3"/>
  <c r="DL13" i="4" a="1"/>
  <c r="DG7" i="4" a="1"/>
  <c r="L15" i="2"/>
  <c r="V25" i="2"/>
  <c r="D14" i="4" a="1"/>
  <c r="AE12" i="4" a="1"/>
  <c r="N11" i="4" a="1"/>
  <c r="BS5" i="4" a="1"/>
  <c r="CO12" i="4" a="1"/>
  <c r="G26" i="2"/>
  <c r="X35" i="2"/>
  <c r="CC11" i="4" a="1"/>
  <c r="EF5" i="4" a="1"/>
  <c r="AC5" i="4" a="1"/>
  <c r="O12" i="2"/>
  <c r="T8" i="2"/>
  <c r="E34" i="3"/>
  <c r="AD5" i="4" a="1"/>
  <c r="V8" i="4" a="1"/>
  <c r="CL5" i="4" a="1"/>
  <c r="DZ8" i="4" a="1"/>
  <c r="J21" i="2"/>
  <c r="T10" i="2"/>
  <c r="F27" i="3"/>
  <c r="DE15" i="4" a="1"/>
  <c r="N29" i="2"/>
  <c r="C29" i="2"/>
  <c r="AN46" i="3"/>
  <c r="CN14" i="4" a="1"/>
  <c r="AR5" i="4" a="1"/>
  <c r="CJ6" i="4" a="1"/>
  <c r="DM7" i="4" a="1"/>
  <c r="K87" i="2"/>
  <c r="G9" i="2"/>
  <c r="E37" i="3"/>
  <c r="W9" i="2"/>
  <c r="O36" i="2"/>
  <c r="AR96" i="3"/>
  <c r="S11" i="4" a="1"/>
  <c r="CH14" i="4" a="1"/>
  <c r="AE13" i="4" a="1"/>
  <c r="DV11" i="4" a="1"/>
  <c r="EK6" i="4" a="1"/>
  <c r="H16" i="2"/>
  <c r="N32" i="2"/>
  <c r="BV14" i="4" a="1"/>
  <c r="CR9" i="4" a="1"/>
  <c r="AH9" i="4" a="1"/>
  <c r="AH14" i="4" a="1"/>
  <c r="G5" i="2"/>
  <c r="G12" i="2"/>
  <c r="G23" i="2"/>
  <c r="L18" i="2"/>
  <c r="AR12" i="3"/>
  <c r="AF16" i="4" a="1"/>
  <c r="AZ6" i="4" a="1"/>
  <c r="CO7" i="4" a="1"/>
  <c r="Y15" i="4" a="1"/>
  <c r="F24" i="2"/>
  <c r="W29" i="2"/>
  <c r="AR37" i="3"/>
  <c r="BE11" i="4" a="1"/>
  <c r="I13" i="4" a="1"/>
  <c r="DY5" i="4" a="1"/>
  <c r="X7" i="2"/>
  <c r="G30" i="2"/>
  <c r="G18" i="2"/>
  <c r="DU7" i="4" a="1"/>
  <c r="J27" i="2"/>
  <c r="T28" i="2"/>
  <c r="F14" i="3"/>
  <c r="BY13" i="4" a="1"/>
  <c r="AW7" i="4" a="1"/>
  <c r="Z9" i="4" a="1"/>
  <c r="Z14" i="4" a="1"/>
  <c r="H99" i="2"/>
  <c r="S5" i="2"/>
  <c r="D42" i="3"/>
  <c r="V14" i="4" a="1"/>
  <c r="AL8" i="4" a="1"/>
  <c r="EC13" i="4" a="1"/>
  <c r="DG6" i="4" a="1"/>
  <c r="N36" i="2"/>
  <c r="D31" i="2"/>
  <c r="G14" i="3"/>
  <c r="J5" i="4" a="1"/>
  <c r="AN13" i="4" a="1"/>
  <c r="EK14" i="4" a="1"/>
  <c r="S25" i="2"/>
  <c r="EF6" i="4" a="1"/>
  <c r="F40" i="3"/>
  <c r="N6" i="4" a="1"/>
  <c r="P8" i="2"/>
  <c r="AR11" i="3"/>
  <c r="DZ16" i="4" a="1"/>
  <c r="CZ9" i="4" a="1"/>
  <c r="BY9" i="4" a="1"/>
  <c r="X19" i="2"/>
  <c r="I24" i="2"/>
  <c r="AJ46" i="3"/>
  <c r="BO8" i="4" a="1"/>
  <c r="DW15" i="4" a="1"/>
  <c r="DN14" i="4" a="1"/>
  <c r="CF5" i="4" a="1"/>
  <c r="BZ14" i="4" a="1"/>
  <c r="D41" i="3"/>
  <c r="CV15" i="4" a="1"/>
  <c r="S30" i="2"/>
  <c r="AR40" i="3"/>
  <c r="AO11" i="4" a="1"/>
  <c r="AU5" i="4" a="1"/>
  <c r="S9" i="4" a="1"/>
  <c r="W36" i="2"/>
  <c r="H34" i="2"/>
  <c r="E9" i="3"/>
  <c r="BZ15" i="4" a="1"/>
  <c r="BH7" i="4" a="1"/>
  <c r="BZ6" i="4" a="1"/>
  <c r="BA14" i="4" a="1"/>
  <c r="AB12" i="4" a="1"/>
  <c r="EJ6" i="4" a="1"/>
  <c r="E26" i="2"/>
  <c r="W70" i="2"/>
  <c r="Q35" i="2"/>
  <c r="EJ13" i="4" a="1"/>
  <c r="X28" i="2"/>
  <c r="Q36" i="2"/>
  <c r="DO5" i="4" a="1"/>
  <c r="CG8" i="4" a="1"/>
  <c r="DL16" i="4" a="1"/>
  <c r="EH8" i="4" a="1"/>
  <c r="D30" i="3"/>
  <c r="ED7" i="4" a="1"/>
  <c r="H6" i="2"/>
  <c r="AR21" i="3"/>
  <c r="CY16" i="4" a="1"/>
  <c r="CH15" i="4" a="1"/>
  <c r="BB12" i="4" a="1"/>
  <c r="DW16" i="4" a="1"/>
  <c r="M5" i="2"/>
  <c r="J30" i="2"/>
  <c r="D38" i="3"/>
  <c r="R20" i="2"/>
  <c r="EB6" i="4" a="1"/>
  <c r="M18" i="2"/>
  <c r="C23" i="2"/>
  <c r="CF7" i="4" a="1"/>
  <c r="E9" i="2"/>
  <c r="X66" i="2"/>
  <c r="L6" i="4" a="1"/>
  <c r="V34" i="2"/>
  <c r="X24" i="2"/>
  <c r="DO14" i="4" a="1"/>
  <c r="CH8" i="4" a="1"/>
  <c r="EK12" i="4" a="1"/>
  <c r="AM12" i="4" a="1"/>
  <c r="U25" i="2"/>
  <c r="P25" i="2"/>
  <c r="D22" i="3"/>
  <c r="AQ15" i="4" a="1"/>
  <c r="D31" i="3"/>
  <c r="W11" i="2"/>
  <c r="AH12" i="4" a="1"/>
  <c r="N24" i="2"/>
  <c r="AR85" i="3"/>
  <c r="DK7" i="4" a="1"/>
  <c r="CP12" i="4" a="1"/>
  <c r="CD11" i="4" a="1"/>
  <c r="CY5" i="4" a="1"/>
  <c r="V16" i="2"/>
  <c r="AR72" i="3"/>
  <c r="AH45" i="3"/>
  <c r="F16" i="4" a="1"/>
  <c r="CV14" i="4" a="1"/>
  <c r="AI6" i="4" a="1"/>
  <c r="W14" i="4" a="1"/>
  <c r="T15" i="2"/>
  <c r="V26" i="2"/>
  <c r="AB45" i="3"/>
  <c r="BV9" i="4" a="1"/>
  <c r="AJ11" i="4" a="1"/>
  <c r="T16" i="2"/>
  <c r="V15" i="4" a="1"/>
  <c r="DF9" i="4" a="1"/>
  <c r="F12" i="2"/>
  <c r="AR69" i="3"/>
  <c r="C8" i="4" a="1"/>
  <c r="BN15" i="4" a="1"/>
  <c r="Q21" i="2"/>
  <c r="F24" i="3"/>
  <c r="BI15" i="4" a="1"/>
  <c r="T22" i="2"/>
  <c r="P17" i="2"/>
  <c r="CK15" i="4" a="1"/>
  <c r="BO9" i="4" a="1"/>
  <c r="CW8" i="4" a="1"/>
  <c r="R22" i="2"/>
  <c r="DQ11" i="4" a="1"/>
  <c r="J36" i="2"/>
  <c r="DS12" i="4" a="1"/>
  <c r="AY16" i="4" a="1"/>
  <c r="DV13" i="4" a="1"/>
  <c r="AR82" i="3"/>
  <c r="BZ11" i="4" a="1"/>
  <c r="W31" i="2"/>
  <c r="AD11" i="3"/>
  <c r="AB6" i="4" a="1"/>
  <c r="DY9" i="4" a="1"/>
  <c r="P18" i="2"/>
  <c r="DD13" i="4" a="1"/>
  <c r="J29" i="2"/>
  <c r="AD7" i="4" a="1"/>
  <c r="EF8" i="4" a="1"/>
  <c r="N27" i="2"/>
  <c r="G23" i="3"/>
  <c r="M12" i="2"/>
  <c r="C9" i="4" a="1"/>
  <c r="CM9" i="4" a="1"/>
  <c r="H17" i="2"/>
  <c r="G13" i="2"/>
  <c r="CJ11" i="4" a="1"/>
  <c r="V32" i="2"/>
  <c r="AR66" i="3"/>
  <c r="P35" i="2"/>
  <c r="BN16" i="4" a="1"/>
  <c r="CV7" i="4" a="1"/>
  <c r="Q5" i="2"/>
  <c r="AD17" i="3"/>
  <c r="EF15" i="4" a="1"/>
  <c r="M16" i="2"/>
  <c r="AR41" i="3"/>
  <c r="O26" i="2"/>
  <c r="AK46" i="3"/>
  <c r="G14" i="4" a="1"/>
  <c r="BU15" i="4" a="1"/>
  <c r="T23" i="2"/>
  <c r="X5" i="4" a="1"/>
  <c r="DI15" i="4" a="1"/>
  <c r="W5" i="2"/>
  <c r="D27" i="3"/>
  <c r="Y12" i="4" a="1"/>
  <c r="S35" i="2"/>
  <c r="EG14" i="4" a="1"/>
  <c r="K9" i="2"/>
  <c r="AM5" i="4" a="1"/>
  <c r="BZ16" i="4" a="1"/>
  <c r="L21" i="2"/>
  <c r="CN16" i="4" a="1"/>
  <c r="BR15" i="4" a="1"/>
  <c r="DY12" i="4" a="1"/>
  <c r="L14" i="4" a="1"/>
  <c r="M46" i="3"/>
  <c r="CI8" i="4" a="1"/>
  <c r="S27" i="2"/>
  <c r="AR9" i="3"/>
  <c r="AT6" i="4" a="1"/>
  <c r="BQ14" i="4" a="1"/>
  <c r="CK9" i="4" a="1"/>
  <c r="AQ45" i="3"/>
  <c r="AW5" i="4" a="1"/>
  <c r="T25" i="2"/>
  <c r="N13" i="4" a="1"/>
  <c r="DX16" i="4" a="1"/>
  <c r="CD7" i="4" a="1"/>
  <c r="AH46" i="3"/>
  <c r="DO16" i="4" a="1"/>
  <c r="N5" i="2"/>
  <c r="F17" i="3"/>
  <c r="M7" i="2"/>
  <c r="L16" i="2"/>
  <c r="BS6" i="4" a="1"/>
  <c r="D23" i="2"/>
  <c r="R25" i="2"/>
  <c r="BR12" i="4" a="1"/>
  <c r="AP14" i="4" a="1"/>
  <c r="K17" i="2"/>
  <c r="AR28" i="3"/>
  <c r="BO13" i="4" a="1"/>
  <c r="H25" i="2"/>
  <c r="G7" i="2"/>
  <c r="X45" i="3"/>
  <c r="BI9" i="4" a="1"/>
  <c r="S5" i="4" a="1"/>
  <c r="R24" i="2"/>
  <c r="G13" i="3"/>
  <c r="DQ5" i="4" a="1"/>
  <c r="DH7" i="4" a="1"/>
  <c r="BI11" i="4" a="1"/>
  <c r="U19" i="2"/>
  <c r="CL13" i="4" a="1"/>
  <c r="AX15" i="4" a="1"/>
  <c r="N28" i="2"/>
  <c r="G9" i="3"/>
  <c r="BJ5" i="4" a="1"/>
  <c r="BT8" i="4" a="1"/>
  <c r="G17" i="2"/>
  <c r="V20" i="2"/>
  <c r="AI9" i="4" a="1"/>
  <c r="BJ16" i="4" a="1"/>
  <c r="V13" i="4" a="1"/>
  <c r="DY6" i="4" a="1"/>
  <c r="DK15" i="4" a="1"/>
  <c r="J12" i="4" a="1"/>
  <c r="P28" i="2"/>
  <c r="F16" i="3"/>
  <c r="AT8" i="4" a="1"/>
  <c r="S7" i="4" a="1"/>
  <c r="X11" i="2"/>
  <c r="AR75" i="3"/>
  <c r="AT15" i="4" a="1"/>
  <c r="BC14" i="4" a="1"/>
  <c r="R15" i="2"/>
  <c r="BT9" i="4" a="1"/>
  <c r="BW15" i="4" a="1"/>
  <c r="V7" i="2"/>
  <c r="Z8" i="4" a="1"/>
  <c r="BA15" i="4" a="1"/>
  <c r="DI12" i="4" a="1"/>
  <c r="BI7" i="4" a="1"/>
  <c r="CO16" i="4" a="1"/>
  <c r="BY12" i="4" a="1"/>
  <c r="DK11" i="4" a="1"/>
  <c r="DS7" i="4" a="1"/>
  <c r="DN7" i="4" a="1"/>
  <c r="BM6" i="4" a="1"/>
  <c r="S6" i="2"/>
  <c r="DA13" i="4" a="1"/>
  <c r="D33" i="2"/>
  <c r="ED14" i="4" a="1"/>
  <c r="DE14" i="4" a="1"/>
  <c r="BA13" i="4" a="1"/>
  <c r="F20" i="3"/>
  <c r="BX5" i="4" a="1"/>
  <c r="CS13" i="4" a="1"/>
  <c r="EK11" i="4" a="1"/>
  <c r="EI5" i="4" a="1"/>
  <c r="AR31" i="3"/>
  <c r="DF12" i="4" a="1"/>
  <c r="S12" i="2"/>
  <c r="F26" i="3"/>
  <c r="CD16" i="4" a="1"/>
  <c r="DB7" i="4" a="1"/>
  <c r="BK6" i="4" a="1"/>
  <c r="CO8" i="4" a="1"/>
  <c r="AD15" i="3"/>
  <c r="DW13" i="4" a="1"/>
  <c r="BS16" i="4" a="1"/>
  <c r="U27" i="2"/>
  <c r="E31" i="3"/>
  <c r="AB5" i="4" a="1"/>
  <c r="DM14" i="4" a="1"/>
  <c r="CN6" i="4" a="1"/>
  <c r="E32" i="3"/>
  <c r="DB12" i="4" a="1"/>
  <c r="BM12" i="4" a="1"/>
  <c r="E13" i="4" a="1"/>
  <c r="AV11" i="4" a="1"/>
  <c r="K15" i="2"/>
  <c r="BS8" i="4" a="1"/>
  <c r="EB9" i="4" a="1"/>
  <c r="BR5" i="4" a="1"/>
  <c r="AM9" i="4" a="1"/>
  <c r="AD13" i="3"/>
  <c r="E14" i="4" a="1"/>
  <c r="CE9" i="4" a="1"/>
  <c r="U31" i="2"/>
  <c r="AY6" i="4" a="1"/>
  <c r="U15" i="4" a="1"/>
  <c r="DW12" i="4" a="1"/>
  <c r="AN9" i="4" a="1"/>
  <c r="EB13" i="4" a="1"/>
  <c r="D30" i="2"/>
  <c r="M12" i="4" a="1"/>
  <c r="K6" i="2"/>
  <c r="CV6" i="4" a="1"/>
  <c r="BK9" i="4" a="1"/>
  <c r="C17" i="2"/>
  <c r="AL45" i="3"/>
  <c r="AK15" i="4" a="1"/>
  <c r="AW16" i="4" a="1"/>
  <c r="I36" i="2"/>
  <c r="R6" i="4" a="1"/>
  <c r="EE8" i="4" a="1"/>
  <c r="X31" i="2"/>
  <c r="E5" i="2"/>
  <c r="EK8" i="4" a="1"/>
  <c r="AF12" i="4" a="1"/>
  <c r="F17" i="2"/>
  <c r="F30" i="3"/>
  <c r="CA11" i="4" a="1"/>
  <c r="H22" i="2"/>
  <c r="X5" i="2"/>
  <c r="AX11" i="4" a="1"/>
  <c r="L13" i="4" a="1"/>
  <c r="C12" i="4" a="1"/>
  <c r="W19" i="2"/>
  <c r="CA9" i="4" a="1"/>
  <c r="L22" i="2"/>
  <c r="DM12" i="4" a="1"/>
  <c r="AA7" i="4" a="1"/>
  <c r="L29" i="2"/>
  <c r="F36" i="3"/>
  <c r="AU16" i="4" a="1"/>
  <c r="J19" i="2"/>
  <c r="BK8" i="4" a="1"/>
  <c r="AU15" i="4" a="1"/>
  <c r="DK12" i="4" a="1"/>
  <c r="K19" i="2"/>
  <c r="BS12" i="4" a="1"/>
  <c r="S14" i="2"/>
  <c r="AP16" i="4" a="1"/>
  <c r="EB12" i="4" a="1"/>
  <c r="S16" i="2"/>
  <c r="AR10" i="3"/>
  <c r="C35" i="2"/>
  <c r="DG15" i="4" a="1"/>
  <c r="AT13" i="4" a="1"/>
  <c r="E32" i="2"/>
  <c r="D36" i="3"/>
  <c r="DO9" i="4" a="1"/>
  <c r="U17" i="2"/>
  <c r="F18" i="3"/>
  <c r="J20" i="2"/>
  <c r="CV9" i="4" a="1"/>
  <c r="AY13" i="4" a="1"/>
  <c r="U23" i="2"/>
  <c r="G46" i="3"/>
  <c r="BC15" i="4" a="1"/>
  <c r="G19" i="2"/>
  <c r="D12" i="3"/>
  <c r="N25" i="2"/>
  <c r="G28" i="3"/>
  <c r="BI14" i="4" a="1"/>
  <c r="N8" i="4" a="1"/>
  <c r="E16" i="2"/>
  <c r="EC11" i="4" a="1"/>
  <c r="DJ5" i="4" a="1"/>
  <c r="O25" i="2"/>
  <c r="E30" i="3"/>
  <c r="AO7" i="4" a="1"/>
  <c r="N16" i="2"/>
  <c r="CX15" i="4" a="1"/>
  <c r="W15" i="2"/>
  <c r="ED9" i="4" a="1"/>
  <c r="CJ7" i="4" a="1"/>
  <c r="P32" i="2"/>
  <c r="DM15" i="4" a="1"/>
  <c r="CI5" i="4" a="1"/>
  <c r="DB11" i="4" a="1"/>
  <c r="CE12" i="4" a="1"/>
  <c r="F23" i="3"/>
  <c r="BO15" i="4" a="1"/>
  <c r="P27" i="2"/>
  <c r="T45" i="3"/>
  <c r="AA16" i="4" a="1"/>
  <c r="AV7" i="4" a="1"/>
  <c r="AO15" i="4" a="1"/>
  <c r="CQ14" i="4" a="1"/>
  <c r="BN9" i="4" a="1"/>
  <c r="P21" i="2"/>
  <c r="DB8" i="4" a="1"/>
  <c r="CK16" i="4" a="1"/>
  <c r="AB7" i="4" a="1"/>
  <c r="F34" i="3"/>
  <c r="CY8" i="4" a="1"/>
  <c r="X14" i="2"/>
  <c r="D34" i="3"/>
  <c r="Q54" i="2"/>
  <c r="E30" i="2"/>
  <c r="CT14" i="4" a="1"/>
  <c r="S21" i="2"/>
  <c r="R5" i="2"/>
  <c r="DR16" i="4" a="1"/>
  <c r="AS11" i="4" a="1"/>
  <c r="N35" i="2"/>
  <c r="F35" i="3"/>
  <c r="H35" i="2"/>
  <c r="AR46" i="3"/>
  <c r="X8" i="2"/>
  <c r="C46" i="3"/>
  <c r="AR13" i="4" a="1"/>
  <c r="BM11" i="4" a="1"/>
  <c r="W10" i="2"/>
  <c r="N9" i="4" a="1"/>
  <c r="DY14" i="4" a="1"/>
  <c r="CX9" i="4" a="1"/>
  <c r="CG7" i="4" a="1"/>
  <c r="J31" i="2"/>
  <c r="DT8" i="4" a="1"/>
  <c r="BT5" i="4" a="1"/>
  <c r="H31" i="2"/>
  <c r="AR14" i="3"/>
  <c r="CB5" i="4" a="1"/>
  <c r="P11" i="4" a="1"/>
  <c r="Q16" i="2"/>
  <c r="E20" i="2"/>
  <c r="DK5" i="4" a="1"/>
  <c r="DI7" i="4" a="1"/>
  <c r="BU9" i="4" a="1"/>
  <c r="DS15" i="4" a="1"/>
  <c r="W46" i="2"/>
  <c r="BX6" i="4" a="1"/>
  <c r="X27" i="2"/>
  <c r="D5" i="3"/>
  <c r="F15" i="4" a="1"/>
  <c r="AG13" i="4" a="1"/>
  <c r="U30" i="2"/>
  <c r="D14" i="2"/>
  <c r="J11" i="4" a="1"/>
  <c r="DJ7" i="4" a="1"/>
  <c r="C14" i="2"/>
  <c r="BK12" i="4" a="1"/>
  <c r="V16" i="4" a="1"/>
  <c r="P23" i="2"/>
  <c r="L9" i="4" a="1"/>
  <c r="DH13" i="4" a="1"/>
  <c r="EK13" i="4" a="1"/>
  <c r="L5" i="4" a="1"/>
  <c r="CR12" i="4" a="1"/>
  <c r="DK8" i="4" a="1"/>
  <c r="DK14" i="4" a="1"/>
  <c r="N5" i="4" a="1"/>
  <c r="AY15" i="4" a="1"/>
  <c r="AX12" i="4" a="1"/>
  <c r="W45" i="3"/>
  <c r="EA11" i="4" a="1"/>
  <c r="R27" i="2"/>
  <c r="AV9" i="4" a="1"/>
  <c r="DG5" i="4" a="1"/>
  <c r="X33" i="2"/>
  <c r="G15" i="3"/>
  <c r="AV8" i="4" a="1"/>
  <c r="AW8" i="4" a="1"/>
  <c r="DJ15" i="4" a="1"/>
  <c r="J13" i="4" a="1"/>
  <c r="EA6" i="4" a="1"/>
  <c r="BJ15" i="4" a="1"/>
  <c r="U22" i="2"/>
  <c r="AO12" i="4" a="1"/>
  <c r="DN5" i="4" a="1"/>
  <c r="BS13" i="4" a="1"/>
  <c r="Y6" i="4" a="1"/>
  <c r="T5" i="2"/>
  <c r="P46" i="3"/>
  <c r="DB14" i="4" a="1"/>
  <c r="DX8" i="4" a="1"/>
  <c r="F27" i="2"/>
  <c r="AR16" i="3"/>
  <c r="AL13" i="4" a="1"/>
  <c r="ED8" i="4" a="1"/>
  <c r="CC15" i="4" a="1"/>
  <c r="AR39" i="3"/>
  <c r="V9" i="4" a="1"/>
  <c r="V12" i="4" a="1"/>
  <c r="I9" i="2"/>
  <c r="EE15" i="4" a="1"/>
  <c r="BE15" i="4" a="1"/>
  <c r="DW8" i="4" a="1"/>
  <c r="AV6" i="4" a="1"/>
  <c r="CE6" i="4" a="1"/>
  <c r="J18" i="2"/>
  <c r="F5" i="3"/>
  <c r="BE8" i="4" a="1"/>
  <c r="AE8" i="4" a="1"/>
  <c r="AR42" i="3"/>
  <c r="I5" i="4" a="1"/>
  <c r="CD13" i="4" a="1"/>
  <c r="DN13" i="4" a="1"/>
  <c r="CH16" i="4" a="1"/>
  <c r="AL16" i="4" a="1"/>
  <c r="F11" i="3"/>
  <c r="EK7" i="4" a="1"/>
  <c r="C26" i="2"/>
  <c r="BH14" i="4" a="1"/>
  <c r="CW13" i="4" a="1"/>
  <c r="BW5" i="4" a="1"/>
  <c r="CU9" i="4" a="1"/>
  <c r="CX16" i="4" a="1"/>
  <c r="BO11" i="4" a="1"/>
  <c r="DU14" i="4" a="1"/>
  <c r="AR78" i="3"/>
  <c r="EE16" i="4" a="1"/>
  <c r="Q15" i="4" a="1"/>
  <c r="BP15" i="4" a="1"/>
  <c r="L15" i="4" a="1"/>
  <c r="F79" i="3"/>
  <c r="T12" i="2"/>
  <c r="I23" i="2"/>
  <c r="DP15" i="4" a="1"/>
  <c r="BJ6" i="4" a="1"/>
  <c r="EG8" i="4" a="1"/>
  <c r="CS16" i="4" a="1"/>
  <c r="BU13" i="4" a="1"/>
  <c r="BT7" i="4" a="1"/>
  <c r="DW11" i="4" a="1"/>
  <c r="V15" i="2"/>
  <c r="DR12" i="4" a="1"/>
  <c r="DF8" i="4" a="1"/>
  <c r="DZ15" i="4" a="1"/>
  <c r="DA6" i="4" a="1"/>
  <c r="CX13" i="4" a="1"/>
  <c r="BI13" i="4" a="1"/>
  <c r="S26" i="2"/>
  <c r="AR8" i="3"/>
  <c r="AP7" i="4" a="1"/>
  <c r="AA14" i="4" a="1"/>
  <c r="Q25" i="2"/>
  <c r="AC15" i="4" a="1"/>
  <c r="BL14" i="4" a="1"/>
  <c r="E6" i="2"/>
  <c r="V19" i="2"/>
  <c r="CQ8" i="4" a="1"/>
  <c r="EI11" i="4" a="1"/>
  <c r="H13" i="2"/>
  <c r="F38" i="3"/>
  <c r="BR11" i="4" a="1"/>
  <c r="P20" i="2"/>
  <c r="K30" i="2"/>
  <c r="W11" i="4" a="1"/>
  <c r="CO14" i="4" a="1"/>
  <c r="CO11" i="4" a="1"/>
  <c r="X12" i="2"/>
  <c r="T12" i="4" a="1"/>
  <c r="X92" i="2"/>
  <c r="AE6" i="4" a="1"/>
  <c r="P12" i="4" a="1"/>
  <c r="F21" i="2"/>
  <c r="AI45" i="3"/>
  <c r="DM13" i="4" a="1"/>
  <c r="K16" i="2"/>
  <c r="DL15" i="4" a="1"/>
  <c r="DR14" i="4" a="1"/>
  <c r="EI15" i="4" a="1"/>
  <c r="C11" i="2"/>
  <c r="CF6" i="4" a="1"/>
  <c r="E13" i="2"/>
  <c r="F8" i="4" a="1"/>
  <c r="BF16" i="4" a="1"/>
  <c r="C34" i="2"/>
  <c r="DV16" i="4" a="1"/>
  <c r="O10" i="2"/>
  <c r="DQ13" i="4" a="1"/>
  <c r="EB11" i="4" a="1"/>
  <c r="J13" i="2"/>
  <c r="F42" i="3"/>
  <c r="DP8" i="4" a="1"/>
  <c r="S33" i="2"/>
  <c r="D17" i="3"/>
  <c r="R17" i="2"/>
  <c r="DG11" i="4" a="1"/>
  <c r="BY16" i="4" a="1"/>
  <c r="J33" i="2"/>
  <c r="D32" i="3"/>
  <c r="AG14" i="4" a="1"/>
  <c r="D34" i="2"/>
  <c r="AG46" i="3"/>
  <c r="V14" i="2"/>
  <c r="Y45" i="3"/>
  <c r="CH13" i="4" a="1"/>
  <c r="BN12" i="4" a="1"/>
  <c r="AR63" i="3"/>
  <c r="CF12" i="4" a="1"/>
  <c r="DU13" i="4" a="1"/>
  <c r="N33" i="2"/>
  <c r="E8" i="3"/>
  <c r="BJ7" i="4" a="1"/>
  <c r="O24" i="2"/>
  <c r="AD12" i="4" a="1"/>
  <c r="N21" i="2"/>
  <c r="CR5" i="4" a="1"/>
  <c r="AG8" i="4" a="1"/>
  <c r="E23" i="2"/>
  <c r="CO9" i="4" a="1"/>
  <c r="W9" i="4" a="1"/>
  <c r="L8" i="2"/>
  <c r="BA16" i="4" a="1"/>
  <c r="F28" i="3"/>
  <c r="CQ5" i="4" a="1"/>
  <c r="K12" i="2"/>
  <c r="AP46" i="3"/>
  <c r="CB12" i="4" a="1"/>
  <c r="V35" i="2"/>
  <c r="DV14" i="4" a="1"/>
  <c r="BK11" i="4" a="1"/>
  <c r="AC9" i="4" a="1"/>
  <c r="AR61" i="3"/>
  <c r="DK16" i="4" a="1"/>
  <c r="DA16" i="4" a="1"/>
  <c r="BP13" i="4" a="1"/>
  <c r="G20" i="3"/>
  <c r="DM16" i="4" a="1"/>
  <c r="P9" i="2"/>
  <c r="AR17" i="3"/>
  <c r="G21" i="3"/>
  <c r="W18" i="2"/>
  <c r="U16" i="4" a="1"/>
  <c r="I13" i="2"/>
  <c r="F31" i="2"/>
  <c r="CB13" i="4" a="1"/>
  <c r="CY13" i="4" a="1"/>
  <c r="J7" i="2"/>
  <c r="BF13" i="4" a="1"/>
  <c r="AQ13" i="4" a="1"/>
  <c r="Z15" i="4" a="1"/>
  <c r="J15" i="2"/>
  <c r="BY8" i="4" a="1"/>
  <c r="CZ8" i="4" a="1"/>
  <c r="CL8" i="4" a="1"/>
  <c r="P26" i="2"/>
  <c r="J8" i="4" a="1"/>
  <c r="CM15" i="4" a="1"/>
  <c r="AU14" i="4" a="1"/>
  <c r="E14" i="2"/>
  <c r="E17" i="2"/>
  <c r="M35" i="2"/>
  <c r="BX13" i="4" a="1"/>
  <c r="X25" i="2"/>
  <c r="CR13" i="4" a="1"/>
  <c r="AA9" i="4" a="1"/>
  <c r="DU9" i="4" a="1"/>
  <c r="I19" i="2"/>
  <c r="X29" i="2"/>
  <c r="DF5" i="4" a="1"/>
  <c r="AG16" i="4" a="1"/>
  <c r="AZ11" i="4" a="1"/>
  <c r="D24" i="2"/>
  <c r="X36" i="2"/>
  <c r="CW11" i="4" a="1"/>
  <c r="N6" i="2"/>
  <c r="K7" i="4" a="1"/>
  <c r="AS15" i="4" a="1"/>
  <c r="EK9" i="4" a="1"/>
  <c r="L19" i="2"/>
  <c r="AG45" i="3"/>
  <c r="S22" i="2"/>
  <c r="BD9" i="4" a="1"/>
  <c r="M31" i="2"/>
  <c r="AR34" i="3"/>
  <c r="AO9" i="4" a="1"/>
  <c r="R34" i="2"/>
  <c r="EG16" i="4" a="1"/>
  <c r="CT9" i="4" a="1"/>
  <c r="DA5" i="4" a="1"/>
  <c r="V6" i="4" a="1"/>
  <c r="T13" i="4" a="1"/>
  <c r="BC11" i="4" a="1"/>
  <c r="CO15" i="4" a="1"/>
  <c r="BU5" i="4" a="1"/>
  <c r="DD14" i="4" a="1"/>
  <c r="DV9" i="4" a="1"/>
  <c r="AM45" i="3"/>
  <c r="DY7" i="4" a="1"/>
  <c r="F22" i="2"/>
  <c r="Z46" i="3"/>
  <c r="Z5" i="4" a="1"/>
  <c r="K33" i="2"/>
  <c r="I45" i="3"/>
  <c r="I7" i="4" a="1"/>
  <c r="BG13" i="4" a="1"/>
  <c r="CP9" i="4" a="1"/>
  <c r="CU14" i="4" a="1"/>
  <c r="D16" i="2"/>
  <c r="DX9" i="4" a="1"/>
  <c r="D10" i="2"/>
  <c r="CD5" i="4" a="1"/>
  <c r="CQ9" i="4" a="1"/>
  <c r="BD15" i="4" a="1"/>
  <c r="EH13" i="4" a="1"/>
  <c r="L20" i="2"/>
  <c r="AK45" i="3"/>
  <c r="CG6" i="4" a="1"/>
  <c r="P6" i="4" a="1"/>
  <c r="D28" i="2"/>
  <c r="CM16" i="4" a="1"/>
  <c r="EA9" i="4" a="1"/>
  <c r="BN5" i="4" a="1"/>
  <c r="G5" i="4" a="1"/>
  <c r="CI14" i="4" a="1"/>
  <c r="EF11" i="4" a="1"/>
  <c r="DM11" i="4" a="1"/>
  <c r="U28" i="2"/>
  <c r="BD14" i="4" a="1"/>
  <c r="CC13" i="4" a="1"/>
  <c r="CJ14" i="4" a="1"/>
  <c r="Y8" i="4" a="1"/>
  <c r="CD6" i="4" a="1"/>
  <c r="O32" i="2"/>
  <c r="E29" i="3"/>
  <c r="CR7" i="4" a="1"/>
  <c r="C11" i="4" a="1"/>
  <c r="BA6" i="4" a="1"/>
  <c r="P33" i="2"/>
  <c r="AR32" i="3"/>
  <c r="BQ11" i="4" a="1"/>
  <c r="CT13" i="4" a="1"/>
  <c r="K36" i="2"/>
  <c r="K45" i="3"/>
  <c r="G7" i="4" a="1"/>
  <c r="O14" i="4" a="1"/>
  <c r="AF50" i="3"/>
  <c r="AF9" i="4" a="1"/>
  <c r="BC7" i="4" a="1"/>
  <c r="AR64" i="3"/>
  <c r="E22" i="2"/>
  <c r="BG12" i="4" a="1"/>
  <c r="BL15" i="4" a="1"/>
  <c r="U7" i="2"/>
  <c r="Y16" i="4" a="1"/>
  <c r="AB16" i="4" a="1"/>
  <c r="D15" i="2"/>
  <c r="O29" i="2"/>
  <c r="T16" i="4" a="1"/>
  <c r="CD14" i="4" a="1"/>
  <c r="K11" i="2"/>
  <c r="D13" i="3"/>
  <c r="CJ13" i="4" a="1"/>
  <c r="H28" i="2"/>
  <c r="P16" i="4" a="1"/>
  <c r="DV8" i="4" a="1"/>
  <c r="L7" i="2"/>
  <c r="AD8" i="3"/>
  <c r="U11" i="4" a="1"/>
  <c r="E10" i="2"/>
  <c r="BL9" i="4" a="1"/>
  <c r="K6" i="4" a="1"/>
  <c r="V29" i="2"/>
  <c r="AR81" i="3"/>
  <c r="BQ8" i="4" a="1"/>
  <c r="AR59" i="3"/>
  <c r="AP11" i="4" a="1"/>
  <c r="H8" i="4" a="1"/>
  <c r="M28" i="2"/>
  <c r="CM12" i="4" a="1"/>
  <c r="L11" i="2"/>
  <c r="CU6" i="4" a="1"/>
  <c r="M13" i="4" a="1"/>
  <c r="H30" i="2"/>
  <c r="E33" i="3"/>
  <c r="AS9" i="4" a="1"/>
  <c r="X13" i="2"/>
  <c r="U45" i="3"/>
  <c r="F26" i="2"/>
  <c r="BR13" i="4" a="1"/>
  <c r="CP6" i="4" a="1"/>
  <c r="U18" i="2"/>
  <c r="F9" i="3"/>
  <c r="BB15" i="4" a="1"/>
  <c r="P15" i="2"/>
  <c r="F37" i="3"/>
  <c r="E35" i="2"/>
  <c r="BB8" i="4" a="1"/>
  <c r="DR6" i="4" a="1"/>
  <c r="BA12" i="4" a="1"/>
  <c r="F30" i="2"/>
  <c r="P8" i="4" a="1"/>
  <c r="AR14" i="4" a="1"/>
  <c r="H23" i="2"/>
  <c r="CY6" i="4" a="1"/>
  <c r="AX9" i="4" a="1"/>
  <c r="D21" i="3"/>
  <c r="AA6" i="4" a="1"/>
  <c r="N34" i="2"/>
  <c r="EJ16" i="4" a="1"/>
  <c r="EH15" i="4" a="1"/>
  <c r="T11" i="2"/>
  <c r="AY7" i="4" a="1"/>
  <c r="R7" i="4" a="1"/>
  <c r="I15" i="2"/>
  <c r="U12" i="2"/>
  <c r="BJ11" i="4" a="1"/>
  <c r="EC14" i="4" a="1"/>
  <c r="W24" i="2"/>
  <c r="AO45" i="3"/>
  <c r="AR9" i="4" a="1"/>
  <c r="T29" i="2"/>
  <c r="K28" i="2"/>
  <c r="EE6" i="4" a="1"/>
  <c r="CY9" i="4" a="1"/>
  <c r="G5" i="3"/>
  <c r="EF14" i="4" a="1"/>
  <c r="I28" i="2"/>
  <c r="Q22" i="2"/>
  <c r="E16" i="4" a="1"/>
  <c r="DC11" i="4" a="1"/>
  <c r="L10" i="2"/>
  <c r="D45" i="3"/>
  <c r="EI16" i="4" a="1"/>
  <c r="N26" i="2"/>
  <c r="CO13" i="4" a="1"/>
  <c r="G6" i="3"/>
  <c r="X22" i="2"/>
  <c r="DG13" i="4" a="1"/>
  <c r="BD16" i="4" a="1"/>
  <c r="X63" i="2"/>
  <c r="AS6" i="4" a="1"/>
  <c r="D9" i="4" a="1"/>
  <c r="U12" i="4" a="1"/>
  <c r="S20" i="2"/>
  <c r="C15" i="4" a="1"/>
  <c r="CD15" i="4" a="1"/>
  <c r="CP11" i="4" a="1"/>
  <c r="L30" i="2"/>
  <c r="D8" i="4" a="1"/>
  <c r="CR16" i="4" a="1"/>
  <c r="EF12" i="4" a="1"/>
  <c r="J28" i="2"/>
  <c r="V24" i="2"/>
  <c r="AR70" i="3"/>
  <c r="P5" i="4" a="1"/>
  <c r="Q23" i="2"/>
  <c r="AJ14" i="4" a="1"/>
  <c r="EA16" i="4" a="1"/>
  <c r="CU16" i="4" a="1"/>
  <c r="N14" i="2"/>
  <c r="I26" i="2"/>
  <c r="BA5" i="4" a="1"/>
  <c r="CL11" i="4" a="1"/>
  <c r="EG11" i="4" a="1"/>
  <c r="I25" i="2"/>
  <c r="F25" i="3"/>
  <c r="CA16" i="4" a="1"/>
  <c r="J17" i="2"/>
  <c r="BZ5" i="4" a="1"/>
  <c r="BC16" i="4" a="1"/>
  <c r="DQ12" i="4" a="1"/>
  <c r="S19" i="2"/>
  <c r="E41" i="3"/>
  <c r="U9" i="2"/>
  <c r="BJ13" i="4" a="1"/>
  <c r="AR27" i="3"/>
  <c r="AX13" i="4" a="1"/>
  <c r="CF13" i="4" a="1"/>
  <c r="M13" i="2"/>
  <c r="DE12" i="4" a="1"/>
  <c r="AS14" i="4" a="1"/>
  <c r="DP13" i="4" a="1"/>
  <c r="AA13" i="4" a="1"/>
  <c r="EI8" i="4" a="1"/>
  <c r="BQ13" i="4" a="1"/>
  <c r="CN13" i="4" a="1"/>
  <c r="EJ11" i="4" a="1"/>
  <c r="BD7" i="4" a="1"/>
  <c r="BM7" i="4" a="1"/>
  <c r="AK14" i="4" a="1"/>
  <c r="AO8" i="4" a="1"/>
  <c r="S46" i="3"/>
  <c r="AZ5" i="4" a="1"/>
  <c r="BM9" i="4" a="1"/>
  <c r="S17" i="2"/>
  <c r="DH14" i="4" a="1"/>
  <c r="CE13" i="4" a="1"/>
  <c r="CU12" i="4" a="1"/>
  <c r="CI9" i="4" a="1"/>
  <c r="AH6" i="4" a="1"/>
  <c r="F36" i="2"/>
  <c r="O9" i="4" a="1"/>
  <c r="E24" i="2"/>
  <c r="AD11" i="4" a="1"/>
  <c r="ED15" i="4" a="1"/>
  <c r="CI11" i="4" a="1"/>
  <c r="BD12" i="4" a="1"/>
  <c r="V23" i="2"/>
  <c r="CB7" i="4" a="1"/>
  <c r="C20" i="2"/>
  <c r="AF13" i="4" a="1"/>
  <c r="I35" i="2"/>
  <c r="CF9" i="4" a="1"/>
  <c r="CP15" i="4" a="1"/>
  <c r="BP6" i="4" a="1"/>
  <c r="BF6" i="4" a="1"/>
  <c r="BK13" i="4" a="1"/>
  <c r="Z6" i="4" a="1"/>
  <c r="CV13" i="4" a="1"/>
  <c r="E22" i="3"/>
  <c r="CB8" i="4" a="1"/>
  <c r="CI16" i="4" a="1"/>
  <c r="BB7" i="4" a="1"/>
  <c r="Q8" i="4" a="1"/>
  <c r="CI12" i="4" a="1"/>
  <c r="C28" i="2"/>
  <c r="CL9" i="4" a="1"/>
  <c r="AZ12" i="4" a="1"/>
  <c r="K13" i="2"/>
  <c r="AF7" i="4" a="1"/>
  <c r="W6" i="4" a="1"/>
  <c r="R12" i="4" a="1"/>
  <c r="S16" i="4" a="1"/>
  <c r="G15" i="4" a="1"/>
  <c r="BG14" i="4" a="1"/>
  <c r="X15" i="4" a="1"/>
  <c r="EJ8" i="4" a="1"/>
  <c r="G45" i="3"/>
  <c r="DG14" i="4" a="1"/>
  <c r="AW9" i="4" a="1"/>
  <c r="DN11" i="4" a="1"/>
  <c r="EG7" i="4" a="1"/>
  <c r="BG9" i="4" a="1"/>
  <c r="CK6" i="4" a="1"/>
  <c r="Q78" i="2"/>
  <c r="D20" i="3"/>
  <c r="AN15" i="4" a="1"/>
  <c r="CK12" i="4" a="1"/>
  <c r="DT13" i="4" a="1"/>
  <c r="G59" i="3"/>
  <c r="G70" i="3"/>
  <c r="G72" i="3"/>
  <c r="C25" i="2"/>
  <c r="BG6" i="4" a="1"/>
  <c r="T46" i="3"/>
  <c r="R35" i="2"/>
  <c r="AR18" i="3"/>
  <c r="BZ12" i="4" a="1"/>
  <c r="BH6" i="4" a="1"/>
  <c r="M17" i="2"/>
  <c r="AR12" i="4" a="1"/>
  <c r="W30" i="2"/>
  <c r="J24" i="2"/>
  <c r="BM13" i="4" a="1"/>
  <c r="O5" i="2"/>
  <c r="DA12" i="4" a="1"/>
  <c r="BO5" i="4" a="1"/>
  <c r="S13" i="2"/>
  <c r="I12" i="2"/>
  <c r="DD12" i="4" a="1"/>
  <c r="T21" i="2"/>
  <c r="AE46" i="3"/>
  <c r="BD13" i="4" a="1"/>
  <c r="AG12" i="4" a="1"/>
  <c r="I29" i="2"/>
  <c r="D29" i="3"/>
  <c r="EI13" i="4" a="1"/>
  <c r="CO6" i="4" a="1"/>
  <c r="I30" i="2"/>
  <c r="I33" i="2"/>
  <c r="DT14" i="4" a="1"/>
  <c r="G16" i="3"/>
  <c r="O13" i="4" a="1"/>
  <c r="P14" i="4" a="1"/>
  <c r="CJ16" i="4" a="1"/>
  <c r="O46" i="3"/>
  <c r="N11" i="2"/>
  <c r="CT15" i="4" a="1"/>
  <c r="DH15" i="4" a="1"/>
  <c r="CB9" i="4" a="1"/>
  <c r="Q10" i="2"/>
  <c r="D9" i="2"/>
  <c r="L26" i="2"/>
  <c r="F89" i="2"/>
  <c r="BN6" i="4" a="1"/>
  <c r="T24" i="2"/>
  <c r="G8" i="4" a="1"/>
  <c r="AB11" i="4" a="1"/>
  <c r="C33" i="2"/>
  <c r="DW14" i="4" a="1"/>
  <c r="K16" i="4" a="1"/>
  <c r="M24" i="2"/>
  <c r="CE11" i="4" a="1"/>
  <c r="X20" i="2"/>
  <c r="BP9" i="4" a="1"/>
  <c r="O31" i="2"/>
  <c r="U8" i="4" a="1"/>
  <c r="AF48" i="3"/>
  <c r="G17" i="3"/>
  <c r="AR91" i="3"/>
  <c r="AG11" i="4" a="1"/>
  <c r="S15" i="2"/>
  <c r="C7" i="4" a="1"/>
  <c r="BE16" i="4" a="1"/>
  <c r="D7" i="3"/>
  <c r="S11" i="2"/>
  <c r="BC13" i="4" a="1"/>
  <c r="I17" i="2"/>
  <c r="AR20" i="3"/>
  <c r="AD16" i="3"/>
  <c r="AJ8" i="4" a="1"/>
  <c r="DF13" i="4" a="1"/>
  <c r="CB6" i="4" a="1"/>
  <c r="S8" i="4" a="1"/>
  <c r="DU6" i="4" a="1"/>
  <c r="CA13" i="4" a="1"/>
  <c r="DN12" i="4" a="1"/>
  <c r="AL46" i="3"/>
  <c r="DP6" i="4" a="1"/>
  <c r="AI11" i="4" a="1"/>
  <c r="AT11" i="4" a="1"/>
  <c r="AV13" i="4" a="1"/>
  <c r="AR7" i="4" a="1"/>
  <c r="BI5" i="4" a="1"/>
  <c r="W21" i="2"/>
  <c r="Q27" i="2"/>
  <c r="Q7" i="2"/>
  <c r="F29" i="2"/>
  <c r="DB13" i="4" a="1"/>
  <c r="H8" i="2"/>
  <c r="O5" i="4" a="1"/>
  <c r="BC9" i="4" a="1"/>
  <c r="DO8" i="4" a="1"/>
  <c r="U35" i="2"/>
  <c r="G35" i="2"/>
  <c r="U6" i="4" a="1"/>
  <c r="AC11" i="4" a="1"/>
  <c r="L8" i="4" a="1"/>
  <c r="CZ6" i="4" a="1"/>
  <c r="DF16" i="4" a="1"/>
  <c r="AR26" i="3"/>
  <c r="DH9" i="4" a="1"/>
  <c r="Q11" i="4" a="1"/>
  <c r="DY15" i="4" a="1"/>
  <c r="O12" i="4" a="1"/>
  <c r="AH8" i="4" a="1"/>
  <c r="AX5" i="4" a="1"/>
  <c r="H9" i="4" a="1"/>
  <c r="G89" i="3"/>
  <c r="G69" i="3"/>
  <c r="G97" i="3"/>
  <c r="AR11" i="4" a="1"/>
  <c r="C14" i="4" a="1"/>
  <c r="Q7" i="4" a="1"/>
  <c r="AR36" i="3"/>
  <c r="CF14" i="4" a="1"/>
  <c r="CJ5" i="4" a="1"/>
  <c r="AN6" i="4" a="1"/>
  <c r="DT15" i="4" a="1"/>
  <c r="DQ6" i="4" a="1"/>
  <c r="K13" i="4" a="1"/>
  <c r="F23" i="2"/>
  <c r="T9" i="4" a="1"/>
  <c r="D16" i="3"/>
  <c r="Q6" i="4" a="1"/>
  <c r="AQ14" i="4" a="1"/>
  <c r="AF5" i="4" a="1"/>
  <c r="Y9" i="4" a="1"/>
  <c r="J9" i="2"/>
  <c r="DY13" i="4" a="1"/>
  <c r="N9" i="2"/>
  <c r="DV12" i="4" a="1"/>
  <c r="C13" i="4" a="1"/>
  <c r="O11" i="4" a="1"/>
  <c r="F84" i="3"/>
  <c r="D7" i="2"/>
  <c r="DY11" i="4" a="1"/>
  <c r="BR9" i="4" a="1"/>
  <c r="F11" i="4" a="1"/>
  <c r="G25" i="3"/>
  <c r="T36" i="2"/>
  <c r="D8" i="2"/>
  <c r="EG5" i="4" a="1"/>
  <c r="DQ7" i="4" a="1"/>
  <c r="D15" i="3"/>
  <c r="D27" i="2"/>
  <c r="BM15" i="4" a="1"/>
  <c r="DQ9" i="4" a="1"/>
  <c r="M29" i="2"/>
  <c r="N22" i="2"/>
  <c r="AV12" i="4" a="1"/>
  <c r="I27" i="2"/>
  <c r="BY5" i="4" a="1"/>
  <c r="CY11" i="4" a="1"/>
  <c r="P7" i="4" a="1"/>
  <c r="W46" i="3"/>
  <c r="AG6" i="4" a="1"/>
  <c r="Z45" i="3"/>
  <c r="AR94" i="3"/>
  <c r="BI12" i="4" a="1"/>
  <c r="AR19" i="3"/>
  <c r="I22" i="2"/>
  <c r="E12" i="4" a="1"/>
  <c r="AD9" i="4" a="1"/>
  <c r="K14" i="2"/>
  <c r="CZ14" i="4" a="1"/>
  <c r="DF7" i="4" a="1"/>
  <c r="CU8" i="4" a="1"/>
  <c r="CI13" i="4" a="1"/>
  <c r="G16" i="4" a="1"/>
  <c r="CW5" i="4" a="1"/>
  <c r="G24" i="2"/>
  <c r="DS13" i="4" a="1"/>
  <c r="ED12" i="4" a="1"/>
  <c r="L33" i="2"/>
  <c r="CP5" i="4" a="1"/>
  <c r="Q8" i="2"/>
  <c r="H12" i="4" a="1"/>
  <c r="F64" i="3"/>
  <c r="G87" i="3"/>
  <c r="F61" i="3"/>
  <c r="I18" i="2"/>
  <c r="J16" i="2"/>
  <c r="CV16" i="4" a="1"/>
  <c r="DE11" i="4" a="1"/>
  <c r="L27" i="2"/>
  <c r="Q13" i="2"/>
  <c r="BH9" i="4" a="1"/>
  <c r="K25" i="2"/>
  <c r="CI6" i="4" a="1"/>
  <c r="AD46" i="3"/>
  <c r="M23" i="2"/>
  <c r="DI8" i="4" a="1"/>
  <c r="AR58" i="3"/>
  <c r="AH5" i="4" a="1"/>
  <c r="H15" i="4" a="1"/>
  <c r="EB14" i="4" a="1"/>
  <c r="EH9" i="4" a="1"/>
  <c r="R18" i="2"/>
  <c r="BB9" i="4" a="1"/>
  <c r="H9" i="2"/>
  <c r="D29" i="2"/>
  <c r="E45" i="2"/>
  <c r="AQ7" i="4" a="1"/>
  <c r="H32" i="2"/>
  <c r="DO11" i="4" a="1"/>
  <c r="AM13" i="4" a="1"/>
  <c r="CM7" i="4" a="1"/>
  <c r="V31" i="2"/>
  <c r="V27" i="2"/>
  <c r="G66" i="3"/>
  <c r="F76" i="3"/>
  <c r="G68" i="3"/>
  <c r="AB9" i="4" a="1"/>
  <c r="P12" i="2"/>
  <c r="H7" i="4" a="1"/>
  <c r="DT11" i="4" a="1"/>
  <c r="DX15" i="4" a="1"/>
  <c r="F13" i="4" a="1"/>
  <c r="AT16" i="4" a="1"/>
  <c r="T31" i="2"/>
  <c r="CC5" i="4" a="1"/>
  <c r="D10" i="3"/>
  <c r="R12" i="2"/>
  <c r="J45" i="3"/>
  <c r="AE14" i="4" a="1"/>
  <c r="BZ9" i="4" a="1"/>
  <c r="AR71" i="3"/>
  <c r="W8" i="4" a="1"/>
  <c r="G14" i="2"/>
  <c r="U6" i="2"/>
  <c r="M6" i="4" a="1"/>
  <c r="K20" i="2"/>
  <c r="BQ16" i="4" a="1"/>
  <c r="DI13" i="4" a="1"/>
  <c r="Q55" i="2"/>
  <c r="S23" i="2"/>
  <c r="BT15" i="4" a="1"/>
  <c r="K18" i="2"/>
  <c r="AE45" i="3"/>
  <c r="DA15" i="4" a="1"/>
  <c r="BG5" i="4" a="1"/>
  <c r="W26" i="2"/>
  <c r="E35" i="3"/>
  <c r="W16" i="4" a="1"/>
  <c r="R13" i="4" a="1"/>
  <c r="V13" i="2"/>
  <c r="N23" i="2"/>
  <c r="BV6" i="4" a="1"/>
  <c r="E19" i="3"/>
  <c r="DS9" i="4" a="1"/>
  <c r="BO12" i="4" a="1"/>
  <c r="AM16" i="4" a="1"/>
  <c r="E12" i="3"/>
  <c r="Q56" i="2"/>
  <c r="DT16" i="4" a="1"/>
  <c r="DD9" i="4" a="1"/>
  <c r="AF8" i="4" a="1"/>
  <c r="F33" i="2"/>
  <c r="J12" i="2"/>
  <c r="D18" i="2"/>
  <c r="Q30" i="2"/>
  <c r="V12" i="2"/>
  <c r="V22" i="2"/>
  <c r="F14" i="4" a="1"/>
  <c r="AW14" i="4" a="1"/>
  <c r="AA46" i="3"/>
  <c r="DX12" i="4" a="1"/>
  <c r="CL16" i="4" a="1"/>
  <c r="C65" i="2"/>
  <c r="AT9" i="4" a="1"/>
  <c r="J5" i="2"/>
  <c r="AE9" i="4" a="1"/>
  <c r="W34" i="2"/>
  <c r="BB5" i="4" a="1"/>
  <c r="X13" i="4" a="1"/>
  <c r="E16" i="3"/>
  <c r="M6" i="2"/>
  <c r="CE7" i="4" a="1"/>
  <c r="U13" i="2"/>
  <c r="EE11" i="4" a="1"/>
  <c r="T14" i="4" a="1"/>
  <c r="CS14" i="4" a="1"/>
  <c r="G11" i="3"/>
  <c r="DX11" i="4" a="1"/>
  <c r="L31" i="2"/>
  <c r="BL8" i="4" a="1"/>
  <c r="EC15" i="4" a="1"/>
  <c r="DD8" i="4" a="1"/>
  <c r="CT12" i="4" a="1"/>
  <c r="AF6" i="4" a="1"/>
  <c r="AH16" i="4" a="1"/>
  <c r="CA5" i="4" a="1"/>
  <c r="BX15" i="4" a="1"/>
  <c r="EI9" i="4" a="1"/>
  <c r="U46" i="3"/>
  <c r="F6" i="4" a="1"/>
  <c r="R14" i="4" a="1"/>
  <c r="CG13" i="4" a="1"/>
  <c r="AZ14" i="4" a="1"/>
  <c r="CS11" i="4" a="1"/>
  <c r="BY15" i="4" a="1"/>
  <c r="T6" i="2"/>
  <c r="P69" i="2"/>
  <c r="AN45" i="3"/>
  <c r="C10" i="2"/>
  <c r="D16" i="4" a="1"/>
  <c r="E19" i="2"/>
  <c r="CY7" i="4" a="1"/>
  <c r="I11" i="4" a="1"/>
  <c r="AA8" i="4" a="1"/>
  <c r="E18" i="2"/>
  <c r="X30" i="2"/>
  <c r="X14" i="4" a="1"/>
  <c r="S15" i="4" a="1"/>
  <c r="BD8" i="4" a="1"/>
  <c r="E11" i="4" a="1"/>
  <c r="EA7" i="4" a="1"/>
  <c r="BF9" i="4" a="1"/>
  <c r="AL9" i="4" a="1"/>
  <c r="AI7" i="4" a="1"/>
  <c r="AI12" i="4" a="1"/>
  <c r="R6" i="2"/>
  <c r="CZ15" i="4" a="1"/>
  <c r="BO7" i="4" a="1"/>
  <c r="AN16" i="4" a="1"/>
  <c r="F93" i="3"/>
  <c r="G74" i="3"/>
  <c r="G75" i="3"/>
  <c r="G92" i="3"/>
  <c r="G84" i="3"/>
  <c r="F91" i="3"/>
  <c r="G79" i="3"/>
  <c r="F58" i="3"/>
  <c r="G90" i="3"/>
  <c r="G85" i="3"/>
  <c r="Q69" i="2"/>
  <c r="CG12" i="4" a="1"/>
  <c r="T15" i="4" a="1"/>
  <c r="EE5" i="4" a="1"/>
  <c r="R46" i="3"/>
  <c r="O23" i="2"/>
  <c r="EB5" i="4" a="1"/>
  <c r="CJ8" i="4" a="1"/>
  <c r="G10" i="2"/>
  <c r="DE9" i="4" a="1"/>
  <c r="I6" i="4" a="1"/>
  <c r="ED11" i="4" a="1"/>
  <c r="P5" i="2"/>
  <c r="G73" i="3"/>
  <c r="F56" i="3"/>
  <c r="F89" i="3"/>
  <c r="H20" i="2"/>
  <c r="AM14" i="4" a="1"/>
  <c r="BL11" i="4" a="1"/>
  <c r="BD11" i="4" a="1"/>
  <c r="DQ8" i="4" a="1"/>
  <c r="AS49" i="3"/>
  <c r="E11" i="2"/>
  <c r="BE12" i="4" a="1"/>
  <c r="O6" i="4" a="1"/>
  <c r="CS6" i="4" a="1"/>
  <c r="AH11" i="4" a="1"/>
  <c r="G88" i="3"/>
  <c r="J7" i="4" a="1"/>
  <c r="R5" i="4" a="1"/>
  <c r="F10" i="3"/>
  <c r="CZ13" i="4" a="1"/>
  <c r="BO16" i="4" a="1"/>
  <c r="D20" i="2"/>
  <c r="DN6" i="4" a="1"/>
  <c r="D13" i="2"/>
  <c r="AG15" i="4" a="1"/>
  <c r="BX7" i="4" a="1"/>
  <c r="AY11" i="4" a="1"/>
  <c r="EI14" i="4" a="1"/>
  <c r="CN7" i="4" a="1"/>
  <c r="H21" i="2"/>
  <c r="AA11" i="4" a="1"/>
  <c r="DR11" i="4" a="1"/>
  <c r="CH7" i="4" a="1"/>
  <c r="BV12" i="4" a="1"/>
  <c r="L35" i="2"/>
  <c r="AM15" i="4" a="1"/>
  <c r="BT14" i="4" a="1"/>
  <c r="G33" i="2"/>
  <c r="BE7" i="4" a="1"/>
  <c r="H45" i="3"/>
  <c r="CU11" i="4" a="1"/>
  <c r="E28" i="3"/>
  <c r="CV11" i="4" a="1"/>
  <c r="M11" i="4" a="1"/>
  <c r="G76" i="3"/>
  <c r="F57" i="3"/>
  <c r="N31" i="2"/>
  <c r="AL7" i="4" a="1"/>
  <c r="AP12" i="4" a="1"/>
  <c r="CA14" i="4" a="1"/>
  <c r="AD7" i="3"/>
  <c r="AH13" i="4" a="1"/>
  <c r="K29" i="2"/>
  <c r="I20" i="2"/>
  <c r="AR90" i="3"/>
  <c r="EF9" i="4" a="1"/>
  <c r="AR45" i="3"/>
  <c r="C24" i="2"/>
  <c r="CI7" i="4" a="1"/>
  <c r="AF15" i="4" a="1"/>
  <c r="EB8" i="4" a="1"/>
  <c r="T34" i="2"/>
  <c r="DT9" i="4" a="1"/>
  <c r="R8" i="2"/>
  <c r="D47" i="2"/>
  <c r="CK5" i="4" a="1"/>
  <c r="N30" i="2"/>
  <c r="AK16" i="4" a="1"/>
  <c r="D7" i="4" a="1"/>
  <c r="Q9" i="2"/>
  <c r="O20" i="2"/>
  <c r="BS11" i="4" a="1"/>
  <c r="S24" i="2"/>
  <c r="F31" i="3"/>
  <c r="BE14" i="4" a="1"/>
  <c r="EE14" i="4" a="1"/>
  <c r="W27" i="2"/>
  <c r="AD12" i="3"/>
  <c r="AS12" i="4" a="1"/>
  <c r="BH12" i="4" a="1"/>
  <c r="W7" i="2"/>
  <c r="N12" i="2"/>
  <c r="E15" i="4" a="1"/>
  <c r="AX8" i="4" a="1"/>
  <c r="EB7" i="4" a="1"/>
  <c r="EA13" i="4" a="1"/>
  <c r="O9" i="2"/>
  <c r="R45" i="3"/>
  <c r="I31" i="2"/>
  <c r="CB14" i="4" a="1"/>
  <c r="BA7" i="4" a="1"/>
  <c r="DU5" i="4" a="1"/>
  <c r="F16" i="2"/>
  <c r="U24" i="2"/>
  <c r="L5" i="2"/>
  <c r="K23" i="2"/>
  <c r="S28" i="2"/>
  <c r="H10" i="2"/>
  <c r="DI9" i="4" a="1"/>
  <c r="C16" i="4" a="1"/>
  <c r="E39" i="3"/>
  <c r="W15" i="4" a="1"/>
  <c r="CT5" i="4" a="1"/>
  <c r="M9" i="2"/>
  <c r="P34" i="2"/>
  <c r="H5" i="2"/>
  <c r="EB15" i="4" a="1"/>
  <c r="AR77" i="3"/>
  <c r="H5" i="4" a="1"/>
  <c r="P13" i="4" a="1"/>
  <c r="AN8" i="4" a="1"/>
  <c r="E5" i="3"/>
  <c r="BY11" i="4" a="1"/>
  <c r="H27" i="2"/>
  <c r="AY12" i="4" a="1"/>
  <c r="BH11" i="4" a="1"/>
  <c r="DI16" i="4" a="1"/>
  <c r="E6" i="3"/>
  <c r="CC6" i="4" a="1"/>
  <c r="O34" i="2"/>
  <c r="AN11" i="4" a="1"/>
  <c r="CG16" i="4" a="1"/>
  <c r="CH11" i="4" a="1"/>
  <c r="DE8" i="4" a="1"/>
  <c r="DE13" i="4" a="1"/>
  <c r="E7" i="4" a="1"/>
  <c r="AO13" i="4" a="1"/>
  <c r="DH11" i="4" a="1"/>
  <c r="L16" i="4" a="1"/>
  <c r="AG7" i="4" a="1"/>
  <c r="BH8" i="4" a="1"/>
  <c r="BI6" i="4" a="1"/>
  <c r="DD15" i="4" a="1"/>
  <c r="CS7" i="4" a="1"/>
  <c r="CU15" i="4" a="1"/>
  <c r="AI5" i="4" a="1"/>
  <c r="I46" i="3"/>
  <c r="AR55" i="3"/>
  <c r="CI15" i="4" a="1"/>
  <c r="C13" i="2"/>
  <c r="AD6" i="4" a="1"/>
  <c r="F25" i="2"/>
  <c r="BN14" i="4" a="1"/>
  <c r="CN15" i="4" a="1"/>
  <c r="AW15" i="4" a="1"/>
  <c r="F6" i="3"/>
  <c r="M34" i="2"/>
  <c r="AP5" i="4" a="1"/>
  <c r="R11" i="4" a="1"/>
  <c r="AT12" i="4" a="1"/>
  <c r="BF8" i="4" a="1"/>
  <c r="R8" i="4" a="1"/>
  <c r="BF7" i="4" a="1"/>
  <c r="DI11" i="4" a="1"/>
  <c r="DC13" i="4" a="1"/>
  <c r="T7" i="4" a="1"/>
  <c r="O22" i="2"/>
  <c r="CM13" i="4" a="1"/>
  <c r="EG6" i="4" a="1"/>
  <c r="G62" i="3"/>
  <c r="F47" i="3"/>
  <c r="G60" i="3"/>
  <c r="E78" i="3"/>
  <c r="E59" i="3"/>
  <c r="G91" i="3"/>
  <c r="G83" i="3"/>
  <c r="G80" i="3"/>
  <c r="F75" i="3"/>
  <c r="G95" i="3"/>
  <c r="F68" i="3"/>
  <c r="BG8" i="4" a="1"/>
  <c r="F67" i="3"/>
  <c r="AD55" i="3"/>
  <c r="AD79" i="3"/>
  <c r="G82" i="3"/>
  <c r="F94" i="3"/>
  <c r="M7" i="4" a="1"/>
  <c r="AR8" i="4" a="1"/>
  <c r="K10" i="2"/>
  <c r="CX12" i="4" a="1"/>
  <c r="AR67" i="3"/>
  <c r="M15" i="4" a="1"/>
  <c r="F8" i="3"/>
  <c r="P15" i="4" a="1"/>
  <c r="DV5" i="4" a="1"/>
  <c r="R11" i="2"/>
  <c r="AY8" i="4" a="1"/>
  <c r="G29" i="3"/>
  <c r="AW11" i="4" a="1"/>
  <c r="X41" i="2"/>
  <c r="BL16" i="4" a="1"/>
  <c r="P19" i="2"/>
  <c r="BW13" i="4" a="1"/>
  <c r="AQ8" i="4" a="1"/>
  <c r="CJ12" i="4" a="1"/>
  <c r="X18" i="2"/>
  <c r="R9" i="4" a="1"/>
  <c r="DQ16" i="4" a="1"/>
  <c r="F5" i="2"/>
  <c r="BF11" i="4" a="1"/>
  <c r="CK13" i="4" a="1"/>
  <c r="R7" i="2"/>
  <c r="CN8" i="4" a="1"/>
  <c r="EH16" i="4" a="1"/>
  <c r="AB13" i="4" a="1"/>
  <c r="DL8" i="4" a="1"/>
  <c r="G6" i="2"/>
  <c r="BN8" i="4" a="1"/>
  <c r="Q33" i="2"/>
  <c r="BX11" i="4" a="1"/>
  <c r="E56" i="3"/>
  <c r="F95" i="3"/>
  <c r="DC7" i="4" a="1"/>
  <c r="AR93" i="3"/>
  <c r="P10" i="2"/>
  <c r="BM8" i="4" a="1"/>
  <c r="BY6" i="4" a="1"/>
  <c r="I11" i="2"/>
  <c r="E25" i="2"/>
  <c r="S7" i="2"/>
  <c r="R31" i="2"/>
  <c r="N15" i="4" a="1"/>
  <c r="AA5" i="4" a="1"/>
  <c r="E8" i="4" a="1"/>
  <c r="M14" i="4" a="1"/>
  <c r="L23" i="2"/>
  <c r="DR15" i="4" a="1"/>
  <c r="BP16" i="4" a="1"/>
  <c r="C6" i="2"/>
  <c r="Q31" i="2"/>
  <c r="AO16" i="4" a="1"/>
  <c r="DB6" i="4" a="1"/>
  <c r="T5" i="4" a="1"/>
  <c r="AP8" i="4" a="1"/>
  <c r="DN16" i="4" a="1"/>
  <c r="K5" i="4" a="1"/>
  <c r="T30" i="2"/>
  <c r="CA12" i="4" a="1"/>
  <c r="BU14" i="4" a="1"/>
  <c r="DV15" i="4" a="1"/>
  <c r="F32" i="2"/>
  <c r="I9" i="4" a="1"/>
  <c r="E95" i="3"/>
  <c r="F77" i="3"/>
  <c r="E65" i="3"/>
  <c r="F60" i="3"/>
  <c r="F69" i="3"/>
  <c r="AD86" i="3"/>
  <c r="EC9" i="4" a="1"/>
  <c r="AE5" i="4" a="1"/>
  <c r="AR25" i="3"/>
  <c r="DZ5" i="4" a="1"/>
  <c r="AP9" i="4" a="1"/>
  <c r="F12" i="4" a="1"/>
  <c r="DJ12" i="4" a="1"/>
  <c r="X23" i="2"/>
  <c r="DM9" i="4" a="1"/>
  <c r="AY5" i="4" a="1"/>
  <c r="Q59" i="2"/>
  <c r="AQ6" i="3"/>
  <c r="AK5" i="4" a="1"/>
  <c r="BS14" i="4" a="1"/>
  <c r="CC8" i="4" a="1"/>
  <c r="F7" i="3"/>
  <c r="AA15" i="4" a="1"/>
  <c r="D12" i="4" a="1"/>
  <c r="G27" i="3"/>
  <c r="EA5" i="4" a="1"/>
  <c r="CX8" i="4" a="1"/>
  <c r="P36" i="2"/>
  <c r="AR87" i="3"/>
  <c r="S6" i="4" a="1"/>
  <c r="BW6" i="4" a="1"/>
  <c r="AD85" i="3"/>
  <c r="E82" i="3"/>
  <c r="G77" i="3"/>
  <c r="Q17" i="2"/>
  <c r="CN11" i="4" a="1"/>
  <c r="DO7" i="4" a="1"/>
  <c r="BX16" i="4" a="1"/>
  <c r="F22" i="3"/>
  <c r="BX8" i="4" a="1"/>
  <c r="EJ7" i="4" a="1"/>
  <c r="CD12" i="4" a="1"/>
  <c r="K22" i="2"/>
  <c r="BN13" i="4" a="1"/>
  <c r="G12" i="3"/>
  <c r="H19" i="2"/>
  <c r="AN7" i="4" a="1"/>
  <c r="EG15" i="4" a="1"/>
  <c r="DS6" i="4" a="1"/>
  <c r="H12" i="2"/>
  <c r="I16" i="4" a="1"/>
  <c r="T9" i="2"/>
  <c r="J10" i="2"/>
  <c r="J14" i="4" a="1"/>
  <c r="J35" i="2"/>
  <c r="K26" i="2"/>
  <c r="BP5" i="4" a="1"/>
  <c r="N10" i="2"/>
  <c r="I5" i="2"/>
  <c r="ED5" i="4" a="1"/>
  <c r="H33" i="2"/>
  <c r="E24" i="3"/>
  <c r="CR14" i="4" a="1"/>
  <c r="AA12" i="4" a="1"/>
  <c r="K43" i="2"/>
  <c r="AR29" i="3"/>
  <c r="BT12" i="4" a="1"/>
  <c r="P9" i="4" a="1"/>
  <c r="E34" i="2"/>
  <c r="S29" i="2"/>
  <c r="BR8" i="4" a="1"/>
  <c r="AT14" i="4" a="1"/>
  <c r="AC7" i="4" a="1"/>
  <c r="EA15" i="4" a="1"/>
  <c r="C27" i="2"/>
  <c r="AK11" i="4" a="1"/>
  <c r="U34" i="2"/>
  <c r="BJ8" i="4" a="1"/>
  <c r="DW5" i="4" a="1"/>
  <c r="CT7" i="4" a="1"/>
  <c r="AR56" i="3"/>
  <c r="Q45" i="3"/>
  <c r="J23" i="2"/>
  <c r="S9" i="2"/>
  <c r="AR84" i="3"/>
  <c r="AR49" i="3"/>
  <c r="F5" i="4" a="1"/>
  <c r="CH12" i="4" a="1"/>
  <c r="D23" i="3"/>
  <c r="EA14" i="4" a="1"/>
  <c r="DT6" i="4" a="1"/>
  <c r="AR86" i="3"/>
  <c r="W14" i="2"/>
  <c r="D33" i="3"/>
  <c r="M9" i="4" a="1"/>
  <c r="D19" i="3"/>
  <c r="EC5" i="4" a="1"/>
  <c r="BQ5" i="4" a="1"/>
  <c r="AI13" i="4" a="1"/>
  <c r="AD18" i="3"/>
  <c r="AN12" i="4" a="1"/>
  <c r="H11" i="2"/>
  <c r="AU7" i="4" a="1"/>
  <c r="CJ15" i="4" a="1"/>
  <c r="BS15" i="4" a="1"/>
  <c r="G18" i="3"/>
  <c r="DK9" i="4" a="1"/>
  <c r="E12" i="2"/>
  <c r="D11" i="4" a="1"/>
  <c r="CA15" i="4" a="1"/>
  <c r="ED13" i="4" a="1"/>
  <c r="F9" i="4" a="1"/>
  <c r="CK14" i="4" a="1"/>
  <c r="AL14" i="4" a="1"/>
  <c r="CW6" i="4" a="1"/>
  <c r="BM16" i="4" a="1"/>
  <c r="K12" i="4" a="1"/>
  <c r="I14" i="4" a="1"/>
  <c r="CT16" i="4" a="1"/>
  <c r="V5" i="4" a="1"/>
  <c r="H11" i="4" a="1"/>
  <c r="DL11" i="4" a="1"/>
  <c r="F10" i="2"/>
  <c r="CL12" i="4" a="1"/>
  <c r="CY15" i="4" a="1"/>
  <c r="K27" i="2"/>
  <c r="BS7" i="4" a="1"/>
  <c r="E20" i="3"/>
  <c r="U7" i="4" a="1"/>
  <c r="Q20" i="2"/>
  <c r="BF15" i="4" a="1"/>
  <c r="BT16" i="4" a="1"/>
  <c r="AC13" i="4" a="1"/>
  <c r="AI14" i="4" a="1"/>
  <c r="C30" i="2"/>
  <c r="CZ11" i="4" a="1"/>
  <c r="X8" i="4" a="1"/>
  <c r="S13" i="4" a="1"/>
  <c r="CK7" i="4" a="1"/>
  <c r="AQ9" i="4" a="1"/>
  <c r="CL14" i="4" a="1"/>
  <c r="DO15" i="4" a="1"/>
  <c r="AY14" i="4" a="1"/>
  <c r="R14" i="2"/>
  <c r="CF11" i="4" a="1"/>
  <c r="CH6" i="4" a="1"/>
  <c r="E89" i="3"/>
  <c r="F70" i="3"/>
  <c r="F96" i="3"/>
  <c r="AD57" i="3"/>
  <c r="E54" i="3"/>
  <c r="G96" i="3"/>
  <c r="E92" i="3"/>
  <c r="G81" i="3"/>
  <c r="G86" i="3"/>
  <c r="G34" i="2"/>
  <c r="CQ11" i="4" a="1"/>
  <c r="Q32" i="2"/>
  <c r="AR35" i="3"/>
  <c r="D25" i="3"/>
  <c r="L17" i="2"/>
  <c r="BH16" i="4" a="1"/>
  <c r="H7" i="2"/>
  <c r="DN8" i="4" a="1"/>
  <c r="CX14" i="4" a="1"/>
  <c r="DU8" i="4" a="1"/>
  <c r="Q11" i="2"/>
  <c r="N14" i="4" a="1"/>
  <c r="T20" i="2"/>
  <c r="BE13" i="4" a="1"/>
  <c r="E26" i="3"/>
  <c r="CZ16" i="4" a="1"/>
  <c r="AE7" i="4" a="1"/>
  <c r="T27" i="2"/>
  <c r="AB46" i="3"/>
  <c r="O16" i="4" a="1"/>
  <c r="I15" i="4" a="1"/>
  <c r="V21" i="2"/>
  <c r="CX7" i="4" a="1"/>
  <c r="CW15" i="4" a="1"/>
  <c r="AR24" i="3"/>
  <c r="AR60" i="3"/>
  <c r="BC12" i="4" a="1"/>
  <c r="M5" i="4" a="1"/>
  <c r="CS8" i="4" a="1"/>
  <c r="BF5" i="4" a="1"/>
  <c r="BR14" i="4" a="1"/>
  <c r="BG15" i="4" a="1"/>
  <c r="DJ16" i="4" a="1"/>
  <c r="BU11" i="4" a="1"/>
  <c r="F65" i="3"/>
  <c r="F86" i="3"/>
  <c r="F87" i="3"/>
  <c r="AB15" i="4" a="1"/>
  <c r="AE15" i="4" a="1"/>
  <c r="AS16" i="4" a="1"/>
  <c r="DJ13" i="4" a="1"/>
  <c r="E14" i="3"/>
  <c r="U14" i="4" a="1"/>
  <c r="EE13" i="4" a="1"/>
  <c r="AS13" i="4" a="1"/>
  <c r="CE16" i="4" a="1"/>
  <c r="R23" i="2"/>
  <c r="M8" i="4" a="1"/>
  <c r="DG8" i="4" a="1"/>
  <c r="DY16" i="4" a="1"/>
  <c r="DP16" i="4" a="1"/>
  <c r="X7" i="4" a="1"/>
  <c r="CV12" i="4" a="1"/>
  <c r="BQ6" i="4" a="1"/>
  <c r="G11" i="4" a="1"/>
  <c r="BK16" i="4" a="1"/>
  <c r="O11" i="2"/>
  <c r="CQ15" i="4" a="1"/>
  <c r="AD83" i="3"/>
  <c r="G32" i="2"/>
  <c r="AJ12" i="4" a="1"/>
  <c r="DX14" i="4" a="1"/>
  <c r="BF12" i="4" a="1"/>
  <c r="CN9" i="4" a="1"/>
  <c r="Q57" i="2"/>
  <c r="O30" i="2"/>
  <c r="E6" i="4" a="1"/>
  <c r="Q14" i="2"/>
  <c r="BO6" i="4" a="1"/>
  <c r="Y14" i="4" a="1"/>
  <c r="DX6" i="4" a="1"/>
  <c r="EA8" i="4" a="1"/>
  <c r="AT7" i="4" a="1"/>
  <c r="CC12" i="4" a="1"/>
  <c r="EH12" i="4" a="1"/>
  <c r="CE14" i="4" a="1"/>
  <c r="DC16" i="4" a="1"/>
  <c r="K7" i="2"/>
  <c r="AO6" i="4" a="1"/>
  <c r="BE9" i="4" a="1"/>
  <c r="DZ14" i="4" a="1"/>
  <c r="DR9" i="4" a="1"/>
  <c r="G64" i="3"/>
  <c r="AD76" i="3"/>
  <c r="G67" i="3"/>
  <c r="F49" i="3"/>
  <c r="G63" i="3"/>
  <c r="G78" i="3"/>
  <c r="F7" i="4" a="1"/>
  <c r="G26" i="3"/>
  <c r="CN5" i="4" a="1"/>
  <c r="P31" i="2"/>
  <c r="C7" i="2"/>
  <c r="AV16" i="4" a="1"/>
  <c r="K31" i="2"/>
  <c r="U21" i="2"/>
  <c r="E21" i="3"/>
  <c r="CS9" i="4" a="1"/>
  <c r="W23" i="2"/>
  <c r="U29" i="2"/>
  <c r="EC12" i="4" a="1"/>
  <c r="P45" i="3"/>
  <c r="D13" i="4" a="1"/>
  <c r="P14" i="2"/>
  <c r="BH13" i="4" a="1"/>
  <c r="F48" i="3"/>
  <c r="AD68" i="3"/>
  <c r="AO46" i="3"/>
  <c r="J15" i="4" a="1"/>
  <c r="H36" i="2"/>
  <c r="AU9" i="4" a="1"/>
  <c r="CN12" i="4" a="1"/>
  <c r="F74" i="3"/>
  <c r="V45" i="3"/>
  <c r="BB16" i="4" a="1"/>
  <c r="E46" i="3"/>
  <c r="CS15" i="4" a="1"/>
  <c r="Q16" i="4" a="1"/>
  <c r="R16" i="2"/>
  <c r="I32" i="2"/>
  <c r="D18" i="3"/>
  <c r="DE7" i="4" a="1"/>
  <c r="AQ6" i="4" a="1"/>
  <c r="DE6" i="4" a="1"/>
  <c r="BP8" i="4" a="1"/>
  <c r="BA8" i="4" a="1"/>
  <c r="DC15" i="4" a="1"/>
  <c r="AO6" i="3"/>
  <c r="E70" i="3"/>
  <c r="V8" i="2"/>
  <c r="BJ14" i="4" a="1"/>
  <c r="J25" i="2"/>
  <c r="EJ12" i="4" a="1"/>
  <c r="AB14" i="4" a="1"/>
  <c r="AD92" i="3"/>
  <c r="DU12" i="4" a="1"/>
  <c r="D26" i="3"/>
  <c r="Z11" i="4" a="1"/>
  <c r="CW9" i="4" a="1"/>
  <c r="DO13" i="4" a="1"/>
  <c r="E71" i="3"/>
  <c r="I12" i="4" a="1"/>
  <c r="BA9" i="4" a="1"/>
  <c r="D15" i="4" a="1"/>
  <c r="DW6" i="4" a="1"/>
  <c r="AR57" i="3"/>
  <c r="CE15" i="4" a="1"/>
  <c r="BQ9" i="4" a="1"/>
  <c r="J11" i="2"/>
  <c r="F20" i="2"/>
  <c r="G56" i="3"/>
  <c r="F85" i="3"/>
  <c r="AD82" i="3"/>
  <c r="DA14" i="4" a="1"/>
  <c r="T35" i="2"/>
  <c r="D22" i="2"/>
  <c r="CA7" i="4" a="1"/>
  <c r="G57" i="3"/>
  <c r="G58" i="3"/>
  <c r="DJ14" i="4" a="1"/>
  <c r="AZ15" i="4" a="1"/>
  <c r="G22" i="3"/>
  <c r="CW12" i="4" a="1"/>
  <c r="F83" i="3"/>
  <c r="AD95" i="3"/>
  <c r="M10" i="2"/>
  <c r="K8" i="4" a="1"/>
  <c r="X26" i="2"/>
  <c r="D9" i="3"/>
  <c r="F63" i="3"/>
  <c r="DL7" i="4" a="1"/>
  <c r="X12" i="4" a="1"/>
  <c r="DR8" i="4" a="1"/>
  <c r="R19" i="2"/>
  <c r="AD56" i="3"/>
  <c r="G94" i="3"/>
  <c r="AC12" i="4" a="1"/>
  <c r="CB16" i="4" a="1"/>
  <c r="BZ7" i="4" a="1"/>
  <c r="AD14" i="4" a="1"/>
  <c r="AK8" i="4" a="1"/>
  <c r="F80" i="3"/>
  <c r="CG14" i="4" a="1"/>
  <c r="AF11" i="4" a="1"/>
  <c r="AI8" i="4" a="1"/>
  <c r="U9" i="4" a="1"/>
  <c r="CC9" i="4" a="1"/>
  <c r="E68" i="3"/>
  <c r="G55" i="3"/>
  <c r="G61" i="3"/>
  <c r="G54" i="3"/>
  <c r="G93" i="3"/>
  <c r="E57" i="3"/>
  <c r="E77" i="3"/>
  <c r="E69" i="3"/>
  <c r="E62" i="3"/>
  <c r="E72" i="3"/>
  <c r="E61" i="3"/>
  <c r="E67" i="3"/>
  <c r="E63" i="3"/>
  <c r="E60" i="3"/>
  <c r="E76" i="3"/>
  <c r="E91" i="3"/>
  <c r="E85" i="3"/>
  <c r="E80" i="3"/>
  <c r="E93" i="3"/>
  <c r="E73" i="3"/>
  <c r="E66" i="3"/>
  <c r="E96" i="3"/>
  <c r="E74" i="3"/>
  <c r="E86" i="3"/>
  <c r="E79" i="3"/>
  <c r="E55" i="3"/>
  <c r="E84" i="3"/>
  <c r="E88" i="3"/>
  <c r="IO9" i="4" s="1"/>
  <c r="HU9" i="4" s="1"/>
  <c r="CL160" i="1"/>
  <c r="CL161" i="1"/>
  <c r="AB130" i="1"/>
  <c r="CQ130" i="1"/>
  <c r="AC193" i="1"/>
  <c r="CN118" i="1"/>
  <c r="CO116" i="1"/>
  <c r="F71" i="3" l="1"/>
  <c r="E81" i="3"/>
  <c r="E97" i="3"/>
  <c r="E94" i="3"/>
  <c r="E90" i="3"/>
  <c r="E64" i="3"/>
  <c r="E75" i="3"/>
  <c r="E87" i="3"/>
  <c r="E58" i="3"/>
  <c r="D95" i="3"/>
  <c r="F88" i="3"/>
  <c r="F81" i="3"/>
  <c r="G71" i="3"/>
  <c r="G65" i="3"/>
  <c r="E83" i="3"/>
  <c r="AD72" i="3"/>
  <c r="AD81" i="3"/>
  <c r="AD91" i="3"/>
  <c r="AD88" i="3"/>
  <c r="AD63" i="3"/>
  <c r="AD64" i="3"/>
  <c r="AD58" i="3"/>
  <c r="AD62" i="3"/>
  <c r="AD73" i="3"/>
  <c r="AD94" i="3"/>
  <c r="AD71" i="3"/>
  <c r="AD54" i="3"/>
  <c r="AD77" i="3"/>
  <c r="AD80" i="3"/>
  <c r="AD59" i="3"/>
  <c r="AD87" i="3"/>
  <c r="AD67" i="3"/>
  <c r="AD90" i="3"/>
  <c r="AD75" i="3"/>
  <c r="AD93" i="3"/>
  <c r="AD60" i="3"/>
  <c r="AD61" i="3"/>
  <c r="AD89" i="3"/>
  <c r="AD97" i="3"/>
  <c r="AD66" i="3"/>
  <c r="AD70" i="3"/>
  <c r="AD96" i="3"/>
  <c r="AD65" i="3"/>
  <c r="AD69" i="3"/>
  <c r="AD78" i="3"/>
  <c r="AD84" i="3"/>
  <c r="AD74" i="3"/>
  <c r="F92" i="3"/>
  <c r="F97" i="3"/>
  <c r="D60" i="3"/>
  <c r="D85" i="3"/>
  <c r="F82" i="3"/>
  <c r="F55" i="3"/>
  <c r="F66" i="3"/>
  <c r="F50" i="3"/>
  <c r="F62" i="3"/>
  <c r="F72" i="3"/>
  <c r="F73" i="3"/>
  <c r="D67" i="3"/>
  <c r="D68" i="3"/>
  <c r="D61" i="3"/>
  <c r="D97" i="3"/>
  <c r="D94" i="3"/>
  <c r="D66" i="3"/>
  <c r="D59" i="3"/>
  <c r="D89" i="3"/>
  <c r="D62" i="3"/>
  <c r="D81" i="3"/>
  <c r="D69" i="3"/>
  <c r="D58" i="3"/>
  <c r="D86" i="3"/>
  <c r="F78" i="3"/>
  <c r="D54" i="3"/>
  <c r="D80" i="3"/>
  <c r="D73" i="3"/>
  <c r="D93" i="3"/>
  <c r="D70" i="3"/>
  <c r="D96" i="3"/>
  <c r="D78" i="3"/>
  <c r="D76" i="3"/>
  <c r="D91" i="3"/>
  <c r="D87" i="3"/>
  <c r="D55" i="3"/>
  <c r="D74" i="3"/>
  <c r="D56" i="3"/>
  <c r="D77" i="3"/>
  <c r="D65" i="3"/>
  <c r="D92" i="3"/>
  <c r="D83" i="3"/>
  <c r="D84" i="3"/>
  <c r="D88" i="3"/>
  <c r="D57" i="3"/>
  <c r="D79" i="3"/>
  <c r="D71" i="3"/>
  <c r="F90" i="3"/>
  <c r="D63" i="3"/>
  <c r="D72" i="3"/>
  <c r="D75" i="3"/>
  <c r="D64" i="3"/>
  <c r="F59" i="3"/>
  <c r="F54" i="3"/>
  <c r="D90" i="3"/>
  <c r="D82" i="3"/>
  <c r="AJ203" i="1" s="1"/>
  <c r="AL225" i="1"/>
  <c r="BJ170" i="1"/>
  <c r="AL178" i="1"/>
  <c r="AM178" i="1" s="1"/>
  <c r="BJ231" i="1"/>
  <c r="AL226" i="1"/>
  <c r="S104" i="1"/>
  <c r="BJ203" i="1"/>
  <c r="AL207" i="1"/>
  <c r="AM207" i="1" s="1"/>
  <c r="I64" i="1"/>
  <c r="IK9" i="4" s="1"/>
  <c r="BX171" i="1"/>
  <c r="BY171" i="1" s="1"/>
  <c r="BJ221" i="1"/>
  <c r="BK221" i="1" s="1"/>
  <c r="HX14" i="4" s="1"/>
  <c r="I89" i="1"/>
  <c r="AJ78" i="1"/>
  <c r="H98" i="1"/>
  <c r="BJ184" i="1"/>
  <c r="O71" i="1"/>
  <c r="V88" i="1"/>
  <c r="AK74" i="1"/>
  <c r="AL126" i="1"/>
  <c r="JF14" i="4" s="1"/>
  <c r="IG9" i="4" s="1"/>
  <c r="P71" i="1"/>
  <c r="N92" i="1"/>
  <c r="P221" i="1"/>
  <c r="F98" i="1"/>
  <c r="BJ226" i="1"/>
  <c r="N64" i="1"/>
  <c r="II16" i="4" s="1"/>
  <c r="BJ65" i="1"/>
  <c r="V85" i="1"/>
  <c r="V261" i="1" s="1"/>
  <c r="M92" i="1"/>
  <c r="C177" i="1"/>
  <c r="BX179" i="1"/>
  <c r="BY179" i="1" s="1"/>
  <c r="J100" i="1"/>
  <c r="AL171" i="1"/>
  <c r="AM171" i="1" s="1"/>
  <c r="AK85" i="1"/>
  <c r="AK261" i="1" s="1"/>
  <c r="K104" i="1"/>
  <c r="C77" i="1"/>
  <c r="AL64" i="1"/>
  <c r="D64" i="1"/>
  <c r="BY126" i="1"/>
  <c r="AL218" i="1"/>
  <c r="AL170" i="1"/>
  <c r="AM170" i="1" s="1"/>
  <c r="N88" i="1"/>
  <c r="AL172" i="1"/>
  <c r="AL219" i="1"/>
  <c r="AM219" i="1" s="1"/>
  <c r="Q59" i="1"/>
  <c r="W92" i="1"/>
  <c r="D78" i="1"/>
  <c r="IW7" i="4" s="1"/>
  <c r="S59" i="1"/>
  <c r="S298" i="1" s="1"/>
  <c r="AM66" i="1"/>
  <c r="T77" i="1"/>
  <c r="L59" i="1"/>
  <c r="L298" i="1" s="1"/>
  <c r="AK71" i="1"/>
  <c r="IR16" i="4" s="1"/>
  <c r="U66" i="1"/>
  <c r="P92" i="1"/>
  <c r="C78" i="1"/>
  <c r="I66" i="1"/>
  <c r="P180" i="1"/>
  <c r="AK65" i="1"/>
  <c r="IA16" i="4" s="1"/>
  <c r="JC9" i="4" s="1"/>
  <c r="M88" i="1"/>
  <c r="U77" i="1"/>
  <c r="AK99" i="1"/>
  <c r="J78" i="1"/>
  <c r="R88" i="1"/>
  <c r="IK16" i="4" s="1"/>
  <c r="T59" i="1"/>
  <c r="T298" i="1" s="1"/>
  <c r="F71" i="1"/>
  <c r="HV8" i="4" s="1"/>
  <c r="IN9" i="4" s="1"/>
  <c r="Q66" i="1"/>
  <c r="AJ64" i="1"/>
  <c r="O66" i="1"/>
  <c r="U85" i="1"/>
  <c r="G98" i="1"/>
  <c r="D175" i="1"/>
  <c r="Q78" i="1"/>
  <c r="JH9" i="4" s="1"/>
  <c r="BX172" i="1"/>
  <c r="BY172" i="1" s="1"/>
  <c r="IZ8" i="4" s="1"/>
  <c r="L88" i="1"/>
  <c r="J89" i="1"/>
  <c r="IH9" i="4" s="1"/>
  <c r="P77" i="1"/>
  <c r="K85" i="1"/>
  <c r="K261" i="1" s="1"/>
  <c r="H78" i="1"/>
  <c r="I72" i="1"/>
  <c r="AL89" i="1"/>
  <c r="H89" i="1"/>
  <c r="M71" i="1"/>
  <c r="IU16" i="4" s="1"/>
  <c r="P88" i="1"/>
  <c r="BX186" i="1"/>
  <c r="IT16" i="4" s="1"/>
  <c r="K92" i="1"/>
  <c r="W185" i="1"/>
  <c r="AM59" i="1"/>
  <c r="AM298" i="1" s="1"/>
  <c r="T66" i="1"/>
  <c r="H75" i="1"/>
  <c r="S64" i="1"/>
  <c r="AJ74" i="1"/>
  <c r="G88" i="1"/>
  <c r="HT8" i="4" s="1"/>
  <c r="E92" i="1"/>
  <c r="D104" i="1"/>
  <c r="O75" i="1"/>
  <c r="BX195" i="1"/>
  <c r="IV16" i="4" s="1"/>
  <c r="U92" i="1"/>
  <c r="N104" i="1"/>
  <c r="IM8" i="4" s="1"/>
  <c r="AJ66" i="1"/>
  <c r="M78" i="1"/>
  <c r="R98" i="1"/>
  <c r="O64" i="1"/>
  <c r="AL92" i="1"/>
  <c r="V99" i="1"/>
  <c r="AK104" i="1"/>
  <c r="F64" i="1"/>
  <c r="D99" i="1"/>
  <c r="BX215" i="1"/>
  <c r="BY215" i="1" s="1"/>
  <c r="I59" i="1"/>
  <c r="I298" i="1" s="1"/>
  <c r="IS8" i="4" s="1"/>
  <c r="E104" i="1"/>
  <c r="BX226" i="1"/>
  <c r="AL77" i="1"/>
  <c r="B78" i="1"/>
  <c r="C89" i="1"/>
  <c r="Q92" i="1"/>
  <c r="IT14" i="4" s="1"/>
  <c r="G230" i="1"/>
  <c r="IE9" i="4" s="1"/>
  <c r="U72" i="1"/>
  <c r="P66" i="1"/>
  <c r="L92" i="1"/>
  <c r="K89" i="1"/>
  <c r="AK77" i="1"/>
  <c r="BX184" i="1"/>
  <c r="E77" i="1"/>
  <c r="AK66" i="1"/>
  <c r="E225" i="1"/>
  <c r="R78" i="1"/>
  <c r="BX127" i="1"/>
  <c r="C72" i="1"/>
  <c r="C104" i="1"/>
  <c r="IS14" i="4" s="1"/>
  <c r="F85" i="1"/>
  <c r="F261" i="1" s="1"/>
  <c r="AJ85" i="1"/>
  <c r="M77" i="1"/>
  <c r="N78" i="1"/>
  <c r="IY7" i="4"/>
  <c r="IJ7" i="4"/>
  <c r="AL228" i="1"/>
  <c r="AM276" i="1" s="1"/>
  <c r="Q74" i="1"/>
  <c r="AJ100" i="1"/>
  <c r="AL190" i="1"/>
  <c r="AM190" i="1" s="1"/>
  <c r="T100" i="1"/>
  <c r="B60" i="1"/>
  <c r="J60" i="1"/>
  <c r="JB16" i="4"/>
  <c r="Q88" i="1"/>
  <c r="HU14" i="4" s="1"/>
  <c r="AK75" i="1"/>
  <c r="IC16" i="4" s="1"/>
  <c r="AL217" i="1"/>
  <c r="AM217" i="1" s="1"/>
  <c r="AL215" i="1"/>
  <c r="AM215" i="1" s="1"/>
  <c r="IZ16" i="4" s="1"/>
  <c r="BX175" i="1"/>
  <c r="BY175" i="1" s="1"/>
  <c r="HQ15" i="4" s="1"/>
  <c r="HS16" i="4" s="1"/>
  <c r="S85" i="1"/>
  <c r="AK100" i="1"/>
  <c r="P64" i="1"/>
  <c r="G60" i="1"/>
  <c r="IH16" i="4" s="1"/>
  <c r="IH21" i="4" s="1"/>
  <c r="BB130" i="1" s="1"/>
  <c r="K72" i="1"/>
  <c r="AJ89" i="1"/>
  <c r="BX99" i="1"/>
  <c r="P98" i="1"/>
  <c r="BJ171" i="1"/>
  <c r="BK171" i="1" s="1"/>
  <c r="AL230" i="1"/>
  <c r="AM230" i="1" s="1"/>
  <c r="AL186" i="1"/>
  <c r="Q71" i="1"/>
  <c r="B92" i="1"/>
  <c r="IL16" i="4" s="1"/>
  <c r="AK60" i="1"/>
  <c r="J85" i="1"/>
  <c r="D66" i="1"/>
  <c r="AM78" i="1"/>
  <c r="G64" i="1"/>
  <c r="BJ78" i="1"/>
  <c r="V71" i="1"/>
  <c r="AJ88" i="1"/>
  <c r="BX126" i="1"/>
  <c r="BX204" i="1"/>
  <c r="BY204" i="1" s="1"/>
  <c r="I88" i="1"/>
  <c r="BX170" i="1"/>
  <c r="BY170" i="1" s="1"/>
  <c r="B85" i="1"/>
  <c r="R100" i="1"/>
  <c r="BX92" i="1"/>
  <c r="J172" i="1"/>
  <c r="G99" i="1"/>
  <c r="I104" i="1"/>
  <c r="HR14" i="4" s="1"/>
  <c r="HQ16" i="4" s="1"/>
  <c r="G66" i="1"/>
  <c r="G74" i="1"/>
  <c r="AM65" i="1"/>
  <c r="P72" i="1"/>
  <c r="BJ207" i="1"/>
  <c r="BK207" i="1" s="1"/>
  <c r="BX217" i="1"/>
  <c r="BY217" i="1" s="1"/>
  <c r="JA9" i="4" s="1"/>
  <c r="W88" i="1"/>
  <c r="IB9" i="4" s="1"/>
  <c r="BX89" i="1"/>
  <c r="AL185" i="1"/>
  <c r="AL175" i="1"/>
  <c r="AM175" i="1" s="1"/>
  <c r="AL193" i="1"/>
  <c r="AM193" i="1" s="1"/>
  <c r="AM269" i="1" s="1"/>
  <c r="HQ9" i="4" s="1"/>
  <c r="E98" i="1"/>
  <c r="S92" i="1"/>
  <c r="B59" i="1"/>
  <c r="B298" i="1" s="1"/>
  <c r="K88" i="1"/>
  <c r="R60" i="1"/>
  <c r="D89" i="1"/>
  <c r="H64" i="1"/>
  <c r="AL231" i="1"/>
  <c r="AM231" i="1" s="1"/>
  <c r="P99" i="1"/>
  <c r="F59" i="1"/>
  <c r="F298" i="1" s="1"/>
  <c r="JA8" i="4" s="1"/>
  <c r="JH16" i="4" s="1"/>
  <c r="Q60" i="1"/>
  <c r="HT9" i="4" s="1"/>
  <c r="W78" i="1"/>
  <c r="O74" i="1"/>
  <c r="W170" i="1"/>
  <c r="AM92" i="1"/>
  <c r="Q64" i="1"/>
  <c r="HS15" i="4" s="1"/>
  <c r="BJ197" i="1"/>
  <c r="BK197" i="1" s="1"/>
  <c r="AL184" i="1"/>
  <c r="AL59" i="1"/>
  <c r="E89" i="1"/>
  <c r="B77" i="1"/>
  <c r="IH8" i="4" s="1"/>
  <c r="HR16" i="4" s="1"/>
  <c r="AK59" i="1"/>
  <c r="AK298" i="1" s="1"/>
  <c r="G85" i="1"/>
  <c r="G261" i="1" s="1"/>
  <c r="BX193" i="1"/>
  <c r="J88" i="1"/>
  <c r="IE8" i="4" s="1"/>
  <c r="M66" i="1"/>
  <c r="V60" i="1"/>
  <c r="V61" i="1" s="1"/>
  <c r="V151" i="1" s="1"/>
  <c r="F99" i="1"/>
  <c r="D74" i="1"/>
  <c r="E99" i="1"/>
  <c r="HY8" i="4" s="1"/>
  <c r="IX9" i="4" s="1"/>
  <c r="C100" i="1"/>
  <c r="IF9" i="4" s="1"/>
  <c r="AL212" i="1"/>
  <c r="AM212" i="1" s="1"/>
  <c r="K99" i="1"/>
  <c r="J71" i="1"/>
  <c r="HX9" i="4" s="1"/>
  <c r="H85" i="1"/>
  <c r="H261" i="1" s="1"/>
  <c r="L100" i="1"/>
  <c r="C85" i="1"/>
  <c r="C261" i="1" s="1"/>
  <c r="AJ77" i="1"/>
  <c r="AM89" i="1"/>
  <c r="C60" i="1"/>
  <c r="AL204" i="1"/>
  <c r="AM204" i="1" s="1"/>
  <c r="AJ71" i="1"/>
  <c r="E88" i="1"/>
  <c r="IP14" i="4" s="1"/>
  <c r="BX100" i="1"/>
  <c r="F104" i="1"/>
  <c r="T104" i="1"/>
  <c r="JB8" i="4" s="1"/>
  <c r="E100" i="1"/>
  <c r="P60" i="1"/>
  <c r="P85" i="1"/>
  <c r="P261" i="1" s="1"/>
  <c r="HU8" i="4" s="1"/>
  <c r="BJ71" i="1"/>
  <c r="BX60" i="1"/>
  <c r="H72" i="1"/>
  <c r="R64" i="1"/>
  <c r="IG16" i="4" s="1"/>
  <c r="R75" i="1"/>
  <c r="BX219" i="1"/>
  <c r="BY219" i="1" s="1"/>
  <c r="AM72" i="1"/>
  <c r="B99" i="1"/>
  <c r="M64" i="1"/>
  <c r="AM71" i="1"/>
  <c r="H99" i="1"/>
  <c r="H92" i="1"/>
  <c r="AJ92" i="1"/>
  <c r="H100" i="1"/>
  <c r="H66" i="1"/>
  <c r="R77" i="1"/>
  <c r="V92" i="1"/>
  <c r="L72" i="1"/>
  <c r="BX78" i="1"/>
  <c r="Q104" i="1"/>
  <c r="B89" i="1"/>
  <c r="AJ60" i="1"/>
  <c r="P226" i="1"/>
  <c r="IY14" i="4" s="1"/>
  <c r="IY19" i="4" s="1"/>
  <c r="BS131" i="1" s="1"/>
  <c r="BS160" i="1" s="1"/>
  <c r="JI8" i="4" s="1"/>
  <c r="J77" i="1"/>
  <c r="IR9" i="4" s="1"/>
  <c r="IQ16" i="4" s="1"/>
  <c r="IP9" i="4" s="1"/>
  <c r="H104" i="1"/>
  <c r="IO7" i="4" s="1"/>
  <c r="U88" i="1"/>
  <c r="HS9" i="4" s="1"/>
  <c r="IQ9" i="4" s="1"/>
  <c r="R72" i="1"/>
  <c r="IA14" i="4" s="1"/>
  <c r="L77" i="1"/>
  <c r="R74" i="1"/>
  <c r="S100" i="1"/>
  <c r="JG14" i="4" s="1"/>
  <c r="T78" i="1"/>
  <c r="W77" i="1"/>
  <c r="IC9" i="4" s="1"/>
  <c r="G92" i="1"/>
  <c r="K64" i="1"/>
  <c r="BX202" i="1"/>
  <c r="U100" i="1"/>
  <c r="K60" i="1"/>
  <c r="J64" i="1"/>
  <c r="N100" i="1"/>
  <c r="C75" i="1"/>
  <c r="T60" i="1"/>
  <c r="IJ15" i="4" s="1"/>
  <c r="BX212" i="1"/>
  <c r="BY212" i="1" s="1"/>
  <c r="IG7" i="4" s="1"/>
  <c r="BL127" i="1"/>
  <c r="HQ7" i="4" s="1"/>
  <c r="O99" i="1"/>
  <c r="AK92" i="1"/>
  <c r="N98" i="1"/>
  <c r="J99" i="1"/>
  <c r="JD9" i="4" s="1"/>
  <c r="BX98" i="1"/>
  <c r="K74" i="1"/>
  <c r="JI9" i="4" s="1"/>
  <c r="M59" i="1"/>
  <c r="M298" i="1" s="1"/>
  <c r="HY16" i="4" s="1"/>
  <c r="W100" i="1"/>
  <c r="H74" i="1"/>
  <c r="HW9" i="4" s="1"/>
  <c r="W89" i="1"/>
  <c r="W319" i="1" s="1"/>
  <c r="L104" i="1"/>
  <c r="D72" i="1"/>
  <c r="D71" i="1"/>
  <c r="I75" i="1"/>
  <c r="I60" i="1"/>
  <c r="I61" i="1" s="1"/>
  <c r="H77" i="1"/>
  <c r="HU16" i="4" s="1"/>
  <c r="HU21" i="4" s="1"/>
  <c r="AO130" i="1" s="1"/>
  <c r="V78" i="1"/>
  <c r="AM74" i="1"/>
  <c r="BX72" i="1"/>
  <c r="JA16" i="4" s="1"/>
  <c r="JA21" i="4" s="1"/>
  <c r="BU130" i="1" s="1"/>
  <c r="AM60" i="1"/>
  <c r="IW16" i="4" s="1"/>
  <c r="JD14" i="4" s="1"/>
  <c r="U104" i="1"/>
  <c r="J66" i="1"/>
  <c r="AL85" i="1"/>
  <c r="AL261" i="1" s="1"/>
  <c r="IS9" i="4" s="1"/>
  <c r="D88" i="1"/>
  <c r="M99" i="1"/>
  <c r="BX178" i="1"/>
  <c r="BY178" i="1" s="1"/>
  <c r="U71" i="1"/>
  <c r="I99" i="1"/>
  <c r="Q72" i="1"/>
  <c r="AJ72" i="1"/>
  <c r="R99" i="1"/>
  <c r="AL104" i="1"/>
  <c r="I77" i="1"/>
  <c r="JD16" i="4" s="1"/>
  <c r="D77" i="1"/>
  <c r="B64" i="1"/>
  <c r="JC14" i="4" s="1"/>
  <c r="W66" i="1"/>
  <c r="J92" i="1"/>
  <c r="G77" i="1"/>
  <c r="U74" i="1"/>
  <c r="D59" i="1"/>
  <c r="D298" i="1" s="1"/>
  <c r="P89" i="1"/>
  <c r="BX59" i="1"/>
  <c r="U75" i="1"/>
  <c r="H88" i="1"/>
  <c r="S66" i="1"/>
  <c r="AL197" i="1"/>
  <c r="AM197" i="1" s="1"/>
  <c r="IU9" i="4"/>
  <c r="AL66" i="1"/>
  <c r="BX104" i="1"/>
  <c r="I78" i="1"/>
  <c r="BX71" i="1"/>
  <c r="E85" i="1"/>
  <c r="E261" i="1" s="1"/>
  <c r="AM77" i="1"/>
  <c r="W99" i="1"/>
  <c r="ID9" i="4" s="1"/>
  <c r="Q85" i="1"/>
  <c r="Q261" i="1" s="1"/>
  <c r="HR9" i="4" s="1"/>
  <c r="O88" i="1"/>
  <c r="B71" i="1"/>
  <c r="IZ7" i="4" s="1"/>
  <c r="C71" i="1"/>
  <c r="T92" i="1"/>
  <c r="HP15" i="4" s="1"/>
  <c r="W85" i="1"/>
  <c r="W261" i="1" s="1"/>
  <c r="JC15" i="4" s="1"/>
  <c r="BX75" i="1"/>
  <c r="IV9" i="4" s="1"/>
  <c r="G104" i="1"/>
  <c r="AL99" i="1"/>
  <c r="M104" i="1"/>
  <c r="D92" i="1"/>
  <c r="P218" i="1"/>
  <c r="AJ98" i="1"/>
  <c r="W71" i="1"/>
  <c r="AL98" i="1"/>
  <c r="IJ9" i="4" s="1"/>
  <c r="HW16" i="4" s="1"/>
  <c r="O85" i="1"/>
  <c r="AL88" i="1"/>
  <c r="O98" i="1"/>
  <c r="V75" i="1"/>
  <c r="IB7" i="4" s="1"/>
  <c r="N89" i="1"/>
  <c r="AM85" i="1"/>
  <c r="AM261" i="1" s="1"/>
  <c r="M89" i="1"/>
  <c r="AJ65" i="1"/>
  <c r="F74" i="1"/>
  <c r="T88" i="1"/>
  <c r="AL78" i="1"/>
  <c r="T72" i="1"/>
  <c r="D98" i="1"/>
  <c r="B104" i="1"/>
  <c r="BX64" i="1"/>
  <c r="IB16" i="4" s="1"/>
  <c r="R71" i="1"/>
  <c r="J74" i="1"/>
  <c r="I74" i="1"/>
  <c r="K100" i="1"/>
  <c r="V74" i="1"/>
  <c r="E72" i="1"/>
  <c r="IA15" i="4" s="1"/>
  <c r="B72" i="1"/>
  <c r="II9" i="4" s="1"/>
  <c r="J59" i="1"/>
  <c r="C92" i="1"/>
  <c r="IA9" i="4" s="1"/>
  <c r="JF9" i="4" s="1"/>
  <c r="IL8" i="4" s="1"/>
  <c r="J75" i="1"/>
  <c r="T85" i="1"/>
  <c r="T261" i="1" s="1"/>
  <c r="BJ77" i="1"/>
  <c r="AL100" i="1"/>
  <c r="R66" i="1"/>
  <c r="AL60" i="1"/>
  <c r="C99" i="1"/>
  <c r="R59" i="1"/>
  <c r="R298" i="1" s="1"/>
  <c r="JB7" i="4" s="1"/>
  <c r="JC7" i="4" s="1"/>
  <c r="IS16" i="4" s="1"/>
  <c r="U60" i="1"/>
  <c r="U61" i="1" s="1"/>
  <c r="U32" i="1" s="1"/>
  <c r="IL9" i="4" s="1"/>
  <c r="Q75" i="1"/>
  <c r="IG14" i="4" s="1"/>
  <c r="W64" i="1"/>
  <c r="AL71" i="1"/>
  <c r="F72" i="1"/>
  <c r="T74" i="1"/>
  <c r="F60" i="1"/>
  <c r="G89" i="1"/>
  <c r="BX85" i="1"/>
  <c r="BX261" i="1" s="1"/>
  <c r="J72" i="1"/>
  <c r="Q89" i="1"/>
  <c r="Q319" i="1" s="1"/>
  <c r="C88" i="1"/>
  <c r="L60" i="1"/>
  <c r="AL72" i="1"/>
  <c r="S89" i="1"/>
  <c r="R85" i="1"/>
  <c r="R261" i="1" s="1"/>
  <c r="IN16" i="4" s="1"/>
  <c r="IN21" i="4" s="1"/>
  <c r="BH130" i="1" s="1"/>
  <c r="R104" i="1"/>
  <c r="S88" i="1"/>
  <c r="IM15" i="4" s="1"/>
  <c r="IM20" i="4" s="1"/>
  <c r="BG132" i="1" s="1"/>
  <c r="BG161" i="1" s="1"/>
  <c r="JH15" i="4" s="1"/>
  <c r="BJ72" i="1"/>
  <c r="IJ16" i="4" s="1"/>
  <c r="O104" i="1"/>
  <c r="BX216" i="1"/>
  <c r="BY216" i="1" s="1"/>
  <c r="U98" i="1"/>
  <c r="F77" i="1"/>
  <c r="G72" i="1"/>
  <c r="L66" i="1"/>
  <c r="AM88" i="1"/>
  <c r="M85" i="1"/>
  <c r="M261" i="1" s="1"/>
  <c r="JH8" i="4" s="1"/>
  <c r="I100" i="1"/>
  <c r="O78" i="1"/>
  <c r="JE9" i="4" s="1"/>
  <c r="BJ66" i="1"/>
  <c r="BX203" i="1"/>
  <c r="O72" i="1"/>
  <c r="BX185" i="1"/>
  <c r="E66" i="1"/>
  <c r="S75" i="1"/>
  <c r="HP16" i="4" s="1"/>
  <c r="BX188" i="1"/>
  <c r="BY188" i="1" s="1"/>
  <c r="BX207" i="1"/>
  <c r="BY207" i="1" s="1"/>
  <c r="V64" i="1"/>
  <c r="O89" i="1"/>
  <c r="T89" i="1"/>
  <c r="T319" i="1" s="1"/>
  <c r="B88" i="1"/>
  <c r="L78" i="1"/>
  <c r="I92" i="1"/>
  <c r="BX74" i="1"/>
  <c r="G59" i="1"/>
  <c r="P104" i="1"/>
  <c r="IN15" i="4" s="1"/>
  <c r="R92" i="1"/>
  <c r="JB14" i="4" s="1"/>
  <c r="JB19" i="4" s="1"/>
  <c r="BV131" i="1" s="1"/>
  <c r="BV160" i="1" s="1"/>
  <c r="IK8" i="4" s="1"/>
  <c r="W74" i="1"/>
  <c r="BX66" i="1"/>
  <c r="R89" i="1"/>
  <c r="AM75" i="1"/>
  <c r="HV14" i="4" s="1"/>
  <c r="AJ104" i="1"/>
  <c r="AL75" i="1"/>
  <c r="I85" i="1"/>
  <c r="I261" i="1" s="1"/>
  <c r="F78" i="1"/>
  <c r="F92" i="1"/>
  <c r="W60" i="1"/>
  <c r="W61" i="1" s="1"/>
  <c r="V100" i="1"/>
  <c r="HW15" i="4" s="1"/>
  <c r="BX65" i="1"/>
  <c r="K78" i="1"/>
  <c r="F88" i="1"/>
  <c r="F66" i="1"/>
  <c r="IT9" i="4" s="1"/>
  <c r="M98" i="1"/>
  <c r="IQ14" i="4" s="1"/>
  <c r="BX230" i="1"/>
  <c r="BY230" i="1" s="1"/>
  <c r="B100" i="1"/>
  <c r="M100" i="1"/>
  <c r="AK98" i="1"/>
  <c r="N66" i="1"/>
  <c r="W104" i="1"/>
  <c r="HP14" i="4" s="1"/>
  <c r="HP19" i="4" s="1"/>
  <c r="AJ131" i="1" s="1"/>
  <c r="U89" i="1"/>
  <c r="U319" i="1" s="1"/>
  <c r="K75" i="1"/>
  <c r="D60" i="1"/>
  <c r="L75" i="1"/>
  <c r="Q100" i="1"/>
  <c r="E60" i="1"/>
  <c r="IH7" i="4"/>
  <c r="Q99" i="1"/>
  <c r="H60" i="1"/>
  <c r="N74" i="1"/>
  <c r="M74" i="1"/>
  <c r="E75" i="1"/>
  <c r="W75" i="1"/>
  <c r="IW9" i="4" s="1"/>
  <c r="JF16" i="4" s="1"/>
  <c r="K98" i="1"/>
  <c r="N59" i="1"/>
  <c r="N298" i="1" s="1"/>
  <c r="AK72" i="1"/>
  <c r="P75" i="1"/>
  <c r="K77" i="1"/>
  <c r="V89" i="1"/>
  <c r="V319" i="1" s="1"/>
  <c r="E71" i="1"/>
  <c r="M72" i="1"/>
  <c r="IP16" i="4" s="1"/>
  <c r="N71" i="1"/>
  <c r="L71" i="1"/>
  <c r="L89" i="1"/>
  <c r="BX190" i="1"/>
  <c r="BY190" i="1" s="1"/>
  <c r="B75" i="1"/>
  <c r="D100" i="1"/>
  <c r="AL65" i="1"/>
  <c r="O100" i="1"/>
  <c r="BJ75" i="1"/>
  <c r="D75" i="1"/>
  <c r="F100" i="1"/>
  <c r="I98" i="1"/>
  <c r="H59" i="1"/>
  <c r="S60" i="1"/>
  <c r="L64" i="1"/>
  <c r="IA7" i="4" s="1"/>
  <c r="BX177" i="1"/>
  <c r="BY177" i="1" s="1"/>
  <c r="S99" i="1"/>
  <c r="T75" i="1"/>
  <c r="IM16" i="4" s="1"/>
  <c r="AK78" i="1"/>
  <c r="O92" i="1"/>
  <c r="AK88" i="1"/>
  <c r="N72" i="1"/>
  <c r="L85" i="1"/>
  <c r="L261" i="1" s="1"/>
  <c r="T98" i="1"/>
  <c r="T99" i="1"/>
  <c r="V104" i="1"/>
  <c r="IZ9" i="4" s="1"/>
  <c r="D85" i="1"/>
  <c r="D261" i="1" s="1"/>
  <c r="K66" i="1"/>
  <c r="AJ59" i="1"/>
  <c r="AJ298" i="1" s="1"/>
  <c r="T64" i="1"/>
  <c r="IO16" i="4" s="1"/>
  <c r="IO21" i="4" s="1"/>
  <c r="BI130" i="1" s="1"/>
  <c r="IQ15" i="4" s="1"/>
  <c r="B98" i="1"/>
  <c r="BX88" i="1"/>
  <c r="S74" i="1"/>
  <c r="E74" i="1"/>
  <c r="C98" i="1"/>
  <c r="P100" i="1"/>
  <c r="JG9" i="4" s="1"/>
  <c r="Q218" i="1"/>
  <c r="BJ59" i="1"/>
  <c r="BJ298" i="1" s="1"/>
  <c r="U78" i="1"/>
  <c r="I71" i="1"/>
  <c r="M60" i="1"/>
  <c r="P59" i="1"/>
  <c r="BX225" i="1"/>
  <c r="E64" i="1"/>
  <c r="HX16" i="4" s="1"/>
  <c r="G71" i="1"/>
  <c r="BX231" i="1"/>
  <c r="BY231" i="1" s="1"/>
  <c r="B66" i="1"/>
  <c r="O77" i="1"/>
  <c r="P78" i="1"/>
  <c r="C59" i="1"/>
  <c r="E78" i="1"/>
  <c r="V98" i="1"/>
  <c r="IY16" i="4" s="1"/>
  <c r="C66" i="1"/>
  <c r="BX221" i="1"/>
  <c r="BY221" i="1" s="1"/>
  <c r="Q98" i="1"/>
  <c r="B74" i="1"/>
  <c r="HT16" i="4" s="1"/>
  <c r="BJ64" i="1"/>
  <c r="N60" i="1"/>
  <c r="AK64" i="1"/>
  <c r="T71" i="1"/>
  <c r="G75" i="1"/>
  <c r="J98" i="1"/>
  <c r="AL74" i="1"/>
  <c r="L99" i="1"/>
  <c r="W98" i="1"/>
  <c r="BX77" i="1"/>
  <c r="V72" i="1"/>
  <c r="HZ16" i="4" s="1"/>
  <c r="W72" i="1"/>
  <c r="N85" i="1"/>
  <c r="S78" i="1"/>
  <c r="HV9" i="4" s="1"/>
  <c r="S77" i="1"/>
  <c r="L98" i="1"/>
  <c r="H71" i="1"/>
  <c r="JI16" i="4" s="1"/>
  <c r="BX197" i="1"/>
  <c r="BY197" i="1" s="1"/>
  <c r="J104" i="1"/>
  <c r="S72" i="1"/>
  <c r="IX16" i="4" s="1"/>
  <c r="BX218" i="1"/>
  <c r="U64" i="1"/>
  <c r="C64" i="1"/>
  <c r="F75" i="1"/>
  <c r="Q77" i="1"/>
  <c r="K59" i="1"/>
  <c r="E59" i="1"/>
  <c r="K71" i="1"/>
  <c r="N77" i="1"/>
  <c r="HY9" i="4" s="1"/>
  <c r="HZ9" i="4" s="1"/>
  <c r="G100" i="1"/>
  <c r="S71" i="1"/>
  <c r="N75" i="1"/>
  <c r="AK89" i="1"/>
  <c r="F89" i="1"/>
  <c r="C74" i="1"/>
  <c r="AM64" i="1"/>
  <c r="O60" i="1"/>
  <c r="BX180" i="1"/>
  <c r="BY180" i="1" s="1"/>
  <c r="U99" i="1"/>
  <c r="G218" i="1"/>
  <c r="O59" i="1"/>
  <c r="O298" i="1" s="1"/>
  <c r="HV16" i="4" s="1"/>
  <c r="V77" i="1"/>
  <c r="JB9" i="4" s="1"/>
  <c r="AJ75" i="1"/>
  <c r="S98" i="1"/>
  <c r="L74" i="1"/>
  <c r="G78" i="1"/>
  <c r="AJ99" i="1"/>
  <c r="V66" i="1"/>
  <c r="N99" i="1"/>
  <c r="M75" i="1"/>
  <c r="P74" i="1"/>
  <c r="IU7" i="4"/>
  <c r="HP7" i="4"/>
  <c r="HT14" i="4"/>
  <c r="JE14" i="4"/>
  <c r="HY15" i="4"/>
  <c r="IP15" i="4"/>
  <c r="HR7" i="4"/>
  <c r="HW7" i="4"/>
  <c r="IT8" i="4"/>
  <c r="II7" i="4"/>
  <c r="IR8" i="4"/>
  <c r="JG8" i="4"/>
  <c r="JD7" i="4"/>
  <c r="JD15" i="4"/>
  <c r="HT15" i="4"/>
  <c r="IL15" i="4"/>
  <c r="IU8" i="4"/>
  <c r="IW8" i="4"/>
  <c r="HV15" i="4"/>
  <c r="IR15" i="4"/>
  <c r="IR20" i="4" s="1"/>
  <c r="BL132" i="1" s="1"/>
  <c r="BL149" i="1" s="1"/>
  <c r="IP7" i="4"/>
  <c r="IA8" i="4"/>
  <c r="JI7" i="4"/>
  <c r="IX8" i="4"/>
  <c r="HZ14" i="4"/>
  <c r="IB14" i="4"/>
  <c r="JE7" i="4"/>
  <c r="IW14" i="4"/>
  <c r="IK14" i="4"/>
  <c r="IC7" i="4"/>
  <c r="IQ8" i="4"/>
  <c r="II14" i="4"/>
  <c r="IT15" i="4"/>
  <c r="IF14" i="4"/>
  <c r="IF7" i="4"/>
  <c r="IM14" i="4"/>
  <c r="IK15" i="4"/>
  <c r="IF15" i="4"/>
  <c r="IV14" i="4"/>
  <c r="IE7" i="4"/>
  <c r="IN8" i="4"/>
  <c r="IP8" i="4"/>
  <c r="IV15" i="4"/>
  <c r="JA7" i="4"/>
  <c r="ID15" i="4"/>
  <c r="IR7" i="4"/>
  <c r="HS14" i="4"/>
  <c r="JH14" i="4"/>
  <c r="HP8" i="4"/>
  <c r="IZ14" i="4"/>
  <c r="JH7" i="4"/>
  <c r="HZ8" i="4"/>
  <c r="IU14" i="4"/>
  <c r="JC8" i="4"/>
  <c r="IQ7" i="4"/>
  <c r="IE15" i="4"/>
  <c r="IC8" i="4"/>
  <c r="II8" i="4"/>
  <c r="HY7" i="4"/>
  <c r="IM7" i="4"/>
  <c r="HV7" i="4"/>
  <c r="JE15" i="4"/>
  <c r="HR15" i="4"/>
  <c r="JE8" i="4"/>
  <c r="IC15" i="4"/>
  <c r="HW8" i="4"/>
  <c r="IB15" i="4"/>
  <c r="HQ8" i="4"/>
  <c r="IV8" i="4"/>
  <c r="IF8" i="4"/>
  <c r="JG7" i="4"/>
  <c r="JF7" i="4"/>
  <c r="IG8" i="4"/>
  <c r="JF8" i="4"/>
  <c r="IV7" i="4"/>
  <c r="JF15" i="4"/>
  <c r="JF20" i="4" s="1"/>
  <c r="BZ132" i="1" s="1"/>
  <c r="BZ149" i="1" s="1"/>
  <c r="JI14" i="4"/>
  <c r="IW15" i="4"/>
  <c r="HX15" i="4"/>
  <c r="HW14" i="4"/>
  <c r="IU15" i="4"/>
  <c r="HU15" i="4"/>
  <c r="JI15" i="4"/>
  <c r="JG15" i="4"/>
  <c r="HX7" i="4"/>
  <c r="HX19" i="4" s="1"/>
  <c r="AR131" i="1" s="1"/>
  <c r="AR160" i="1" s="1"/>
  <c r="ID7" i="4"/>
  <c r="IO8" i="4"/>
  <c r="IX15" i="4"/>
  <c r="IX7" i="4"/>
  <c r="IO14" i="4"/>
  <c r="IH14" i="4"/>
  <c r="JA14" i="4"/>
  <c r="JA19" i="4" s="1"/>
  <c r="BU131" i="1" s="1"/>
  <c r="BU160" i="1" s="1"/>
  <c r="HZ15" i="4"/>
  <c r="HX8" i="4"/>
  <c r="IT7" i="4"/>
  <c r="IY15" i="4"/>
  <c r="II15" i="4"/>
  <c r="IG15" i="4"/>
  <c r="IG20" i="4" s="1"/>
  <c r="BA132" i="1" s="1"/>
  <c r="BA161" i="1" s="1"/>
  <c r="JA15" i="4"/>
  <c r="IX14" i="4"/>
  <c r="IX19" i="4" s="1"/>
  <c r="BR131" i="1" s="1"/>
  <c r="BR160" i="1" s="1"/>
  <c r="IJ14" i="4"/>
  <c r="IJ19" i="4" s="1"/>
  <c r="BD131" i="1" s="1"/>
  <c r="BD160" i="1" s="1"/>
  <c r="IC14" i="4"/>
  <c r="IC19" i="4" s="1"/>
  <c r="AW131" i="1" s="1"/>
  <c r="AW160" i="1" s="1"/>
  <c r="IZ15" i="4"/>
  <c r="IZ20" i="4" s="1"/>
  <c r="BT132" i="1" s="1"/>
  <c r="BT161" i="1" s="1"/>
  <c r="HT7" i="4"/>
  <c r="IS7" i="4"/>
  <c r="HY14" i="4"/>
  <c r="IB8" i="4"/>
  <c r="HU7" i="4"/>
  <c r="HS7" i="4"/>
  <c r="IJ8" i="4"/>
  <c r="JD8" i="4"/>
  <c r="CR130" i="1"/>
  <c r="AC269" i="1"/>
  <c r="AB212" i="1"/>
  <c r="AB170" i="1"/>
  <c r="CO118" i="1"/>
  <c r="CP116" i="1"/>
  <c r="IG19" i="4" l="1"/>
  <c r="BA131" i="1" s="1"/>
  <c r="BA160" i="1" s="1"/>
  <c r="BY195" i="1"/>
  <c r="AL173" i="1"/>
  <c r="AL180" i="1"/>
  <c r="AM180" i="1" s="1"/>
  <c r="AJ231" i="1"/>
  <c r="AL202" i="1"/>
  <c r="AL187" i="1"/>
  <c r="AM187" i="1" s="1"/>
  <c r="R319" i="1"/>
  <c r="IG21" i="4"/>
  <c r="BA130" i="1" s="1"/>
  <c r="BJ185" i="1"/>
  <c r="BJ215" i="1"/>
  <c r="BK215" i="1" s="1"/>
  <c r="BJ230" i="1"/>
  <c r="BK230" i="1" s="1"/>
  <c r="BJ186" i="1"/>
  <c r="BJ216" i="1"/>
  <c r="BK216" i="1" s="1"/>
  <c r="BJ218" i="1"/>
  <c r="BJ188" i="1"/>
  <c r="BK188" i="1" s="1"/>
  <c r="BJ193" i="1"/>
  <c r="BJ204" i="1"/>
  <c r="BK204" i="1" s="1"/>
  <c r="BJ195" i="1"/>
  <c r="BK195" i="1" s="1"/>
  <c r="BJ172" i="1"/>
  <c r="BJ219" i="1"/>
  <c r="BK219" i="1" s="1"/>
  <c r="BJ190" i="1"/>
  <c r="BK190" i="1" s="1"/>
  <c r="BJ175" i="1"/>
  <c r="BK175" i="1" s="1"/>
  <c r="BJ179" i="1"/>
  <c r="BK179" i="1" s="1"/>
  <c r="BJ177" i="1"/>
  <c r="BK177" i="1" s="1"/>
  <c r="BJ180" i="1"/>
  <c r="BK180" i="1" s="1"/>
  <c r="BJ212" i="1"/>
  <c r="BJ202" i="1"/>
  <c r="BJ225" i="1"/>
  <c r="BJ228" i="1" s="1"/>
  <c r="BK276" i="1" s="1"/>
  <c r="BJ217" i="1"/>
  <c r="BK217" i="1" s="1"/>
  <c r="BJ178" i="1"/>
  <c r="BK178" i="1" s="1"/>
  <c r="AJ172" i="1"/>
  <c r="AJ185" i="1"/>
  <c r="AJ202" i="1"/>
  <c r="AJ218" i="1"/>
  <c r="AJ216" i="1"/>
  <c r="AK216" i="1" s="1"/>
  <c r="AJ184" i="1"/>
  <c r="AL221" i="1"/>
  <c r="AM221" i="1" s="1"/>
  <c r="AL203" i="1"/>
  <c r="AJ207" i="1"/>
  <c r="AK207" i="1" s="1"/>
  <c r="JG16" i="4" s="1"/>
  <c r="JG21" i="4" s="1"/>
  <c r="CA130" i="1" s="1"/>
  <c r="CA147" i="1" s="1"/>
  <c r="AJ177" i="1"/>
  <c r="AK177" i="1" s="1"/>
  <c r="AL188" i="1"/>
  <c r="AM188" i="1" s="1"/>
  <c r="AM191" i="1" s="1"/>
  <c r="AL177" i="1"/>
  <c r="AM177" i="1" s="1"/>
  <c r="AL127" i="1"/>
  <c r="AL216" i="1"/>
  <c r="AM216" i="1" s="1"/>
  <c r="JC19" i="4"/>
  <c r="BW131" i="1" s="1"/>
  <c r="BW160" i="1" s="1"/>
  <c r="AJ175" i="1"/>
  <c r="AK175" i="1" s="1"/>
  <c r="JF21" i="4"/>
  <c r="BZ130" i="1" s="1"/>
  <c r="BZ147" i="1" s="1"/>
  <c r="J319" i="1"/>
  <c r="I319" i="1"/>
  <c r="BK170" i="1"/>
  <c r="BJ173" i="1"/>
  <c r="BJ145" i="1" s="1"/>
  <c r="BY173" i="1"/>
  <c r="BY145" i="1" s="1"/>
  <c r="BJ187" i="1"/>
  <c r="B61" i="1"/>
  <c r="M320" i="1"/>
  <c r="BX187" i="1"/>
  <c r="BY187" i="1" s="1"/>
  <c r="HR19" i="4"/>
  <c r="AL131" i="1" s="1"/>
  <c r="AL160" i="1" s="1"/>
  <c r="Q250" i="1"/>
  <c r="IL20" i="4"/>
  <c r="BF132" i="1" s="1"/>
  <c r="BF161" i="1" s="1"/>
  <c r="HV20" i="4"/>
  <c r="AP132" i="1" s="1"/>
  <c r="AP161" i="1" s="1"/>
  <c r="Q320" i="1"/>
  <c r="JF19" i="4"/>
  <c r="BZ131" i="1" s="1"/>
  <c r="BZ142" i="1" s="1"/>
  <c r="IJ20" i="4"/>
  <c r="BD132" i="1" s="1"/>
  <c r="BD161" i="1" s="1"/>
  <c r="II21" i="4"/>
  <c r="BC130" i="1" s="1"/>
  <c r="IP19" i="4"/>
  <c r="BJ131" i="1" s="1"/>
  <c r="V320" i="1"/>
  <c r="IB19" i="4"/>
  <c r="AV131" i="1" s="1"/>
  <c r="AV160" i="1" s="1"/>
  <c r="IW19" i="4"/>
  <c r="BQ131" i="1" s="1"/>
  <c r="BQ160" i="1" s="1"/>
  <c r="IX21" i="4"/>
  <c r="BR130" i="1" s="1"/>
  <c r="HU20" i="4"/>
  <c r="AO132" i="1" s="1"/>
  <c r="AO161" i="1" s="1"/>
  <c r="AJ204" i="1"/>
  <c r="AK204" i="1" s="1"/>
  <c r="AJ226" i="1"/>
  <c r="AJ221" i="1"/>
  <c r="AK221" i="1" s="1"/>
  <c r="AJ215" i="1"/>
  <c r="AK215" i="1" s="1"/>
  <c r="AJ193" i="1"/>
  <c r="AJ170" i="1"/>
  <c r="AK170" i="1" s="1"/>
  <c r="AJ225" i="1"/>
  <c r="AJ228" i="1" s="1"/>
  <c r="AK276" i="1" s="1"/>
  <c r="AJ230" i="1"/>
  <c r="AK230" i="1" s="1"/>
  <c r="AJ186" i="1"/>
  <c r="AL195" i="1"/>
  <c r="AM195" i="1" s="1"/>
  <c r="AJ197" i="1"/>
  <c r="AK197" i="1" s="1"/>
  <c r="AJ171" i="1"/>
  <c r="AK171" i="1" s="1"/>
  <c r="AJ180" i="1"/>
  <c r="AK180" i="1" s="1"/>
  <c r="AM319" i="1"/>
  <c r="AJ217" i="1"/>
  <c r="AK217" i="1" s="1"/>
  <c r="AJ219" i="1"/>
  <c r="AK219" i="1" s="1"/>
  <c r="AJ195" i="1"/>
  <c r="AK195" i="1" s="1"/>
  <c r="C79" i="1"/>
  <c r="IN14" i="4" s="1"/>
  <c r="O79" i="1"/>
  <c r="L79" i="1"/>
  <c r="S61" i="1"/>
  <c r="JB15" i="4" s="1"/>
  <c r="JB20" i="4" s="1"/>
  <c r="BV132" i="1" s="1"/>
  <c r="BV161" i="1" s="1"/>
  <c r="BK212" i="1"/>
  <c r="S319" i="1"/>
  <c r="HT20" i="4"/>
  <c r="AN132" i="1" s="1"/>
  <c r="AN161" i="1" s="1"/>
  <c r="K320" i="1"/>
  <c r="T61" i="1"/>
  <c r="U62" i="1" s="1"/>
  <c r="K61" i="1"/>
  <c r="AM79" i="1"/>
  <c r="AL222" i="1"/>
  <c r="AL252" i="1" s="1"/>
  <c r="F79" i="1"/>
  <c r="R61" i="1"/>
  <c r="R151" i="1" s="1"/>
  <c r="IN20" i="4"/>
  <c r="BH132" i="1" s="1"/>
  <c r="BH161" i="1" s="1"/>
  <c r="IP20" i="4"/>
  <c r="BJ132" i="1" s="1"/>
  <c r="BJ161" i="1" s="1"/>
  <c r="HU19" i="4"/>
  <c r="AO131" i="1" s="1"/>
  <c r="AO160" i="1" s="1"/>
  <c r="D61" i="1"/>
  <c r="D67" i="1" s="1"/>
  <c r="D68" i="1" s="1"/>
  <c r="AI263" i="1"/>
  <c r="AI265" i="1" s="1"/>
  <c r="AK231" i="1"/>
  <c r="AJ86" i="1"/>
  <c r="AJ261" i="1"/>
  <c r="IR21" i="4"/>
  <c r="BL130" i="1" s="1"/>
  <c r="BL147" i="1" s="1"/>
  <c r="IE14" i="4" s="1"/>
  <c r="IE19" i="4" s="1"/>
  <c r="AY131" i="1" s="1"/>
  <c r="AY160" i="1" s="1"/>
  <c r="AJ190" i="1"/>
  <c r="AK190" i="1" s="1"/>
  <c r="IV21" i="4"/>
  <c r="BP130" i="1" s="1"/>
  <c r="AJ179" i="1"/>
  <c r="AK179" i="1" s="1"/>
  <c r="AJ79" i="1"/>
  <c r="BX79" i="1"/>
  <c r="AK79" i="1"/>
  <c r="ID16" i="4" s="1"/>
  <c r="JB21" i="4"/>
  <c r="BV130" i="1" s="1"/>
  <c r="JE16" i="4" s="1"/>
  <c r="IC21" i="4"/>
  <c r="AW130" i="1" s="1"/>
  <c r="IZ21" i="4"/>
  <c r="BT130" i="1" s="1"/>
  <c r="IH15" i="4" s="1"/>
  <c r="IH20" i="4" s="1"/>
  <c r="BB132" i="1" s="1"/>
  <c r="BB161" i="1" s="1"/>
  <c r="IL14" i="4" s="1"/>
  <c r="Q79" i="1"/>
  <c r="HQ21" i="4"/>
  <c r="AK130" i="1" s="1"/>
  <c r="AJ188" i="1"/>
  <c r="AK188" i="1" s="1"/>
  <c r="AJ212" i="1"/>
  <c r="AK212" i="1" s="1"/>
  <c r="BK181" i="1"/>
  <c r="AJ178" i="1"/>
  <c r="AK178" i="1" s="1"/>
  <c r="BJ222" i="1"/>
  <c r="AL179" i="1"/>
  <c r="IA19" i="4"/>
  <c r="AU131" i="1" s="1"/>
  <c r="AU160" i="1" s="1"/>
  <c r="JD19" i="4"/>
  <c r="BX131" i="1" s="1"/>
  <c r="W79" i="1"/>
  <c r="R79" i="1"/>
  <c r="AL79" i="1"/>
  <c r="JH20" i="4"/>
  <c r="CB132" i="1" s="1"/>
  <c r="P79" i="1"/>
  <c r="G79" i="1"/>
  <c r="K79" i="1"/>
  <c r="S79" i="1"/>
  <c r="M79" i="1"/>
  <c r="HY20" i="4"/>
  <c r="AS132" i="1" s="1"/>
  <c r="AS161" i="1" s="1"/>
  <c r="H79" i="1"/>
  <c r="V79" i="1"/>
  <c r="U79" i="1"/>
  <c r="I79" i="1"/>
  <c r="B79" i="1"/>
  <c r="T79" i="1"/>
  <c r="II19" i="4"/>
  <c r="BC131" i="1" s="1"/>
  <c r="BC160" i="1" s="1"/>
  <c r="IT20" i="4"/>
  <c r="BN132" i="1" s="1"/>
  <c r="BN161" i="1" s="1"/>
  <c r="IA21" i="4"/>
  <c r="AU130" i="1" s="1"/>
  <c r="IF19" i="4"/>
  <c r="AZ131" i="1" s="1"/>
  <c r="AZ160" i="1" s="1"/>
  <c r="IL21" i="4"/>
  <c r="BF130" i="1" s="1"/>
  <c r="BX173" i="1"/>
  <c r="BX145" i="1" s="1"/>
  <c r="IK20" i="4"/>
  <c r="BE132" i="1" s="1"/>
  <c r="BE161" i="1" s="1"/>
  <c r="T320" i="1"/>
  <c r="AL211" i="1"/>
  <c r="BJ181" i="1"/>
  <c r="Q298" i="1"/>
  <c r="U67" i="1"/>
  <c r="U68" i="1" s="1"/>
  <c r="L61" i="1"/>
  <c r="F319" i="1"/>
  <c r="HX21" i="4"/>
  <c r="AR130" i="1" s="1"/>
  <c r="IV20" i="4"/>
  <c r="BP132" i="1" s="1"/>
  <c r="BP161" i="1" s="1"/>
  <c r="IJ21" i="4"/>
  <c r="BD130" i="1" s="1"/>
  <c r="IS21" i="4"/>
  <c r="BM130" i="1" s="1"/>
  <c r="HY21" i="4"/>
  <c r="AS130" i="1" s="1"/>
  <c r="IU21" i="4"/>
  <c r="BO130" i="1" s="1"/>
  <c r="IZ19" i="4"/>
  <c r="BT131" i="1" s="1"/>
  <c r="BT160" i="1" s="1"/>
  <c r="IK21" i="4"/>
  <c r="BE130" i="1" s="1"/>
  <c r="IU19" i="4"/>
  <c r="BO131" i="1" s="1"/>
  <c r="BO160" i="1" s="1"/>
  <c r="IE20" i="4"/>
  <c r="AY132" i="1" s="1"/>
  <c r="AY161" i="1" s="1"/>
  <c r="U261" i="1"/>
  <c r="U320" i="1"/>
  <c r="IB20" i="4"/>
  <c r="AV132" i="1" s="1"/>
  <c r="AV161" i="1" s="1"/>
  <c r="IT21" i="4"/>
  <c r="BN130" i="1" s="1"/>
  <c r="JI19" i="4"/>
  <c r="CC131" i="1" s="1"/>
  <c r="CC160" i="1" s="1"/>
  <c r="IW20" i="4"/>
  <c r="BQ132" i="1" s="1"/>
  <c r="BQ161" i="1" s="1"/>
  <c r="JI20" i="4"/>
  <c r="CC132" i="1" s="1"/>
  <c r="JG20" i="4"/>
  <c r="CA132" i="1" s="1"/>
  <c r="IO19" i="4"/>
  <c r="BI131" i="1" s="1"/>
  <c r="BI160" i="1" s="1"/>
  <c r="IH19" i="4"/>
  <c r="BB131" i="1" s="1"/>
  <c r="BB160" i="1" s="1"/>
  <c r="IT19" i="4"/>
  <c r="BN131" i="1" s="1"/>
  <c r="BN160" i="1" s="1"/>
  <c r="JA20" i="4"/>
  <c r="BU132" i="1" s="1"/>
  <c r="BU161" i="1" s="1"/>
  <c r="BX211" i="1"/>
  <c r="IS19" i="4"/>
  <c r="BM131" i="1" s="1"/>
  <c r="BM160" i="1" s="1"/>
  <c r="P319" i="1"/>
  <c r="P250" i="1"/>
  <c r="N319" i="1"/>
  <c r="M319" i="1"/>
  <c r="O319" i="1"/>
  <c r="E61" i="1"/>
  <c r="Q61" i="1"/>
  <c r="Q151" i="1" s="1"/>
  <c r="R320" i="1"/>
  <c r="HV19" i="4"/>
  <c r="AP131" i="1" s="1"/>
  <c r="AP160" i="1" s="1"/>
  <c r="HW20" i="4"/>
  <c r="AQ132" i="1" s="1"/>
  <c r="AQ161" i="1" s="1"/>
  <c r="HQ20" i="4"/>
  <c r="AK132" i="1" s="1"/>
  <c r="AM61" i="1"/>
  <c r="AM67" i="1" s="1"/>
  <c r="AM68" i="1" s="1"/>
  <c r="CA151" i="1"/>
  <c r="CA152" i="1" s="1"/>
  <c r="N61" i="1"/>
  <c r="M61" i="1"/>
  <c r="F320" i="1"/>
  <c r="JG19" i="4"/>
  <c r="CA131" i="1" s="1"/>
  <c r="CA148" i="1" s="1"/>
  <c r="HW21" i="4"/>
  <c r="AQ130" i="1" s="1"/>
  <c r="JH21" i="4"/>
  <c r="CB130" i="1" s="1"/>
  <c r="IB21" i="4"/>
  <c r="AV130" i="1" s="1"/>
  <c r="BJ250" i="1"/>
  <c r="BK250" i="1" s="1"/>
  <c r="JI21" i="4"/>
  <c r="CC130" i="1" s="1"/>
  <c r="HZ21" i="4"/>
  <c r="AT130" i="1" s="1"/>
  <c r="HT19" i="4"/>
  <c r="AN131" i="1" s="1"/>
  <c r="AN160" i="1" s="1"/>
  <c r="HS21" i="4"/>
  <c r="AM130" i="1" s="1"/>
  <c r="I67" i="1"/>
  <c r="I151" i="1"/>
  <c r="HT21" i="4"/>
  <c r="AN130" i="1" s="1"/>
  <c r="S320" i="1"/>
  <c r="S261" i="1"/>
  <c r="J320" i="1"/>
  <c r="J261" i="1"/>
  <c r="HQ14" i="4" s="1"/>
  <c r="HQ19" i="4" s="1"/>
  <c r="AK131" i="1" s="1"/>
  <c r="IR14" i="4" s="1"/>
  <c r="B320" i="1"/>
  <c r="ID14" i="4"/>
  <c r="ID19" i="4" s="1"/>
  <c r="AX131" i="1" s="1"/>
  <c r="AX160" i="1" s="1"/>
  <c r="AL298" i="1"/>
  <c r="AL319" i="1"/>
  <c r="AL250" i="1"/>
  <c r="BY193" i="1"/>
  <c r="BZ269" i="1" s="1"/>
  <c r="D79" i="1"/>
  <c r="IS15" i="4"/>
  <c r="IS20" i="4" s="1"/>
  <c r="BM132" i="1" s="1"/>
  <c r="BM161" i="1" s="1"/>
  <c r="HR8" i="4" s="1"/>
  <c r="HR20" i="4" s="1"/>
  <c r="AL132" i="1" s="1"/>
  <c r="AL161" i="1" s="1"/>
  <c r="BX61" i="1"/>
  <c r="BX319" i="1"/>
  <c r="O320" i="1"/>
  <c r="O261" i="1"/>
  <c r="J61" i="1"/>
  <c r="J298" i="1"/>
  <c r="G61" i="1"/>
  <c r="G298" i="1"/>
  <c r="W151" i="1"/>
  <c r="X255" i="1"/>
  <c r="W255" i="1"/>
  <c r="X62" i="1"/>
  <c r="W62" i="1"/>
  <c r="W32" i="1"/>
  <c r="H61" i="1"/>
  <c r="H298" i="1"/>
  <c r="P61" i="1"/>
  <c r="P298" i="1"/>
  <c r="BX228" i="1"/>
  <c r="BY276" i="1" s="1"/>
  <c r="IY9" i="4"/>
  <c r="C319" i="1"/>
  <c r="C61" i="1"/>
  <c r="C298" i="1"/>
  <c r="N320" i="1"/>
  <c r="N261" i="1"/>
  <c r="K319" i="1"/>
  <c r="K298" i="1"/>
  <c r="E298" i="1"/>
  <c r="HZ7" i="4"/>
  <c r="HZ19" i="4" s="1"/>
  <c r="AT131" i="1" s="1"/>
  <c r="AT160" i="1" s="1"/>
  <c r="AJ90" i="1"/>
  <c r="AK61" i="1"/>
  <c r="AL246" i="1"/>
  <c r="AM246" i="1" s="1"/>
  <c r="B319" i="1"/>
  <c r="BX246" i="1"/>
  <c r="BY246" i="1" s="1"/>
  <c r="AL61" i="1"/>
  <c r="W67" i="1"/>
  <c r="G319" i="1"/>
  <c r="BX247" i="1"/>
  <c r="BY247" i="1" s="1"/>
  <c r="IE16" i="4" s="1"/>
  <c r="IE21" i="4" s="1"/>
  <c r="AY130" i="1" s="1"/>
  <c r="HV21" i="4"/>
  <c r="AP130" i="1" s="1"/>
  <c r="IK7" i="4" s="1"/>
  <c r="IK19" i="4" s="1"/>
  <c r="BE131" i="1" s="1"/>
  <c r="BE160" i="1" s="1"/>
  <c r="O61" i="1"/>
  <c r="G250" i="1"/>
  <c r="H319" i="1"/>
  <c r="AJ173" i="1"/>
  <c r="BY181" i="1"/>
  <c r="V67" i="1"/>
  <c r="V32" i="1"/>
  <c r="D319" i="1"/>
  <c r="BX298" i="1"/>
  <c r="C320" i="1"/>
  <c r="E79" i="1"/>
  <c r="BJ246" i="1"/>
  <c r="BK246" i="1" s="1"/>
  <c r="J79" i="1"/>
  <c r="AJ247" i="1"/>
  <c r="AK247" i="1" s="1"/>
  <c r="L320" i="1"/>
  <c r="N79" i="1"/>
  <c r="H320" i="1"/>
  <c r="V62" i="1"/>
  <c r="U151" i="1"/>
  <c r="BJ247" i="1"/>
  <c r="BK247" i="1" s="1"/>
  <c r="IA20" i="4"/>
  <c r="AU132" i="1" s="1"/>
  <c r="AU161" i="1" s="1"/>
  <c r="IQ21" i="4"/>
  <c r="BK130" i="1" s="1"/>
  <c r="G320" i="1"/>
  <c r="AJ61" i="1"/>
  <c r="V255" i="1"/>
  <c r="L319" i="1"/>
  <c r="BX250" i="1"/>
  <c r="BY250" i="1" s="1"/>
  <c r="JE19" i="4"/>
  <c r="BY131" i="1" s="1"/>
  <c r="IQ20" i="4"/>
  <c r="BK132" i="1" s="1"/>
  <c r="BK161" i="1" s="1"/>
  <c r="IW21" i="4"/>
  <c r="BQ130" i="1" s="1"/>
  <c r="BX181" i="1"/>
  <c r="W320" i="1"/>
  <c r="I320" i="1"/>
  <c r="P320" i="1"/>
  <c r="HP20" i="4"/>
  <c r="AJ132" i="1" s="1"/>
  <c r="JC20" i="4"/>
  <c r="BW132" i="1" s="1"/>
  <c r="BW161" i="1" s="1"/>
  <c r="IQ19" i="4"/>
  <c r="BK131" i="1" s="1"/>
  <c r="BK160" i="1" s="1"/>
  <c r="AM151" i="1"/>
  <c r="AM152" i="1" s="1"/>
  <c r="D320" i="1"/>
  <c r="BX320" i="1"/>
  <c r="BX222" i="1"/>
  <c r="AM320" i="1"/>
  <c r="AL320" i="1"/>
  <c r="F61" i="1"/>
  <c r="F67" i="1" s="1"/>
  <c r="F68" i="1" s="1"/>
  <c r="IP21" i="4"/>
  <c r="BJ130" i="1" s="1"/>
  <c r="JD21" i="4"/>
  <c r="BX130" i="1" s="1"/>
  <c r="HR21" i="4"/>
  <c r="AL130" i="1" s="1"/>
  <c r="BZ161" i="1"/>
  <c r="BZ164" i="1" s="1"/>
  <c r="JD20" i="4"/>
  <c r="BX132" i="1" s="1"/>
  <c r="BX161" i="1" s="1"/>
  <c r="IU20" i="4"/>
  <c r="BO132" i="1" s="1"/>
  <c r="BO161" i="1" s="1"/>
  <c r="BL161" i="1"/>
  <c r="BL164" i="1" s="1"/>
  <c r="HW19" i="4"/>
  <c r="AQ131" i="1" s="1"/>
  <c r="AQ160" i="1" s="1"/>
  <c r="IX20" i="4"/>
  <c r="BR132" i="1" s="1"/>
  <c r="BR161" i="1" s="1"/>
  <c r="HX20" i="4"/>
  <c r="AR132" i="1" s="1"/>
  <c r="AR161" i="1" s="1"/>
  <c r="JH19" i="4"/>
  <c r="CB131" i="1" s="1"/>
  <c r="IV19" i="4"/>
  <c r="BP131" i="1" s="1"/>
  <c r="BP160" i="1" s="1"/>
  <c r="HZ20" i="4"/>
  <c r="AT132" i="1" s="1"/>
  <c r="AT161" i="1" s="1"/>
  <c r="IF20" i="4"/>
  <c r="AZ132" i="1" s="1"/>
  <c r="AZ161" i="1" s="1"/>
  <c r="II20" i="4"/>
  <c r="BC132" i="1" s="1"/>
  <c r="BC161" i="1" s="1"/>
  <c r="IC20" i="4"/>
  <c r="AW132" i="1" s="1"/>
  <c r="AW161" i="1" s="1"/>
  <c r="HS19" i="4"/>
  <c r="AM131" i="1" s="1"/>
  <c r="IM19" i="4"/>
  <c r="BG131" i="1" s="1"/>
  <c r="BG160" i="1" s="1"/>
  <c r="HY19" i="4"/>
  <c r="AS131" i="1" s="1"/>
  <c r="AS160" i="1" s="1"/>
  <c r="JE20" i="4"/>
  <c r="BY132" i="1" s="1"/>
  <c r="CS130" i="1"/>
  <c r="AB230" i="1"/>
  <c r="CP118" i="1"/>
  <c r="CQ116" i="1"/>
  <c r="AC170" i="1"/>
  <c r="AC212" i="1"/>
  <c r="CB292" i="1"/>
  <c r="BQ1" i="1"/>
  <c r="BR1" i="1" s="1"/>
  <c r="BS1" i="1" s="1"/>
  <c r="BT1" i="1" s="1"/>
  <c r="AL315" i="1" l="1"/>
  <c r="AL145" i="1"/>
  <c r="AJ187" i="1"/>
  <c r="CA155" i="1"/>
  <c r="BZ274" i="1"/>
  <c r="BY86" i="1"/>
  <c r="BZ86" i="1"/>
  <c r="BJ315" i="1"/>
  <c r="BJ191" i="1"/>
  <c r="BK187" i="1"/>
  <c r="AL191" i="1"/>
  <c r="BX142" i="1"/>
  <c r="BK193" i="1"/>
  <c r="BL269" i="1" s="1"/>
  <c r="AL247" i="1"/>
  <c r="AM247" i="1" s="1"/>
  <c r="AJ246" i="1"/>
  <c r="AJ250" i="1"/>
  <c r="BY191" i="1"/>
  <c r="BZ270" i="1" s="1"/>
  <c r="BJ252" i="1"/>
  <c r="AM86" i="1"/>
  <c r="AJ211" i="1"/>
  <c r="BJ211" i="1"/>
  <c r="W80" i="1"/>
  <c r="AJ222" i="1"/>
  <c r="AJ264" i="1" s="1"/>
  <c r="BJ223" i="1"/>
  <c r="BJ147" i="1"/>
  <c r="BX249" i="1"/>
  <c r="BX147" i="1"/>
  <c r="B80" i="1"/>
  <c r="B67" i="1"/>
  <c r="B68" i="1" s="1"/>
  <c r="S67" i="1"/>
  <c r="S68" i="1" s="1"/>
  <c r="S32" i="1"/>
  <c r="E67" i="1"/>
  <c r="E68" i="1" s="1"/>
  <c r="R67" i="1"/>
  <c r="BX191" i="1"/>
  <c r="BZ148" i="1"/>
  <c r="BJ160" i="1"/>
  <c r="BJ148" i="1"/>
  <c r="AL148" i="1"/>
  <c r="BZ160" i="1"/>
  <c r="BZ163" i="1" s="1"/>
  <c r="AJ269" i="1"/>
  <c r="AK193" i="1"/>
  <c r="AL269" i="1" s="1"/>
  <c r="AK181" i="1"/>
  <c r="ID21" i="4"/>
  <c r="AX130" i="1" s="1"/>
  <c r="BX160" i="1"/>
  <c r="E80" i="1"/>
  <c r="V80" i="1"/>
  <c r="K67" i="1"/>
  <c r="AM80" i="1"/>
  <c r="AJ181" i="1"/>
  <c r="AK63" i="1"/>
  <c r="AL249" i="1"/>
  <c r="BJ235" i="1"/>
  <c r="BJ162" i="1" s="1"/>
  <c r="L255" i="1"/>
  <c r="M62" i="1"/>
  <c r="E151" i="1"/>
  <c r="N151" i="1"/>
  <c r="T151" i="1"/>
  <c r="U255" i="1"/>
  <c r="T67" i="1"/>
  <c r="S255" i="1"/>
  <c r="S151" i="1"/>
  <c r="CA157" i="1"/>
  <c r="BX315" i="1"/>
  <c r="V81" i="1"/>
  <c r="V87" i="1" s="1"/>
  <c r="V91" i="1" s="1"/>
  <c r="N67" i="1"/>
  <c r="N68" i="1" s="1"/>
  <c r="R62" i="1"/>
  <c r="Q62" i="1"/>
  <c r="N62" i="1"/>
  <c r="K62" i="1"/>
  <c r="T255" i="1"/>
  <c r="L62" i="1"/>
  <c r="K151" i="1"/>
  <c r="T62" i="1"/>
  <c r="T32" i="1"/>
  <c r="S62" i="1"/>
  <c r="BJ149" i="1"/>
  <c r="JE21" i="4"/>
  <c r="BY130" i="1" s="1"/>
  <c r="BY147" i="1" s="1"/>
  <c r="IY8" i="4"/>
  <c r="BL316" i="1"/>
  <c r="BL273" i="1"/>
  <c r="AL181" i="1"/>
  <c r="AM179" i="1"/>
  <c r="AM181" i="1" s="1"/>
  <c r="CB140" i="1"/>
  <c r="CB157" i="1"/>
  <c r="CB161" i="1"/>
  <c r="CB164" i="1" s="1"/>
  <c r="CB167" i="1" s="1"/>
  <c r="CB149" i="1"/>
  <c r="CC161" i="1"/>
  <c r="CC157" i="1"/>
  <c r="CC149" i="1"/>
  <c r="CC140" i="1"/>
  <c r="CA161" i="1"/>
  <c r="CA149" i="1"/>
  <c r="M255" i="1"/>
  <c r="V69" i="1"/>
  <c r="BX80" i="1"/>
  <c r="K255" i="1"/>
  <c r="BJ182" i="1"/>
  <c r="BY274" i="1"/>
  <c r="R255" i="1"/>
  <c r="CC148" i="1"/>
  <c r="BX148" i="1"/>
  <c r="O255" i="1"/>
  <c r="G62" i="1"/>
  <c r="E62" i="1"/>
  <c r="CA160" i="1"/>
  <c r="N255" i="1"/>
  <c r="CC138" i="1"/>
  <c r="CC155" i="1"/>
  <c r="CC147" i="1"/>
  <c r="E255" i="1"/>
  <c r="CC139" i="1"/>
  <c r="CF143" i="1" s="1"/>
  <c r="AJ67" i="1"/>
  <c r="AJ68" i="1" s="1"/>
  <c r="AM81" i="1"/>
  <c r="AM87" i="1" s="1"/>
  <c r="AM91" i="1" s="1"/>
  <c r="AM94" i="1" s="1"/>
  <c r="AM95" i="1" s="1"/>
  <c r="AM312" i="1" s="1"/>
  <c r="Q67" i="1"/>
  <c r="Q68" i="1" s="1"/>
  <c r="D255" i="1"/>
  <c r="L151" i="1"/>
  <c r="L67" i="1"/>
  <c r="L68" i="1" s="1"/>
  <c r="AL223" i="1"/>
  <c r="BK273" i="1"/>
  <c r="D81" i="1"/>
  <c r="D87" i="1" s="1"/>
  <c r="D91" i="1" s="1"/>
  <c r="CC156" i="1"/>
  <c r="D80" i="1"/>
  <c r="BK316" i="1"/>
  <c r="IN7" i="4"/>
  <c r="IN19" i="4" s="1"/>
  <c r="BH131" i="1" s="1"/>
  <c r="BH160" i="1" s="1"/>
  <c r="IM9" i="4" s="1"/>
  <c r="IY21" i="4"/>
  <c r="BS130" i="1" s="1"/>
  <c r="CA156" i="1"/>
  <c r="F255" i="1"/>
  <c r="D62" i="1"/>
  <c r="F151" i="1"/>
  <c r="AM155" i="1"/>
  <c r="G255" i="1"/>
  <c r="F62" i="1"/>
  <c r="M67" i="1"/>
  <c r="M68" i="1" s="1"/>
  <c r="M151" i="1"/>
  <c r="CB138" i="1"/>
  <c r="CB155" i="1"/>
  <c r="CB147" i="1"/>
  <c r="I68" i="1"/>
  <c r="IR19" i="4"/>
  <c r="BL131" i="1" s="1"/>
  <c r="HP9" i="4"/>
  <c r="AL251" i="1"/>
  <c r="AM250" i="1"/>
  <c r="CA292" i="1"/>
  <c r="BY63" i="1"/>
  <c r="CC255" i="1"/>
  <c r="CB62" i="1"/>
  <c r="BX32" i="1"/>
  <c r="BX67" i="1"/>
  <c r="J255" i="1"/>
  <c r="J151" i="1"/>
  <c r="J62" i="1"/>
  <c r="J67" i="1"/>
  <c r="G151" i="1"/>
  <c r="G67" i="1"/>
  <c r="I62" i="1"/>
  <c r="H255" i="1"/>
  <c r="H62" i="1"/>
  <c r="H151" i="1"/>
  <c r="I255" i="1"/>
  <c r="H67" i="1"/>
  <c r="P62" i="1"/>
  <c r="P255" i="1"/>
  <c r="P67" i="1"/>
  <c r="P68" i="1" s="1"/>
  <c r="P151" i="1"/>
  <c r="C62" i="1"/>
  <c r="C255" i="1"/>
  <c r="C67" i="1"/>
  <c r="AK80" i="1"/>
  <c r="AL63" i="1"/>
  <c r="AK67" i="1"/>
  <c r="IL7" i="4"/>
  <c r="IL19" i="4" s="1"/>
  <c r="BF131" i="1" s="1"/>
  <c r="BF160" i="1" s="1"/>
  <c r="AL80" i="1"/>
  <c r="AL67" i="1"/>
  <c r="X69" i="1"/>
  <c r="W81" i="1"/>
  <c r="W68" i="1"/>
  <c r="ID8" i="4"/>
  <c r="ID20" i="4" s="1"/>
  <c r="AX132" i="1" s="1"/>
  <c r="AX161" i="1" s="1"/>
  <c r="O151" i="1"/>
  <c r="O67" i="1"/>
  <c r="O62" i="1"/>
  <c r="BZ316" i="1"/>
  <c r="BZ318" i="1" s="1"/>
  <c r="BY182" i="1"/>
  <c r="BZ273" i="1"/>
  <c r="W69" i="1"/>
  <c r="V68" i="1"/>
  <c r="BY142" i="1"/>
  <c r="BY160" i="1"/>
  <c r="BY148" i="1"/>
  <c r="BX223" i="1"/>
  <c r="BX252" i="1"/>
  <c r="BX251" i="1" s="1"/>
  <c r="BY269" i="1"/>
  <c r="C80" i="1"/>
  <c r="AM63" i="1"/>
  <c r="Q255" i="1"/>
  <c r="BX182" i="1"/>
  <c r="BY316" i="1"/>
  <c r="BY273" i="1"/>
  <c r="BX235" i="1"/>
  <c r="AJ80" i="1"/>
  <c r="AM292" i="1"/>
  <c r="BX149" i="1"/>
  <c r="AL147" i="1"/>
  <c r="BY161" i="1"/>
  <c r="BY149" i="1"/>
  <c r="AM156" i="1"/>
  <c r="AM160" i="1"/>
  <c r="AL149" i="1"/>
  <c r="CB139" i="1"/>
  <c r="CB156" i="1"/>
  <c r="CB148" i="1"/>
  <c r="CB160" i="1"/>
  <c r="CB163" i="1" s="1"/>
  <c r="CB166" i="1" s="1"/>
  <c r="CT130" i="1"/>
  <c r="AB190" i="1"/>
  <c r="AD212" i="1"/>
  <c r="AE212" i="1"/>
  <c r="AD170" i="1"/>
  <c r="AE170" i="1"/>
  <c r="CQ118" i="1"/>
  <c r="CR116" i="1"/>
  <c r="AC230" i="1"/>
  <c r="BU1" i="1"/>
  <c r="Q80" i="1"/>
  <c r="P80" i="1"/>
  <c r="O80" i="1"/>
  <c r="I80" i="1"/>
  <c r="H80" i="1"/>
  <c r="G80" i="1"/>
  <c r="U80" i="1"/>
  <c r="T80" i="1"/>
  <c r="S80" i="1"/>
  <c r="R80" i="1"/>
  <c r="N80" i="1"/>
  <c r="M80" i="1"/>
  <c r="L80" i="1"/>
  <c r="K80" i="1"/>
  <c r="J80" i="1"/>
  <c r="F80" i="1"/>
  <c r="AJ191" i="1" l="1"/>
  <c r="AJ263" i="1"/>
  <c r="AM270" i="1"/>
  <c r="AM268" i="1" s="1"/>
  <c r="BL86" i="1"/>
  <c r="BK191" i="1"/>
  <c r="BL270" i="1" s="1"/>
  <c r="BL268" i="1" s="1"/>
  <c r="BK269" i="1"/>
  <c r="BZ272" i="1"/>
  <c r="AK187" i="1"/>
  <c r="AK86" i="1"/>
  <c r="IF16" i="4" s="1"/>
  <c r="IF21" i="4" s="1"/>
  <c r="AZ130" i="1" s="1"/>
  <c r="BZ268" i="1"/>
  <c r="BJ249" i="1"/>
  <c r="AJ265" i="1"/>
  <c r="BJ251" i="1"/>
  <c r="AL313" i="1"/>
  <c r="AJ252" i="1"/>
  <c r="E69" i="1"/>
  <c r="S69" i="1"/>
  <c r="B81" i="1"/>
  <c r="B82" i="1" s="1"/>
  <c r="G69" i="1"/>
  <c r="AJ235" i="1"/>
  <c r="AK90" i="1" s="1"/>
  <c r="AK273" i="1"/>
  <c r="AJ249" i="1"/>
  <c r="AJ223" i="1"/>
  <c r="AJ232" i="1" s="1"/>
  <c r="BX253" i="1"/>
  <c r="CB256" i="1" s="1"/>
  <c r="BX248" i="1"/>
  <c r="BJ313" i="1"/>
  <c r="BX313" i="1"/>
  <c r="AJ182" i="1"/>
  <c r="AJ273" i="1"/>
  <c r="BJ163" i="1"/>
  <c r="BY272" i="1"/>
  <c r="R68" i="1"/>
  <c r="F69" i="1"/>
  <c r="E81" i="1"/>
  <c r="E82" i="1" s="1"/>
  <c r="N69" i="1"/>
  <c r="O69" i="1"/>
  <c r="V299" i="1"/>
  <c r="V300" i="1" s="1"/>
  <c r="W83" i="1"/>
  <c r="V165" i="1"/>
  <c r="V82" i="1"/>
  <c r="BY270" i="1"/>
  <c r="K68" i="1"/>
  <c r="T68" i="1"/>
  <c r="U69" i="1"/>
  <c r="BJ164" i="1"/>
  <c r="AL232" i="1"/>
  <c r="AJ270" i="1"/>
  <c r="AJ268" i="1" s="1"/>
  <c r="AL248" i="1"/>
  <c r="AL253" i="1"/>
  <c r="V94" i="1"/>
  <c r="V93" i="1"/>
  <c r="D82" i="1"/>
  <c r="AM93" i="1"/>
  <c r="AM82" i="1"/>
  <c r="L69" i="1"/>
  <c r="D165" i="1"/>
  <c r="D299" i="1"/>
  <c r="D300" i="1" s="1"/>
  <c r="D94" i="1"/>
  <c r="D93" i="1"/>
  <c r="AM273" i="1"/>
  <c r="AK269" i="1"/>
  <c r="T69" i="1"/>
  <c r="AM299" i="1"/>
  <c r="AM300" i="1" s="1"/>
  <c r="AK70" i="1"/>
  <c r="AJ81" i="1"/>
  <c r="CE143" i="1"/>
  <c r="R69" i="1"/>
  <c r="M69" i="1"/>
  <c r="E83" i="1"/>
  <c r="IY20" i="4"/>
  <c r="BS132" i="1" s="1"/>
  <c r="BS161" i="1" s="1"/>
  <c r="HS8" i="4"/>
  <c r="HS20" i="4" s="1"/>
  <c r="AM132" i="1" s="1"/>
  <c r="AL273" i="1"/>
  <c r="AL235" i="1"/>
  <c r="AL182" i="1"/>
  <c r="AL233" i="1" s="1"/>
  <c r="AL316" i="1"/>
  <c r="AM316" i="1"/>
  <c r="IM21" i="4"/>
  <c r="BG130" i="1" s="1"/>
  <c r="JC16" i="4"/>
  <c r="JC21" i="4" s="1"/>
  <c r="BW130" i="1" s="1"/>
  <c r="J69" i="1"/>
  <c r="C69" i="1"/>
  <c r="IO15" i="4"/>
  <c r="IO20" i="4" s="1"/>
  <c r="BI132" i="1" s="1"/>
  <c r="BI161" i="1" s="1"/>
  <c r="HP21" i="4"/>
  <c r="AJ130" i="1" s="1"/>
  <c r="BL148" i="1"/>
  <c r="BL160" i="1"/>
  <c r="BL163" i="1" s="1"/>
  <c r="CB69" i="1"/>
  <c r="BY70" i="1"/>
  <c r="BX81" i="1"/>
  <c r="BX68" i="1"/>
  <c r="K69" i="1"/>
  <c r="J68" i="1"/>
  <c r="G68" i="1"/>
  <c r="H69" i="1"/>
  <c r="I69" i="1"/>
  <c r="H68" i="1"/>
  <c r="D69" i="1"/>
  <c r="C68" i="1"/>
  <c r="C81" i="1"/>
  <c r="AK81" i="1"/>
  <c r="AK68" i="1"/>
  <c r="AL70" i="1"/>
  <c r="AM70" i="1"/>
  <c r="AL68" i="1"/>
  <c r="AL81" i="1"/>
  <c r="W165" i="1"/>
  <c r="W299" i="1"/>
  <c r="W300" i="1" s="1"/>
  <c r="W317" i="1"/>
  <c r="W87" i="1"/>
  <c r="W91" i="1" s="1"/>
  <c r="X83" i="1"/>
  <c r="X317" i="1"/>
  <c r="W82" i="1"/>
  <c r="P69" i="1"/>
  <c r="O68" i="1"/>
  <c r="BY90" i="1"/>
  <c r="BX162" i="1"/>
  <c r="BX232" i="1"/>
  <c r="BX233" i="1" s="1"/>
  <c r="Q69" i="1"/>
  <c r="AC130" i="1"/>
  <c r="CU130" i="1"/>
  <c r="AD230" i="1"/>
  <c r="AE230" i="1"/>
  <c r="AD193" i="1"/>
  <c r="CR118" i="1"/>
  <c r="CS116" i="1"/>
  <c r="AC190" i="1"/>
  <c r="BV1" i="1"/>
  <c r="BW1" i="1" s="1"/>
  <c r="BX1" i="1" s="1"/>
  <c r="AM301" i="1"/>
  <c r="BL299" i="1"/>
  <c r="BL300" i="1" s="1"/>
  <c r="G81" i="1"/>
  <c r="O81" i="1"/>
  <c r="H81" i="1"/>
  <c r="P81" i="1"/>
  <c r="I81" i="1"/>
  <c r="Q81" i="1"/>
  <c r="J81" i="1"/>
  <c r="R81" i="1"/>
  <c r="K81" i="1"/>
  <c r="S81" i="1"/>
  <c r="L81" i="1"/>
  <c r="T81" i="1"/>
  <c r="M81" i="1"/>
  <c r="U81" i="1"/>
  <c r="F81" i="1"/>
  <c r="N81" i="1"/>
  <c r="AL86" i="1" l="1"/>
  <c r="AK191" i="1"/>
  <c r="BJ253" i="1"/>
  <c r="BJ248" i="1"/>
  <c r="B165" i="1"/>
  <c r="C83" i="1"/>
  <c r="B299" i="1"/>
  <c r="B300" i="1" s="1"/>
  <c r="V95" i="1"/>
  <c r="V312" i="1" s="1"/>
  <c r="V101" i="1"/>
  <c r="AK84" i="1"/>
  <c r="BY268" i="1"/>
  <c r="AJ233" i="1"/>
  <c r="D301" i="1"/>
  <c r="D95" i="1"/>
  <c r="D101" i="1"/>
  <c r="F317" i="1"/>
  <c r="AJ82" i="1"/>
  <c r="AJ299" i="1"/>
  <c r="AJ300" i="1" s="1"/>
  <c r="AJ87" i="1"/>
  <c r="AJ91" i="1" s="1"/>
  <c r="AM157" i="1"/>
  <c r="AM161" i="1"/>
  <c r="AM90" i="1"/>
  <c r="AL162" i="1"/>
  <c r="AM293" i="1"/>
  <c r="AM165" i="1"/>
  <c r="BY317" i="1"/>
  <c r="BY318" i="1" s="1"/>
  <c r="BX82" i="1"/>
  <c r="BX87" i="1"/>
  <c r="CB83" i="1"/>
  <c r="CA165" i="1"/>
  <c r="BX299" i="1"/>
  <c r="BX300" i="1" s="1"/>
  <c r="BX48" i="1"/>
  <c r="BY84" i="1"/>
  <c r="C317" i="1"/>
  <c r="D317" i="1"/>
  <c r="D83" i="1"/>
  <c r="C82" i="1"/>
  <c r="AK87" i="1"/>
  <c r="AK91" i="1" s="1"/>
  <c r="AL84" i="1"/>
  <c r="AK299" i="1"/>
  <c r="AK300" i="1" s="1"/>
  <c r="AK82" i="1"/>
  <c r="AM317" i="1"/>
  <c r="AM318" i="1" s="1"/>
  <c r="AM84" i="1"/>
  <c r="AL317" i="1"/>
  <c r="AL318" i="1" s="1"/>
  <c r="AL87" i="1"/>
  <c r="AL91" i="1" s="1"/>
  <c r="AL82" i="1"/>
  <c r="AL299" i="1"/>
  <c r="AL300" i="1" s="1"/>
  <c r="W93" i="1"/>
  <c r="W94" i="1"/>
  <c r="W96" i="1" s="1"/>
  <c r="BX164" i="1"/>
  <c r="BX163" i="1"/>
  <c r="T317" i="1"/>
  <c r="P317" i="1"/>
  <c r="M317" i="1"/>
  <c r="R317" i="1"/>
  <c r="I317" i="1"/>
  <c r="K317" i="1"/>
  <c r="G317" i="1"/>
  <c r="H317" i="1"/>
  <c r="L317" i="1"/>
  <c r="S317" i="1"/>
  <c r="O317" i="1"/>
  <c r="J317" i="1"/>
  <c r="N317" i="1"/>
  <c r="U317" i="1"/>
  <c r="V317" i="1"/>
  <c r="Q317" i="1"/>
  <c r="R165" i="1"/>
  <c r="S83" i="1"/>
  <c r="T165" i="1"/>
  <c r="U83" i="1"/>
  <c r="U165" i="1"/>
  <c r="V83" i="1"/>
  <c r="P165" i="1"/>
  <c r="Q83" i="1"/>
  <c r="Q165" i="1"/>
  <c r="R83" i="1"/>
  <c r="I165" i="1"/>
  <c r="J83" i="1"/>
  <c r="S165" i="1"/>
  <c r="T83" i="1"/>
  <c r="H165" i="1"/>
  <c r="I83" i="1"/>
  <c r="E165" i="1"/>
  <c r="F83" i="1"/>
  <c r="L165" i="1"/>
  <c r="M83" i="1"/>
  <c r="O165" i="1"/>
  <c r="P83" i="1"/>
  <c r="N165" i="1"/>
  <c r="O83" i="1"/>
  <c r="K165" i="1"/>
  <c r="L83" i="1"/>
  <c r="F165" i="1"/>
  <c r="G83" i="1"/>
  <c r="G165" i="1"/>
  <c r="H83" i="1"/>
  <c r="M165" i="1"/>
  <c r="N83" i="1"/>
  <c r="J165" i="1"/>
  <c r="K83" i="1"/>
  <c r="CV130" i="1"/>
  <c r="AD269" i="1"/>
  <c r="AB195" i="1"/>
  <c r="AE190" i="1"/>
  <c r="AD190" i="1"/>
  <c r="CT116" i="1"/>
  <c r="CS118" i="1"/>
  <c r="C165" i="1"/>
  <c r="BY1" i="1"/>
  <c r="L82" i="1"/>
  <c r="N82" i="1"/>
  <c r="F82" i="1"/>
  <c r="O82" i="1"/>
  <c r="U87" i="1"/>
  <c r="U91" i="1" s="1"/>
  <c r="U82" i="1"/>
  <c r="G82" i="1"/>
  <c r="S82" i="1"/>
  <c r="M82" i="1"/>
  <c r="R82" i="1"/>
  <c r="J82" i="1"/>
  <c r="I82" i="1"/>
  <c r="P82" i="1"/>
  <c r="H82" i="1"/>
  <c r="K82" i="1"/>
  <c r="T82" i="1"/>
  <c r="Q82" i="1"/>
  <c r="T299" i="1"/>
  <c r="T300" i="1" s="1"/>
  <c r="Q299" i="1"/>
  <c r="Q300" i="1" s="1"/>
  <c r="K299" i="1"/>
  <c r="K300" i="1" s="1"/>
  <c r="O299" i="1"/>
  <c r="O300" i="1" s="1"/>
  <c r="U299" i="1"/>
  <c r="U300" i="1" s="1"/>
  <c r="L299" i="1"/>
  <c r="L300" i="1" s="1"/>
  <c r="C299" i="1"/>
  <c r="C300" i="1" s="1"/>
  <c r="I299" i="1"/>
  <c r="I300" i="1" s="1"/>
  <c r="G299" i="1"/>
  <c r="G300" i="1" s="1"/>
  <c r="R299" i="1"/>
  <c r="R300" i="1" s="1"/>
  <c r="P299" i="1"/>
  <c r="P300" i="1" s="1"/>
  <c r="F299" i="1"/>
  <c r="F300" i="1" s="1"/>
  <c r="M299" i="1"/>
  <c r="M300" i="1" s="1"/>
  <c r="N299" i="1"/>
  <c r="N300" i="1" s="1"/>
  <c r="E299" i="1"/>
  <c r="E300" i="1" s="1"/>
  <c r="S299" i="1"/>
  <c r="S300" i="1" s="1"/>
  <c r="J299" i="1"/>
  <c r="J300" i="1" s="1"/>
  <c r="H299" i="1"/>
  <c r="H300" i="1" s="1"/>
  <c r="B87" i="1"/>
  <c r="L87" i="1"/>
  <c r="Q87" i="1"/>
  <c r="T87" i="1"/>
  <c r="N87" i="1"/>
  <c r="S87" i="1"/>
  <c r="F87" i="1"/>
  <c r="K87" i="1"/>
  <c r="H87" i="1"/>
  <c r="I87" i="1"/>
  <c r="P87" i="1"/>
  <c r="C87" i="1"/>
  <c r="O87" i="1"/>
  <c r="R87" i="1"/>
  <c r="M87" i="1"/>
  <c r="G87" i="1"/>
  <c r="E87" i="1"/>
  <c r="J87" i="1"/>
  <c r="AK270" i="1" l="1"/>
  <c r="AK268" i="1" s="1"/>
  <c r="AL270" i="1"/>
  <c r="AL268" i="1" s="1"/>
  <c r="AJ94" i="1"/>
  <c r="AJ93" i="1"/>
  <c r="D260" i="1"/>
  <c r="D262" i="1" s="1"/>
  <c r="D105" i="1"/>
  <c r="AL164" i="1"/>
  <c r="AL163" i="1"/>
  <c r="BX91" i="1"/>
  <c r="CA108" i="1"/>
  <c r="AK93" i="1"/>
  <c r="AK94" i="1"/>
  <c r="AL93" i="1"/>
  <c r="AL94" i="1"/>
  <c r="X96" i="1"/>
  <c r="W95" i="1"/>
  <c r="W312" i="1" s="1"/>
  <c r="W301" i="1"/>
  <c r="W101" i="1"/>
  <c r="W105" i="1" s="1"/>
  <c r="BK231" i="1"/>
  <c r="BM231" i="1"/>
  <c r="CW130" i="1"/>
  <c r="AE193" i="1"/>
  <c r="AE269" i="1" s="1"/>
  <c r="CT118" i="1"/>
  <c r="CU116" i="1"/>
  <c r="BZ1" i="1"/>
  <c r="U94" i="1"/>
  <c r="V96" i="1" s="1"/>
  <c r="U93" i="1"/>
  <c r="P91" i="1"/>
  <c r="P94" i="1" s="1"/>
  <c r="R91" i="1"/>
  <c r="R94" i="1" s="1"/>
  <c r="E91" i="1"/>
  <c r="S91" i="1"/>
  <c r="S93" i="1" s="1"/>
  <c r="G91" i="1"/>
  <c r="G94" i="1" s="1"/>
  <c r="K91" i="1"/>
  <c r="K94" i="1" s="1"/>
  <c r="B91" i="1"/>
  <c r="O91" i="1"/>
  <c r="O94" i="1" s="1"/>
  <c r="H91" i="1"/>
  <c r="H94" i="1" s="1"/>
  <c r="N91" i="1"/>
  <c r="N94" i="1" s="1"/>
  <c r="L91" i="1"/>
  <c r="L93" i="1" s="1"/>
  <c r="C91" i="1"/>
  <c r="M91" i="1"/>
  <c r="M93" i="1" s="1"/>
  <c r="T91" i="1"/>
  <c r="T94" i="1" s="1"/>
  <c r="F91" i="1"/>
  <c r="F93" i="1" s="1"/>
  <c r="J91" i="1"/>
  <c r="J93" i="1" s="1"/>
  <c r="I91" i="1"/>
  <c r="I93" i="1" s="1"/>
  <c r="Q91" i="1"/>
  <c r="Q94" i="1" s="1"/>
  <c r="V301" i="1"/>
  <c r="AJ301" i="1" l="1"/>
  <c r="AJ101" i="1"/>
  <c r="AJ95" i="1"/>
  <c r="AK97" i="1"/>
  <c r="AM294" i="1"/>
  <c r="BX94" i="1"/>
  <c r="BX93" i="1"/>
  <c r="AL97" i="1"/>
  <c r="AK95" i="1"/>
  <c r="AK101" i="1"/>
  <c r="AK301" i="1"/>
  <c r="AL95" i="1"/>
  <c r="AL312" i="1" s="1"/>
  <c r="AL101" i="1"/>
  <c r="AM97" i="1"/>
  <c r="AL301" i="1"/>
  <c r="R96" i="1"/>
  <c r="U96" i="1"/>
  <c r="O96" i="1"/>
  <c r="B94" i="1"/>
  <c r="B93" i="1"/>
  <c r="C94" i="1"/>
  <c r="C93" i="1"/>
  <c r="E94" i="1"/>
  <c r="E101" i="1" s="1"/>
  <c r="E93" i="1"/>
  <c r="P96" i="1"/>
  <c r="H96" i="1"/>
  <c r="Q96" i="1"/>
  <c r="BJ232" i="1"/>
  <c r="BJ233" i="1" s="1"/>
  <c r="BL232" i="1"/>
  <c r="BL233" i="1" s="1"/>
  <c r="CX130" i="1"/>
  <c r="CV116" i="1"/>
  <c r="CU118" i="1"/>
  <c r="CA1" i="1"/>
  <c r="CB1" i="1" s="1"/>
  <c r="O93" i="1"/>
  <c r="BL301" i="1"/>
  <c r="S94" i="1"/>
  <c r="U95" i="1"/>
  <c r="U312" i="1" s="1"/>
  <c r="P95" i="1"/>
  <c r="P312" i="1" s="1"/>
  <c r="Q101" i="1"/>
  <c r="Q95" i="1"/>
  <c r="Q312" i="1" s="1"/>
  <c r="L94" i="1"/>
  <c r="P93" i="1"/>
  <c r="H95" i="1"/>
  <c r="H312" i="1" s="1"/>
  <c r="G95" i="1"/>
  <c r="G312" i="1" s="1"/>
  <c r="U101" i="1"/>
  <c r="N95" i="1"/>
  <c r="N312" i="1" s="1"/>
  <c r="R95" i="1"/>
  <c r="R312" i="1" s="1"/>
  <c r="K95" i="1"/>
  <c r="K312" i="1" s="1"/>
  <c r="O101" i="1"/>
  <c r="O95" i="1"/>
  <c r="O312" i="1" s="1"/>
  <c r="T101" i="1"/>
  <c r="T95" i="1"/>
  <c r="T312" i="1" s="1"/>
  <c r="R93" i="1"/>
  <c r="K93" i="1"/>
  <c r="N93" i="1"/>
  <c r="G93" i="1"/>
  <c r="H93" i="1"/>
  <c r="J94" i="1"/>
  <c r="K96" i="1" s="1"/>
  <c r="M94" i="1"/>
  <c r="N96" i="1" s="1"/>
  <c r="T93" i="1"/>
  <c r="F94" i="1"/>
  <c r="G96" i="1" s="1"/>
  <c r="I94" i="1"/>
  <c r="I96" i="1" s="1"/>
  <c r="O301" i="1"/>
  <c r="Q93" i="1"/>
  <c r="P301" i="1"/>
  <c r="P101" i="1"/>
  <c r="K301" i="1"/>
  <c r="K101" i="1"/>
  <c r="H301" i="1"/>
  <c r="H101" i="1"/>
  <c r="R101" i="1"/>
  <c r="N101" i="1"/>
  <c r="G101" i="1"/>
  <c r="G301" i="1"/>
  <c r="R301" i="1"/>
  <c r="N301" i="1"/>
  <c r="Q301" i="1"/>
  <c r="U301" i="1"/>
  <c r="T301" i="1"/>
  <c r="V105" i="1"/>
  <c r="V260" i="1"/>
  <c r="V262" i="1" s="1"/>
  <c r="AJ119" i="1" l="1"/>
  <c r="AJ105" i="1"/>
  <c r="AJ260" i="1"/>
  <c r="AJ262" i="1" s="1"/>
  <c r="AJ266" i="1" s="1"/>
  <c r="AJ280" i="1" s="1"/>
  <c r="AJ274" i="1"/>
  <c r="AJ272" i="1" s="1"/>
  <c r="AJ277" i="1" s="1"/>
  <c r="AJ278" i="1" s="1"/>
  <c r="BX95" i="1"/>
  <c r="BX312" i="1" s="1"/>
  <c r="CB96" i="1"/>
  <c r="BX101" i="1"/>
  <c r="BY97" i="1"/>
  <c r="BX301" i="1"/>
  <c r="AK105" i="1"/>
  <c r="AK119" i="1"/>
  <c r="AK260" i="1"/>
  <c r="AK262" i="1" s="1"/>
  <c r="AK172" i="1"/>
  <c r="AK173" i="1" s="1"/>
  <c r="AL105" i="1"/>
  <c r="AL119" i="1"/>
  <c r="AL260" i="1"/>
  <c r="AL262" i="1" s="1"/>
  <c r="E301" i="1"/>
  <c r="E95" i="1"/>
  <c r="E312" i="1" s="1"/>
  <c r="E96" i="1"/>
  <c r="D96" i="1"/>
  <c r="C95" i="1"/>
  <c r="B95" i="1"/>
  <c r="C96" i="1"/>
  <c r="F96" i="1"/>
  <c r="M96" i="1"/>
  <c r="S95" i="1"/>
  <c r="S312" i="1" s="1"/>
  <c r="T96" i="1"/>
  <c r="L96" i="1"/>
  <c r="J96" i="1"/>
  <c r="S96" i="1"/>
  <c r="AD130" i="1"/>
  <c r="CY130" i="1"/>
  <c r="CV118" i="1"/>
  <c r="CW116" i="1"/>
  <c r="CC1" i="1"/>
  <c r="K105" i="1"/>
  <c r="G105" i="1"/>
  <c r="E105" i="1"/>
  <c r="S101" i="1"/>
  <c r="S301" i="1"/>
  <c r="L301" i="1"/>
  <c r="L101" i="1"/>
  <c r="O260" i="1"/>
  <c r="O262" i="1" s="1"/>
  <c r="O105" i="1"/>
  <c r="B301" i="1"/>
  <c r="B101" i="1"/>
  <c r="M101" i="1"/>
  <c r="M95" i="1"/>
  <c r="M312" i="1" s="1"/>
  <c r="C301" i="1"/>
  <c r="I101" i="1"/>
  <c r="I95" i="1"/>
  <c r="I312" i="1" s="1"/>
  <c r="J101" i="1"/>
  <c r="J95" i="1"/>
  <c r="J312" i="1" s="1"/>
  <c r="F101" i="1"/>
  <c r="F95" i="1"/>
  <c r="F312" i="1" s="1"/>
  <c r="L95" i="1"/>
  <c r="L312" i="1" s="1"/>
  <c r="J301" i="1"/>
  <c r="E260" i="1"/>
  <c r="E262" i="1" s="1"/>
  <c r="R260" i="1"/>
  <c r="R262" i="1" s="1"/>
  <c r="M301" i="1"/>
  <c r="R105" i="1"/>
  <c r="I301" i="1"/>
  <c r="H105" i="1"/>
  <c r="H260" i="1"/>
  <c r="H262" i="1" s="1"/>
  <c r="F301" i="1"/>
  <c r="C101" i="1"/>
  <c r="N260" i="1"/>
  <c r="N262" i="1" s="1"/>
  <c r="N105" i="1"/>
  <c r="G260" i="1"/>
  <c r="G262" i="1" s="1"/>
  <c r="P105" i="1"/>
  <c r="K260" i="1"/>
  <c r="K262" i="1" s="1"/>
  <c r="P260" i="1"/>
  <c r="P262" i="1" s="1"/>
  <c r="U105" i="1"/>
  <c r="U260" i="1"/>
  <c r="U262" i="1" s="1"/>
  <c r="Q105" i="1"/>
  <c r="Q260" i="1"/>
  <c r="Q262" i="1" s="1"/>
  <c r="T105" i="1"/>
  <c r="T260" i="1"/>
  <c r="T262" i="1" s="1"/>
  <c r="BX119" i="1" l="1"/>
  <c r="CA122" i="1" s="1"/>
  <c r="CA107" i="1"/>
  <c r="BX105" i="1"/>
  <c r="BX260" i="1"/>
  <c r="BX262" i="1" s="1"/>
  <c r="AK274" i="1"/>
  <c r="AK272" i="1" s="1"/>
  <c r="AK182" i="1"/>
  <c r="AL274" i="1"/>
  <c r="AL272" i="1" s="1"/>
  <c r="CZ130" i="1"/>
  <c r="AC195" i="1"/>
  <c r="CX116" i="1"/>
  <c r="CW118" i="1"/>
  <c r="CD1" i="1"/>
  <c r="CE1" i="1" s="1"/>
  <c r="CF1" i="1" s="1"/>
  <c r="CG1" i="1" s="1"/>
  <c r="CH1" i="1" s="1"/>
  <c r="CI1" i="1" s="1"/>
  <c r="CJ1" i="1" s="1"/>
  <c r="CK1" i="1" s="1"/>
  <c r="L260" i="1"/>
  <c r="L262" i="1" s="1"/>
  <c r="J260" i="1"/>
  <c r="J262" i="1" s="1"/>
  <c r="M260" i="1"/>
  <c r="M262" i="1" s="1"/>
  <c r="B105" i="1"/>
  <c r="F105" i="1"/>
  <c r="I105" i="1"/>
  <c r="C105" i="1"/>
  <c r="L105" i="1"/>
  <c r="S105" i="1"/>
  <c r="J105" i="1"/>
  <c r="S260" i="1"/>
  <c r="S262" i="1" s="1"/>
  <c r="M105" i="1"/>
  <c r="I260" i="1"/>
  <c r="I262" i="1" s="1"/>
  <c r="F260" i="1"/>
  <c r="F262" i="1" s="1"/>
  <c r="C260" i="1"/>
  <c r="C262" i="1" s="1"/>
  <c r="R69" i="2"/>
  <c r="J59" i="2"/>
  <c r="G91" i="2"/>
  <c r="C44" i="2"/>
  <c r="AI12" i="3"/>
  <c r="AJ23" i="3"/>
  <c r="AJ28" i="3"/>
  <c r="I32" i="3"/>
  <c r="V60" i="2"/>
  <c r="V43" i="2"/>
  <c r="C45" i="2"/>
  <c r="V53" i="2"/>
  <c r="Z30" i="3"/>
  <c r="AC13" i="3"/>
  <c r="AO30" i="3"/>
  <c r="J107" i="2"/>
  <c r="H53" i="2"/>
  <c r="M41" i="2"/>
  <c r="U110" i="2"/>
  <c r="Y40" i="3"/>
  <c r="P6" i="3"/>
  <c r="H16" i="3"/>
  <c r="AC41" i="3"/>
  <c r="D78" i="2"/>
  <c r="X98" i="2"/>
  <c r="L108" i="2"/>
  <c r="R45" i="2"/>
  <c r="AH31" i="3"/>
  <c r="AB21" i="3"/>
  <c r="M57" i="2"/>
  <c r="H44" i="2"/>
  <c r="M72" i="2"/>
  <c r="V79" i="2"/>
  <c r="AM21" i="3"/>
  <c r="AE5" i="3"/>
  <c r="Q65" i="2"/>
  <c r="F92" i="2"/>
  <c r="X55" i="2"/>
  <c r="I44" i="2"/>
  <c r="Z25" i="3"/>
  <c r="L22" i="3"/>
  <c r="AJ39" i="3"/>
  <c r="AG35" i="3"/>
  <c r="D66" i="2"/>
  <c r="U56" i="2"/>
  <c r="T87" i="2"/>
  <c r="W79" i="2"/>
  <c r="P41" i="3"/>
  <c r="P21" i="3"/>
  <c r="G45" i="2"/>
  <c r="Q106" i="2"/>
  <c r="X52" i="2"/>
  <c r="F88" i="2"/>
  <c r="X10" i="3"/>
  <c r="W10" i="3"/>
  <c r="Y9" i="3"/>
  <c r="I5" i="3"/>
  <c r="U91" i="2"/>
  <c r="U96" i="2"/>
  <c r="W80" i="2"/>
  <c r="G67" i="2"/>
  <c r="AJ22" i="3"/>
  <c r="AA21" i="3"/>
  <c r="Z38" i="3"/>
  <c r="N27" i="3"/>
  <c r="J66" i="2"/>
  <c r="O43" i="2"/>
  <c r="P85" i="2"/>
  <c r="S99" i="2"/>
  <c r="F48" i="2"/>
  <c r="P58" i="2"/>
  <c r="S7" i="3"/>
  <c r="C19" i="3"/>
  <c r="Y23" i="3"/>
  <c r="AN36" i="3"/>
  <c r="I104" i="2"/>
  <c r="N90" i="2"/>
  <c r="D60" i="2"/>
  <c r="AP96" i="3"/>
  <c r="U31" i="3"/>
  <c r="L39" i="3"/>
  <c r="AC32" i="3"/>
  <c r="Y21" i="3"/>
  <c r="O94" i="2"/>
  <c r="N89" i="2"/>
  <c r="E44" i="2"/>
  <c r="E42" i="2"/>
  <c r="Y39" i="3"/>
  <c r="AP22" i="3"/>
  <c r="J28" i="3"/>
  <c r="K75" i="2"/>
  <c r="P71" i="2"/>
  <c r="K70" i="2"/>
  <c r="N49" i="2"/>
  <c r="AP85" i="3"/>
  <c r="O35" i="3"/>
  <c r="P29" i="3"/>
  <c r="V42" i="3"/>
  <c r="G65" i="2"/>
  <c r="K90" i="2"/>
  <c r="L45" i="2"/>
  <c r="I55" i="2"/>
  <c r="AB71" i="3"/>
  <c r="H105" i="2"/>
  <c r="I15" i="3"/>
  <c r="K91" i="2"/>
  <c r="K110" i="2"/>
  <c r="C48" i="3"/>
  <c r="Y31" i="3"/>
  <c r="Y35" i="3"/>
  <c r="Q62" i="2"/>
  <c r="M82" i="2"/>
  <c r="T48" i="2"/>
  <c r="M109" i="2"/>
  <c r="AP78" i="3"/>
  <c r="AE7" i="3"/>
  <c r="AI27" i="3"/>
  <c r="N12" i="3"/>
  <c r="S57" i="2"/>
  <c r="P72" i="2"/>
  <c r="T47" i="2"/>
  <c r="F67" i="2"/>
  <c r="L21" i="3"/>
  <c r="V73" i="2"/>
  <c r="G85" i="2"/>
  <c r="AC42" i="3"/>
  <c r="J20" i="3"/>
  <c r="AP38" i="3"/>
  <c r="M87" i="2"/>
  <c r="T85" i="2"/>
  <c r="G104" i="2"/>
  <c r="K58" i="2"/>
  <c r="AM25" i="3"/>
  <c r="K21" i="3"/>
  <c r="N7" i="3"/>
  <c r="T76" i="2"/>
  <c r="Q91" i="2"/>
  <c r="W111" i="2"/>
  <c r="V46" i="2"/>
  <c r="P32" i="3"/>
  <c r="H21" i="3"/>
  <c r="AQ30" i="3"/>
  <c r="V10" i="3"/>
  <c r="C60" i="2"/>
  <c r="I24" i="3"/>
  <c r="F80" i="2"/>
  <c r="N83" i="2"/>
  <c r="O21" i="3"/>
  <c r="AC16" i="3"/>
  <c r="AI29" i="3"/>
  <c r="L85" i="2"/>
  <c r="R110" i="2"/>
  <c r="O96" i="2"/>
  <c r="V77" i="2"/>
  <c r="F47" i="2"/>
  <c r="AB19" i="3"/>
  <c r="L35" i="3"/>
  <c r="L47" i="2"/>
  <c r="R99" i="2"/>
  <c r="AK30" i="3"/>
  <c r="AB7" i="3"/>
  <c r="AA37" i="3"/>
  <c r="M53" i="2"/>
  <c r="L44" i="2"/>
  <c r="J97" i="2"/>
  <c r="T110" i="2"/>
  <c r="AA30" i="3"/>
  <c r="W11" i="3"/>
  <c r="Q13" i="3"/>
  <c r="O70" i="2"/>
  <c r="S15" i="3"/>
  <c r="W84" i="2"/>
  <c r="S110" i="2"/>
  <c r="U41" i="3"/>
  <c r="Q28" i="3"/>
  <c r="AJ21" i="3"/>
  <c r="H75" i="2"/>
  <c r="V51" i="2"/>
  <c r="L73" i="2"/>
  <c r="AB77" i="3"/>
  <c r="K8" i="3"/>
  <c r="N105" i="2"/>
  <c r="N110" i="2"/>
  <c r="C22" i="3"/>
  <c r="G38" i="3"/>
  <c r="AO8" i="3"/>
  <c r="O72" i="2"/>
  <c r="X21" i="3"/>
  <c r="P46" i="2"/>
  <c r="H96" i="2"/>
  <c r="N26" i="3"/>
  <c r="E48" i="3"/>
  <c r="AM19" i="3"/>
  <c r="O69" i="2"/>
  <c r="F83" i="2"/>
  <c r="U50" i="2"/>
  <c r="D43" i="2"/>
  <c r="AP12" i="3"/>
  <c r="V29" i="3"/>
  <c r="C6" i="3"/>
  <c r="AM38" i="3"/>
  <c r="T97" i="2"/>
  <c r="T94" i="2"/>
  <c r="E93" i="2"/>
  <c r="P45" i="2"/>
  <c r="T108" i="2"/>
  <c r="AB49" i="3"/>
  <c r="L10" i="3"/>
  <c r="Q70" i="2"/>
  <c r="X80" i="2"/>
  <c r="M22" i="3"/>
  <c r="U39" i="3"/>
  <c r="F78" i="2"/>
  <c r="G37" i="3"/>
  <c r="AG25" i="3"/>
  <c r="M77" i="2"/>
  <c r="K106" i="2"/>
  <c r="AP26" i="3"/>
  <c r="C20" i="3"/>
  <c r="M21" i="3"/>
  <c r="F99" i="2"/>
  <c r="L69" i="2"/>
  <c r="L80" i="2"/>
  <c r="M47" i="2"/>
  <c r="AC22" i="3"/>
  <c r="I14" i="3"/>
  <c r="K31" i="3"/>
  <c r="C96" i="2"/>
  <c r="H36" i="3"/>
  <c r="G75" i="2"/>
  <c r="D91" i="2"/>
  <c r="AB89" i="3"/>
  <c r="L28" i="3"/>
  <c r="AK6" i="3"/>
  <c r="H107" i="2"/>
  <c r="M105" i="2"/>
  <c r="K42" i="2"/>
  <c r="X48" i="2"/>
  <c r="AB92" i="3"/>
  <c r="AD38" i="3"/>
  <c r="AN29" i="3"/>
  <c r="AJ42" i="3"/>
  <c r="T84" i="2"/>
  <c r="Q45" i="2"/>
  <c r="F84" i="2"/>
  <c r="K78" i="2"/>
  <c r="AL16" i="3"/>
  <c r="R7" i="3"/>
  <c r="E43" i="2"/>
  <c r="I43" i="2"/>
  <c r="C87" i="2"/>
  <c r="AM12" i="3"/>
  <c r="P17" i="3"/>
  <c r="W30" i="3"/>
  <c r="AM30" i="3"/>
  <c r="L12" i="3"/>
  <c r="C34" i="3"/>
  <c r="P51" i="2"/>
  <c r="R44" i="2"/>
  <c r="P49" i="2"/>
  <c r="Z24" i="3"/>
  <c r="AK18" i="3"/>
  <c r="J47" i="2"/>
  <c r="J113" i="2"/>
  <c r="AB83" i="3"/>
  <c r="AG32" i="3"/>
  <c r="AO40" i="3"/>
  <c r="I47" i="2"/>
  <c r="AG23" i="3"/>
  <c r="P99" i="2"/>
  <c r="L25" i="3"/>
  <c r="AO12" i="3"/>
  <c r="O41" i="2"/>
  <c r="E89" i="2"/>
  <c r="R107" i="2"/>
  <c r="AI16" i="3"/>
  <c r="AP11" i="3"/>
  <c r="Z42" i="3"/>
  <c r="D93" i="2"/>
  <c r="P81" i="2"/>
  <c r="S64" i="2"/>
  <c r="Y8" i="3"/>
  <c r="I58" i="2"/>
  <c r="S34" i="3"/>
  <c r="AP28" i="3"/>
  <c r="M43" i="2"/>
  <c r="AG8" i="3"/>
  <c r="Q60" i="2"/>
  <c r="T99" i="2"/>
  <c r="AP84" i="3"/>
  <c r="S41" i="3"/>
  <c r="M60" i="2"/>
  <c r="I19" i="3"/>
  <c r="AB14" i="3"/>
  <c r="AG21" i="3"/>
  <c r="F82" i="2"/>
  <c r="Y12" i="3"/>
  <c r="H57" i="2"/>
  <c r="R93" i="2"/>
  <c r="AP27" i="3"/>
  <c r="M68" i="2"/>
  <c r="C31" i="3"/>
  <c r="AB75" i="3"/>
  <c r="K41" i="3"/>
  <c r="E50" i="2"/>
  <c r="M39" i="3"/>
  <c r="W25" i="3"/>
  <c r="O82" i="2"/>
  <c r="X89" i="2"/>
  <c r="Q51" i="2"/>
  <c r="AN12" i="3"/>
  <c r="AO21" i="3"/>
  <c r="R62" i="2"/>
  <c r="H112" i="2"/>
  <c r="L29" i="3"/>
  <c r="H79" i="2"/>
  <c r="AL24" i="3"/>
  <c r="O48" i="2"/>
  <c r="F56" i="2"/>
  <c r="N35" i="3"/>
  <c r="AE13" i="3"/>
  <c r="J52" i="2"/>
  <c r="C40" i="2"/>
  <c r="N42" i="3"/>
  <c r="C105" i="2"/>
  <c r="AP49" i="3"/>
  <c r="AJ6" i="3"/>
  <c r="Z12" i="3"/>
  <c r="R91" i="2"/>
  <c r="AP25" i="3"/>
  <c r="AM23" i="3"/>
  <c r="Q108" i="2"/>
  <c r="M73" i="2"/>
  <c r="F96" i="2"/>
  <c r="J67" i="2"/>
  <c r="AN19" i="3"/>
  <c r="U44" i="2"/>
  <c r="R66" i="2"/>
  <c r="Q61" i="2"/>
  <c r="AP69" i="3"/>
  <c r="S40" i="3"/>
  <c r="R21" i="3"/>
  <c r="U17" i="3"/>
  <c r="AM34" i="3"/>
  <c r="O5" i="3"/>
  <c r="S29" i="3"/>
  <c r="D70" i="2"/>
  <c r="X8" i="3"/>
  <c r="C63" i="2"/>
  <c r="F87" i="2"/>
  <c r="AB62" i="3"/>
  <c r="M38" i="3"/>
  <c r="G109" i="2"/>
  <c r="X47" i="2"/>
  <c r="S83" i="2"/>
  <c r="X12" i="3"/>
  <c r="I10" i="3"/>
  <c r="AB50" i="3"/>
  <c r="Y32" i="3"/>
  <c r="N99" i="2"/>
  <c r="AB56" i="3"/>
  <c r="R57" i="2"/>
  <c r="T24" i="3"/>
  <c r="W16" i="3"/>
  <c r="AA38" i="3"/>
  <c r="J85" i="2"/>
  <c r="AP8" i="3"/>
  <c r="M19" i="3"/>
  <c r="I76" i="2"/>
  <c r="K84" i="2"/>
  <c r="N75" i="2"/>
  <c r="D84" i="2"/>
  <c r="V17" i="3"/>
  <c r="S112" i="2"/>
  <c r="O37" i="3"/>
  <c r="O76" i="2"/>
  <c r="AJ11" i="3"/>
  <c r="J61" i="2"/>
  <c r="K56" i="2"/>
  <c r="E74" i="2"/>
  <c r="Q109" i="2"/>
  <c r="AP86" i="3"/>
  <c r="V76" i="2"/>
  <c r="T112" i="2"/>
  <c r="Y38" i="3"/>
  <c r="S10" i="3"/>
  <c r="Q53" i="2"/>
  <c r="X99" i="2"/>
  <c r="R72" i="2"/>
  <c r="O109" i="2"/>
  <c r="X35" i="3"/>
  <c r="AO13" i="3"/>
  <c r="N53" i="2"/>
  <c r="C38" i="3"/>
  <c r="P35" i="3"/>
  <c r="H66" i="2"/>
  <c r="AO24" i="3"/>
  <c r="O34" i="3"/>
  <c r="T55" i="2"/>
  <c r="D46" i="2"/>
  <c r="M34" i="3"/>
  <c r="AL6" i="3"/>
  <c r="X62" i="2"/>
  <c r="H89" i="2"/>
  <c r="V97" i="2"/>
  <c r="E72" i="2"/>
  <c r="X17" i="3"/>
  <c r="M62" i="2"/>
  <c r="R84" i="2"/>
  <c r="M56" i="2"/>
  <c r="X31" i="3"/>
  <c r="U16" i="3"/>
  <c r="S105" i="2"/>
  <c r="AQ23" i="3"/>
  <c r="U52" i="2"/>
  <c r="N109" i="2"/>
  <c r="J25" i="3"/>
  <c r="W41" i="3"/>
  <c r="D90" i="2"/>
  <c r="G64" i="2"/>
  <c r="AL39" i="3"/>
  <c r="V19" i="3"/>
  <c r="P9" i="3"/>
  <c r="T52" i="2"/>
  <c r="AN32" i="3"/>
  <c r="AN40" i="3"/>
  <c r="X79" i="2"/>
  <c r="G62" i="2"/>
  <c r="N56" i="2"/>
  <c r="F95" i="2"/>
  <c r="G49" i="2"/>
  <c r="U23" i="3"/>
  <c r="Y25" i="3"/>
  <c r="M40" i="2"/>
  <c r="AL18" i="3"/>
  <c r="D48" i="2"/>
  <c r="Q76" i="2"/>
  <c r="N73" i="2"/>
  <c r="J92" i="2"/>
  <c r="Q112" i="2"/>
  <c r="R27" i="3"/>
  <c r="E80" i="2"/>
  <c r="L40" i="3"/>
  <c r="K97" i="2"/>
  <c r="I38" i="3"/>
  <c r="AJ10" i="3"/>
  <c r="H84" i="2"/>
  <c r="M35" i="3"/>
  <c r="P11" i="3"/>
  <c r="AQ16" i="3"/>
  <c r="X76" i="2"/>
  <c r="Q12" i="3"/>
  <c r="D77" i="2"/>
  <c r="N33" i="3"/>
  <c r="X90" i="2"/>
  <c r="S65" i="2"/>
  <c r="Q38" i="3"/>
  <c r="U14" i="3"/>
  <c r="D50" i="2"/>
  <c r="N48" i="2"/>
  <c r="AD21" i="3"/>
  <c r="X43" i="2"/>
  <c r="K17" i="3"/>
  <c r="W37" i="3"/>
  <c r="E90" i="2"/>
  <c r="J72" i="2"/>
  <c r="P30" i="3"/>
  <c r="Q50" i="2"/>
  <c r="AC40" i="3"/>
  <c r="I53" i="2"/>
  <c r="F106" i="2"/>
  <c r="C17" i="3"/>
  <c r="Y24" i="3"/>
  <c r="K45" i="2"/>
  <c r="AL11" i="3"/>
  <c r="M5" i="3"/>
  <c r="M29" i="3"/>
  <c r="P57" i="2"/>
  <c r="R49" i="2"/>
  <c r="AG37" i="3"/>
  <c r="G93" i="2"/>
  <c r="R59" i="2"/>
  <c r="P91" i="2"/>
  <c r="X51" i="2"/>
  <c r="J58" i="2"/>
  <c r="V83" i="2"/>
  <c r="AQ22" i="3"/>
  <c r="S108" i="2"/>
  <c r="E78" i="2"/>
  <c r="X44" i="2"/>
  <c r="R50" i="2"/>
  <c r="AJ34" i="3"/>
  <c r="AH39" i="3"/>
  <c r="Q95" i="2"/>
  <c r="N98" i="2"/>
  <c r="AH10" i="3"/>
  <c r="K39" i="3"/>
  <c r="H39" i="3"/>
  <c r="C74" i="2"/>
  <c r="O108" i="2"/>
  <c r="X83" i="2"/>
  <c r="R20" i="3"/>
  <c r="V61" i="2"/>
  <c r="T91" i="2"/>
  <c r="AQ36" i="3"/>
  <c r="AO42" i="3"/>
  <c r="W90" i="2"/>
  <c r="AP80" i="3"/>
  <c r="L75" i="2"/>
  <c r="L14" i="3"/>
  <c r="AL19" i="3"/>
  <c r="C70" i="2"/>
  <c r="E65" i="2"/>
  <c r="I97" i="2"/>
  <c r="L106" i="2"/>
  <c r="O29" i="3"/>
  <c r="Q19" i="3"/>
  <c r="AD47" i="3"/>
  <c r="P14" i="3"/>
  <c r="M66" i="2"/>
  <c r="L55" i="2"/>
  <c r="K53" i="2"/>
  <c r="R94" i="2"/>
  <c r="J16" i="3"/>
  <c r="AJ14" i="3"/>
  <c r="AL13" i="3"/>
  <c r="C94" i="2"/>
  <c r="C98" i="2"/>
  <c r="M112" i="2"/>
  <c r="P74" i="2"/>
  <c r="C7" i="3"/>
  <c r="L23" i="3"/>
  <c r="AK14" i="3"/>
  <c r="J10" i="3"/>
  <c r="I78" i="2"/>
  <c r="L50" i="2"/>
  <c r="W106" i="2"/>
  <c r="J90" i="2"/>
  <c r="AD37" i="3"/>
  <c r="P50" i="2"/>
  <c r="C58" i="2"/>
  <c r="R74" i="2"/>
  <c r="U106" i="2"/>
  <c r="AP59" i="3"/>
  <c r="AC36" i="3"/>
  <c r="AC5" i="3"/>
  <c r="H48" i="2"/>
  <c r="I96" i="2"/>
  <c r="C54" i="2"/>
  <c r="M111" i="2"/>
  <c r="X14" i="3"/>
  <c r="AI32" i="3"/>
  <c r="AI8" i="3"/>
  <c r="AA19" i="3"/>
  <c r="S51" i="2"/>
  <c r="D105" i="2"/>
  <c r="E105" i="2"/>
  <c r="G51" i="2"/>
  <c r="AP13" i="3"/>
  <c r="I89" i="2"/>
  <c r="P67" i="2"/>
  <c r="K109" i="2"/>
  <c r="D59" i="2"/>
  <c r="AP65" i="3"/>
  <c r="AP40" i="3"/>
  <c r="AD19" i="3"/>
  <c r="R8" i="3"/>
  <c r="AO27" i="3"/>
  <c r="S109" i="2"/>
  <c r="F111" i="2"/>
  <c r="S72" i="2"/>
  <c r="D41" i="2"/>
  <c r="AA25" i="3"/>
  <c r="U37" i="3"/>
  <c r="R13" i="3"/>
  <c r="AO5" i="3"/>
  <c r="R52" i="2"/>
  <c r="F74" i="2"/>
  <c r="G40" i="2"/>
  <c r="E70" i="2"/>
  <c r="D74" i="2"/>
  <c r="J96" i="2"/>
  <c r="AM32" i="3"/>
  <c r="AJ15" i="3"/>
  <c r="J13" i="3"/>
  <c r="M71" i="2"/>
  <c r="N112" i="2"/>
  <c r="J63" i="2"/>
  <c r="J48" i="2"/>
  <c r="AP87" i="3"/>
  <c r="AN37" i="3"/>
  <c r="Z29" i="3"/>
  <c r="N23" i="3"/>
  <c r="N87" i="2"/>
  <c r="J83" i="2"/>
  <c r="Q92" i="2"/>
  <c r="C75" i="2"/>
  <c r="AP61" i="3"/>
  <c r="V9" i="3"/>
  <c r="AJ32" i="3"/>
  <c r="AK26" i="3"/>
  <c r="K107" i="2"/>
  <c r="W71" i="2"/>
  <c r="W55" i="2"/>
  <c r="G80" i="2"/>
  <c r="O22" i="3"/>
  <c r="O18" i="3"/>
  <c r="I30" i="3"/>
  <c r="R19" i="3"/>
  <c r="U104" i="2"/>
  <c r="K74" i="2"/>
  <c r="V62" i="2"/>
  <c r="S59" i="2"/>
  <c r="H20" i="3"/>
  <c r="V86" i="2"/>
  <c r="H37" i="3"/>
  <c r="G46" i="2"/>
  <c r="Q41" i="2"/>
  <c r="AB85" i="3"/>
  <c r="AB6" i="3"/>
  <c r="H30" i="3"/>
  <c r="D99" i="2"/>
  <c r="O98" i="2"/>
  <c r="N66" i="2"/>
  <c r="R73" i="2"/>
  <c r="AB66" i="3"/>
  <c r="M25" i="3"/>
  <c r="AK39" i="3"/>
  <c r="AD22" i="3"/>
  <c r="O107" i="2"/>
  <c r="V92" i="2"/>
  <c r="L63" i="2"/>
  <c r="W28" i="3"/>
  <c r="V39" i="3"/>
  <c r="M78" i="2"/>
  <c r="D94" i="2"/>
  <c r="AI10" i="3"/>
  <c r="AD36" i="3"/>
  <c r="AC24" i="3"/>
  <c r="V87" i="2"/>
  <c r="D44" i="2"/>
  <c r="W58" i="2"/>
  <c r="N57" i="2"/>
  <c r="AM11" i="3"/>
  <c r="U33" i="3"/>
  <c r="V26" i="3"/>
  <c r="U80" i="2"/>
  <c r="U92" i="2"/>
  <c r="D96" i="2"/>
  <c r="I110" i="2"/>
  <c r="AP10" i="3"/>
  <c r="AK22" i="3"/>
  <c r="AE17" i="3"/>
  <c r="M14" i="3"/>
  <c r="O55" i="2"/>
  <c r="I27" i="3"/>
  <c r="L52" i="2"/>
  <c r="W78" i="2"/>
  <c r="L11" i="3"/>
  <c r="S23" i="3"/>
  <c r="AG9" i="3"/>
  <c r="E110" i="2"/>
  <c r="J75" i="2"/>
  <c r="P108" i="2"/>
  <c r="S90" i="2"/>
  <c r="D69" i="2"/>
  <c r="H27" i="3"/>
  <c r="K113" i="2"/>
  <c r="J106" i="2"/>
  <c r="M108" i="2"/>
  <c r="U12" i="3"/>
  <c r="N13" i="3"/>
  <c r="N22" i="3"/>
  <c r="D108" i="2"/>
  <c r="D79" i="2"/>
  <c r="W53" i="2"/>
  <c r="AB81" i="3"/>
  <c r="M23" i="3"/>
  <c r="AK7" i="3"/>
  <c r="AD42" i="3"/>
  <c r="AP93" i="3"/>
  <c r="P38" i="3"/>
  <c r="P106" i="2"/>
  <c r="O88" i="2"/>
  <c r="AH14" i="3"/>
  <c r="S26" i="3"/>
  <c r="AA26" i="3"/>
  <c r="I48" i="2"/>
  <c r="W72" i="2"/>
  <c r="W108" i="2"/>
  <c r="V24" i="3"/>
  <c r="AC15" i="3"/>
  <c r="P47" i="2"/>
  <c r="L46" i="2"/>
  <c r="N20" i="3"/>
  <c r="AI35" i="3"/>
  <c r="P33" i="3"/>
  <c r="U95" i="2"/>
  <c r="Q15" i="3"/>
  <c r="I80" i="2"/>
  <c r="K96" i="2"/>
  <c r="O28" i="3"/>
  <c r="M30" i="3"/>
  <c r="AB40" i="3"/>
  <c r="T73" i="2"/>
  <c r="E47" i="2"/>
  <c r="E57" i="2"/>
  <c r="V91" i="2"/>
  <c r="W26" i="3"/>
  <c r="J8" i="3"/>
  <c r="L9" i="3"/>
  <c r="Q32" i="3"/>
  <c r="C46" i="2"/>
  <c r="K105" i="2"/>
  <c r="M84" i="2"/>
  <c r="F93" i="2"/>
  <c r="S94" i="2"/>
  <c r="N19" i="3"/>
  <c r="R12" i="3"/>
  <c r="H87" i="2"/>
  <c r="U108" i="2"/>
  <c r="W24" i="3"/>
  <c r="AN10" i="3"/>
  <c r="U41" i="2"/>
  <c r="S11" i="3"/>
  <c r="P84" i="2"/>
  <c r="M52" i="2"/>
  <c r="N77" i="2"/>
  <c r="M7" i="3"/>
  <c r="T9" i="3"/>
  <c r="C11" i="3"/>
  <c r="V65" i="2"/>
  <c r="I56" i="2"/>
  <c r="V81" i="2"/>
  <c r="AB72" i="3"/>
  <c r="AJ30" i="3"/>
  <c r="AP18" i="3"/>
  <c r="P26" i="3"/>
  <c r="C69" i="2"/>
  <c r="H32" i="3"/>
  <c r="K50" i="2"/>
  <c r="H98" i="2"/>
  <c r="AB91" i="3"/>
  <c r="H25" i="3"/>
  <c r="AA18" i="3"/>
  <c r="R67" i="2"/>
  <c r="O81" i="2"/>
  <c r="U67" i="2"/>
  <c r="F58" i="2"/>
  <c r="AB69" i="3"/>
  <c r="C25" i="3"/>
  <c r="AG34" i="3"/>
  <c r="L34" i="3"/>
  <c r="N84" i="2"/>
  <c r="M113" i="2"/>
  <c r="M80" i="2"/>
  <c r="N46" i="2"/>
  <c r="C24" i="3"/>
  <c r="V55" i="2"/>
  <c r="S79" i="2"/>
  <c r="M95" i="2"/>
  <c r="AP58" i="3"/>
  <c r="K23" i="3"/>
  <c r="Y20" i="3"/>
  <c r="AJ9" i="3"/>
  <c r="AE30" i="3"/>
  <c r="W39" i="3"/>
  <c r="X13" i="3"/>
  <c r="O85" i="2"/>
  <c r="G73" i="2"/>
  <c r="M67" i="2"/>
  <c r="AO31" i="3"/>
  <c r="S69" i="2"/>
  <c r="H95" i="2"/>
  <c r="X107" i="2"/>
  <c r="AP92" i="3"/>
  <c r="I21" i="3"/>
  <c r="AE42" i="3"/>
  <c r="N96" i="2"/>
  <c r="I20" i="3"/>
  <c r="W89" i="2"/>
  <c r="N34" i="3"/>
  <c r="Z18" i="3"/>
  <c r="N65" i="2"/>
  <c r="U83" i="2"/>
  <c r="W104" i="2"/>
  <c r="M11" i="3"/>
  <c r="AB26" i="3"/>
  <c r="Z5" i="3"/>
  <c r="N88" i="2"/>
  <c r="P62" i="2"/>
  <c r="AP54" i="3"/>
  <c r="W17" i="3"/>
  <c r="I95" i="2"/>
  <c r="AE19" i="3"/>
  <c r="AK34" i="3"/>
  <c r="T58" i="2"/>
  <c r="AQ24" i="3"/>
  <c r="AB41" i="3"/>
  <c r="P111" i="2"/>
  <c r="AI6" i="3"/>
  <c r="AN5" i="3"/>
  <c r="L96" i="2"/>
  <c r="AG17" i="3"/>
  <c r="C13" i="3"/>
  <c r="X25" i="3"/>
  <c r="AB86" i="3"/>
  <c r="R16" i="3"/>
  <c r="AM16" i="3"/>
  <c r="E56" i="2"/>
  <c r="AE27" i="3"/>
  <c r="H109" i="2"/>
  <c r="Q17" i="3"/>
  <c r="S8" i="3"/>
  <c r="U98" i="2"/>
  <c r="K65" i="2"/>
  <c r="AH11" i="3"/>
  <c r="AA15" i="3"/>
  <c r="C72" i="2"/>
  <c r="E83" i="2"/>
  <c r="U64" i="2"/>
  <c r="AH36" i="3"/>
  <c r="Q23" i="3"/>
  <c r="G53" i="2"/>
  <c r="U53" i="2"/>
  <c r="AB37" i="3"/>
  <c r="V70" i="2"/>
  <c r="O75" i="2"/>
  <c r="X75" i="2"/>
  <c r="J51" i="2"/>
  <c r="AJ20" i="3"/>
  <c r="AA35" i="3"/>
  <c r="P87" i="2"/>
  <c r="X112" i="2"/>
  <c r="V14" i="3"/>
  <c r="P60" i="2"/>
  <c r="I9" i="3"/>
  <c r="U59" i="2"/>
  <c r="K18" i="3"/>
  <c r="V89" i="2"/>
  <c r="Q27" i="3"/>
  <c r="J6" i="3"/>
  <c r="J50" i="2"/>
  <c r="F69" i="2"/>
  <c r="I70" i="2"/>
  <c r="AP47" i="3"/>
  <c r="X22" i="3"/>
  <c r="X106" i="2"/>
  <c r="U78" i="2"/>
  <c r="G87" i="2"/>
  <c r="T17" i="3"/>
  <c r="AK9" i="3"/>
  <c r="C14" i="3"/>
  <c r="AQ17" i="3"/>
  <c r="AM10" i="3"/>
  <c r="AG28" i="3"/>
  <c r="AN39" i="3"/>
  <c r="H111" i="2"/>
  <c r="U32" i="3"/>
  <c r="V18" i="3"/>
  <c r="P98" i="2"/>
  <c r="X30" i="3"/>
  <c r="AP39" i="3"/>
  <c r="F105" i="2"/>
  <c r="W49" i="2"/>
  <c r="E113" i="2"/>
  <c r="L37" i="3"/>
  <c r="T19" i="3"/>
  <c r="C28" i="3"/>
  <c r="Z20" i="3"/>
  <c r="AA14" i="3"/>
  <c r="Y34" i="3"/>
  <c r="H41" i="2"/>
  <c r="AI21" i="3"/>
  <c r="J11" i="3"/>
  <c r="M85" i="2"/>
  <c r="M51" i="2"/>
  <c r="AM9" i="3"/>
  <c r="P12" i="3"/>
  <c r="I77" i="2"/>
  <c r="F43" i="2"/>
  <c r="T63" i="2"/>
  <c r="D55" i="2"/>
  <c r="U11" i="3"/>
  <c r="M10" i="3"/>
  <c r="R31" i="3"/>
  <c r="AE11" i="3"/>
  <c r="X113" i="2"/>
  <c r="K44" i="2"/>
  <c r="R104" i="2"/>
  <c r="AJ36" i="3"/>
  <c r="T45" i="2"/>
  <c r="X56" i="2"/>
  <c r="N40" i="3"/>
  <c r="G42" i="2"/>
  <c r="AG38" i="3"/>
  <c r="AN17" i="3"/>
  <c r="AE37" i="3"/>
  <c r="V113" i="2"/>
  <c r="F107" i="2"/>
  <c r="H59" i="2"/>
  <c r="K30" i="3"/>
  <c r="F66" i="2"/>
  <c r="P34" i="3"/>
  <c r="H82" i="2"/>
  <c r="AQ38" i="3"/>
  <c r="Z36" i="3"/>
  <c r="J9" i="3"/>
  <c r="O71" i="2"/>
  <c r="AP97" i="3"/>
  <c r="AH27" i="3"/>
  <c r="Q48" i="2"/>
  <c r="AB94" i="3"/>
  <c r="AC38" i="3"/>
  <c r="O106" i="2"/>
  <c r="K40" i="3"/>
  <c r="G83" i="2"/>
  <c r="R61" i="2"/>
  <c r="J56" i="2"/>
  <c r="J105" i="2"/>
  <c r="AE6" i="3"/>
  <c r="J74" i="2"/>
  <c r="W36" i="3"/>
  <c r="D109" i="2"/>
  <c r="AO14" i="3"/>
  <c r="H78" i="2"/>
  <c r="E66" i="2"/>
  <c r="I41" i="3"/>
  <c r="H33" i="3"/>
  <c r="F73" i="2"/>
  <c r="AQ5" i="3"/>
  <c r="G47" i="3"/>
  <c r="G89" i="2"/>
  <c r="H106" i="2"/>
  <c r="R32" i="3"/>
  <c r="V58" i="2"/>
  <c r="AH35" i="3"/>
  <c r="I66" i="2"/>
  <c r="O11" i="3"/>
  <c r="L57" i="2"/>
  <c r="R82" i="2"/>
  <c r="AA13" i="3"/>
  <c r="I46" i="2"/>
  <c r="AN24" i="3"/>
  <c r="G66" i="2"/>
  <c r="Q72" i="2"/>
  <c r="J18" i="3"/>
  <c r="Q89" i="2"/>
  <c r="AG36" i="3"/>
  <c r="S44" i="2"/>
  <c r="W69" i="2"/>
  <c r="Z10" i="3"/>
  <c r="Y22" i="3"/>
  <c r="P66" i="2"/>
  <c r="AL41" i="3"/>
  <c r="W62" i="2"/>
  <c r="X73" i="2"/>
  <c r="AC28" i="3"/>
  <c r="AK24" i="3"/>
  <c r="AH30" i="3"/>
  <c r="Z35" i="3"/>
  <c r="R17" i="3"/>
  <c r="V85" i="2"/>
  <c r="AA31" i="3"/>
  <c r="F109" i="2"/>
  <c r="D113" i="2"/>
  <c r="G43" i="2"/>
  <c r="AP76" i="3"/>
  <c r="AL38" i="3"/>
  <c r="AB57" i="3"/>
  <c r="E84" i="2"/>
  <c r="D97" i="2"/>
  <c r="AL22" i="3"/>
  <c r="E91" i="2"/>
  <c r="AQ10" i="3"/>
  <c r="I63" i="2"/>
  <c r="I41" i="2"/>
  <c r="Q37" i="3"/>
  <c r="R30" i="3"/>
  <c r="AJ19" i="3"/>
  <c r="O14" i="3"/>
  <c r="G96" i="2"/>
  <c r="C39" i="3"/>
  <c r="AQ21" i="3"/>
  <c r="D45" i="2"/>
  <c r="U54" i="2"/>
  <c r="L99" i="2"/>
  <c r="F104" i="2"/>
  <c r="V112" i="2"/>
  <c r="AP36" i="3"/>
  <c r="S5" i="3"/>
  <c r="K93" i="2"/>
  <c r="F54" i="2"/>
  <c r="W18" i="3"/>
  <c r="AN16" i="3"/>
  <c r="R77" i="2"/>
  <c r="X36" i="3"/>
  <c r="H6" i="3"/>
  <c r="L51" i="2"/>
  <c r="R111" i="2"/>
  <c r="F77" i="2"/>
  <c r="Z6" i="3"/>
  <c r="P95" i="2"/>
  <c r="G95" i="2"/>
  <c r="AP64" i="3"/>
  <c r="AM29" i="3"/>
  <c r="H40" i="2"/>
  <c r="H61" i="2"/>
  <c r="N10" i="3"/>
  <c r="L113" i="2"/>
  <c r="G68" i="2"/>
  <c r="P52" i="2"/>
  <c r="AL17" i="3"/>
  <c r="P94" i="2"/>
  <c r="U58" i="2"/>
  <c r="W51" i="2"/>
  <c r="L42" i="2"/>
  <c r="S12" i="3"/>
  <c r="C30" i="3"/>
  <c r="Z22" i="3"/>
  <c r="AK19" i="3"/>
  <c r="E53" i="2"/>
  <c r="W77" i="2"/>
  <c r="E108" i="2"/>
  <c r="K41" i="2"/>
  <c r="AO15" i="3"/>
  <c r="I25" i="3"/>
  <c r="AN28" i="3"/>
  <c r="G106" i="2"/>
  <c r="W99" i="2"/>
  <c r="V63" i="2"/>
  <c r="J98" i="2"/>
  <c r="Z34" i="3"/>
  <c r="T26" i="3"/>
  <c r="S6" i="3"/>
  <c r="M18" i="3"/>
  <c r="S74" i="2"/>
  <c r="M45" i="2"/>
  <c r="P43" i="2"/>
  <c r="C51" i="2"/>
  <c r="O38" i="3"/>
  <c r="G98" i="2"/>
  <c r="T50" i="2"/>
  <c r="Q88" i="2"/>
  <c r="C104" i="2"/>
  <c r="AP67" i="3"/>
  <c r="M13" i="3"/>
  <c r="R33" i="3"/>
  <c r="F65" i="2"/>
  <c r="I72" i="2"/>
  <c r="N42" i="2"/>
  <c r="L83" i="2"/>
  <c r="R15" i="3"/>
  <c r="AB33" i="3"/>
  <c r="AN18" i="3"/>
  <c r="AD29" i="3"/>
  <c r="K79" i="2"/>
  <c r="V110" i="2"/>
  <c r="S41" i="2"/>
  <c r="X84" i="2"/>
  <c r="AM8" i="3"/>
  <c r="P104" i="2"/>
  <c r="W113" i="2"/>
  <c r="E69" i="2"/>
  <c r="X91" i="2"/>
  <c r="AP73" i="3"/>
  <c r="AA40" i="3"/>
  <c r="R9" i="3"/>
  <c r="C36" i="3"/>
  <c r="O77" i="2"/>
  <c r="T78" i="2"/>
  <c r="W68" i="2"/>
  <c r="G88" i="2"/>
  <c r="H97" i="2"/>
  <c r="AA8" i="3"/>
  <c r="AI28" i="3"/>
  <c r="AL28" i="3"/>
  <c r="S37" i="3"/>
  <c r="F110" i="2"/>
  <c r="T54" i="2"/>
  <c r="D61" i="2"/>
  <c r="S78" i="2"/>
  <c r="N62" i="2"/>
  <c r="N54" i="2"/>
  <c r="AK37" i="3"/>
  <c r="O9" i="3"/>
  <c r="AD26" i="3"/>
  <c r="I98" i="2"/>
  <c r="O78" i="2"/>
  <c r="U63" i="2"/>
  <c r="I81" i="2"/>
  <c r="I22" i="3"/>
  <c r="O16" i="3"/>
  <c r="AO16" i="3"/>
  <c r="AJ40" i="3"/>
  <c r="G111" i="2"/>
  <c r="R92" i="2"/>
  <c r="I50" i="2"/>
  <c r="O97" i="2"/>
  <c r="AB76" i="3"/>
  <c r="AN27" i="3"/>
  <c r="O26" i="3"/>
  <c r="Z14" i="3"/>
  <c r="U42" i="2"/>
  <c r="L72" i="2"/>
  <c r="I99" i="2"/>
  <c r="I105" i="2"/>
  <c r="J41" i="3"/>
  <c r="T28" i="3"/>
  <c r="AE23" i="3"/>
  <c r="K37" i="3"/>
  <c r="X59" i="2"/>
  <c r="R56" i="2"/>
  <c r="E51" i="2"/>
  <c r="D40" i="2"/>
  <c r="AK31" i="3"/>
  <c r="K66" i="2"/>
  <c r="Z7" i="3"/>
  <c r="Q40" i="2"/>
  <c r="N95" i="2"/>
  <c r="R24" i="3"/>
  <c r="AG18" i="3"/>
  <c r="H31" i="3"/>
  <c r="O95" i="2"/>
  <c r="W60" i="2"/>
  <c r="R89" i="2"/>
  <c r="T86" i="2"/>
  <c r="C23" i="3"/>
  <c r="S9" i="3"/>
  <c r="R39" i="3"/>
  <c r="K33" i="3"/>
  <c r="L88" i="2"/>
  <c r="M44" i="2"/>
  <c r="N93" i="2"/>
  <c r="W34" i="3"/>
  <c r="AP21" i="3"/>
  <c r="H85" i="2"/>
  <c r="N61" i="2"/>
  <c r="T22" i="3"/>
  <c r="X33" i="3"/>
  <c r="Q39" i="3"/>
  <c r="T51" i="2"/>
  <c r="T104" i="2"/>
  <c r="R96" i="2"/>
  <c r="V95" i="2"/>
  <c r="AK17" i="3"/>
  <c r="U6" i="3"/>
  <c r="AC30" i="3"/>
  <c r="N97" i="2"/>
  <c r="F42" i="2"/>
  <c r="J68" i="2"/>
  <c r="G94" i="2"/>
  <c r="I28" i="3"/>
  <c r="AC7" i="3"/>
  <c r="AP20" i="3"/>
  <c r="AK16" i="3"/>
  <c r="U43" i="2"/>
  <c r="K7" i="3"/>
  <c r="Q49" i="2"/>
  <c r="K57" i="2"/>
  <c r="N5" i="3"/>
  <c r="S19" i="3"/>
  <c r="O13" i="3"/>
  <c r="H64" i="2"/>
  <c r="G84" i="2"/>
  <c r="C106" i="2"/>
  <c r="T105" i="2"/>
  <c r="Q52" i="2"/>
  <c r="J17" i="3"/>
  <c r="N60" i="2"/>
  <c r="X95" i="2"/>
  <c r="AB90" i="3"/>
  <c r="AJ5" i="3"/>
  <c r="AG33" i="3"/>
  <c r="E95" i="2"/>
  <c r="T42" i="2"/>
  <c r="T68" i="2"/>
  <c r="G56" i="2"/>
  <c r="AP91" i="3"/>
  <c r="G35" i="3"/>
  <c r="AA23" i="3"/>
  <c r="F53" i="2"/>
  <c r="AC39" i="3"/>
  <c r="K16" i="3"/>
  <c r="L71" i="2"/>
  <c r="J95" i="2"/>
  <c r="V33" i="3"/>
  <c r="J5" i="3"/>
  <c r="AK15" i="3"/>
  <c r="V88" i="2"/>
  <c r="E94" i="2"/>
  <c r="T43" i="2"/>
  <c r="AC27" i="3"/>
  <c r="Q43" i="2"/>
  <c r="R64" i="2"/>
  <c r="D42" i="2"/>
  <c r="AO32" i="3"/>
  <c r="AC21" i="3"/>
  <c r="C26" i="3"/>
  <c r="E40" i="2"/>
  <c r="K12" i="3"/>
  <c r="F57" i="2"/>
  <c r="X61" i="2"/>
  <c r="L33" i="3"/>
  <c r="R37" i="3"/>
  <c r="AB17" i="3"/>
  <c r="N68" i="2"/>
  <c r="L59" i="2"/>
  <c r="R47" i="2"/>
  <c r="I93" i="2"/>
  <c r="H5" i="3"/>
  <c r="L16" i="3"/>
  <c r="W42" i="3"/>
  <c r="E82" i="2"/>
  <c r="M92" i="2"/>
  <c r="W42" i="2"/>
  <c r="T56" i="2"/>
  <c r="AP55" i="3"/>
  <c r="D63" i="2"/>
  <c r="AD32" i="3"/>
  <c r="H51" i="2"/>
  <c r="Q81" i="2"/>
  <c r="L78" i="2"/>
  <c r="S30" i="3"/>
  <c r="U29" i="3"/>
  <c r="P78" i="2"/>
  <c r="AE33" i="3"/>
  <c r="N85" i="2"/>
  <c r="G52" i="2"/>
  <c r="AB67" i="3"/>
  <c r="I29" i="3"/>
  <c r="J39" i="3"/>
  <c r="E106" i="2"/>
  <c r="F41" i="2"/>
  <c r="M89" i="2"/>
  <c r="O79" i="2"/>
  <c r="C49" i="3"/>
  <c r="AH37" i="3"/>
  <c r="AI36" i="3"/>
  <c r="Y27" i="3"/>
  <c r="E71" i="2"/>
  <c r="M12" i="3"/>
  <c r="T69" i="2"/>
  <c r="G50" i="2"/>
  <c r="S16" i="3"/>
  <c r="AB13" i="3"/>
  <c r="T42" i="3"/>
  <c r="J109" i="2"/>
  <c r="G81" i="2"/>
  <c r="U94" i="2"/>
  <c r="Q98" i="2"/>
  <c r="AN33" i="3"/>
  <c r="AA6" i="3"/>
  <c r="AO9" i="3"/>
  <c r="G34" i="3"/>
  <c r="V74" i="2"/>
  <c r="J86" i="2"/>
  <c r="L68" i="2"/>
  <c r="F97" i="2"/>
  <c r="AP17" i="3"/>
  <c r="X71" i="2"/>
  <c r="N82" i="2"/>
  <c r="W82" i="2"/>
  <c r="AG39" i="3"/>
  <c r="L30" i="3"/>
  <c r="X40" i="3"/>
  <c r="AO37" i="3"/>
  <c r="AE36" i="3"/>
  <c r="F79" i="2"/>
  <c r="Q14" i="3"/>
  <c r="Q80" i="2"/>
  <c r="R79" i="2"/>
  <c r="L40" i="2"/>
  <c r="W27" i="3"/>
  <c r="U99" i="2"/>
  <c r="R87" i="2"/>
  <c r="D104" i="2"/>
  <c r="AN22" i="3"/>
  <c r="V11" i="3"/>
  <c r="V27" i="3"/>
  <c r="H45" i="2"/>
  <c r="AB31" i="3"/>
  <c r="T83" i="2"/>
  <c r="AM40" i="3"/>
  <c r="Y42" i="3"/>
  <c r="W73" i="2"/>
  <c r="Q90" i="2"/>
  <c r="Q73" i="2"/>
  <c r="W29" i="3"/>
  <c r="AO23" i="3"/>
  <c r="V35" i="3"/>
  <c r="J41" i="2"/>
  <c r="C57" i="2"/>
  <c r="AG15" i="3"/>
  <c r="Y14" i="3"/>
  <c r="C89" i="2"/>
  <c r="I40" i="3"/>
  <c r="H7" i="3"/>
  <c r="AH33" i="3"/>
  <c r="S22" i="3"/>
  <c r="AI19" i="3"/>
  <c r="E92" i="2"/>
  <c r="AD24" i="3"/>
  <c r="Z13" i="3"/>
  <c r="T71" i="2"/>
  <c r="AI15" i="3"/>
  <c r="AL14" i="3"/>
  <c r="Y37" i="3"/>
  <c r="AQ13" i="3"/>
  <c r="AA34" i="3"/>
  <c r="AI17" i="3"/>
  <c r="D56" i="2"/>
  <c r="C71" i="2"/>
  <c r="AB47" i="3"/>
  <c r="M94" i="2"/>
  <c r="K86" i="2"/>
  <c r="M55" i="2"/>
  <c r="V68" i="2"/>
  <c r="H42" i="3"/>
  <c r="AD41" i="3"/>
  <c r="J57" i="2"/>
  <c r="G59" i="2"/>
  <c r="AB59" i="3"/>
  <c r="H40" i="3"/>
  <c r="S38" i="3"/>
  <c r="AB55" i="3"/>
  <c r="S46" i="2"/>
  <c r="Y16" i="3"/>
  <c r="AP34" i="3"/>
  <c r="C109" i="2"/>
  <c r="S104" i="2"/>
  <c r="G69" i="2"/>
  <c r="Z31" i="3"/>
  <c r="P83" i="2"/>
  <c r="O105" i="2"/>
  <c r="AB78" i="3"/>
  <c r="AH42" i="3"/>
  <c r="N55" i="2"/>
  <c r="AB38" i="3"/>
  <c r="H81" i="2"/>
  <c r="J33" i="3"/>
  <c r="S71" i="2"/>
  <c r="AH15" i="3"/>
  <c r="AA29" i="3"/>
  <c r="H74" i="2"/>
  <c r="C32" i="3"/>
  <c r="W81" i="2"/>
  <c r="AQ39" i="3"/>
  <c r="U25" i="3"/>
  <c r="F108" i="2"/>
  <c r="S84" i="2"/>
  <c r="O52" i="2"/>
  <c r="AE31" i="3"/>
  <c r="R28" i="3"/>
  <c r="AP42" i="3"/>
  <c r="AL20" i="3"/>
  <c r="AQ35" i="3"/>
  <c r="AK29" i="3"/>
  <c r="L24" i="3"/>
  <c r="J49" i="2"/>
  <c r="F55" i="2"/>
  <c r="L27" i="3"/>
  <c r="S49" i="2"/>
  <c r="G42" i="3"/>
  <c r="T7" i="3"/>
  <c r="I85" i="2"/>
  <c r="D86" i="2"/>
  <c r="X104" i="2"/>
  <c r="Y5" i="3"/>
  <c r="AP35" i="3"/>
  <c r="AI5" i="3"/>
  <c r="L93" i="2"/>
  <c r="Q68" i="2"/>
  <c r="E76" i="2"/>
  <c r="R88" i="2"/>
  <c r="P44" i="2"/>
  <c r="U107" i="2"/>
  <c r="AP19" i="3"/>
  <c r="AG19" i="3"/>
  <c r="M41" i="3"/>
  <c r="E63" i="2"/>
  <c r="T106" i="2"/>
  <c r="G78" i="2"/>
  <c r="Q35" i="3"/>
  <c r="K5" i="3"/>
  <c r="I106" i="2"/>
  <c r="K88" i="2"/>
  <c r="E107" i="2"/>
  <c r="S54" i="2"/>
  <c r="T32" i="3"/>
  <c r="I113" i="2"/>
  <c r="F51" i="2"/>
  <c r="D67" i="2"/>
  <c r="H41" i="3"/>
  <c r="Y19" i="3"/>
  <c r="L92" i="2"/>
  <c r="H50" i="2"/>
  <c r="AB79" i="3"/>
  <c r="M32" i="3"/>
  <c r="Z26" i="3"/>
  <c r="AL23" i="3"/>
  <c r="S13" i="3"/>
  <c r="G112" i="2"/>
  <c r="O64" i="2"/>
  <c r="K35" i="3"/>
  <c r="U79" i="2"/>
  <c r="K80" i="2"/>
  <c r="AK5" i="3"/>
  <c r="AM37" i="3"/>
  <c r="X70" i="2"/>
  <c r="Z37" i="3"/>
  <c r="AA22" i="3"/>
  <c r="Q84" i="2"/>
  <c r="I90" i="2"/>
  <c r="S40" i="2"/>
  <c r="G61" i="2"/>
  <c r="Q44" i="2"/>
  <c r="AH19" i="3"/>
  <c r="K54" i="2"/>
  <c r="C53" i="2"/>
  <c r="O86" i="2"/>
  <c r="H63" i="2"/>
  <c r="Q34" i="3"/>
  <c r="H9" i="3"/>
  <c r="AH28" i="3"/>
  <c r="AG40" i="3"/>
  <c r="R42" i="2"/>
  <c r="N94" i="2"/>
  <c r="K85" i="2"/>
  <c r="P39" i="3"/>
  <c r="AD30" i="3"/>
  <c r="W47" i="2"/>
  <c r="AO11" i="3"/>
  <c r="Q18" i="3"/>
  <c r="N64" i="2"/>
  <c r="T89" i="2"/>
  <c r="AM18" i="3"/>
  <c r="R81" i="2"/>
  <c r="AP9" i="3"/>
  <c r="M97" i="2"/>
  <c r="AP14" i="3"/>
  <c r="G72" i="2"/>
  <c r="L58" i="2"/>
  <c r="X57" i="2"/>
  <c r="K48" i="2"/>
  <c r="X9" i="3"/>
  <c r="AD49" i="3"/>
  <c r="J108" i="2"/>
  <c r="N24" i="3"/>
  <c r="AK38" i="3"/>
  <c r="X69" i="2"/>
  <c r="T23" i="3"/>
  <c r="X68" i="2"/>
  <c r="S55" i="2"/>
  <c r="M33" i="3"/>
  <c r="AP57" i="3"/>
  <c r="L26" i="3"/>
  <c r="G79" i="2"/>
  <c r="V32" i="3"/>
  <c r="AG22" i="3"/>
  <c r="I68" i="2"/>
  <c r="N44" i="2"/>
  <c r="E47" i="3"/>
  <c r="S80" i="2"/>
  <c r="R48" i="2"/>
  <c r="W54" i="2"/>
  <c r="AB64" i="3"/>
  <c r="C88" i="2"/>
  <c r="AB97" i="3"/>
  <c r="H35" i="3"/>
  <c r="G110" i="2"/>
  <c r="H14" i="3"/>
  <c r="J26" i="3"/>
  <c r="AP72" i="3"/>
  <c r="U45" i="2"/>
  <c r="C15" i="3"/>
  <c r="Z32" i="3"/>
  <c r="AH8" i="3"/>
  <c r="AJ26" i="3"/>
  <c r="AP29" i="3"/>
  <c r="S31" i="3"/>
  <c r="C21" i="3"/>
  <c r="AJ12" i="3"/>
  <c r="D76" i="2"/>
  <c r="J77" i="2"/>
  <c r="M27" i="3"/>
  <c r="AA33" i="3"/>
  <c r="I45" i="2"/>
  <c r="F71" i="2"/>
  <c r="T41" i="2"/>
  <c r="W112" i="2"/>
  <c r="AL21" i="3"/>
  <c r="AH9" i="3"/>
  <c r="O54" i="2"/>
  <c r="X42" i="2"/>
  <c r="W20" i="3"/>
  <c r="O63" i="2"/>
  <c r="Z41" i="3"/>
  <c r="U28" i="3"/>
  <c r="U27" i="3"/>
  <c r="J76" i="2"/>
  <c r="AD27" i="3"/>
  <c r="AQ42" i="3"/>
  <c r="L31" i="3"/>
  <c r="AB34" i="3"/>
  <c r="L90" i="2"/>
  <c r="U40" i="2"/>
  <c r="G36" i="3"/>
  <c r="S36" i="3"/>
  <c r="I54" i="2"/>
  <c r="AM24" i="3"/>
  <c r="D95" i="2"/>
  <c r="R23" i="3"/>
  <c r="AI31" i="3"/>
  <c r="V66" i="2"/>
  <c r="S42" i="2"/>
  <c r="Y7" i="3"/>
  <c r="R36" i="3"/>
  <c r="K6" i="3"/>
  <c r="AN23" i="3"/>
  <c r="T33" i="3"/>
  <c r="AC37" i="3"/>
  <c r="Q66" i="2"/>
  <c r="AQ26" i="3"/>
  <c r="C99" i="2"/>
  <c r="I36" i="3"/>
  <c r="AC9" i="3"/>
  <c r="W15" i="3"/>
  <c r="AG14" i="3"/>
  <c r="AH20" i="3"/>
  <c r="AQ29" i="3"/>
  <c r="E98" i="2"/>
  <c r="P8" i="3"/>
  <c r="J22" i="3"/>
  <c r="AD35" i="3"/>
  <c r="O12" i="3"/>
  <c r="E46" i="2"/>
  <c r="K61" i="2"/>
  <c r="K92" i="2"/>
  <c r="R60" i="2"/>
  <c r="AA41" i="3"/>
  <c r="V75" i="2"/>
  <c r="K40" i="2"/>
  <c r="J91" i="2"/>
  <c r="AC20" i="3"/>
  <c r="J99" i="2"/>
  <c r="AN20" i="3"/>
  <c r="AG13" i="3"/>
  <c r="S68" i="2"/>
  <c r="AM14" i="3"/>
  <c r="D98" i="2"/>
  <c r="M63" i="2"/>
  <c r="U36" i="3"/>
  <c r="G99" i="2"/>
  <c r="T96" i="2"/>
  <c r="K94" i="2"/>
  <c r="X78" i="2"/>
  <c r="G48" i="3"/>
  <c r="V69" i="2"/>
  <c r="Y28" i="3"/>
  <c r="AH12" i="3"/>
  <c r="T81" i="2"/>
  <c r="G32" i="3"/>
  <c r="N76" i="2"/>
  <c r="O17" i="3"/>
  <c r="N18" i="3"/>
  <c r="T95" i="2"/>
  <c r="Q42" i="2"/>
  <c r="J42" i="3"/>
  <c r="AC11" i="3"/>
  <c r="Q104" i="2"/>
  <c r="G58" i="2"/>
  <c r="M58" i="2"/>
  <c r="AQ8" i="3"/>
  <c r="K14" i="3"/>
  <c r="W87" i="2"/>
  <c r="N67" i="2"/>
  <c r="C27" i="3"/>
  <c r="M40" i="3"/>
  <c r="S81" i="2"/>
  <c r="X74" i="2"/>
  <c r="R26" i="3"/>
  <c r="Q25" i="3"/>
  <c r="K60" i="2"/>
  <c r="K64" i="2"/>
  <c r="AL42" i="3"/>
  <c r="Q7" i="3"/>
  <c r="C42" i="2"/>
  <c r="V45" i="2"/>
  <c r="O62" i="2"/>
  <c r="Q77" i="2"/>
  <c r="AA36" i="3"/>
  <c r="Z27" i="3"/>
  <c r="W40" i="2"/>
  <c r="R40" i="2"/>
  <c r="AN14" i="3"/>
  <c r="C92" i="2"/>
  <c r="F86" i="2"/>
  <c r="AI18" i="3"/>
  <c r="H92" i="2"/>
  <c r="J21" i="3"/>
  <c r="G108" i="2"/>
  <c r="L76" i="2"/>
  <c r="AJ17" i="3"/>
  <c r="G49" i="3"/>
  <c r="Q63" i="2"/>
  <c r="X105" i="2"/>
  <c r="I26" i="3"/>
  <c r="C4" i="3"/>
  <c r="V41" i="3"/>
  <c r="L74" i="2"/>
  <c r="P18" i="3"/>
  <c r="AB15" i="3"/>
  <c r="X72" i="2"/>
  <c r="AB65" i="3"/>
  <c r="AM31" i="3"/>
  <c r="T60" i="2"/>
  <c r="AE38" i="3"/>
  <c r="F70" i="2"/>
  <c r="U109" i="2"/>
  <c r="W22" i="3"/>
  <c r="AB36" i="3"/>
  <c r="AO41" i="3"/>
  <c r="C62" i="2"/>
  <c r="K15" i="3"/>
  <c r="I57" i="2"/>
  <c r="H73" i="2"/>
  <c r="P42" i="3"/>
  <c r="L104" i="2"/>
  <c r="I34" i="3"/>
  <c r="L87" i="2"/>
  <c r="AD31" i="3"/>
  <c r="H77" i="2"/>
  <c r="AA16" i="3"/>
  <c r="U97" i="2"/>
  <c r="D64" i="2"/>
  <c r="T34" i="3"/>
  <c r="J30" i="3"/>
  <c r="S53" i="2"/>
  <c r="I69" i="2"/>
  <c r="H71" i="2"/>
  <c r="J53" i="2"/>
  <c r="H38" i="3"/>
  <c r="M24" i="3"/>
  <c r="AG12" i="3"/>
  <c r="K69" i="2"/>
  <c r="J29" i="3"/>
  <c r="F40" i="2"/>
  <c r="R80" i="2"/>
  <c r="AI24" i="3"/>
  <c r="V6" i="3"/>
  <c r="K63" i="2"/>
  <c r="D110" i="2"/>
  <c r="T35" i="3"/>
  <c r="X20" i="3"/>
  <c r="G82" i="2"/>
  <c r="O66" i="2"/>
  <c r="C8" i="3"/>
  <c r="M48" i="2"/>
  <c r="AN38" i="3"/>
  <c r="K29" i="3"/>
  <c r="J93" i="2"/>
  <c r="I75" i="2"/>
  <c r="AK36" i="3"/>
  <c r="M15" i="3"/>
  <c r="AP63" i="3"/>
  <c r="I33" i="3"/>
  <c r="I16" i="3"/>
  <c r="X50" i="2"/>
  <c r="F59" i="2"/>
  <c r="AE26" i="3"/>
  <c r="L110" i="2"/>
  <c r="K77" i="2"/>
  <c r="L54" i="2"/>
  <c r="P53" i="2"/>
  <c r="L20" i="3"/>
  <c r="AE22" i="3"/>
  <c r="J69" i="2"/>
  <c r="W14" i="3"/>
  <c r="N79" i="2"/>
  <c r="AQ31" i="3"/>
  <c r="V106" i="2"/>
  <c r="P27" i="3"/>
  <c r="AP70" i="3"/>
  <c r="V37" i="3"/>
  <c r="K24" i="3"/>
  <c r="Q99" i="2"/>
  <c r="N108" i="2"/>
  <c r="AJ35" i="3"/>
  <c r="K47" i="2"/>
  <c r="K10" i="3"/>
  <c r="U55" i="2"/>
  <c r="Y17" i="3"/>
  <c r="AQ20" i="3"/>
  <c r="AB48" i="3"/>
  <c r="AM6" i="3"/>
  <c r="X110" i="2"/>
  <c r="AM7" i="3"/>
  <c r="Q79" i="2"/>
  <c r="D48" i="3"/>
  <c r="X29" i="3"/>
  <c r="U105" i="2"/>
  <c r="AP15" i="3"/>
  <c r="C12" i="3"/>
  <c r="I42" i="2"/>
  <c r="T38" i="3"/>
  <c r="W67" i="2"/>
  <c r="AM41" i="3"/>
  <c r="O31" i="3"/>
  <c r="AI33" i="3"/>
  <c r="I62" i="2"/>
  <c r="V20" i="3"/>
  <c r="D73" i="2"/>
  <c r="T36" i="3"/>
  <c r="W41" i="2"/>
  <c r="AE8" i="3"/>
  <c r="AH40" i="3"/>
  <c r="H46" i="2"/>
  <c r="K46" i="2"/>
  <c r="J34" i="3"/>
  <c r="AO39" i="3"/>
  <c r="R53" i="2"/>
  <c r="H58" i="2"/>
  <c r="AN35" i="3"/>
  <c r="M50" i="2"/>
  <c r="S52" i="2"/>
  <c r="N8" i="3"/>
  <c r="S96" i="2"/>
  <c r="H47" i="2"/>
  <c r="G39" i="3"/>
  <c r="AJ37" i="3"/>
  <c r="R51" i="2"/>
  <c r="W33" i="3"/>
  <c r="G74" i="2"/>
  <c r="D111" i="2"/>
  <c r="M83" i="2"/>
  <c r="F50" i="2"/>
  <c r="P80" i="2"/>
  <c r="P16" i="3"/>
  <c r="R41" i="2"/>
  <c r="AL29" i="3"/>
  <c r="W38" i="3"/>
  <c r="L81" i="2"/>
  <c r="I84" i="2"/>
  <c r="AM33" i="3"/>
  <c r="Q97" i="2"/>
  <c r="O8" i="3"/>
  <c r="N25" i="3"/>
  <c r="S77" i="2"/>
  <c r="I60" i="2"/>
  <c r="AB82" i="3"/>
  <c r="E79" i="2"/>
  <c r="I79" i="2"/>
  <c r="P76" i="2"/>
  <c r="I86" i="2"/>
  <c r="AH23" i="3"/>
  <c r="U61" i="2"/>
  <c r="AI41" i="3"/>
  <c r="C49" i="2"/>
  <c r="M74" i="2"/>
  <c r="V99" i="2"/>
  <c r="J110" i="2"/>
  <c r="AE32" i="3"/>
  <c r="AI34" i="3"/>
  <c r="AC31" i="3"/>
  <c r="X5" i="3"/>
  <c r="H76" i="2"/>
  <c r="AC35" i="3"/>
  <c r="AO29" i="3"/>
  <c r="P25" i="3"/>
  <c r="G71" i="2"/>
  <c r="C90" i="2"/>
  <c r="AP24" i="3"/>
  <c r="AL36" i="3"/>
  <c r="H13" i="3"/>
  <c r="AC34" i="3"/>
  <c r="AL35" i="3"/>
  <c r="T39" i="3"/>
  <c r="AP30" i="3"/>
  <c r="V72" i="2"/>
  <c r="V7" i="3"/>
  <c r="V25" i="3"/>
  <c r="AL10" i="3"/>
  <c r="X16" i="3"/>
  <c r="F81" i="2"/>
  <c r="W23" i="3"/>
  <c r="AL7" i="3"/>
  <c r="Y18" i="3"/>
  <c r="P97" i="2"/>
  <c r="O25" i="3"/>
  <c r="R68" i="2"/>
  <c r="L18" i="3"/>
  <c r="V67" i="2"/>
  <c r="W107" i="2"/>
  <c r="AB96" i="3"/>
  <c r="V57" i="2"/>
  <c r="AP33" i="3"/>
  <c r="U15" i="3"/>
  <c r="I112" i="2"/>
  <c r="K38" i="3"/>
  <c r="AL26" i="3"/>
  <c r="AG5" i="3"/>
  <c r="O44" i="2"/>
  <c r="AM22" i="3"/>
  <c r="C80" i="2"/>
  <c r="O68" i="2"/>
  <c r="AH17" i="3"/>
  <c r="N6" i="3"/>
  <c r="G97" i="2"/>
  <c r="N15" i="3"/>
  <c r="C47" i="2"/>
  <c r="E50" i="3"/>
  <c r="AN30" i="3"/>
  <c r="T37" i="3"/>
  <c r="M79" i="2"/>
  <c r="AC8" i="3"/>
  <c r="N16" i="3"/>
  <c r="K62" i="2"/>
  <c r="AE16" i="3"/>
  <c r="J12" i="3"/>
  <c r="AO26" i="3"/>
  <c r="L109" i="2"/>
  <c r="O30" i="3"/>
  <c r="Q85" i="2"/>
  <c r="L15" i="3"/>
  <c r="M107" i="2"/>
  <c r="AC14" i="3"/>
  <c r="H108" i="2"/>
  <c r="AE14" i="3"/>
  <c r="I88" i="2"/>
  <c r="Z40" i="3"/>
  <c r="D112" i="2"/>
  <c r="S107" i="2"/>
  <c r="AC17" i="3"/>
  <c r="M99" i="2"/>
  <c r="Q26" i="3"/>
  <c r="AQ33" i="3"/>
  <c r="I107" i="2"/>
  <c r="T111" i="2"/>
  <c r="D88" i="2"/>
  <c r="AK20" i="3"/>
  <c r="X38" i="3"/>
  <c r="R90" i="2"/>
  <c r="U8" i="3"/>
  <c r="H72" i="2"/>
  <c r="U87" i="2"/>
  <c r="C41" i="3"/>
  <c r="J73" i="2"/>
  <c r="AJ41" i="3"/>
  <c r="L91" i="2"/>
  <c r="U21" i="3"/>
  <c r="AI25" i="3"/>
  <c r="AL33" i="3"/>
  <c r="X49" i="2"/>
  <c r="J79" i="2"/>
  <c r="AB74" i="3"/>
  <c r="T59" i="2"/>
  <c r="AB88" i="3"/>
  <c r="AH41" i="3"/>
  <c r="O60" i="2"/>
  <c r="X24" i="3"/>
  <c r="O49" i="2"/>
  <c r="T98" i="2"/>
  <c r="AD39" i="3"/>
  <c r="U35" i="3"/>
  <c r="D85" i="2"/>
  <c r="AQ25" i="3"/>
  <c r="E64" i="2"/>
  <c r="S25" i="3"/>
  <c r="AC19" i="3"/>
  <c r="L94" i="2"/>
  <c r="AB73" i="3"/>
  <c r="S24" i="3"/>
  <c r="D80" i="2"/>
  <c r="M28" i="3"/>
  <c r="R71" i="2"/>
  <c r="T40" i="2"/>
  <c r="X67" i="2"/>
  <c r="L64" i="2"/>
  <c r="AM15" i="3"/>
  <c r="L89" i="2"/>
  <c r="R97" i="2"/>
  <c r="W83" i="2"/>
  <c r="H60" i="2"/>
  <c r="J19" i="3"/>
  <c r="T49" i="2"/>
  <c r="R78" i="2"/>
  <c r="R76" i="2"/>
  <c r="Q31" i="3"/>
  <c r="U93" i="2"/>
  <c r="H26" i="3"/>
  <c r="Z11" i="3"/>
  <c r="Q20" i="3"/>
  <c r="T5" i="3"/>
  <c r="F98" i="2"/>
  <c r="P61" i="2"/>
  <c r="V5" i="3"/>
  <c r="J89" i="2"/>
  <c r="X19" i="3"/>
  <c r="I18" i="3"/>
  <c r="F72" i="2"/>
  <c r="AI22" i="3"/>
  <c r="AE41" i="3"/>
  <c r="AG29" i="3"/>
  <c r="T109" i="2"/>
  <c r="AL15" i="3"/>
  <c r="U73" i="2"/>
  <c r="T14" i="3"/>
  <c r="AM20" i="3"/>
  <c r="AK21" i="3"/>
  <c r="AM35" i="3"/>
  <c r="O6" i="3"/>
  <c r="X97" i="2"/>
  <c r="M88" i="2"/>
  <c r="R6" i="3"/>
  <c r="M59" i="2"/>
  <c r="AP31" i="3"/>
  <c r="AD33" i="3"/>
  <c r="W63" i="2"/>
  <c r="H86" i="2"/>
  <c r="C47" i="3"/>
  <c r="J80" i="2"/>
  <c r="K72" i="2"/>
  <c r="P37" i="3"/>
  <c r="AB11" i="3"/>
  <c r="L43" i="2"/>
  <c r="AN26" i="3"/>
  <c r="U10" i="3"/>
  <c r="W61" i="2"/>
  <c r="V111" i="2"/>
  <c r="AP81" i="3"/>
  <c r="W98" i="2"/>
  <c r="U76" i="2"/>
  <c r="X28" i="3"/>
  <c r="Q107" i="2"/>
  <c r="AP23" i="3"/>
  <c r="AQ40" i="3"/>
  <c r="I11" i="3"/>
  <c r="H68" i="2"/>
  <c r="AB60" i="3"/>
  <c r="P54" i="2"/>
  <c r="AM39" i="3"/>
  <c r="V40" i="3"/>
  <c r="W59" i="2"/>
  <c r="W52" i="2"/>
  <c r="M70" i="2"/>
  <c r="U42" i="3"/>
  <c r="V78" i="2"/>
  <c r="T74" i="2"/>
  <c r="I82" i="2"/>
  <c r="K19" i="3"/>
  <c r="V38" i="3"/>
  <c r="M49" i="2"/>
  <c r="Y33" i="3"/>
  <c r="AA42" i="3"/>
  <c r="K95" i="2"/>
  <c r="O7" i="3"/>
  <c r="G60" i="2"/>
  <c r="AL32" i="3"/>
  <c r="AB23" i="3"/>
  <c r="C93" i="2"/>
  <c r="U90" i="2"/>
  <c r="M86" i="2"/>
  <c r="G57" i="2"/>
  <c r="J40" i="3"/>
  <c r="E97" i="2"/>
  <c r="D65" i="2"/>
  <c r="I108" i="2"/>
  <c r="K25" i="3"/>
  <c r="S86" i="2"/>
  <c r="X54" i="2"/>
  <c r="J32" i="3"/>
  <c r="M76" i="2"/>
  <c r="C9" i="3"/>
  <c r="N43" i="2"/>
  <c r="J65" i="2"/>
  <c r="W94" i="2"/>
  <c r="S42" i="3"/>
  <c r="D47" i="3"/>
  <c r="M69" i="2"/>
  <c r="W93" i="2"/>
  <c r="E55" i="2"/>
  <c r="AH13" i="3"/>
  <c r="K27" i="3"/>
  <c r="O99" i="2"/>
  <c r="G33" i="3"/>
  <c r="H88" i="2"/>
  <c r="J38" i="3"/>
  <c r="M61" i="2"/>
  <c r="O20" i="3"/>
  <c r="R58" i="2"/>
  <c r="V80" i="2"/>
  <c r="D57" i="2"/>
  <c r="P105" i="2"/>
  <c r="V56" i="2"/>
  <c r="R25" i="3"/>
  <c r="W32" i="3"/>
  <c r="AH25" i="3"/>
  <c r="O53" i="2"/>
  <c r="I49" i="2"/>
  <c r="G50" i="3"/>
  <c r="S18" i="3"/>
  <c r="V30" i="3"/>
  <c r="O80" i="2"/>
  <c r="AE25" i="3"/>
  <c r="R34" i="3"/>
  <c r="Q86" i="2"/>
  <c r="U111" i="2"/>
  <c r="AO33" i="3"/>
  <c r="Z39" i="3"/>
  <c r="N52" i="2"/>
  <c r="E112" i="2"/>
  <c r="U57" i="2"/>
  <c r="V8" i="3"/>
  <c r="H113" i="2"/>
  <c r="R14" i="3"/>
  <c r="X87" i="2"/>
  <c r="AO35" i="3"/>
  <c r="AE12" i="3"/>
  <c r="O41" i="3"/>
  <c r="O51" i="2"/>
  <c r="AM36" i="3"/>
  <c r="AI20" i="3"/>
  <c r="K73" i="2"/>
  <c r="G44" i="2"/>
  <c r="E67" i="2"/>
  <c r="C61" i="2"/>
  <c r="H15" i="3"/>
  <c r="W6" i="3"/>
  <c r="N51" i="2"/>
  <c r="Q64" i="2"/>
  <c r="Q94" i="2"/>
  <c r="T29" i="3"/>
  <c r="T15" i="3"/>
  <c r="AI14" i="3"/>
  <c r="T30" i="3"/>
  <c r="N106" i="2"/>
  <c r="N17" i="3"/>
  <c r="N74" i="2"/>
  <c r="S17" i="3"/>
  <c r="R106" i="2"/>
  <c r="AB63" i="3"/>
  <c r="AB87" i="3"/>
  <c r="T88" i="2"/>
  <c r="G54" i="2"/>
  <c r="V98" i="2"/>
  <c r="O112" i="2"/>
  <c r="O42" i="3"/>
  <c r="X42" i="3"/>
  <c r="U112" i="2"/>
  <c r="Z28" i="3"/>
  <c r="N107" i="2"/>
  <c r="AB93" i="3"/>
  <c r="AO17" i="3"/>
  <c r="L112" i="2"/>
  <c r="AP75" i="3"/>
  <c r="P63" i="2"/>
  <c r="I40" i="2"/>
  <c r="S91" i="2"/>
  <c r="F44" i="2"/>
  <c r="Z9" i="3"/>
  <c r="E75" i="2"/>
  <c r="S45" i="2"/>
  <c r="AN34" i="3"/>
  <c r="C82" i="2"/>
  <c r="AI30" i="3"/>
  <c r="U40" i="3"/>
  <c r="F46" i="2"/>
  <c r="K112" i="2"/>
  <c r="AN25" i="3"/>
  <c r="AO19" i="3"/>
  <c r="L70" i="2"/>
  <c r="L82" i="2"/>
  <c r="U69" i="2"/>
  <c r="P13" i="3"/>
  <c r="R22" i="3"/>
  <c r="N72" i="2"/>
  <c r="S66" i="2"/>
  <c r="I7" i="3"/>
  <c r="T31" i="3"/>
  <c r="P75" i="2"/>
  <c r="C79" i="2"/>
  <c r="AB24" i="3"/>
  <c r="J14" i="3"/>
  <c r="X82" i="2"/>
  <c r="E96" i="2"/>
  <c r="W9" i="3"/>
  <c r="AB16" i="3"/>
  <c r="I61" i="2"/>
  <c r="N92" i="2"/>
  <c r="O23" i="3"/>
  <c r="K99" i="2"/>
  <c r="AP16" i="3"/>
  <c r="AQ11" i="3"/>
  <c r="S92" i="2"/>
  <c r="O61" i="2"/>
  <c r="M6" i="3"/>
  <c r="T92" i="2"/>
  <c r="S48" i="2"/>
  <c r="AI39" i="3"/>
  <c r="V93" i="2"/>
  <c r="O27" i="3"/>
  <c r="M65" i="2"/>
  <c r="Q105" i="2"/>
  <c r="U30" i="3"/>
  <c r="AJ18" i="3"/>
  <c r="G92" i="2"/>
  <c r="I87" i="2"/>
  <c r="AC29" i="3"/>
  <c r="C10" i="3"/>
  <c r="AG10" i="3"/>
  <c r="D54" i="2"/>
  <c r="AQ19" i="3"/>
  <c r="E109" i="2"/>
  <c r="V105" i="2"/>
  <c r="AP79" i="3"/>
  <c r="O40" i="3"/>
  <c r="R43" i="2"/>
  <c r="Z23" i="3"/>
  <c r="U84" i="2"/>
  <c r="L60" i="2"/>
  <c r="X27" i="3"/>
  <c r="L13" i="3"/>
  <c r="AQ15" i="3"/>
  <c r="J64" i="2"/>
  <c r="W31" i="3"/>
  <c r="I64" i="2"/>
  <c r="O45" i="2"/>
  <c r="K11" i="3"/>
  <c r="K71" i="2"/>
  <c r="Y36" i="3"/>
  <c r="I52" i="2"/>
  <c r="W50" i="2"/>
  <c r="C91" i="2"/>
  <c r="V22" i="3"/>
  <c r="G113" i="2"/>
  <c r="V82" i="2"/>
  <c r="AA17" i="3"/>
  <c r="Y15" i="3"/>
  <c r="P70" i="2"/>
  <c r="G86" i="2"/>
  <c r="P93" i="2"/>
  <c r="Q96" i="2"/>
  <c r="K36" i="3"/>
  <c r="T27" i="3"/>
  <c r="V36" i="3"/>
  <c r="T93" i="2"/>
  <c r="AL12" i="3"/>
  <c r="E52" i="2"/>
  <c r="D71" i="2"/>
  <c r="R35" i="3"/>
  <c r="AK42" i="3"/>
  <c r="L19" i="3"/>
  <c r="W44" i="2"/>
  <c r="AB18" i="3"/>
  <c r="AM42" i="3"/>
  <c r="E41" i="2"/>
  <c r="U65" i="2"/>
  <c r="AA32" i="3"/>
  <c r="M93" i="2"/>
  <c r="K28" i="3"/>
  <c r="AL31" i="3"/>
  <c r="P79" i="2"/>
  <c r="E48" i="2"/>
  <c r="L36" i="3"/>
  <c r="AM5" i="3"/>
  <c r="Y6" i="3"/>
  <c r="H29" i="3"/>
  <c r="M36" i="3"/>
  <c r="K108" i="2"/>
  <c r="N63" i="2"/>
  <c r="X41" i="3"/>
  <c r="W76" i="2"/>
  <c r="U51" i="2"/>
  <c r="R109" i="2"/>
  <c r="I111" i="2"/>
  <c r="AM13" i="3"/>
  <c r="AI26" i="3"/>
  <c r="W110" i="2"/>
  <c r="O42" i="2"/>
  <c r="AB70" i="3"/>
  <c r="AB9" i="3"/>
  <c r="T64" i="2"/>
  <c r="AE18" i="3"/>
  <c r="AJ38" i="3"/>
  <c r="C35" i="3"/>
  <c r="M37" i="3"/>
  <c r="F49" i="2"/>
  <c r="J70" i="2"/>
  <c r="O33" i="3"/>
  <c r="R75" i="2"/>
  <c r="Q30" i="3"/>
  <c r="Q82" i="2"/>
  <c r="I37" i="3"/>
  <c r="S85" i="2"/>
  <c r="Q36" i="3"/>
  <c r="J104" i="2"/>
  <c r="D87" i="2"/>
  <c r="Q24" i="3"/>
  <c r="G105" i="2"/>
  <c r="V107" i="2"/>
  <c r="AD25" i="3"/>
  <c r="T67" i="2"/>
  <c r="AA5" i="3"/>
  <c r="AQ7" i="3"/>
  <c r="V109" i="2"/>
  <c r="AE40" i="3"/>
  <c r="R70" i="2"/>
  <c r="AG27" i="3"/>
  <c r="X11" i="3"/>
  <c r="G70" i="2"/>
  <c r="AP89" i="3"/>
  <c r="F94" i="2"/>
  <c r="H90" i="2"/>
  <c r="O113" i="2"/>
  <c r="K68" i="2"/>
  <c r="L38" i="3"/>
  <c r="AQ37" i="3"/>
  <c r="T82" i="2"/>
  <c r="P56" i="2"/>
  <c r="P24" i="3"/>
  <c r="AD28" i="3"/>
  <c r="R95" i="2"/>
  <c r="AK11" i="3"/>
  <c r="P23" i="3"/>
  <c r="W109" i="2"/>
  <c r="S63" i="2"/>
  <c r="N71" i="2"/>
  <c r="AB25" i="3"/>
  <c r="T44" i="2"/>
  <c r="AK41" i="3"/>
  <c r="W105" i="2"/>
  <c r="AP68" i="3"/>
  <c r="W35" i="3"/>
  <c r="AA24" i="3"/>
  <c r="H93" i="2"/>
  <c r="U72" i="2"/>
  <c r="P5" i="3"/>
  <c r="S50" i="2"/>
  <c r="R86" i="2"/>
  <c r="Z15" i="3"/>
  <c r="S47" i="2"/>
  <c r="L56" i="2"/>
  <c r="Q6" i="3"/>
  <c r="S60" i="2"/>
  <c r="M104" i="2"/>
  <c r="AI7" i="3"/>
  <c r="C97" i="2"/>
  <c r="AB42" i="3"/>
  <c r="AO18" i="3"/>
  <c r="I71" i="2"/>
  <c r="U38" i="3"/>
  <c r="I51" i="2"/>
  <c r="AP71" i="3"/>
  <c r="E85" i="2"/>
  <c r="O39" i="3"/>
  <c r="G40" i="3"/>
  <c r="I35" i="3"/>
  <c r="I65" i="2"/>
  <c r="R5" i="3"/>
  <c r="O91" i="2"/>
  <c r="AB10" i="3"/>
  <c r="T18" i="3"/>
  <c r="V13" i="3"/>
  <c r="AB20" i="3"/>
  <c r="L17" i="3"/>
  <c r="I83" i="2"/>
  <c r="X96" i="2"/>
  <c r="AA20" i="3"/>
  <c r="X23" i="3"/>
  <c r="AK35" i="3"/>
  <c r="J37" i="3"/>
  <c r="X65" i="2"/>
  <c r="AB68" i="3"/>
  <c r="C68" i="2"/>
  <c r="J87" i="2"/>
  <c r="V34" i="3"/>
  <c r="X32" i="3"/>
  <c r="R18" i="3"/>
  <c r="AB58" i="3"/>
  <c r="M8" i="3"/>
  <c r="AJ33" i="3"/>
  <c r="V16" i="3"/>
  <c r="C41" i="2"/>
  <c r="AA11" i="3"/>
  <c r="R40" i="3"/>
  <c r="AN13" i="3"/>
  <c r="AA39" i="3"/>
  <c r="Q40" i="3"/>
  <c r="G90" i="2"/>
  <c r="H55" i="2"/>
  <c r="C85" i="2"/>
  <c r="X85" i="2"/>
  <c r="X15" i="3"/>
  <c r="AA28" i="3"/>
  <c r="T80" i="2"/>
  <c r="J45" i="2"/>
  <c r="Q67" i="2"/>
  <c r="U70" i="2"/>
  <c r="D52" i="2"/>
  <c r="J40" i="2"/>
  <c r="Q110" i="2"/>
  <c r="K81" i="2"/>
  <c r="AO20" i="3"/>
  <c r="AN15" i="3"/>
  <c r="F112" i="2"/>
  <c r="E111" i="2"/>
  <c r="N50" i="2"/>
  <c r="N11" i="3"/>
  <c r="C110" i="2"/>
  <c r="W97" i="2"/>
  <c r="M96" i="2"/>
  <c r="E49" i="2"/>
  <c r="AK12" i="3"/>
  <c r="N40" i="2"/>
  <c r="AI38" i="3"/>
  <c r="E49" i="3"/>
  <c r="S61" i="2"/>
  <c r="E104" i="2"/>
  <c r="AB12" i="3"/>
  <c r="AK25" i="3"/>
  <c r="AI37" i="3"/>
  <c r="G41" i="2"/>
  <c r="AG20" i="3"/>
  <c r="P28" i="3"/>
  <c r="D51" i="2"/>
  <c r="R112" i="2"/>
  <c r="AL5" i="3"/>
  <c r="J23" i="3"/>
  <c r="T53" i="2"/>
  <c r="H42" i="2"/>
  <c r="AB28" i="3"/>
  <c r="AQ34" i="3"/>
  <c r="H8" i="3"/>
  <c r="O15" i="3"/>
  <c r="S35" i="3"/>
  <c r="J36" i="3"/>
  <c r="X53" i="2"/>
  <c r="U77" i="2"/>
  <c r="M42" i="3"/>
  <c r="AG7" i="3"/>
  <c r="M64" i="2"/>
  <c r="M20" i="3"/>
  <c r="C40" i="3"/>
  <c r="AG26" i="3"/>
  <c r="L97" i="2"/>
  <c r="K32" i="3"/>
  <c r="U9" i="3"/>
  <c r="L62" i="2"/>
  <c r="AP48" i="3"/>
  <c r="N78" i="2"/>
  <c r="M106" i="2"/>
  <c r="U13" i="3"/>
  <c r="AK33" i="3"/>
  <c r="P55" i="2"/>
  <c r="P40" i="2"/>
  <c r="L111" i="2"/>
  <c r="V64" i="2"/>
  <c r="X58" i="2"/>
  <c r="AA12" i="3"/>
  <c r="G63" i="2"/>
  <c r="Q42" i="3"/>
  <c r="H62" i="2"/>
  <c r="AJ24" i="3"/>
  <c r="O93" i="2"/>
  <c r="AI11" i="3"/>
  <c r="P112" i="2"/>
  <c r="V44" i="2"/>
  <c r="AJ7" i="3"/>
  <c r="AP88" i="3"/>
  <c r="V40" i="2"/>
  <c r="U48" i="2"/>
  <c r="X18" i="3"/>
  <c r="AJ8" i="3"/>
  <c r="O89" i="2"/>
  <c r="AC10" i="3"/>
  <c r="N39" i="3"/>
  <c r="Q93" i="2"/>
  <c r="X6" i="3"/>
  <c r="AP66" i="3"/>
  <c r="N45" i="2"/>
  <c r="AH16" i="3"/>
  <c r="N91" i="2"/>
  <c r="AE29" i="3"/>
  <c r="X60" i="2"/>
  <c r="S28" i="3"/>
  <c r="U22" i="3"/>
  <c r="L42" i="3"/>
  <c r="AK40" i="3"/>
  <c r="F91" i="2"/>
  <c r="H19" i="3"/>
  <c r="C37" i="3"/>
  <c r="AE15" i="3"/>
  <c r="AG30" i="3"/>
  <c r="J46" i="2"/>
  <c r="P48" i="2"/>
  <c r="AP32" i="3"/>
  <c r="C67" i="2"/>
  <c r="V50" i="2"/>
  <c r="X109" i="2"/>
  <c r="P96" i="2"/>
  <c r="K82" i="2"/>
  <c r="T16" i="3"/>
  <c r="V41" i="2"/>
  <c r="K67" i="2"/>
  <c r="C64" i="2"/>
  <c r="AP50" i="3"/>
  <c r="D49" i="3"/>
  <c r="AP62" i="3"/>
  <c r="M75" i="2"/>
  <c r="P90" i="2"/>
  <c r="L98" i="2"/>
  <c r="AL27" i="3"/>
  <c r="F52" i="2"/>
  <c r="X46" i="2"/>
  <c r="D107" i="2"/>
  <c r="S106" i="2"/>
  <c r="AJ31" i="3"/>
  <c r="S87" i="2"/>
  <c r="AA10" i="3"/>
  <c r="H69" i="2"/>
  <c r="AE34" i="3"/>
  <c r="H52" i="2"/>
  <c r="AI9" i="3"/>
  <c r="X39" i="3"/>
  <c r="C48" i="2"/>
  <c r="C95" i="2"/>
  <c r="G47" i="2"/>
  <c r="U7" i="3"/>
  <c r="U71" i="2"/>
  <c r="X93" i="2"/>
  <c r="Z17" i="3"/>
  <c r="S58" i="2"/>
  <c r="U66" i="2"/>
  <c r="AP82" i="3"/>
  <c r="X94" i="2"/>
  <c r="Q87" i="2"/>
  <c r="AO25" i="3"/>
  <c r="AJ27" i="3"/>
  <c r="Q47" i="2"/>
  <c r="O32" i="3"/>
  <c r="U82" i="2"/>
  <c r="H24" i="3"/>
  <c r="S21" i="3"/>
  <c r="Z16" i="3"/>
  <c r="R11" i="3"/>
  <c r="U26" i="3"/>
  <c r="T40" i="3"/>
  <c r="AB30" i="3"/>
  <c r="AD40" i="3"/>
  <c r="AE10" i="3"/>
  <c r="D81" i="2"/>
  <c r="AE9" i="3"/>
  <c r="H94" i="2"/>
  <c r="P88" i="2"/>
  <c r="P64" i="2"/>
  <c r="W13" i="3"/>
  <c r="L5" i="3"/>
  <c r="M42" i="2"/>
  <c r="AP90" i="3"/>
  <c r="U74" i="2"/>
  <c r="AP83" i="3"/>
  <c r="AQ27" i="3"/>
  <c r="AO28" i="3"/>
  <c r="AH29" i="3"/>
  <c r="AB95" i="3"/>
  <c r="R55" i="2"/>
  <c r="S88" i="2"/>
  <c r="H91" i="2"/>
  <c r="AK13" i="3"/>
  <c r="H28" i="3"/>
  <c r="Z8" i="3"/>
  <c r="Q21" i="3"/>
  <c r="D53" i="2"/>
  <c r="Y11" i="3"/>
  <c r="P65" i="2"/>
  <c r="W21" i="3"/>
  <c r="S14" i="3"/>
  <c r="T70" i="2"/>
  <c r="AQ12" i="3"/>
  <c r="C66" i="2"/>
  <c r="V12" i="3"/>
  <c r="D72" i="2"/>
  <c r="T62" i="2"/>
  <c r="V42" i="2"/>
  <c r="AQ14" i="3"/>
  <c r="T10" i="3"/>
  <c r="AP60" i="3"/>
  <c r="J71" i="2"/>
  <c r="O36" i="3"/>
  <c r="Q29" i="3"/>
  <c r="I73" i="2"/>
  <c r="Q9" i="3"/>
  <c r="M17" i="3"/>
  <c r="AC26" i="3"/>
  <c r="AC6" i="3"/>
  <c r="Q113" i="2"/>
  <c r="T12" i="3"/>
  <c r="J62" i="2"/>
  <c r="J88" i="2"/>
  <c r="W65" i="2"/>
  <c r="P89" i="2"/>
  <c r="O84" i="2"/>
  <c r="AB35" i="3"/>
  <c r="U68" i="2"/>
  <c r="C33" i="3"/>
  <c r="S56" i="2"/>
  <c r="T8" i="3"/>
  <c r="C16" i="3"/>
  <c r="T46" i="2"/>
  <c r="K9" i="3"/>
  <c r="AH22" i="3"/>
  <c r="M26" i="3"/>
  <c r="W66" i="2"/>
  <c r="I109" i="2"/>
  <c r="L32" i="3"/>
  <c r="V28" i="3"/>
  <c r="E58" i="2"/>
  <c r="Z21" i="3"/>
  <c r="N80" i="2"/>
  <c r="X37" i="3"/>
  <c r="N86" i="2"/>
  <c r="P113" i="2"/>
  <c r="E59" i="2"/>
  <c r="I42" i="3"/>
  <c r="U49" i="2"/>
  <c r="D82" i="2"/>
  <c r="Q22" i="3"/>
  <c r="M54" i="2"/>
  <c r="AP77" i="3"/>
  <c r="AK8" i="3"/>
  <c r="P107" i="2"/>
  <c r="AP94" i="3"/>
  <c r="U81" i="2"/>
  <c r="E77" i="2"/>
  <c r="I74" i="2"/>
  <c r="V59" i="2"/>
  <c r="Q5" i="3"/>
  <c r="P73" i="2"/>
  <c r="H80" i="2"/>
  <c r="M31" i="3"/>
  <c r="Q75" i="2"/>
  <c r="N36" i="3"/>
  <c r="AJ29" i="3"/>
  <c r="T65" i="2"/>
  <c r="C78" i="2"/>
  <c r="AN7" i="3"/>
  <c r="I17" i="3"/>
  <c r="Q71" i="2"/>
  <c r="E61" i="2"/>
  <c r="P86" i="2"/>
  <c r="AK27" i="3"/>
  <c r="AG24" i="3"/>
  <c r="U62" i="2"/>
  <c r="O47" i="2"/>
  <c r="AC23" i="3"/>
  <c r="V23" i="3"/>
  <c r="F76" i="2"/>
  <c r="C108" i="2"/>
  <c r="AB29" i="3"/>
  <c r="AA27" i="3"/>
  <c r="T107" i="2"/>
  <c r="AB80" i="3"/>
  <c r="AL8" i="3"/>
  <c r="AK28" i="3"/>
  <c r="W92" i="2"/>
  <c r="AB61" i="3"/>
  <c r="AP37" i="3"/>
  <c r="V90" i="2"/>
  <c r="AN6" i="3"/>
  <c r="U20" i="3"/>
  <c r="T75" i="2"/>
  <c r="U113" i="2"/>
  <c r="AL34" i="3"/>
  <c r="O73" i="2"/>
  <c r="J84" i="2"/>
  <c r="AH5" i="3"/>
  <c r="O111" i="2"/>
  <c r="Q41" i="3"/>
  <c r="L107" i="2"/>
  <c r="L49" i="2"/>
  <c r="AP41" i="3"/>
  <c r="AH26" i="3"/>
  <c r="M46" i="2"/>
  <c r="O104" i="2"/>
  <c r="AM26" i="3"/>
  <c r="AD34" i="3"/>
  <c r="AQ41" i="3"/>
  <c r="V84" i="2"/>
  <c r="O19" i="3"/>
  <c r="H104" i="2"/>
  <c r="C55" i="2"/>
  <c r="AB84" i="3"/>
  <c r="AO36" i="3"/>
  <c r="E73" i="2"/>
  <c r="H23" i="3"/>
  <c r="F113" i="2"/>
  <c r="F61" i="2"/>
  <c r="V31" i="3"/>
  <c r="U18" i="3"/>
  <c r="AN11" i="3"/>
  <c r="S75" i="2"/>
  <c r="P19" i="3"/>
  <c r="S82" i="2"/>
  <c r="S76" i="2"/>
  <c r="AB32" i="3"/>
  <c r="Q111" i="2"/>
  <c r="AB27" i="3"/>
  <c r="C76" i="2"/>
  <c r="C81" i="2"/>
  <c r="AP95" i="3"/>
  <c r="AK32" i="3"/>
  <c r="C73" i="2"/>
  <c r="K55" i="2"/>
  <c r="AL9" i="3"/>
  <c r="N37" i="3"/>
  <c r="L41" i="2"/>
  <c r="P77" i="2"/>
  <c r="G55" i="2"/>
  <c r="E60" i="2"/>
  <c r="W12" i="3"/>
  <c r="X77" i="2"/>
  <c r="Q11" i="3"/>
  <c r="S111" i="2"/>
  <c r="AL40" i="3"/>
  <c r="K49" i="2"/>
  <c r="M81" i="2"/>
  <c r="Y13" i="3"/>
  <c r="C29" i="3"/>
  <c r="W40" i="3"/>
  <c r="R105" i="2"/>
  <c r="J7" i="3"/>
  <c r="T6" i="3"/>
  <c r="E81" i="2"/>
  <c r="X45" i="2"/>
  <c r="T11" i="3"/>
  <c r="L95" i="2"/>
  <c r="V15" i="3"/>
  <c r="M9" i="3"/>
  <c r="C84" i="2"/>
  <c r="W96" i="2"/>
  <c r="AE20" i="3"/>
  <c r="K42" i="3"/>
  <c r="AH24" i="3"/>
  <c r="H83" i="2"/>
  <c r="P20" i="3"/>
  <c r="L48" i="2"/>
  <c r="J81" i="2"/>
  <c r="J35" i="3"/>
  <c r="AE24" i="3"/>
  <c r="W5" i="3"/>
  <c r="D89" i="2"/>
  <c r="X111" i="2"/>
  <c r="AC25" i="3"/>
  <c r="H22" i="3"/>
  <c r="N70" i="2"/>
  <c r="K51" i="2"/>
  <c r="I39" i="3"/>
  <c r="N111" i="2"/>
  <c r="J78" i="2"/>
  <c r="AG6" i="3"/>
  <c r="AH21" i="3"/>
  <c r="K20" i="3"/>
  <c r="AM17" i="3"/>
  <c r="S97" i="2"/>
  <c r="F64" i="2"/>
  <c r="X64" i="2"/>
  <c r="X88" i="2"/>
  <c r="AN42" i="3"/>
  <c r="V94" i="2"/>
  <c r="X34" i="3"/>
  <c r="U75" i="2"/>
  <c r="AA9" i="3"/>
  <c r="AN8" i="3"/>
  <c r="V104" i="2"/>
  <c r="AG16" i="3"/>
  <c r="D58" i="2"/>
  <c r="T79" i="2"/>
  <c r="K34" i="3"/>
  <c r="J55" i="2"/>
  <c r="AO38" i="3"/>
  <c r="H65" i="2"/>
  <c r="D68" i="2"/>
  <c r="W48" i="2"/>
  <c r="O65" i="2"/>
  <c r="I13" i="3"/>
  <c r="AD23" i="3"/>
  <c r="AN9" i="3"/>
  <c r="AH6" i="3"/>
  <c r="U60" i="2"/>
  <c r="S95" i="2"/>
  <c r="L84" i="2"/>
  <c r="L66" i="2"/>
  <c r="AI42" i="3"/>
  <c r="R38" i="3"/>
  <c r="R65" i="2"/>
  <c r="N47" i="2"/>
  <c r="AI13" i="3"/>
  <c r="U24" i="3"/>
  <c r="I91" i="2"/>
  <c r="G48" i="2"/>
  <c r="AA7" i="3"/>
  <c r="AC18" i="3"/>
  <c r="K13" i="3"/>
  <c r="T113" i="2"/>
  <c r="O58" i="2"/>
  <c r="R113" i="2"/>
  <c r="P31" i="3"/>
  <c r="AG42" i="3"/>
  <c r="J112" i="2"/>
  <c r="E68" i="2"/>
  <c r="AO7" i="3"/>
  <c r="E54" i="2"/>
  <c r="AI40" i="3"/>
  <c r="AH34" i="3"/>
  <c r="G41" i="3"/>
  <c r="I31" i="3"/>
  <c r="P41" i="2"/>
  <c r="L67" i="2"/>
  <c r="J43" i="2"/>
  <c r="L61" i="2"/>
  <c r="J44" i="2"/>
  <c r="C107" i="2"/>
  <c r="P10" i="3"/>
  <c r="T90" i="2"/>
  <c r="T41" i="3"/>
  <c r="V52" i="2"/>
  <c r="I94" i="2"/>
  <c r="AM28" i="3"/>
  <c r="M91" i="2"/>
  <c r="J24" i="3"/>
  <c r="AQ28" i="3"/>
  <c r="R108" i="2"/>
  <c r="R42" i="3"/>
  <c r="H10" i="3"/>
  <c r="O92" i="2"/>
  <c r="P36" i="3"/>
  <c r="T77" i="2"/>
  <c r="P15" i="3"/>
  <c r="Y10" i="3"/>
  <c r="U47" i="2"/>
  <c r="F68" i="2"/>
  <c r="AL25" i="3"/>
  <c r="S73" i="2"/>
  <c r="O40" i="2"/>
  <c r="U5" i="3"/>
  <c r="X86" i="2"/>
  <c r="H67" i="2"/>
  <c r="E87" i="2"/>
  <c r="P42" i="2"/>
  <c r="C18" i="3"/>
  <c r="W75" i="2"/>
  <c r="R63" i="2"/>
  <c r="P59" i="2"/>
  <c r="AH32" i="3"/>
  <c r="AK10" i="3"/>
  <c r="K98" i="2"/>
  <c r="V71" i="2"/>
  <c r="U19" i="3"/>
  <c r="I67" i="2"/>
  <c r="AJ13" i="3"/>
  <c r="V48" i="2"/>
  <c r="L105" i="2"/>
  <c r="E62" i="2"/>
  <c r="I12" i="3"/>
  <c r="V96" i="2"/>
  <c r="P68" i="2"/>
  <c r="O10" i="3"/>
  <c r="X40" i="2"/>
  <c r="N21" i="3"/>
  <c r="M16" i="3"/>
  <c r="K111" i="2"/>
  <c r="D62" i="2"/>
  <c r="C56" i="2"/>
  <c r="W57" i="2"/>
  <c r="U46" i="2"/>
  <c r="Q16" i="3"/>
  <c r="AK23" i="3"/>
  <c r="Q74" i="2"/>
  <c r="D75" i="2"/>
  <c r="U88" i="2"/>
  <c r="Z19" i="3"/>
  <c r="R83" i="2"/>
  <c r="D49" i="2"/>
  <c r="H56" i="2"/>
  <c r="AM27" i="3"/>
  <c r="J54" i="2"/>
  <c r="V108" i="2"/>
  <c r="G107" i="2"/>
  <c r="S33" i="3"/>
  <c r="F90" i="2"/>
  <c r="F60" i="2"/>
  <c r="AE21" i="3"/>
  <c r="AB8" i="3"/>
  <c r="AC12" i="3"/>
  <c r="AJ16" i="3"/>
  <c r="K52" i="2"/>
  <c r="AB54" i="3"/>
  <c r="X26" i="3"/>
  <c r="AG41" i="3"/>
  <c r="M90" i="2"/>
  <c r="S27" i="3"/>
  <c r="P7" i="3"/>
  <c r="R46" i="2"/>
  <c r="Q8" i="3"/>
  <c r="AJ25" i="3"/>
  <c r="K76" i="2"/>
  <c r="W43" i="2"/>
  <c r="Q10" i="3"/>
  <c r="P92" i="2"/>
  <c r="AI23" i="3"/>
  <c r="O57" i="2"/>
  <c r="F45" i="2"/>
  <c r="N41" i="3"/>
  <c r="O87" i="2"/>
  <c r="M110" i="2"/>
  <c r="S70" i="2"/>
  <c r="L7" i="3"/>
  <c r="AP56" i="3"/>
  <c r="L6" i="3"/>
  <c r="S89" i="2"/>
  <c r="F62" i="2"/>
  <c r="I6" i="3"/>
  <c r="E86" i="2"/>
  <c r="Y29" i="3"/>
  <c r="AN21" i="3"/>
  <c r="H11" i="3"/>
  <c r="L65" i="2"/>
  <c r="K83" i="2"/>
  <c r="V47" i="2"/>
  <c r="I92" i="2"/>
  <c r="N81" i="2"/>
  <c r="P110" i="2"/>
  <c r="L8" i="3"/>
  <c r="T57" i="2"/>
  <c r="I23" i="3"/>
  <c r="T72" i="2"/>
  <c r="K104" i="2"/>
  <c r="P22" i="3"/>
  <c r="AO34" i="3"/>
  <c r="N29" i="3"/>
  <c r="L79" i="2"/>
  <c r="V21" i="3"/>
  <c r="AB22" i="3"/>
  <c r="U85" i="2"/>
  <c r="L53" i="2"/>
  <c r="X108" i="2"/>
  <c r="W88" i="2"/>
  <c r="O50" i="2"/>
  <c r="W91" i="2"/>
  <c r="L41" i="3"/>
  <c r="O67" i="2"/>
  <c r="Z33" i="3"/>
  <c r="Q33" i="3"/>
  <c r="R10" i="3"/>
  <c r="D50" i="3"/>
  <c r="X81" i="2"/>
  <c r="AG11" i="3"/>
  <c r="P109" i="2"/>
  <c r="W56" i="2"/>
  <c r="Q83" i="2"/>
  <c r="AH7" i="3"/>
  <c r="K89" i="2"/>
  <c r="O24" i="3"/>
  <c r="T25" i="3"/>
  <c r="N9" i="3"/>
  <c r="O56" i="2"/>
  <c r="AH38" i="3"/>
  <c r="AE35" i="3"/>
  <c r="D83" i="2"/>
  <c r="C77" i="2"/>
  <c r="N58" i="2"/>
  <c r="W8" i="3"/>
  <c r="T20" i="3"/>
  <c r="E88" i="2"/>
  <c r="U86" i="2"/>
  <c r="W19" i="3"/>
  <c r="N59" i="2"/>
  <c r="AC33" i="3"/>
  <c r="R98" i="2"/>
  <c r="L77" i="2"/>
  <c r="H17" i="3"/>
  <c r="D92" i="2"/>
  <c r="S32" i="3"/>
  <c r="AE39" i="3"/>
  <c r="H12" i="3"/>
  <c r="M98" i="2"/>
  <c r="H43" i="2"/>
  <c r="AP74" i="3"/>
  <c r="N28" i="3"/>
  <c r="V49" i="2"/>
  <c r="J42" i="2"/>
  <c r="N14" i="3"/>
  <c r="T61" i="2"/>
  <c r="H34" i="3"/>
  <c r="N41" i="2"/>
  <c r="T13" i="3"/>
  <c r="O74" i="2"/>
  <c r="K26" i="3"/>
  <c r="N69" i="2"/>
  <c r="N113" i="2"/>
  <c r="O110" i="2"/>
  <c r="Y26" i="3"/>
  <c r="AO22" i="3"/>
  <c r="S39" i="3"/>
  <c r="O90" i="2"/>
  <c r="G76" i="2"/>
  <c r="T21" i="3"/>
  <c r="AG31" i="3"/>
  <c r="N38" i="3"/>
  <c r="AQ18" i="3"/>
  <c r="J60" i="2"/>
  <c r="X7" i="3"/>
  <c r="T66" i="2"/>
  <c r="H18" i="3"/>
  <c r="C50" i="2"/>
  <c r="N32" i="3"/>
  <c r="H70" i="2"/>
  <c r="P40" i="3"/>
  <c r="J94" i="2"/>
  <c r="S98" i="2"/>
  <c r="C86" i="2"/>
  <c r="N31" i="3"/>
  <c r="AL37" i="3"/>
  <c r="C83" i="2"/>
  <c r="L86" i="2"/>
  <c r="S113" i="2"/>
  <c r="U89" i="2"/>
  <c r="Y30" i="3"/>
  <c r="O46" i="2"/>
  <c r="K22" i="3"/>
  <c r="N104" i="2"/>
  <c r="C52" i="2"/>
  <c r="F63" i="2"/>
  <c r="J82" i="2"/>
  <c r="Y41" i="3"/>
  <c r="D106" i="2"/>
  <c r="J31" i="3"/>
  <c r="F85" i="2"/>
  <c r="AN41" i="3"/>
  <c r="J15" i="3"/>
  <c r="C43" i="2"/>
  <c r="P82" i="2"/>
  <c r="V54" i="2"/>
  <c r="AE28" i="3"/>
  <c r="AL30" i="3"/>
  <c r="R85" i="2"/>
  <c r="W95" i="2"/>
  <c r="S93" i="2"/>
  <c r="I59" i="2"/>
  <c r="W85" i="2"/>
  <c r="O59" i="2"/>
  <c r="AO10" i="3"/>
  <c r="S43" i="2"/>
  <c r="G77" i="2"/>
  <c r="U34" i="3"/>
  <c r="AD48" i="3"/>
  <c r="AD50" i="3"/>
  <c r="W45" i="2"/>
  <c r="I8" i="3"/>
  <c r="S20" i="3"/>
  <c r="O83" i="2"/>
  <c r="AQ9" i="3"/>
  <c r="C42" i="3"/>
  <c r="AN31" i="3"/>
  <c r="H110" i="2"/>
  <c r="W86" i="2"/>
  <c r="S67" i="2"/>
  <c r="W64" i="2"/>
  <c r="J111" i="2"/>
  <c r="AH18" i="3"/>
  <c r="J27" i="3"/>
  <c r="N30" i="3"/>
  <c r="R41" i="3"/>
  <c r="E99" i="2"/>
  <c r="AQ32" i="3"/>
  <c r="AD20" i="3"/>
  <c r="W7" i="3"/>
  <c r="R29" i="3"/>
  <c r="CA138" i="1" l="1"/>
  <c r="CA139" i="1"/>
  <c r="CD143" i="1" s="1"/>
  <c r="CA140" i="1"/>
  <c r="CE123" i="1"/>
  <c r="BW142" i="1"/>
  <c r="S195" i="1"/>
  <c r="R197" i="1"/>
  <c r="B197" i="1"/>
  <c r="D197" i="1"/>
  <c r="N197" i="1"/>
  <c r="O197" i="1"/>
  <c r="H197" i="1"/>
  <c r="U212" i="1"/>
  <c r="S207" i="1"/>
  <c r="R212" i="1"/>
  <c r="T195" i="1"/>
  <c r="T215" i="1"/>
  <c r="V212" i="1"/>
  <c r="J197" i="1"/>
  <c r="U207" i="1"/>
  <c r="T197" i="1"/>
  <c r="I197" i="1"/>
  <c r="U195" i="1"/>
  <c r="C197" i="1"/>
  <c r="W212" i="1"/>
  <c r="Q207" i="1"/>
  <c r="G197" i="1"/>
  <c r="W195" i="1"/>
  <c r="R207" i="1"/>
  <c r="T204" i="1"/>
  <c r="P197" i="1"/>
  <c r="V197" i="1"/>
  <c r="P207" i="1"/>
  <c r="S212" i="1"/>
  <c r="W197" i="1"/>
  <c r="P195" i="1"/>
  <c r="E197" i="1"/>
  <c r="F197" i="1"/>
  <c r="S197" i="1"/>
  <c r="V195" i="1"/>
  <c r="T207" i="1"/>
  <c r="Q197" i="1"/>
  <c r="R195" i="1"/>
  <c r="M197" i="1"/>
  <c r="W204" i="1"/>
  <c r="Q195" i="1"/>
  <c r="L197" i="1"/>
  <c r="W207" i="1"/>
  <c r="T212" i="1"/>
  <c r="K197" i="1"/>
  <c r="U197" i="1"/>
  <c r="V207" i="1"/>
  <c r="V204" i="1"/>
  <c r="U204" i="1"/>
  <c r="BH203" i="1"/>
  <c r="B185" i="1"/>
  <c r="B179" i="1"/>
  <c r="B219" i="1" s="1"/>
  <c r="U238" i="1"/>
  <c r="D171" i="1"/>
  <c r="K231" i="1"/>
  <c r="M177" i="1"/>
  <c r="T127" i="1"/>
  <c r="M203" i="1"/>
  <c r="M247" i="1" s="1"/>
  <c r="E239" i="1"/>
  <c r="W175" i="1"/>
  <c r="K226" i="1"/>
  <c r="L177" i="1"/>
  <c r="F231" i="1"/>
  <c r="L171" i="1"/>
  <c r="C171" i="1"/>
  <c r="E190" i="1"/>
  <c r="N132" i="1"/>
  <c r="N177" i="1"/>
  <c r="S185" i="1"/>
  <c r="W237" i="1"/>
  <c r="U231" i="1"/>
  <c r="W189" i="1"/>
  <c r="T186" i="1"/>
  <c r="S120" i="1"/>
  <c r="R186" i="1"/>
  <c r="L132" i="1"/>
  <c r="C131" i="1"/>
  <c r="V126" i="1"/>
  <c r="M221" i="1"/>
  <c r="B132" i="1"/>
  <c r="B180" i="1"/>
  <c r="D203" i="1"/>
  <c r="D247" i="1" s="1"/>
  <c r="O175" i="1"/>
  <c r="R238" i="1"/>
  <c r="B238" i="1"/>
  <c r="Q212" i="1"/>
  <c r="D226" i="1"/>
  <c r="P177" i="1"/>
  <c r="J185" i="1"/>
  <c r="I190" i="1"/>
  <c r="F215" i="1"/>
  <c r="J186" i="1"/>
  <c r="H204" i="1"/>
  <c r="W218" i="1"/>
  <c r="G202" i="1"/>
  <c r="G246" i="1" s="1"/>
  <c r="R218" i="1"/>
  <c r="R250" i="1" s="1"/>
  <c r="K190" i="1"/>
  <c r="N212" i="1"/>
  <c r="G239" i="1"/>
  <c r="J130" i="1"/>
  <c r="V216" i="1"/>
  <c r="U175" i="1"/>
  <c r="W126" i="1"/>
  <c r="T132" i="1"/>
  <c r="P215" i="1"/>
  <c r="B204" i="1"/>
  <c r="G203" i="1"/>
  <c r="G247" i="1" s="1"/>
  <c r="O203" i="1"/>
  <c r="O247" i="1" s="1"/>
  <c r="C127" i="1"/>
  <c r="T131" i="1"/>
  <c r="M185" i="1"/>
  <c r="T237" i="1"/>
  <c r="I238" i="1"/>
  <c r="D178" i="1"/>
  <c r="F202" i="1"/>
  <c r="F246" i="1" s="1"/>
  <c r="O180" i="1"/>
  <c r="F204" i="1"/>
  <c r="J203" i="1"/>
  <c r="J247" i="1" s="1"/>
  <c r="B215" i="1"/>
  <c r="M190" i="1"/>
  <c r="F186" i="1"/>
  <c r="L190" i="1"/>
  <c r="F226" i="1"/>
  <c r="G175" i="1"/>
  <c r="D179" i="1"/>
  <c r="D219" i="1" s="1"/>
  <c r="S221" i="1"/>
  <c r="C170" i="1"/>
  <c r="I175" i="1"/>
  <c r="O178" i="1"/>
  <c r="J231" i="1"/>
  <c r="W226" i="1"/>
  <c r="F188" i="1"/>
  <c r="F184" i="1" s="1"/>
  <c r="D126" i="1"/>
  <c r="S230" i="1"/>
  <c r="R171" i="1"/>
  <c r="K171" i="1"/>
  <c r="Q189" i="1"/>
  <c r="H239" i="1"/>
  <c r="H225" i="1"/>
  <c r="C189" i="1"/>
  <c r="J170" i="1"/>
  <c r="M218" i="1"/>
  <c r="M250" i="1" s="1"/>
  <c r="F171" i="1"/>
  <c r="L186" i="1"/>
  <c r="O120" i="1"/>
  <c r="E175" i="1"/>
  <c r="C225" i="1"/>
  <c r="F190" i="1"/>
  <c r="W188" i="1"/>
  <c r="W184" i="1" s="1"/>
  <c r="O216" i="1"/>
  <c r="O221" i="1"/>
  <c r="C130" i="1"/>
  <c r="M193" i="1"/>
  <c r="L180" i="1"/>
  <c r="M120" i="1"/>
  <c r="E203" i="1"/>
  <c r="E247" i="1" s="1"/>
  <c r="T120" i="1"/>
  <c r="C180" i="1"/>
  <c r="G221" i="1"/>
  <c r="K130" i="1"/>
  <c r="S216" i="1"/>
  <c r="T172" i="1"/>
  <c r="N190" i="1"/>
  <c r="I215" i="1"/>
  <c r="P212" i="1"/>
  <c r="F237" i="1"/>
  <c r="T188" i="1"/>
  <c r="T184" i="1" s="1"/>
  <c r="Q131" i="1"/>
  <c r="U189" i="1"/>
  <c r="Q175" i="1"/>
  <c r="G185" i="1"/>
  <c r="H120" i="1"/>
  <c r="V188" i="1"/>
  <c r="V184" i="1" s="1"/>
  <c r="V186" i="1"/>
  <c r="B207" i="1"/>
  <c r="E237" i="1"/>
  <c r="R180" i="1"/>
  <c r="H215" i="1"/>
  <c r="B226" i="1"/>
  <c r="U203" i="1"/>
  <c r="U247" i="1" s="1"/>
  <c r="U132" i="1"/>
  <c r="S126" i="1"/>
  <c r="B120" i="1"/>
  <c r="J237" i="1"/>
  <c r="D127" i="1"/>
  <c r="S188" i="1"/>
  <c r="S184" i="1" s="1"/>
  <c r="C190" i="1"/>
  <c r="P188" i="1"/>
  <c r="P184" i="1" s="1"/>
  <c r="S239" i="1"/>
  <c r="L185" i="1"/>
  <c r="N216" i="1"/>
  <c r="O230" i="1"/>
  <c r="L189" i="1"/>
  <c r="G130" i="1"/>
  <c r="V175" i="1"/>
  <c r="J226" i="1"/>
  <c r="G207" i="1"/>
  <c r="F207" i="1"/>
  <c r="C172" i="1"/>
  <c r="V202" i="1"/>
  <c r="I230" i="1"/>
  <c r="L215" i="1"/>
  <c r="V120" i="1"/>
  <c r="G132" i="1"/>
  <c r="F230" i="1"/>
  <c r="J126" i="1"/>
  <c r="I203" i="1"/>
  <c r="I247" i="1" s="1"/>
  <c r="G189" i="1"/>
  <c r="R120" i="1"/>
  <c r="W172" i="1"/>
  <c r="W179" i="1"/>
  <c r="W219" i="1" s="1"/>
  <c r="Q172" i="1"/>
  <c r="B116" i="1"/>
  <c r="D207" i="1"/>
  <c r="J221" i="1"/>
  <c r="B231" i="1"/>
  <c r="F218" i="1"/>
  <c r="F250" i="1" s="1"/>
  <c r="R216" i="1"/>
  <c r="R231" i="1"/>
  <c r="N204" i="1"/>
  <c r="R177" i="1"/>
  <c r="O239" i="1"/>
  <c r="F179" i="1"/>
  <c r="F219" i="1" s="1"/>
  <c r="G190" i="1"/>
  <c r="M230" i="1"/>
  <c r="M204" i="1"/>
  <c r="G171" i="1"/>
  <c r="R127" i="1"/>
  <c r="I178" i="1"/>
  <c r="E180" i="1"/>
  <c r="G177" i="1"/>
  <c r="O188" i="1"/>
  <c r="O184" i="1" s="1"/>
  <c r="T239" i="1"/>
  <c r="F180" i="1"/>
  <c r="P171" i="1"/>
  <c r="S193" i="1"/>
  <c r="Q193" i="1"/>
  <c r="B225" i="1"/>
  <c r="C116" i="1"/>
  <c r="T130" i="1"/>
  <c r="S180" i="1"/>
  <c r="W178" i="1"/>
  <c r="L225" i="1"/>
  <c r="I188" i="1"/>
  <c r="I184" i="1" s="1"/>
  <c r="J193" i="1"/>
  <c r="K186" i="1"/>
  <c r="H175" i="1"/>
  <c r="N186" i="1"/>
  <c r="B203" i="1"/>
  <c r="B247" i="1" s="1"/>
  <c r="R225" i="1"/>
  <c r="B239" i="1"/>
  <c r="H179" i="1"/>
  <c r="H219" i="1" s="1"/>
  <c r="M127" i="1"/>
  <c r="E186" i="1"/>
  <c r="M225" i="1"/>
  <c r="D180" i="1"/>
  <c r="P131" i="1"/>
  <c r="B216" i="1"/>
  <c r="E204" i="1"/>
  <c r="L204" i="1"/>
  <c r="V226" i="1"/>
  <c r="W216" i="1"/>
  <c r="C238" i="1"/>
  <c r="M171" i="1"/>
  <c r="U239" i="1"/>
  <c r="L195" i="1"/>
  <c r="I237" i="1"/>
  <c r="C203" i="1"/>
  <c r="C247" i="1" s="1"/>
  <c r="N126" i="1"/>
  <c r="W131" i="1"/>
  <c r="K207" i="1"/>
  <c r="L238" i="1"/>
  <c r="M130" i="1"/>
  <c r="R170" i="1"/>
  <c r="F185" i="1"/>
  <c r="M188" i="1"/>
  <c r="M184" i="1" s="1"/>
  <c r="C186" i="1"/>
  <c r="N239" i="1"/>
  <c r="W180" i="1"/>
  <c r="H171" i="1"/>
  <c r="T126" i="1"/>
  <c r="J189" i="1"/>
  <c r="B189" i="1"/>
  <c r="L131" i="1"/>
  <c r="D195" i="1"/>
  <c r="L172" i="1"/>
  <c r="L231" i="1"/>
  <c r="G216" i="1"/>
  <c r="B218" i="1"/>
  <c r="B250" i="1" s="1"/>
  <c r="U177" i="1"/>
  <c r="D239" i="1"/>
  <c r="Q202" i="1"/>
  <c r="E131" i="1"/>
  <c r="I186" i="1"/>
  <c r="U126" i="1"/>
  <c r="W202" i="1"/>
  <c r="D212" i="1"/>
  <c r="D117" i="1"/>
  <c r="I127" i="1"/>
  <c r="N207" i="1"/>
  <c r="M231" i="1"/>
  <c r="U170" i="1"/>
  <c r="H172" i="1"/>
  <c r="I179" i="1"/>
  <c r="I219" i="1" s="1"/>
  <c r="D131" i="1"/>
  <c r="U180" i="1"/>
  <c r="S231" i="1"/>
  <c r="E218" i="1"/>
  <c r="E250" i="1" s="1"/>
  <c r="E172" i="1"/>
  <c r="V170" i="1"/>
  <c r="M238" i="1"/>
  <c r="P225" i="1"/>
  <c r="E126" i="1"/>
  <c r="F212" i="1"/>
  <c r="I171" i="1"/>
  <c r="C126" i="1"/>
  <c r="U185" i="1"/>
  <c r="B117" i="1"/>
  <c r="T203" i="1"/>
  <c r="T247" i="1" s="1"/>
  <c r="C193" i="1"/>
  <c r="G193" i="1"/>
  <c r="D231" i="1"/>
  <c r="S179" i="1"/>
  <c r="S219" i="1" s="1"/>
  <c r="D189" i="1"/>
  <c r="N215" i="1"/>
  <c r="P126" i="1"/>
  <c r="T238" i="1"/>
  <c r="S170" i="1"/>
  <c r="M172" i="1"/>
  <c r="O172" i="1"/>
  <c r="J178" i="1"/>
  <c r="S130" i="1"/>
  <c r="S177" i="1"/>
  <c r="B188" i="1"/>
  <c r="D218" i="1"/>
  <c r="D250" i="1" s="1"/>
  <c r="N120" i="1"/>
  <c r="B130" i="1"/>
  <c r="K230" i="1"/>
  <c r="H126" i="1"/>
  <c r="K180" i="1"/>
  <c r="B184" i="1"/>
  <c r="K204" i="1"/>
  <c r="L126" i="1"/>
  <c r="P186" i="1"/>
  <c r="V215" i="1"/>
  <c r="V190" i="1"/>
  <c r="Q231" i="1"/>
  <c r="M132" i="1"/>
  <c r="R193" i="1"/>
  <c r="R175" i="1"/>
  <c r="Q239" i="1"/>
  <c r="Q177" i="1"/>
  <c r="P170" i="1"/>
  <c r="W190" i="1"/>
  <c r="P204" i="1"/>
  <c r="N185" i="1"/>
  <c r="V130" i="1"/>
  <c r="Q127" i="1"/>
  <c r="I189" i="1"/>
  <c r="C179" i="1"/>
  <c r="C219" i="1" s="1"/>
  <c r="D132" i="1"/>
  <c r="R202" i="1"/>
  <c r="B131" i="1"/>
  <c r="W171" i="1"/>
  <c r="O132" i="1"/>
  <c r="F189" i="1"/>
  <c r="F216" i="1"/>
  <c r="G180" i="1"/>
  <c r="K221" i="1"/>
  <c r="L170" i="1"/>
  <c r="W215" i="1"/>
  <c r="M216" i="1"/>
  <c r="J215" i="1"/>
  <c r="I202" i="1"/>
  <c r="I246" i="1" s="1"/>
  <c r="F239" i="1"/>
  <c r="D221" i="1"/>
  <c r="K132" i="1"/>
  <c r="N188" i="1"/>
  <c r="N184" i="1" s="1"/>
  <c r="R131" i="1"/>
  <c r="R178" i="1"/>
  <c r="N175" i="1"/>
  <c r="G204" i="1"/>
  <c r="R239" i="1"/>
  <c r="D215" i="1"/>
  <c r="W238" i="1"/>
  <c r="U202" i="1"/>
  <c r="K202" i="1"/>
  <c r="K246" i="1" s="1"/>
  <c r="C218" i="1"/>
  <c r="C250" i="1" s="1"/>
  <c r="E215" i="1"/>
  <c r="H188" i="1"/>
  <c r="H184" i="1" s="1"/>
  <c r="G195" i="1"/>
  <c r="B221" i="1"/>
  <c r="J120" i="1"/>
  <c r="T231" i="1"/>
  <c r="F120" i="1"/>
  <c r="D193" i="1"/>
  <c r="Q126" i="1"/>
  <c r="Q230" i="1"/>
  <c r="J195" i="1"/>
  <c r="T179" i="1"/>
  <c r="T219" i="1" s="1"/>
  <c r="T185" i="1"/>
  <c r="R230" i="1"/>
  <c r="B175" i="1"/>
  <c r="E178" i="1"/>
  <c r="E188" i="1"/>
  <c r="E184" i="1" s="1"/>
  <c r="L216" i="1"/>
  <c r="J190" i="1"/>
  <c r="I204" i="1"/>
  <c r="C188" i="1"/>
  <c r="U218" i="1"/>
  <c r="U250" i="1" s="1"/>
  <c r="H212" i="1"/>
  <c r="F238" i="1"/>
  <c r="P239" i="1"/>
  <c r="V218" i="1"/>
  <c r="V250" i="1" s="1"/>
  <c r="T190" i="1"/>
  <c r="S204" i="1"/>
  <c r="H185" i="1"/>
  <c r="H177" i="1"/>
  <c r="Q186" i="1"/>
  <c r="L230" i="1"/>
  <c r="N195" i="1"/>
  <c r="U193" i="1"/>
  <c r="I185" i="1"/>
  <c r="W120" i="1"/>
  <c r="R189" i="1"/>
  <c r="B172" i="1"/>
  <c r="V237" i="1"/>
  <c r="I130" i="1"/>
  <c r="M207" i="1"/>
  <c r="E189" i="1"/>
  <c r="S189" i="1"/>
  <c r="K175" i="1"/>
  <c r="V131" i="1"/>
  <c r="P178" i="1"/>
  <c r="G212" i="1"/>
  <c r="S178" i="1"/>
  <c r="G237" i="1"/>
  <c r="V171" i="1"/>
  <c r="J171" i="1"/>
  <c r="V230" i="1"/>
  <c r="Q225" i="1"/>
  <c r="U178" i="1"/>
  <c r="H180" i="1"/>
  <c r="D237" i="1"/>
  <c r="F126" i="1"/>
  <c r="S131" i="1"/>
  <c r="Q215" i="1"/>
  <c r="T177" i="1"/>
  <c r="L203" i="1"/>
  <c r="L247" i="1" s="1"/>
  <c r="I132" i="1"/>
  <c r="C204" i="1"/>
  <c r="G179" i="1"/>
  <c r="G219" i="1" s="1"/>
  <c r="P130" i="1"/>
  <c r="F221" i="1"/>
  <c r="H195" i="1"/>
  <c r="C202" i="1"/>
  <c r="C246" i="1" s="1"/>
  <c r="S225" i="1"/>
  <c r="K120" i="1"/>
  <c r="Q203" i="1"/>
  <c r="Q247" i="1" s="1"/>
  <c r="T175" i="1"/>
  <c r="I120" i="1"/>
  <c r="O207" i="1"/>
  <c r="B186" i="1"/>
  <c r="W127" i="1"/>
  <c r="O177" i="1"/>
  <c r="K203" i="1"/>
  <c r="K247" i="1" s="1"/>
  <c r="Q185" i="1"/>
  <c r="U120" i="1"/>
  <c r="W177" i="1"/>
  <c r="C230" i="1"/>
  <c r="K193" i="1"/>
  <c r="T226" i="1"/>
  <c r="N179" i="1"/>
  <c r="N219" i="1" s="1"/>
  <c r="B177" i="1"/>
  <c r="V180" i="1"/>
  <c r="C216" i="1"/>
  <c r="K177" i="1"/>
  <c r="U188" i="1"/>
  <c r="U184" i="1" s="1"/>
  <c r="E230" i="1"/>
  <c r="V238" i="1"/>
  <c r="Q237" i="1"/>
  <c r="M202" i="1"/>
  <c r="M246" i="1" s="1"/>
  <c r="E202" i="1"/>
  <c r="E246" i="1" s="1"/>
  <c r="D190" i="1"/>
  <c r="L226" i="1"/>
  <c r="D170" i="1"/>
  <c r="U127" i="1"/>
  <c r="E195" i="1"/>
  <c r="J238" i="1"/>
  <c r="Q179" i="1"/>
  <c r="Q219" i="1" s="1"/>
  <c r="C117" i="1"/>
  <c r="Q132" i="1"/>
  <c r="N237" i="1"/>
  <c r="G170" i="1"/>
  <c r="J179" i="1"/>
  <c r="J219" i="1" s="1"/>
  <c r="M195" i="1"/>
  <c r="O170" i="1"/>
  <c r="P238" i="1"/>
  <c r="M170" i="1"/>
  <c r="O226" i="1"/>
  <c r="R132" i="1"/>
  <c r="B171" i="1"/>
  <c r="V189" i="1"/>
  <c r="S237" i="1"/>
  <c r="O225" i="1"/>
  <c r="H131" i="1"/>
  <c r="D204" i="1"/>
  <c r="R185" i="1"/>
  <c r="K170" i="1"/>
  <c r="L127" i="1"/>
  <c r="J177" i="1"/>
  <c r="S218" i="1"/>
  <c r="S250" i="1" s="1"/>
  <c r="V231" i="1"/>
  <c r="E130" i="1"/>
  <c r="T180" i="1"/>
  <c r="O130" i="1"/>
  <c r="B202" i="1"/>
  <c r="B246" i="1" s="1"/>
  <c r="L188" i="1"/>
  <c r="L184" i="1" s="1"/>
  <c r="L175" i="1"/>
  <c r="V179" i="1"/>
  <c r="V219" i="1" s="1"/>
  <c r="N130" i="1"/>
  <c r="R126" i="1"/>
  <c r="O195" i="1"/>
  <c r="U215" i="1"/>
  <c r="O218" i="1"/>
  <c r="O250" i="1" s="1"/>
  <c r="N171" i="1"/>
  <c r="G238" i="1"/>
  <c r="R204" i="1"/>
  <c r="Q221" i="1"/>
  <c r="K172" i="1"/>
  <c r="P189" i="1"/>
  <c r="C195" i="1"/>
  <c r="N231" i="1"/>
  <c r="P203" i="1"/>
  <c r="P247" i="1" s="1"/>
  <c r="G188" i="1"/>
  <c r="G184" i="1" s="1"/>
  <c r="M178" i="1"/>
  <c r="D116" i="1"/>
  <c r="C120" i="1"/>
  <c r="P202" i="1"/>
  <c r="F178" i="1"/>
  <c r="E216" i="1"/>
  <c r="V177" i="1"/>
  <c r="U216" i="1"/>
  <c r="O179" i="1"/>
  <c r="O219" i="1" s="1"/>
  <c r="V225" i="1"/>
  <c r="K212" i="1"/>
  <c r="E171" i="1"/>
  <c r="E179" i="1"/>
  <c r="E219" i="1" s="1"/>
  <c r="V203" i="1"/>
  <c r="V247" i="1" s="1"/>
  <c r="R226" i="1"/>
  <c r="T193" i="1"/>
  <c r="U226" i="1"/>
  <c r="P216" i="1"/>
  <c r="I221" i="1"/>
  <c r="I225" i="1"/>
  <c r="K127" i="1"/>
  <c r="O126" i="1"/>
  <c r="I177" i="1"/>
  <c r="K215" i="1"/>
  <c r="D172" i="1"/>
  <c r="N172" i="1"/>
  <c r="B230" i="1"/>
  <c r="H203" i="1"/>
  <c r="H247" i="1" s="1"/>
  <c r="K195" i="1"/>
  <c r="N221" i="1"/>
  <c r="D177" i="1"/>
  <c r="N193" i="1"/>
  <c r="J175" i="1"/>
  <c r="T178" i="1"/>
  <c r="B193" i="1"/>
  <c r="Q180" i="1"/>
  <c r="Q120" i="1"/>
  <c r="P230" i="1"/>
  <c r="J207" i="1"/>
  <c r="I216" i="1"/>
  <c r="Q171" i="1"/>
  <c r="B195" i="1"/>
  <c r="W239" i="1"/>
  <c r="H127" i="1"/>
  <c r="R172" i="1"/>
  <c r="C221" i="1"/>
  <c r="L218" i="1"/>
  <c r="L250" i="1" s="1"/>
  <c r="P193" i="1"/>
  <c r="E193" i="1"/>
  <c r="T189" i="1"/>
  <c r="K178" i="1"/>
  <c r="P190" i="1"/>
  <c r="V193" i="1"/>
  <c r="E231" i="1"/>
  <c r="I207" i="1"/>
  <c r="W132" i="1"/>
  <c r="O131" i="1"/>
  <c r="N226" i="1"/>
  <c r="Q204" i="1"/>
  <c r="U172" i="1"/>
  <c r="D230" i="1"/>
  <c r="T170" i="1"/>
  <c r="H202" i="1"/>
  <c r="E238" i="1"/>
  <c r="O171" i="1"/>
  <c r="P179" i="1"/>
  <c r="P219" i="1" s="1"/>
  <c r="V127" i="1"/>
  <c r="E221" i="1"/>
  <c r="Q178" i="1"/>
  <c r="M131" i="1"/>
  <c r="K189" i="1"/>
  <c r="R188" i="1"/>
  <c r="R184" i="1" s="1"/>
  <c r="E170" i="1"/>
  <c r="C185" i="1"/>
  <c r="Q130" i="1"/>
  <c r="O193" i="1"/>
  <c r="H216" i="1"/>
  <c r="C175" i="1"/>
  <c r="K126" i="1"/>
  <c r="M126" i="1"/>
  <c r="L202" i="1"/>
  <c r="L246" i="1" s="1"/>
  <c r="M226" i="1"/>
  <c r="W186" i="1"/>
  <c r="H231" i="1"/>
  <c r="S171" i="1"/>
  <c r="S238" i="1"/>
  <c r="J132" i="1"/>
  <c r="K216" i="1"/>
  <c r="O190" i="1"/>
  <c r="O204" i="1"/>
  <c r="W221" i="1"/>
  <c r="I231" i="1"/>
  <c r="D186" i="1"/>
  <c r="S172" i="1"/>
  <c r="S190" i="1"/>
  <c r="C231" i="1"/>
  <c r="F127" i="1"/>
  <c r="V172" i="1"/>
  <c r="G226" i="1"/>
  <c r="G126" i="1"/>
  <c r="T225" i="1"/>
  <c r="B237" i="1"/>
  <c r="C178" i="1"/>
  <c r="C212" i="1"/>
  <c r="C132" i="1"/>
  <c r="B190" i="1"/>
  <c r="V221" i="1"/>
  <c r="F175" i="1"/>
  <c r="S215" i="1"/>
  <c r="N218" i="1"/>
  <c r="N250" i="1" s="1"/>
  <c r="F177" i="1"/>
  <c r="H207" i="1"/>
  <c r="L221" i="1"/>
  <c r="R237" i="1"/>
  <c r="H218" i="1"/>
  <c r="H250" i="1" s="1"/>
  <c r="E185" i="1"/>
  <c r="L212" i="1"/>
  <c r="C184" i="1"/>
  <c r="I239" i="1"/>
  <c r="I226" i="1"/>
  <c r="J204" i="1"/>
  <c r="N230" i="1"/>
  <c r="M239" i="1"/>
  <c r="Q238" i="1"/>
  <c r="J216" i="1"/>
  <c r="U225" i="1"/>
  <c r="P185" i="1"/>
  <c r="H193" i="1"/>
  <c r="B178" i="1"/>
  <c r="H237" i="1"/>
  <c r="R203" i="1"/>
  <c r="R247" i="1" s="1"/>
  <c r="E207" i="1"/>
  <c r="W230" i="1"/>
  <c r="H170" i="1"/>
  <c r="U179" i="1"/>
  <c r="U219" i="1" s="1"/>
  <c r="T202" i="1"/>
  <c r="G178" i="1"/>
  <c r="I212" i="1"/>
  <c r="C237" i="1"/>
  <c r="M212" i="1"/>
  <c r="O185" i="1"/>
  <c r="Q226" i="1"/>
  <c r="N202" i="1"/>
  <c r="L207" i="1"/>
  <c r="J202" i="1"/>
  <c r="J246" i="1" s="1"/>
  <c r="J230" i="1"/>
  <c r="R215" i="1"/>
  <c r="I170" i="1"/>
  <c r="N225" i="1"/>
  <c r="I195" i="1"/>
  <c r="N170" i="1"/>
  <c r="K239" i="1"/>
  <c r="H130" i="1"/>
  <c r="D188" i="1"/>
  <c r="I193" i="1"/>
  <c r="V185" i="1"/>
  <c r="J239" i="1"/>
  <c r="N131" i="1"/>
  <c r="H178" i="1"/>
  <c r="E226" i="1"/>
  <c r="E228" i="1" s="1"/>
  <c r="F276" i="1" s="1"/>
  <c r="E127" i="1"/>
  <c r="O189" i="1"/>
  <c r="S226" i="1"/>
  <c r="G120" i="1"/>
  <c r="I180" i="1"/>
  <c r="F203" i="1"/>
  <c r="F247" i="1" s="1"/>
  <c r="H190" i="1"/>
  <c r="G127" i="1"/>
  <c r="L179" i="1"/>
  <c r="L219" i="1" s="1"/>
  <c r="U186" i="1"/>
  <c r="L120" i="1"/>
  <c r="N189" i="1"/>
  <c r="U230" i="1"/>
  <c r="F131" i="1"/>
  <c r="J188" i="1"/>
  <c r="J184" i="1" s="1"/>
  <c r="F130" i="1"/>
  <c r="B212" i="1"/>
  <c r="E120" i="1"/>
  <c r="D202" i="1"/>
  <c r="D246" i="1" s="1"/>
  <c r="D216" i="1"/>
  <c r="E132" i="1"/>
  <c r="I126" i="1"/>
  <c r="P132" i="1"/>
  <c r="H189" i="1"/>
  <c r="K179" i="1"/>
  <c r="K219" i="1" s="1"/>
  <c r="U131" i="1"/>
  <c r="O186" i="1"/>
  <c r="D184" i="1"/>
  <c r="W225" i="1"/>
  <c r="D185" i="1"/>
  <c r="R221" i="1"/>
  <c r="G225" i="1"/>
  <c r="M180" i="1"/>
  <c r="Q188" i="1"/>
  <c r="Q184" i="1" s="1"/>
  <c r="B170" i="1"/>
  <c r="G186" i="1"/>
  <c r="K131" i="1"/>
  <c r="P120" i="1"/>
  <c r="S127" i="1"/>
  <c r="V239" i="1"/>
  <c r="M175" i="1"/>
  <c r="S203" i="1"/>
  <c r="S247" i="1" s="1"/>
  <c r="Q216" i="1"/>
  <c r="J212" i="1"/>
  <c r="V132" i="1"/>
  <c r="S186" i="1"/>
  <c r="M189" i="1"/>
  <c r="H226" i="1"/>
  <c r="M237" i="1"/>
  <c r="E177" i="1"/>
  <c r="K238" i="1"/>
  <c r="M186" i="1"/>
  <c r="D120" i="1"/>
  <c r="K225" i="1"/>
  <c r="W130" i="1"/>
  <c r="Q170" i="1"/>
  <c r="W231" i="1"/>
  <c r="P237" i="1"/>
  <c r="R190" i="1"/>
  <c r="I131" i="1"/>
  <c r="U237" i="1"/>
  <c r="E212" i="1"/>
  <c r="I172" i="1"/>
  <c r="F193" i="1"/>
  <c r="T171" i="1"/>
  <c r="C239" i="1"/>
  <c r="K185" i="1"/>
  <c r="L237" i="1"/>
  <c r="C226" i="1"/>
  <c r="J218" i="1"/>
  <c r="J250" i="1" s="1"/>
  <c r="H186" i="1"/>
  <c r="L239" i="1"/>
  <c r="H230" i="1"/>
  <c r="R130" i="1"/>
  <c r="K237" i="1"/>
  <c r="W193" i="1"/>
  <c r="F132" i="1"/>
  <c r="N238" i="1"/>
  <c r="C207" i="1"/>
  <c r="O202" i="1"/>
  <c r="O246" i="1" s="1"/>
  <c r="F195" i="1"/>
  <c r="T218" i="1"/>
  <c r="T250" i="1" s="1"/>
  <c r="R179" i="1"/>
  <c r="R219" i="1" s="1"/>
  <c r="M215" i="1"/>
  <c r="D225" i="1"/>
  <c r="J131" i="1"/>
  <c r="C215" i="1"/>
  <c r="H132" i="1"/>
  <c r="H238" i="1"/>
  <c r="K188" i="1"/>
  <c r="K184" i="1" s="1"/>
  <c r="S202" i="1"/>
  <c r="N178" i="1"/>
  <c r="O237" i="1"/>
  <c r="H221" i="1"/>
  <c r="F225" i="1"/>
  <c r="W203" i="1"/>
  <c r="L178" i="1"/>
  <c r="O231" i="1"/>
  <c r="O215" i="1"/>
  <c r="F172" i="1"/>
  <c r="O238" i="1"/>
  <c r="Q190" i="1"/>
  <c r="G215" i="1"/>
  <c r="P231" i="1"/>
  <c r="K218" i="1"/>
  <c r="K250" i="1" s="1"/>
  <c r="O127" i="1"/>
  <c r="D130" i="1"/>
  <c r="N203" i="1"/>
  <c r="N247" i="1" s="1"/>
  <c r="S132" i="1"/>
  <c r="U130" i="1"/>
  <c r="J225" i="1"/>
  <c r="G172" i="1"/>
  <c r="S175" i="1"/>
  <c r="L193" i="1"/>
  <c r="T230" i="1"/>
  <c r="N180" i="1"/>
  <c r="U171" i="1"/>
  <c r="P127" i="1"/>
  <c r="P175" i="1"/>
  <c r="F170" i="1"/>
  <c r="T221" i="1"/>
  <c r="D238" i="1"/>
  <c r="U190" i="1"/>
  <c r="N127" i="1"/>
  <c r="P172" i="1"/>
  <c r="I218" i="1"/>
  <c r="I250" i="1" s="1"/>
  <c r="T216" i="1"/>
  <c r="M179" i="1"/>
  <c r="J180" i="1"/>
  <c r="V178" i="1"/>
  <c r="O212" i="1"/>
  <c r="G131" i="1"/>
  <c r="J127" i="1"/>
  <c r="L130" i="1"/>
  <c r="G231" i="1"/>
  <c r="U221" i="1"/>
  <c r="AQ60" i="1"/>
  <c r="BV74" i="1"/>
  <c r="BW60" i="1"/>
  <c r="BE74" i="1"/>
  <c r="BA60" i="1"/>
  <c r="BN60" i="1"/>
  <c r="BD60" i="1"/>
  <c r="AS74" i="1"/>
  <c r="AR74" i="1"/>
  <c r="BP74" i="1"/>
  <c r="AW60" i="1"/>
  <c r="BC60" i="1"/>
  <c r="BB74" i="1"/>
  <c r="AW74" i="1"/>
  <c r="BG60" i="1"/>
  <c r="BM60" i="1"/>
  <c r="BI74" i="1"/>
  <c r="BT74" i="1"/>
  <c r="AZ60" i="1"/>
  <c r="AI60" i="1"/>
  <c r="BF74" i="1"/>
  <c r="AO60" i="1"/>
  <c r="BV60" i="1"/>
  <c r="BF60" i="1"/>
  <c r="AX74" i="1"/>
  <c r="BH99" i="1"/>
  <c r="AP60" i="1"/>
  <c r="BE60" i="1"/>
  <c r="BO60" i="1"/>
  <c r="AZ74" i="1"/>
  <c r="BJ74" i="1"/>
  <c r="BJ79" i="1" s="1"/>
  <c r="AU100" i="1"/>
  <c r="BD74" i="1"/>
  <c r="AY74" i="1"/>
  <c r="BR74" i="1"/>
  <c r="BK60" i="1"/>
  <c r="BQ60" i="1"/>
  <c r="AP74" i="1"/>
  <c r="BS60" i="1"/>
  <c r="AO74" i="1"/>
  <c r="BW74" i="1"/>
  <c r="AQ74" i="1"/>
  <c r="AV74" i="1"/>
  <c r="BM74" i="1"/>
  <c r="BP60" i="1"/>
  <c r="BG74" i="1"/>
  <c r="BH74" i="1"/>
  <c r="AT74" i="1"/>
  <c r="AN74" i="1"/>
  <c r="BS74" i="1"/>
  <c r="BU74" i="1"/>
  <c r="BO74" i="1"/>
  <c r="BJ60" i="1"/>
  <c r="BJ61" i="1" s="1"/>
  <c r="BC74" i="1"/>
  <c r="BK74" i="1"/>
  <c r="BQ74" i="1"/>
  <c r="AU74" i="1"/>
  <c r="BN74" i="1"/>
  <c r="BA74" i="1"/>
  <c r="AI74" i="1"/>
  <c r="AN60" i="1"/>
  <c r="BH60" i="1"/>
  <c r="AW100" i="1"/>
  <c r="AV60" i="1"/>
  <c r="AR60" i="1"/>
  <c r="BR60" i="1"/>
  <c r="AT60" i="1"/>
  <c r="BT60" i="1"/>
  <c r="BI60" i="1"/>
  <c r="BU60" i="1"/>
  <c r="AX60" i="1"/>
  <c r="AS60" i="1"/>
  <c r="AU60" i="1"/>
  <c r="BB60" i="1"/>
  <c r="AV100" i="1"/>
  <c r="AY60" i="1"/>
  <c r="BH197" i="1"/>
  <c r="BI197" i="1" s="1"/>
  <c r="BV190" i="1"/>
  <c r="BW190" i="1" s="1"/>
  <c r="BV197" i="1"/>
  <c r="BW197" i="1" s="1"/>
  <c r="BH190" i="1"/>
  <c r="BI190" i="1" s="1"/>
  <c r="AV85" i="1"/>
  <c r="AV261" i="1" s="1"/>
  <c r="BA72" i="1"/>
  <c r="BF75" i="1"/>
  <c r="AY89" i="1"/>
  <c r="BU104" i="1"/>
  <c r="AQ72" i="1"/>
  <c r="BE64" i="1"/>
  <c r="AP100" i="1"/>
  <c r="AQ89" i="1"/>
  <c r="AU75" i="1"/>
  <c r="BG100" i="1"/>
  <c r="AW78" i="1"/>
  <c r="AY77" i="1"/>
  <c r="AW72" i="1"/>
  <c r="BJ92" i="1"/>
  <c r="AR98" i="1"/>
  <c r="BV99" i="1"/>
  <c r="AQ75" i="1"/>
  <c r="BM92" i="1"/>
  <c r="BK100" i="1"/>
  <c r="BK65" i="1"/>
  <c r="BF71" i="1"/>
  <c r="AW104" i="1"/>
  <c r="BJ126" i="1"/>
  <c r="BG92" i="1"/>
  <c r="BH230" i="1"/>
  <c r="BI230" i="1" s="1"/>
  <c r="BU59" i="1"/>
  <c r="BU298" i="1" s="1"/>
  <c r="BQ71" i="1"/>
  <c r="AQ66" i="1"/>
  <c r="BS78" i="1"/>
  <c r="AX66" i="1"/>
  <c r="BS85" i="1"/>
  <c r="BS261" i="1" s="1"/>
  <c r="BH193" i="1"/>
  <c r="BI193" i="1" s="1"/>
  <c r="BJ269" i="1" s="1"/>
  <c r="BC75" i="1"/>
  <c r="BB72" i="1"/>
  <c r="AI66" i="1"/>
  <c r="BM89" i="1"/>
  <c r="BG99" i="1"/>
  <c r="AS104" i="1"/>
  <c r="BB88" i="1"/>
  <c r="BB104" i="1"/>
  <c r="AR99" i="1"/>
  <c r="AU65" i="1"/>
  <c r="BD59" i="1"/>
  <c r="AP66" i="1"/>
  <c r="BB100" i="1"/>
  <c r="BV178" i="1"/>
  <c r="BW178" i="1" s="1"/>
  <c r="BM75" i="1"/>
  <c r="BK99" i="1"/>
  <c r="BK71" i="1"/>
  <c r="AT88" i="1"/>
  <c r="BW89" i="1"/>
  <c r="BI77" i="1"/>
  <c r="BJ98" i="1"/>
  <c r="AS85" i="1"/>
  <c r="AT89" i="1"/>
  <c r="BQ78" i="1"/>
  <c r="AT72" i="1"/>
  <c r="BT66" i="1"/>
  <c r="BH225" i="1"/>
  <c r="BI64" i="1"/>
  <c r="BE65" i="1"/>
  <c r="AY75" i="1"/>
  <c r="BH231" i="1"/>
  <c r="BI231" i="1" s="1"/>
  <c r="BH126" i="1"/>
  <c r="AP99" i="1"/>
  <c r="BH195" i="1"/>
  <c r="AY85" i="1"/>
  <c r="AY261" i="1" s="1"/>
  <c r="AR65" i="1"/>
  <c r="BP92" i="1"/>
  <c r="BE99" i="1"/>
  <c r="AQ98" i="1"/>
  <c r="BB77" i="1"/>
  <c r="BW64" i="1"/>
  <c r="BC72" i="1"/>
  <c r="BD104" i="1"/>
  <c r="BO92" i="1"/>
  <c r="AI92" i="1"/>
  <c r="BI66" i="1"/>
  <c r="BQ59" i="1"/>
  <c r="BF104" i="1"/>
  <c r="AV75" i="1"/>
  <c r="AT66" i="1"/>
  <c r="BT104" i="1"/>
  <c r="AQ71" i="1"/>
  <c r="BS99" i="1"/>
  <c r="BB85" i="1"/>
  <c r="BH204" i="1"/>
  <c r="BI204" i="1" s="1"/>
  <c r="BV172" i="1"/>
  <c r="BT77" i="1"/>
  <c r="BQ100" i="1"/>
  <c r="BV171" i="1"/>
  <c r="BW171" i="1" s="1"/>
  <c r="BN59" i="1"/>
  <c r="BR88" i="1"/>
  <c r="BU99" i="1"/>
  <c r="AX98" i="1"/>
  <c r="AN65" i="1"/>
  <c r="AT65" i="1"/>
  <c r="BK77" i="1"/>
  <c r="BJ88" i="1"/>
  <c r="AP75" i="1"/>
  <c r="AX65" i="1"/>
  <c r="BR75" i="1"/>
  <c r="BM99" i="1"/>
  <c r="BP104" i="1"/>
  <c r="BA92" i="1"/>
  <c r="BM66" i="1"/>
  <c r="BQ89" i="1"/>
  <c r="AZ104" i="1"/>
  <c r="BE92" i="1"/>
  <c r="AI100" i="1"/>
  <c r="BU100" i="1"/>
  <c r="BB99" i="1"/>
  <c r="BF78" i="1"/>
  <c r="BD78" i="1"/>
  <c r="BM71" i="1"/>
  <c r="BT71" i="1"/>
  <c r="BQ85" i="1"/>
  <c r="BQ261" i="1" s="1"/>
  <c r="AS75" i="1"/>
  <c r="AJ126" i="1"/>
  <c r="BP99" i="1"/>
  <c r="AW64" i="1"/>
  <c r="AV65" i="1"/>
  <c r="BI65" i="1"/>
  <c r="AS78" i="1"/>
  <c r="BI98" i="1"/>
  <c r="BP64" i="1"/>
  <c r="AZ78" i="1"/>
  <c r="AY92" i="1"/>
  <c r="BH71" i="1"/>
  <c r="BA78" i="1"/>
  <c r="BF72" i="1"/>
  <c r="BC89" i="1"/>
  <c r="BW72" i="1"/>
  <c r="BR85" i="1"/>
  <c r="AX71" i="1"/>
  <c r="BS64" i="1"/>
  <c r="BQ77" i="1"/>
  <c r="BE77" i="1"/>
  <c r="BP59" i="1"/>
  <c r="BP298" i="1" s="1"/>
  <c r="AO72" i="1"/>
  <c r="BV216" i="1"/>
  <c r="BW216" i="1" s="1"/>
  <c r="BA64" i="1"/>
  <c r="BV104" i="1"/>
  <c r="AY64" i="1"/>
  <c r="BI99" i="1"/>
  <c r="BH207" i="1"/>
  <c r="BI207" i="1" s="1"/>
  <c r="BN78" i="1"/>
  <c r="AS71" i="1"/>
  <c r="AW66" i="1"/>
  <c r="AU98" i="1"/>
  <c r="AI64" i="1"/>
  <c r="AT59" i="1"/>
  <c r="BT100" i="1"/>
  <c r="BE104" i="1"/>
  <c r="BR78" i="1"/>
  <c r="BA71" i="1"/>
  <c r="AI71" i="1"/>
  <c r="BD72" i="1"/>
  <c r="AN92" i="1"/>
  <c r="BW99" i="1"/>
  <c r="AY59" i="1"/>
  <c r="BW66" i="1"/>
  <c r="AM98" i="1"/>
  <c r="AT71" i="1"/>
  <c r="BE75" i="1"/>
  <c r="AR64" i="1"/>
  <c r="BM65" i="1"/>
  <c r="BC88" i="1"/>
  <c r="BG85" i="1"/>
  <c r="BG261" i="1" s="1"/>
  <c r="AZ92" i="1"/>
  <c r="BH77" i="1"/>
  <c r="BJ104" i="1"/>
  <c r="BS104" i="1"/>
  <c r="BR99" i="1"/>
  <c r="BE100" i="1"/>
  <c r="AY78" i="1"/>
  <c r="BV215" i="1"/>
  <c r="BW215" i="1" s="1"/>
  <c r="BV92" i="1"/>
  <c r="BQ104" i="1"/>
  <c r="AI99" i="1"/>
  <c r="AN100" i="1"/>
  <c r="AQ100" i="1"/>
  <c r="BW71" i="1"/>
  <c r="AO66" i="1"/>
  <c r="AW65" i="1"/>
  <c r="BR66" i="1"/>
  <c r="BH72" i="1"/>
  <c r="BH75" i="1"/>
  <c r="AI78" i="1"/>
  <c r="BO100" i="1"/>
  <c r="BO72" i="1"/>
  <c r="AP85" i="1"/>
  <c r="AQ85" i="1"/>
  <c r="BT78" i="1"/>
  <c r="AY100" i="1"/>
  <c r="BV219" i="1"/>
  <c r="BW219" i="1" s="1"/>
  <c r="AZ77" i="1"/>
  <c r="BK88" i="1"/>
  <c r="BH127" i="1"/>
  <c r="BH85" i="1"/>
  <c r="BH261" i="1" s="1"/>
  <c r="AT78" i="1"/>
  <c r="BV185" i="1"/>
  <c r="BR104" i="1"/>
  <c r="BP100" i="1"/>
  <c r="AN88" i="1"/>
  <c r="BS77" i="1"/>
  <c r="AX104" i="1"/>
  <c r="AZ64" i="1"/>
  <c r="BB75" i="1"/>
  <c r="AW89" i="1"/>
  <c r="BD66" i="1"/>
  <c r="BN85" i="1"/>
  <c r="BM59" i="1"/>
  <c r="AO65" i="1"/>
  <c r="BK72" i="1"/>
  <c r="BN65" i="1"/>
  <c r="BH59" i="1"/>
  <c r="BH298" i="1" s="1"/>
  <c r="BA89" i="1"/>
  <c r="BH170" i="1"/>
  <c r="BA104" i="1"/>
  <c r="BH104" i="1"/>
  <c r="AP88" i="1"/>
  <c r="BI72" i="1"/>
  <c r="BS88" i="1"/>
  <c r="BN64" i="1"/>
  <c r="AY88" i="1"/>
  <c r="AV71" i="1"/>
  <c r="BW100" i="1"/>
  <c r="BO78" i="1"/>
  <c r="BO75" i="1"/>
  <c r="BB64" i="1"/>
  <c r="BI100" i="1"/>
  <c r="AN89" i="1"/>
  <c r="AU64" i="1"/>
  <c r="BT92" i="1"/>
  <c r="BQ98" i="1"/>
  <c r="BG77" i="1"/>
  <c r="BU89" i="1"/>
  <c r="BV175" i="1"/>
  <c r="BW175" i="1" s="1"/>
  <c r="BQ88" i="1"/>
  <c r="BO85" i="1"/>
  <c r="BO261" i="1" s="1"/>
  <c r="BG78" i="1"/>
  <c r="BV225" i="1"/>
  <c r="AM126" i="1"/>
  <c r="BO104" i="1"/>
  <c r="AO92" i="1"/>
  <c r="BV78" i="1"/>
  <c r="BH171" i="1"/>
  <c r="BI171" i="1" s="1"/>
  <c r="BS59" i="1"/>
  <c r="BS298" i="1" s="1"/>
  <c r="BH89" i="1"/>
  <c r="AZ65" i="1"/>
  <c r="BV207" i="1"/>
  <c r="BW207" i="1" s="1"/>
  <c r="BG75" i="1"/>
  <c r="AQ78" i="1"/>
  <c r="AP59" i="1"/>
  <c r="AP298" i="1" s="1"/>
  <c r="AO64" i="1"/>
  <c r="BD88" i="1"/>
  <c r="BD92" i="1"/>
  <c r="BW98" i="1"/>
  <c r="BR65" i="1"/>
  <c r="AT92" i="1"/>
  <c r="BT75" i="1"/>
  <c r="BU72" i="1"/>
  <c r="AN99" i="1"/>
  <c r="AZ59" i="1"/>
  <c r="AN77" i="1"/>
  <c r="BV66" i="1"/>
  <c r="AQ65" i="1"/>
  <c r="BP85" i="1"/>
  <c r="BI75" i="1"/>
  <c r="BA98" i="1"/>
  <c r="AZ100" i="1"/>
  <c r="BV212" i="1"/>
  <c r="BW212" i="1" s="1"/>
  <c r="BW85" i="1"/>
  <c r="BW261" i="1" s="1"/>
  <c r="AV66" i="1"/>
  <c r="AO78" i="1"/>
  <c r="BO88" i="1"/>
  <c r="BM88" i="1"/>
  <c r="AP64" i="1"/>
  <c r="AS65" i="1"/>
  <c r="BG66" i="1"/>
  <c r="BV230" i="1"/>
  <c r="BW230" i="1" s="1"/>
  <c r="BV126" i="1"/>
  <c r="AQ64" i="1"/>
  <c r="AX75" i="1"/>
  <c r="BV195" i="1"/>
  <c r="BK59" i="1"/>
  <c r="AR100" i="1"/>
  <c r="AU66" i="1"/>
  <c r="BT64" i="1"/>
  <c r="AI59" i="1"/>
  <c r="BU92" i="1"/>
  <c r="BC99" i="1"/>
  <c r="BA100" i="1"/>
  <c r="BD100" i="1"/>
  <c r="BW65" i="1"/>
  <c r="BV72" i="1"/>
  <c r="BG71" i="1"/>
  <c r="AO98" i="1"/>
  <c r="BN99" i="1"/>
  <c r="AW85" i="1"/>
  <c r="AW261" i="1" s="1"/>
  <c r="BC64" i="1"/>
  <c r="AM127" i="1"/>
  <c r="BS98" i="1"/>
  <c r="BU71" i="1"/>
  <c r="BU88" i="1"/>
  <c r="BN100" i="1"/>
  <c r="BH216" i="1"/>
  <c r="BI216" i="1" s="1"/>
  <c r="BR100" i="1"/>
  <c r="BA59" i="1"/>
  <c r="BA298" i="1" s="1"/>
  <c r="AZ71" i="1"/>
  <c r="BO89" i="1"/>
  <c r="AI75" i="1"/>
  <c r="BE88" i="1"/>
  <c r="AW59" i="1"/>
  <c r="BP65" i="1"/>
  <c r="BR98" i="1"/>
  <c r="AR77" i="1"/>
  <c r="BF88" i="1"/>
  <c r="BV231" i="1"/>
  <c r="BW231" i="1" s="1"/>
  <c r="BT72" i="1"/>
  <c r="AR72" i="1"/>
  <c r="BO99" i="1"/>
  <c r="BA88" i="1"/>
  <c r="AZ66" i="1"/>
  <c r="AV99" i="1"/>
  <c r="BQ75" i="1"/>
  <c r="AX85" i="1"/>
  <c r="AX261" i="1" s="1"/>
  <c r="AO59" i="1"/>
  <c r="BV77" i="1"/>
  <c r="AJ127" i="1"/>
  <c r="BC71" i="1"/>
  <c r="BI71" i="1"/>
  <c r="BA85" i="1"/>
  <c r="BS72" i="1"/>
  <c r="AO104" i="1"/>
  <c r="BB59" i="1"/>
  <c r="AV72" i="1"/>
  <c r="BW88" i="1"/>
  <c r="BK85" i="1"/>
  <c r="AO75" i="1"/>
  <c r="AW77" i="1"/>
  <c r="BE71" i="1"/>
  <c r="BR89" i="1"/>
  <c r="BS92" i="1"/>
  <c r="AV88" i="1"/>
  <c r="BU78" i="1"/>
  <c r="BH172" i="1"/>
  <c r="BR59" i="1"/>
  <c r="BR298" i="1" s="1"/>
  <c r="BH219" i="1"/>
  <c r="BI219" i="1" s="1"/>
  <c r="BM78" i="1"/>
  <c r="BN98" i="1"/>
  <c r="AU59" i="1"/>
  <c r="BC104" i="1"/>
  <c r="AX100" i="1"/>
  <c r="BI85" i="1"/>
  <c r="BM98" i="1"/>
  <c r="BW75" i="1"/>
  <c r="AP77" i="1"/>
  <c r="BA99" i="1"/>
  <c r="BN92" i="1"/>
  <c r="AR85" i="1"/>
  <c r="AR261" i="1" s="1"/>
  <c r="BI88" i="1"/>
  <c r="BU65" i="1"/>
  <c r="AK127" i="1"/>
  <c r="BT85" i="1"/>
  <c r="AI104" i="1"/>
  <c r="BJ100" i="1"/>
  <c r="AX64" i="1"/>
  <c r="AR88" i="1"/>
  <c r="BI89" i="1"/>
  <c r="AP92" i="1"/>
  <c r="AZ75" i="1"/>
  <c r="BQ99" i="1"/>
  <c r="AN64" i="1"/>
  <c r="AR104" i="1"/>
  <c r="BV170" i="1"/>
  <c r="AV104" i="1"/>
  <c r="AN78" i="1"/>
  <c r="AQ104" i="1"/>
  <c r="BK92" i="1"/>
  <c r="BH65" i="1"/>
  <c r="AV92" i="1"/>
  <c r="BC66" i="1"/>
  <c r="AO99" i="1"/>
  <c r="AT85" i="1"/>
  <c r="AT261" i="1" s="1"/>
  <c r="BH180" i="1"/>
  <c r="BI180" i="1" s="1"/>
  <c r="AW75" i="1"/>
  <c r="BD89" i="1"/>
  <c r="BH212" i="1"/>
  <c r="AV77" i="1"/>
  <c r="AI77" i="1"/>
  <c r="AT104" i="1"/>
  <c r="AN104" i="1"/>
  <c r="BR72" i="1"/>
  <c r="AR78" i="1"/>
  <c r="BR77" i="1"/>
  <c r="BH217" i="1"/>
  <c r="BI217" i="1" s="1"/>
  <c r="BP78" i="1"/>
  <c r="BF92" i="1"/>
  <c r="BU66" i="1"/>
  <c r="BR92" i="1"/>
  <c r="BH92" i="1"/>
  <c r="AI98" i="1"/>
  <c r="AU89" i="1"/>
  <c r="BH221" i="1"/>
  <c r="BI221" i="1" s="1"/>
  <c r="AR71" i="1"/>
  <c r="BV186" i="1"/>
  <c r="BQ64" i="1"/>
  <c r="BU98" i="1"/>
  <c r="BG64" i="1"/>
  <c r="BH100" i="1"/>
  <c r="BI59" i="1"/>
  <c r="BI298" i="1" s="1"/>
  <c r="BW104" i="1"/>
  <c r="AS59" i="1"/>
  <c r="AS298" i="1" s="1"/>
  <c r="BH185" i="1"/>
  <c r="BB89" i="1"/>
  <c r="BW77" i="1"/>
  <c r="BK78" i="1"/>
  <c r="BA75" i="1"/>
  <c r="BG88" i="1"/>
  <c r="BU64" i="1"/>
  <c r="AN71" i="1"/>
  <c r="BP66" i="1"/>
  <c r="BJ89" i="1"/>
  <c r="BJ319" i="1" s="1"/>
  <c r="BO98" i="1"/>
  <c r="BU85" i="1"/>
  <c r="BH179" i="1"/>
  <c r="BI179" i="1" s="1"/>
  <c r="AO89" i="1"/>
  <c r="AQ59" i="1"/>
  <c r="AQ298" i="1" s="1"/>
  <c r="AQ77" i="1"/>
  <c r="BV204" i="1"/>
  <c r="BW204" i="1" s="1"/>
  <c r="BP98" i="1"/>
  <c r="BV218" i="1"/>
  <c r="BC59" i="1"/>
  <c r="BC298" i="1" s="1"/>
  <c r="BB66" i="1"/>
  <c r="BV217" i="1"/>
  <c r="BW217" i="1" s="1"/>
  <c r="BH218" i="1"/>
  <c r="BR71" i="1"/>
  <c r="BN89" i="1"/>
  <c r="BA65" i="1"/>
  <c r="AP72" i="1"/>
  <c r="AR75" i="1"/>
  <c r="BS66" i="1"/>
  <c r="AX88" i="1"/>
  <c r="BV85" i="1"/>
  <c r="BV261" i="1" s="1"/>
  <c r="BD85" i="1"/>
  <c r="BD261" i="1" s="1"/>
  <c r="BF100" i="1"/>
  <c r="BD75" i="1"/>
  <c r="BD71" i="1"/>
  <c r="BD65" i="1"/>
  <c r="AS100" i="1"/>
  <c r="BV193" i="1"/>
  <c r="BW193" i="1" s="1"/>
  <c r="BX269" i="1" s="1"/>
  <c r="BS100" i="1"/>
  <c r="AO88" i="1"/>
  <c r="AV78" i="1"/>
  <c r="BF85" i="1"/>
  <c r="BF261" i="1" s="1"/>
  <c r="BA66" i="1"/>
  <c r="BK104" i="1"/>
  <c r="BV203" i="1"/>
  <c r="BK75" i="1"/>
  <c r="BS65" i="1"/>
  <c r="AW99" i="1"/>
  <c r="AV59" i="1"/>
  <c r="AV298" i="1" s="1"/>
  <c r="AO85" i="1"/>
  <c r="AO261" i="1" s="1"/>
  <c r="AX72" i="1"/>
  <c r="AR89" i="1"/>
  <c r="BR64" i="1"/>
  <c r="AI65" i="1"/>
  <c r="BU77" i="1"/>
  <c r="BV226" i="1"/>
  <c r="BT99" i="1"/>
  <c r="BT59" i="1"/>
  <c r="AM99" i="1"/>
  <c r="AV89" i="1"/>
  <c r="BN75" i="1"/>
  <c r="AP104" i="1"/>
  <c r="AV64" i="1"/>
  <c r="BH64" i="1"/>
  <c r="BQ92" i="1"/>
  <c r="AY98" i="1"/>
  <c r="AR92" i="1"/>
  <c r="BM64" i="1"/>
  <c r="BW78" i="1"/>
  <c r="AV98" i="1"/>
  <c r="BT98" i="1"/>
  <c r="AP89" i="1"/>
  <c r="AZ85" i="1"/>
  <c r="BH175" i="1"/>
  <c r="BI175" i="1" s="1"/>
  <c r="BK89" i="1"/>
  <c r="BH186" i="1"/>
  <c r="AY99" i="1"/>
  <c r="BQ66" i="1"/>
  <c r="BE72" i="1"/>
  <c r="BV75" i="1"/>
  <c r="BD98" i="1"/>
  <c r="BM104" i="1"/>
  <c r="BM100" i="1"/>
  <c r="BV98" i="1"/>
  <c r="BH177" i="1"/>
  <c r="BV179" i="1"/>
  <c r="BW179" i="1" s="1"/>
  <c r="BH184" i="1"/>
  <c r="BI104" i="1"/>
  <c r="AT77" i="1"/>
  <c r="BD77" i="1"/>
  <c r="BF59" i="1"/>
  <c r="AX59" i="1"/>
  <c r="AT98" i="1"/>
  <c r="BV188" i="1"/>
  <c r="BW188" i="1" s="1"/>
  <c r="BP75" i="1"/>
  <c r="BC78" i="1"/>
  <c r="AK126" i="1"/>
  <c r="BP77" i="1"/>
  <c r="BF64" i="1"/>
  <c r="BM72" i="1"/>
  <c r="AO71" i="1"/>
  <c r="BV100" i="1"/>
  <c r="BK64" i="1"/>
  <c r="AO77" i="1"/>
  <c r="AZ99" i="1"/>
  <c r="BW92" i="1"/>
  <c r="AY72" i="1"/>
  <c r="AS66" i="1"/>
  <c r="AY71" i="1"/>
  <c r="AU92" i="1"/>
  <c r="AQ99" i="1"/>
  <c r="BJ127" i="1"/>
  <c r="BV177" i="1"/>
  <c r="BW177" i="1" s="1"/>
  <c r="BM77" i="1"/>
  <c r="AQ92" i="1"/>
  <c r="AX89" i="1"/>
  <c r="BG72" i="1"/>
  <c r="BF65" i="1"/>
  <c r="AU72" i="1"/>
  <c r="BE89" i="1"/>
  <c r="AZ89" i="1"/>
  <c r="BF99" i="1"/>
  <c r="BS89" i="1"/>
  <c r="BV180" i="1"/>
  <c r="BW180" i="1" s="1"/>
  <c r="BG65" i="1"/>
  <c r="BF89" i="1"/>
  <c r="BC100" i="1"/>
  <c r="BE85" i="1"/>
  <c r="BE261" i="1" s="1"/>
  <c r="BE78" i="1"/>
  <c r="BE59" i="1"/>
  <c r="BE298" i="1" s="1"/>
  <c r="BT88" i="1"/>
  <c r="BN72" i="1"/>
  <c r="BC85" i="1"/>
  <c r="BC261" i="1" s="1"/>
  <c r="BI92" i="1"/>
  <c r="AW71" i="1"/>
  <c r="BH202" i="1"/>
  <c r="AP98" i="1"/>
  <c r="AS64" i="1"/>
  <c r="BS75" i="1"/>
  <c r="AT75" i="1"/>
  <c r="AW88" i="1"/>
  <c r="BG59" i="1"/>
  <c r="BP71" i="1"/>
  <c r="AR66" i="1"/>
  <c r="AW98" i="1"/>
  <c r="BF98" i="1"/>
  <c r="BV64" i="1"/>
  <c r="AI72" i="1"/>
  <c r="AT99" i="1"/>
  <c r="BH88" i="1"/>
  <c r="BV202" i="1"/>
  <c r="AP71" i="1"/>
  <c r="AS88" i="1"/>
  <c r="BO66" i="1"/>
  <c r="BP88" i="1"/>
  <c r="BC65" i="1"/>
  <c r="BB98" i="1"/>
  <c r="BE66" i="1"/>
  <c r="BV89" i="1"/>
  <c r="AP78" i="1"/>
  <c r="AX99" i="1"/>
  <c r="AU88" i="1"/>
  <c r="AZ72" i="1"/>
  <c r="BD64" i="1"/>
  <c r="AS72" i="1"/>
  <c r="BN66" i="1"/>
  <c r="BM85" i="1"/>
  <c r="BJ85" i="1"/>
  <c r="AM100" i="1"/>
  <c r="BQ72" i="1"/>
  <c r="AU78" i="1"/>
  <c r="AX77" i="1"/>
  <c r="BS71" i="1"/>
  <c r="BB92" i="1"/>
  <c r="BC77" i="1"/>
  <c r="AT100" i="1"/>
  <c r="AW92" i="1"/>
  <c r="BV88" i="1"/>
  <c r="BH98" i="1"/>
  <c r="AN75" i="1"/>
  <c r="AX78" i="1"/>
  <c r="AP65" i="1"/>
  <c r="BP72" i="1"/>
  <c r="AQ88" i="1"/>
  <c r="BV127" i="1"/>
  <c r="AM104" i="1"/>
  <c r="BH66" i="1"/>
  <c r="AU71" i="1"/>
  <c r="BA77" i="1"/>
  <c r="BV221" i="1"/>
  <c r="BW221" i="1" s="1"/>
  <c r="BE98" i="1"/>
  <c r="AS92" i="1"/>
  <c r="AI88" i="1"/>
  <c r="BV184" i="1"/>
  <c r="AY104" i="1"/>
  <c r="BN88" i="1"/>
  <c r="BO64" i="1"/>
  <c r="BG98" i="1"/>
  <c r="BI78" i="1"/>
  <c r="AY66" i="1"/>
  <c r="BU75" i="1"/>
  <c r="BF77" i="1"/>
  <c r="BB71" i="1"/>
  <c r="BV71" i="1"/>
  <c r="BG89" i="1"/>
  <c r="BT89" i="1"/>
  <c r="AN66" i="1"/>
  <c r="BO65" i="1"/>
  <c r="BT65" i="1"/>
  <c r="AZ98" i="1"/>
  <c r="AS99" i="1"/>
  <c r="BH78" i="1"/>
  <c r="BO71" i="1"/>
  <c r="BH188" i="1"/>
  <c r="BI188" i="1" s="1"/>
  <c r="BC98" i="1"/>
  <c r="BH226" i="1"/>
  <c r="BO77" i="1"/>
  <c r="AN85" i="1"/>
  <c r="AN59" i="1"/>
  <c r="BK98" i="1"/>
  <c r="BV65" i="1"/>
  <c r="AS89" i="1"/>
  <c r="AO100" i="1"/>
  <c r="AI126" i="1"/>
  <c r="BB78" i="1"/>
  <c r="BN71" i="1"/>
  <c r="AN72" i="1"/>
  <c r="AU77" i="1"/>
  <c r="BH178" i="1"/>
  <c r="BI178" i="1" s="1"/>
  <c r="AU85" i="1"/>
  <c r="AU261" i="1" s="1"/>
  <c r="AI89" i="1"/>
  <c r="BW59" i="1"/>
  <c r="BO59" i="1"/>
  <c r="BG104" i="1"/>
  <c r="BC92" i="1"/>
  <c r="AR59" i="1"/>
  <c r="AR298" i="1" s="1"/>
  <c r="BN77" i="1"/>
  <c r="BP89" i="1"/>
  <c r="BK66" i="1"/>
  <c r="AS77" i="1"/>
  <c r="AY65" i="1"/>
  <c r="AU104" i="1"/>
  <c r="BB65" i="1"/>
  <c r="AX92" i="1"/>
  <c r="BD99" i="1"/>
  <c r="BQ65" i="1"/>
  <c r="BH215" i="1"/>
  <c r="BI215" i="1" s="1"/>
  <c r="BF66" i="1"/>
  <c r="BJ99" i="1"/>
  <c r="AN98" i="1"/>
  <c r="BN104" i="1"/>
  <c r="AI85" i="1"/>
  <c r="AI261" i="1" s="1"/>
  <c r="BV59" i="1"/>
  <c r="BV298" i="1" s="1"/>
  <c r="AZ88" i="1"/>
  <c r="AT64" i="1"/>
  <c r="AS98" i="1"/>
  <c r="AU99" i="1"/>
  <c r="DA130" i="1"/>
  <c r="CX118" i="1"/>
  <c r="CY116" i="1"/>
  <c r="AB177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S94" i="3"/>
  <c r="Z77" i="3"/>
  <c r="AN59" i="3"/>
  <c r="Z76" i="3"/>
  <c r="AI88" i="3"/>
  <c r="N54" i="3"/>
  <c r="L70" i="3"/>
  <c r="AN69" i="3"/>
  <c r="Z61" i="3"/>
  <c r="O72" i="3"/>
  <c r="Q65" i="3"/>
  <c r="W86" i="3"/>
  <c r="W59" i="3"/>
  <c r="AE68" i="3"/>
  <c r="AJ89" i="3"/>
  <c r="X47" i="3"/>
  <c r="L65" i="3"/>
  <c r="AG54" i="3"/>
  <c r="J84" i="3"/>
  <c r="R61" i="3"/>
  <c r="Q79" i="3"/>
  <c r="AM54" i="3"/>
  <c r="Y77" i="3"/>
  <c r="M61" i="3"/>
  <c r="T84" i="3"/>
  <c r="AL50" i="3"/>
  <c r="O55" i="3"/>
  <c r="N74" i="3"/>
  <c r="Z85" i="3"/>
  <c r="U66" i="3"/>
  <c r="AA70" i="3"/>
  <c r="AC83" i="3"/>
  <c r="AL77" i="3"/>
  <c r="AQ73" i="3"/>
  <c r="M97" i="3"/>
  <c r="Z87" i="3"/>
  <c r="AH91" i="3"/>
  <c r="AQ89" i="3"/>
  <c r="AH66" i="3"/>
  <c r="AA91" i="3"/>
  <c r="P66" i="3"/>
  <c r="AG71" i="3"/>
  <c r="AG79" i="3"/>
  <c r="AN74" i="3"/>
  <c r="AA54" i="3"/>
  <c r="M68" i="3"/>
  <c r="T87" i="3"/>
  <c r="AM48" i="3"/>
  <c r="T85" i="3"/>
  <c r="T54" i="3"/>
  <c r="H65" i="3"/>
  <c r="X97" i="3"/>
  <c r="V65" i="3"/>
  <c r="Z50" i="3"/>
  <c r="H82" i="3"/>
  <c r="U96" i="3"/>
  <c r="J50" i="3"/>
  <c r="AQ75" i="3"/>
  <c r="AL61" i="3"/>
  <c r="J60" i="3"/>
  <c r="N89" i="3"/>
  <c r="AO66" i="3"/>
  <c r="AQ96" i="3"/>
  <c r="K56" i="3"/>
  <c r="AI91" i="3"/>
  <c r="V84" i="3"/>
  <c r="N77" i="3"/>
  <c r="R59" i="3"/>
  <c r="Y82" i="3"/>
  <c r="L88" i="3"/>
  <c r="AC81" i="3"/>
  <c r="AK66" i="3"/>
  <c r="AM66" i="3"/>
  <c r="I58" i="3"/>
  <c r="X92" i="3"/>
  <c r="AE84" i="3"/>
  <c r="AK93" i="3"/>
  <c r="X94" i="3"/>
  <c r="AI70" i="3"/>
  <c r="AE50" i="3"/>
  <c r="X84" i="3"/>
  <c r="AI86" i="3"/>
  <c r="U64" i="3"/>
  <c r="X77" i="3"/>
  <c r="AA78" i="3"/>
  <c r="AC64" i="3"/>
  <c r="AI64" i="3"/>
  <c r="U92" i="3"/>
  <c r="AE64" i="3"/>
  <c r="O56" i="3"/>
  <c r="AH78" i="3"/>
  <c r="AM71" i="3"/>
  <c r="J79" i="3"/>
  <c r="AK54" i="3"/>
  <c r="W87" i="3"/>
  <c r="Q54" i="3"/>
  <c r="S74" i="3"/>
  <c r="AI75" i="3"/>
  <c r="AJ65" i="3"/>
  <c r="V66" i="3"/>
  <c r="AN89" i="3"/>
  <c r="AL63" i="3"/>
  <c r="AL92" i="3"/>
  <c r="M84" i="3"/>
  <c r="P69" i="3"/>
  <c r="AM91" i="3"/>
  <c r="L58" i="3"/>
  <c r="T55" i="3"/>
  <c r="H66" i="3"/>
  <c r="N72" i="3"/>
  <c r="AQ63" i="3"/>
  <c r="AE77" i="3"/>
  <c r="X59" i="3"/>
  <c r="AH89" i="3"/>
  <c r="AK78" i="3"/>
  <c r="AQ71" i="3"/>
  <c r="H56" i="3"/>
  <c r="M47" i="3"/>
  <c r="AK81" i="3"/>
  <c r="P74" i="3"/>
  <c r="P79" i="3"/>
  <c r="S84" i="3"/>
  <c r="I88" i="3"/>
  <c r="Z70" i="3"/>
  <c r="Y47" i="3"/>
  <c r="X67" i="3"/>
  <c r="J48" i="3"/>
  <c r="T93" i="3"/>
  <c r="AE94" i="3"/>
  <c r="I68" i="3"/>
  <c r="AG59" i="3"/>
  <c r="U93" i="3"/>
  <c r="X57" i="3"/>
  <c r="Q50" i="3"/>
  <c r="O89" i="3"/>
  <c r="AA59" i="3"/>
  <c r="H91" i="3"/>
  <c r="Z82" i="3"/>
  <c r="Z57" i="3"/>
  <c r="V80" i="3"/>
  <c r="N58" i="3"/>
  <c r="Y83" i="3"/>
  <c r="AG49" i="3"/>
  <c r="O86" i="3"/>
  <c r="Z65" i="3"/>
  <c r="J68" i="3"/>
  <c r="Y85" i="3"/>
  <c r="R76" i="3"/>
  <c r="AA73" i="3"/>
  <c r="O58" i="3"/>
  <c r="AO97" i="3"/>
  <c r="K75" i="3"/>
  <c r="AJ60" i="3"/>
  <c r="AQ91" i="3"/>
  <c r="AN86" i="3"/>
  <c r="V78" i="3"/>
  <c r="AI62" i="3"/>
  <c r="AE67" i="3"/>
  <c r="Y63" i="3"/>
  <c r="AN48" i="3"/>
  <c r="AO90" i="3"/>
  <c r="AE89" i="3"/>
  <c r="AN87" i="3"/>
  <c r="X73" i="3"/>
  <c r="M66" i="3"/>
  <c r="AK79" i="3"/>
  <c r="Q47" i="3"/>
  <c r="AA47" i="3"/>
  <c r="AK71" i="3"/>
  <c r="I67" i="3"/>
  <c r="N64" i="3"/>
  <c r="Z86" i="3"/>
  <c r="AI93" i="3"/>
  <c r="AG78" i="3"/>
  <c r="AL66" i="3"/>
  <c r="L75" i="3"/>
  <c r="W50" i="3"/>
  <c r="V79" i="3"/>
  <c r="J67" i="3"/>
  <c r="AE70" i="3"/>
  <c r="P75" i="3"/>
  <c r="I69" i="3"/>
  <c r="K62" i="3"/>
  <c r="AH82" i="3"/>
  <c r="AO79" i="3"/>
  <c r="AL90" i="3"/>
  <c r="AL60" i="3"/>
  <c r="U73" i="3"/>
  <c r="AJ62" i="3"/>
  <c r="L97" i="3"/>
  <c r="X79" i="3"/>
  <c r="P83" i="3"/>
  <c r="N60" i="3"/>
  <c r="S61" i="3"/>
  <c r="S85" i="3"/>
  <c r="AA63" i="3"/>
  <c r="L86" i="3"/>
  <c r="T72" i="3"/>
  <c r="S96" i="3"/>
  <c r="AO82" i="3"/>
  <c r="AO83" i="3"/>
  <c r="AI79" i="3"/>
  <c r="AL91" i="3"/>
  <c r="AE60" i="3"/>
  <c r="W48" i="3"/>
  <c r="Y79" i="3"/>
  <c r="V72" i="3"/>
  <c r="S59" i="3"/>
  <c r="N96" i="3"/>
  <c r="X60" i="3"/>
  <c r="O97" i="3"/>
  <c r="U55" i="3"/>
  <c r="AM96" i="3"/>
  <c r="AG92" i="3"/>
  <c r="R60" i="3"/>
  <c r="X58" i="3"/>
  <c r="Q55" i="3"/>
  <c r="AE82" i="3"/>
  <c r="AQ60" i="3"/>
  <c r="J82" i="3"/>
  <c r="H94" i="3"/>
  <c r="U69" i="3"/>
  <c r="N78" i="3"/>
  <c r="AQ65" i="3"/>
  <c r="U78" i="3"/>
  <c r="T60" i="3"/>
  <c r="Z89" i="3"/>
  <c r="M89" i="3"/>
  <c r="J66" i="3"/>
  <c r="N71" i="3"/>
  <c r="AM94" i="3"/>
  <c r="AI80" i="3"/>
  <c r="AI78" i="3"/>
  <c r="AC54" i="3"/>
  <c r="K81" i="3"/>
  <c r="K88" i="3"/>
  <c r="L68" i="3"/>
  <c r="Y56" i="3"/>
  <c r="W72" i="3"/>
  <c r="Z67" i="3"/>
  <c r="AJ72" i="3"/>
  <c r="Z72" i="3"/>
  <c r="V63" i="3"/>
  <c r="H76" i="3"/>
  <c r="Y64" i="3"/>
  <c r="AJ85" i="3"/>
  <c r="AM82" i="3"/>
  <c r="N75" i="3"/>
  <c r="AG96" i="3"/>
  <c r="R97" i="3"/>
  <c r="U65" i="3"/>
  <c r="AH49" i="3"/>
  <c r="AH58" i="3"/>
  <c r="K89" i="3"/>
  <c r="V70" i="3"/>
  <c r="AK97" i="3"/>
  <c r="U79" i="3"/>
  <c r="O60" i="3"/>
  <c r="R69" i="3"/>
  <c r="AC65" i="3"/>
  <c r="AI96" i="3"/>
  <c r="AC95" i="3"/>
  <c r="AH87" i="3"/>
  <c r="H61" i="3"/>
  <c r="O80" i="3"/>
  <c r="AL83" i="3"/>
  <c r="R90" i="3"/>
  <c r="AL58" i="3"/>
  <c r="T81" i="3"/>
  <c r="AA83" i="3"/>
  <c r="AM65" i="3"/>
  <c r="O85" i="3"/>
  <c r="S54" i="3"/>
  <c r="T90" i="3"/>
  <c r="AK86" i="3"/>
  <c r="M82" i="3"/>
  <c r="AE48" i="3"/>
  <c r="T68" i="3"/>
  <c r="AC59" i="3"/>
  <c r="AQ47" i="3"/>
  <c r="AE87" i="3"/>
  <c r="AC57" i="3"/>
  <c r="T63" i="3"/>
  <c r="P77" i="3"/>
  <c r="H71" i="3"/>
  <c r="AG87" i="3"/>
  <c r="AK58" i="3"/>
  <c r="AK96" i="3"/>
  <c r="S65" i="3"/>
  <c r="AG93" i="3"/>
  <c r="M85" i="3"/>
  <c r="AO92" i="3"/>
  <c r="I80" i="3"/>
  <c r="R70" i="3"/>
  <c r="P70" i="3"/>
  <c r="N79" i="3"/>
  <c r="U89" i="3"/>
  <c r="U60" i="3"/>
  <c r="AA74" i="3"/>
  <c r="AH88" i="3"/>
  <c r="V71" i="3"/>
  <c r="W82" i="3"/>
  <c r="AH55" i="3"/>
  <c r="AC50" i="3"/>
  <c r="AN68" i="3"/>
  <c r="AJ76" i="3"/>
  <c r="AE58" i="3"/>
  <c r="R89" i="3"/>
  <c r="M55" i="3"/>
  <c r="AE91" i="3"/>
  <c r="T65" i="3"/>
  <c r="AJ96" i="3"/>
  <c r="K82" i="3"/>
  <c r="S88" i="3"/>
  <c r="H92" i="3"/>
  <c r="AH70" i="3"/>
  <c r="U47" i="3"/>
  <c r="L81" i="3"/>
  <c r="I72" i="3"/>
  <c r="K66" i="3"/>
  <c r="Y93" i="3"/>
  <c r="AK90" i="3"/>
  <c r="AH48" i="3"/>
  <c r="AG73" i="3"/>
  <c r="I82" i="3"/>
  <c r="AE66" i="3"/>
  <c r="AA65" i="3"/>
  <c r="R64" i="3"/>
  <c r="AG72" i="3"/>
  <c r="AI68" i="3"/>
  <c r="U68" i="3"/>
  <c r="AO63" i="3"/>
  <c r="V62" i="3"/>
  <c r="AK87" i="3"/>
  <c r="X63" i="3"/>
  <c r="W76" i="3"/>
  <c r="P82" i="3"/>
  <c r="J56" i="3"/>
  <c r="V61" i="3"/>
  <c r="Y62" i="3"/>
  <c r="AO74" i="3"/>
  <c r="Q77" i="3"/>
  <c r="Q72" i="3"/>
  <c r="S92" i="3"/>
  <c r="P73" i="3"/>
  <c r="Z60" i="3"/>
  <c r="AJ55" i="3"/>
  <c r="AK69" i="3"/>
  <c r="K55" i="3"/>
  <c r="Y88" i="3"/>
  <c r="AA55" i="3"/>
  <c r="R82" i="3"/>
  <c r="Q62" i="3"/>
  <c r="Q83" i="3"/>
  <c r="W81" i="3"/>
  <c r="AM84" i="3"/>
  <c r="AH86" i="3"/>
  <c r="H70" i="3"/>
  <c r="J59" i="3"/>
  <c r="AJ63" i="3"/>
  <c r="AA49" i="3"/>
  <c r="AI90" i="3"/>
  <c r="U91" i="3"/>
  <c r="Y86" i="3"/>
  <c r="K71" i="3"/>
  <c r="T75" i="3"/>
  <c r="AC79" i="3"/>
  <c r="AN66" i="3"/>
  <c r="AH61" i="3"/>
  <c r="O68" i="3"/>
  <c r="AN73" i="3"/>
  <c r="L77" i="3"/>
  <c r="AQ48" i="3"/>
  <c r="AO50" i="3"/>
  <c r="AJ86" i="3"/>
  <c r="AI82" i="3"/>
  <c r="S62" i="3"/>
  <c r="Y70" i="3"/>
  <c r="U81" i="3"/>
  <c r="K65" i="3"/>
  <c r="AA94" i="3"/>
  <c r="M58" i="3"/>
  <c r="J75" i="3"/>
  <c r="P59" i="3"/>
  <c r="K64" i="3"/>
  <c r="Y78" i="3"/>
  <c r="AK82" i="3"/>
  <c r="T56" i="3"/>
  <c r="R54" i="3"/>
  <c r="W89" i="3"/>
  <c r="AE83" i="3"/>
  <c r="AG62" i="3"/>
  <c r="AM50" i="3"/>
  <c r="Q78" i="3"/>
  <c r="S77" i="3"/>
  <c r="T78" i="3"/>
  <c r="AG61" i="3"/>
  <c r="S87" i="3"/>
  <c r="X89" i="3"/>
  <c r="J62" i="3"/>
  <c r="AJ97" i="3"/>
  <c r="J47" i="3"/>
  <c r="AQ55" i="3"/>
  <c r="O96" i="3"/>
  <c r="AM68" i="3"/>
  <c r="Y81" i="3"/>
  <c r="V58" i="3"/>
  <c r="AE54" i="3"/>
  <c r="N85" i="3"/>
  <c r="AI47" i="3"/>
  <c r="AN58" i="3"/>
  <c r="I84" i="3"/>
  <c r="W54" i="3"/>
  <c r="AQ61" i="3"/>
  <c r="O74" i="3"/>
  <c r="Z63" i="3"/>
  <c r="AA97" i="3"/>
  <c r="V49" i="3"/>
  <c r="AL86" i="3"/>
  <c r="H89" i="3"/>
  <c r="R56" i="3"/>
  <c r="O82" i="3"/>
  <c r="AN55" i="3"/>
  <c r="AH71" i="3"/>
  <c r="S95" i="3"/>
  <c r="L84" i="3"/>
  <c r="W94" i="3"/>
  <c r="I50" i="3"/>
  <c r="P68" i="3"/>
  <c r="Z78" i="3"/>
  <c r="AG48" i="3"/>
  <c r="AK50" i="3"/>
  <c r="Q67" i="3"/>
  <c r="AL97" i="3"/>
  <c r="AK80" i="3"/>
  <c r="AA56" i="3"/>
  <c r="R50" i="3"/>
  <c r="AL67" i="3"/>
  <c r="I91" i="3"/>
  <c r="AM78" i="3"/>
  <c r="AN95" i="3"/>
  <c r="AA61" i="3"/>
  <c r="AO87" i="3"/>
  <c r="H47" i="3"/>
  <c r="N91" i="3"/>
  <c r="J97" i="3"/>
  <c r="AA93" i="3"/>
  <c r="AK61" i="3"/>
  <c r="AO47" i="3"/>
  <c r="S68" i="3"/>
  <c r="Y67" i="3"/>
  <c r="V54" i="3"/>
  <c r="I60" i="3"/>
  <c r="O94" i="3"/>
  <c r="Q60" i="3"/>
  <c r="AH47" i="3"/>
  <c r="AM85" i="3"/>
  <c r="AG65" i="3"/>
  <c r="AC62" i="3"/>
  <c r="I47" i="3"/>
  <c r="AN60" i="3"/>
  <c r="AM81" i="3"/>
  <c r="K91" i="3"/>
  <c r="V57" i="3"/>
  <c r="AM69" i="3"/>
  <c r="AA64" i="3"/>
  <c r="K69" i="3"/>
  <c r="X93" i="3"/>
  <c r="J64" i="3"/>
  <c r="J65" i="3"/>
  <c r="Q95" i="3"/>
  <c r="Z49" i="3"/>
  <c r="Q73" i="3"/>
  <c r="AL56" i="3"/>
  <c r="AI60" i="3"/>
  <c r="Z84" i="3"/>
  <c r="Q81" i="3"/>
  <c r="J94" i="3"/>
  <c r="X48" i="3"/>
  <c r="AG88" i="3"/>
  <c r="AC90" i="3"/>
  <c r="L85" i="3"/>
  <c r="P58" i="3"/>
  <c r="AJ74" i="3"/>
  <c r="I93" i="3"/>
  <c r="AI85" i="3"/>
  <c r="V81" i="3"/>
  <c r="K74" i="3"/>
  <c r="V93" i="3"/>
  <c r="I77" i="3"/>
  <c r="AJ66" i="3"/>
  <c r="Q89" i="3"/>
  <c r="AM60" i="3"/>
  <c r="AJ87" i="3"/>
  <c r="Z83" i="3"/>
  <c r="W73" i="3"/>
  <c r="AL79" i="3"/>
  <c r="AQ87" i="3"/>
  <c r="Y59" i="3"/>
  <c r="M77" i="3"/>
  <c r="AL48" i="3"/>
  <c r="P95" i="3"/>
  <c r="W57" i="3"/>
  <c r="O59" i="3"/>
  <c r="S50" i="3"/>
  <c r="AQ81" i="3"/>
  <c r="AG94" i="3"/>
  <c r="P90" i="3"/>
  <c r="AQ72" i="3"/>
  <c r="AQ94" i="3"/>
  <c r="AL87" i="3"/>
  <c r="W74" i="3"/>
  <c r="AA67" i="3"/>
  <c r="AK95" i="3"/>
  <c r="Z55" i="3"/>
  <c r="S82" i="3"/>
  <c r="H63" i="3"/>
  <c r="T48" i="3"/>
  <c r="AC47" i="3"/>
  <c r="AH75" i="3"/>
  <c r="AA76" i="3"/>
  <c r="O48" i="3"/>
  <c r="T47" i="3"/>
  <c r="AQ95" i="3"/>
  <c r="I56" i="3"/>
  <c r="W60" i="3"/>
  <c r="X74" i="3"/>
  <c r="Y84" i="3"/>
  <c r="Z48" i="3"/>
  <c r="L79" i="3"/>
  <c r="V56" i="3"/>
  <c r="P78" i="3"/>
  <c r="R72" i="3"/>
  <c r="AG77" i="3"/>
  <c r="AK65" i="3"/>
  <c r="V92" i="3"/>
  <c r="AL85" i="3"/>
  <c r="N92" i="3"/>
  <c r="AG82" i="3"/>
  <c r="AQ62" i="3"/>
  <c r="K73" i="3"/>
  <c r="L87" i="3"/>
  <c r="AN78" i="3"/>
  <c r="L64" i="3"/>
  <c r="Z68" i="3"/>
  <c r="T62" i="3"/>
  <c r="J57" i="3"/>
  <c r="R57" i="3"/>
  <c r="K67" i="3"/>
  <c r="I97" i="3"/>
  <c r="I76" i="3"/>
  <c r="AH62" i="3"/>
  <c r="X66" i="3"/>
  <c r="AO95" i="3"/>
  <c r="R55" i="3"/>
  <c r="O92" i="3"/>
  <c r="H74" i="3"/>
  <c r="Y49" i="3"/>
  <c r="Q80" i="3"/>
  <c r="AQ97" i="3"/>
  <c r="P63" i="3"/>
  <c r="N86" i="3"/>
  <c r="AH96" i="3"/>
  <c r="U56" i="3"/>
  <c r="AO69" i="3"/>
  <c r="O65" i="3"/>
  <c r="M81" i="3"/>
  <c r="W75" i="3"/>
  <c r="AE59" i="3"/>
  <c r="N90" i="3"/>
  <c r="AA92" i="3"/>
  <c r="J55" i="3"/>
  <c r="I95" i="3"/>
  <c r="AH59" i="3"/>
  <c r="AJ56" i="3"/>
  <c r="AN65" i="3"/>
  <c r="R63" i="3"/>
  <c r="N55" i="3"/>
  <c r="AG70" i="3"/>
  <c r="Y54" i="3"/>
  <c r="AL59" i="3"/>
  <c r="J74" i="3"/>
  <c r="S73" i="3"/>
  <c r="Z95" i="3"/>
  <c r="AA79" i="3"/>
  <c r="O87" i="3"/>
  <c r="T61" i="3"/>
  <c r="AE73" i="3"/>
  <c r="L56" i="3"/>
  <c r="AL69" i="3"/>
  <c r="AQ56" i="3"/>
  <c r="K92" i="3"/>
  <c r="AK49" i="3"/>
  <c r="M87" i="3"/>
  <c r="I90" i="3"/>
  <c r="O71" i="3"/>
  <c r="P56" i="3"/>
  <c r="I86" i="3"/>
  <c r="H64" i="3"/>
  <c r="AQ76" i="3"/>
  <c r="P49" i="3"/>
  <c r="U49" i="3"/>
  <c r="H50" i="3"/>
  <c r="N65" i="3"/>
  <c r="AE61" i="3"/>
  <c r="Z79" i="3"/>
  <c r="AO49" i="3"/>
  <c r="K94" i="3"/>
  <c r="L73" i="3"/>
  <c r="R67" i="3"/>
  <c r="U86" i="3"/>
  <c r="AH92" i="3"/>
  <c r="X85" i="3"/>
  <c r="AI48" i="3"/>
  <c r="AQ67" i="3"/>
  <c r="P50" i="3"/>
  <c r="AH72" i="3"/>
  <c r="V48" i="3"/>
  <c r="AE88" i="3"/>
  <c r="U50" i="3"/>
  <c r="H77" i="3"/>
  <c r="AM93" i="3"/>
  <c r="AO65" i="3"/>
  <c r="T96" i="3"/>
  <c r="S97" i="3"/>
  <c r="H59" i="3"/>
  <c r="AI56" i="3"/>
  <c r="X69" i="3"/>
  <c r="H95" i="3"/>
  <c r="J92" i="3"/>
  <c r="R83" i="3"/>
  <c r="AJ84" i="3"/>
  <c r="X71" i="3"/>
  <c r="K90" i="3"/>
  <c r="P64" i="3"/>
  <c r="AM58" i="3"/>
  <c r="P93" i="3"/>
  <c r="AI83" i="3"/>
  <c r="AK64" i="3"/>
  <c r="AG85" i="3"/>
  <c r="AG47" i="3"/>
  <c r="AA58" i="3"/>
  <c r="AQ70" i="3"/>
  <c r="U88" i="3"/>
  <c r="I61" i="3"/>
  <c r="O62" i="3"/>
  <c r="M64" i="3"/>
  <c r="AH67" i="3"/>
  <c r="AC86" i="3"/>
  <c r="AN94" i="3"/>
  <c r="V67" i="3"/>
  <c r="Z92" i="3"/>
  <c r="AG97" i="3"/>
  <c r="K93" i="3"/>
  <c r="AQ57" i="3"/>
  <c r="Q90" i="3"/>
  <c r="AL70" i="3"/>
  <c r="K80" i="3"/>
  <c r="X86" i="3"/>
  <c r="O61" i="3"/>
  <c r="AJ77" i="3"/>
  <c r="AK92" i="3"/>
  <c r="AA75" i="3"/>
  <c r="AE79" i="3"/>
  <c r="J77" i="3"/>
  <c r="I79" i="3"/>
  <c r="Q49" i="3"/>
  <c r="AM76" i="3"/>
  <c r="W92" i="3"/>
  <c r="AE57" i="3"/>
  <c r="AM89" i="3"/>
  <c r="AM62" i="3"/>
  <c r="AK91" i="3"/>
  <c r="T50" i="3"/>
  <c r="S60" i="3"/>
  <c r="P71" i="3"/>
  <c r="Y95" i="3"/>
  <c r="Q74" i="3"/>
  <c r="AH94" i="3"/>
  <c r="AJ93" i="3"/>
  <c r="AO94" i="3"/>
  <c r="R93" i="3"/>
  <c r="AM88" i="3"/>
  <c r="AG89" i="3"/>
  <c r="W69" i="3"/>
  <c r="O81" i="3"/>
  <c r="V91" i="3"/>
  <c r="M54" i="3"/>
  <c r="AE47" i="3"/>
  <c r="AG55" i="3"/>
  <c r="L50" i="3"/>
  <c r="N69" i="3"/>
  <c r="P96" i="3"/>
  <c r="AC84" i="3"/>
  <c r="U75" i="3"/>
  <c r="I57" i="3"/>
  <c r="AJ82" i="3"/>
  <c r="H62" i="3"/>
  <c r="K50" i="3"/>
  <c r="V88" i="3"/>
  <c r="V76" i="3"/>
  <c r="Z56" i="3"/>
  <c r="AC61" i="3"/>
  <c r="O54" i="3"/>
  <c r="R75" i="3"/>
  <c r="AQ58" i="3"/>
  <c r="N70" i="3"/>
  <c r="O91" i="3"/>
  <c r="AE63" i="3"/>
  <c r="Z75" i="3"/>
  <c r="AM70" i="3"/>
  <c r="AI65" i="3"/>
  <c r="P65" i="3"/>
  <c r="S78" i="3"/>
  <c r="H84" i="3"/>
  <c r="AG67" i="3"/>
  <c r="N57" i="3"/>
  <c r="U54" i="3"/>
  <c r="Y50" i="3"/>
  <c r="V64" i="3"/>
  <c r="AN85" i="3"/>
  <c r="S57" i="3"/>
  <c r="T69" i="3"/>
  <c r="AQ59" i="3"/>
  <c r="AN93" i="3"/>
  <c r="P87" i="3"/>
  <c r="X91" i="3"/>
  <c r="AO70" i="3"/>
  <c r="X80" i="3"/>
  <c r="O70" i="3"/>
  <c r="AJ80" i="3"/>
  <c r="AK77" i="3"/>
  <c r="K83" i="3"/>
  <c r="I85" i="3"/>
  <c r="AH57" i="3"/>
  <c r="M91" i="3"/>
  <c r="Z74" i="3"/>
  <c r="N50" i="3"/>
  <c r="K68" i="3"/>
  <c r="P85" i="3"/>
  <c r="AE74" i="3"/>
  <c r="J72" i="3"/>
  <c r="AH65" i="3"/>
  <c r="R47" i="3"/>
  <c r="AN67" i="3"/>
  <c r="J54" i="3"/>
  <c r="AM67" i="3"/>
  <c r="AO68" i="3"/>
  <c r="AN70" i="3"/>
  <c r="R96" i="3"/>
  <c r="K76" i="3"/>
  <c r="W85" i="3"/>
  <c r="AI76" i="3"/>
  <c r="K87" i="3"/>
  <c r="AL96" i="3"/>
  <c r="AI54" i="3"/>
  <c r="AI59" i="3"/>
  <c r="X72" i="3"/>
  <c r="AA84" i="3"/>
  <c r="W63" i="3"/>
  <c r="N56" i="3"/>
  <c r="T83" i="3"/>
  <c r="AN72" i="3"/>
  <c r="AJ88" i="3"/>
  <c r="AL78" i="3"/>
  <c r="AI55" i="3"/>
  <c r="AQ90" i="3"/>
  <c r="H55" i="3"/>
  <c r="J63" i="3"/>
  <c r="I70" i="3"/>
  <c r="R68" i="3"/>
  <c r="L72" i="3"/>
  <c r="AC93" i="3"/>
  <c r="AC96" i="3"/>
  <c r="O47" i="3"/>
  <c r="S71" i="3"/>
  <c r="S93" i="3"/>
  <c r="H93" i="3"/>
  <c r="S55" i="3"/>
  <c r="X78" i="3"/>
  <c r="L83" i="3"/>
  <c r="AC92" i="3"/>
  <c r="AJ92" i="3"/>
  <c r="R80" i="3"/>
  <c r="I48" i="3"/>
  <c r="AJ59" i="3"/>
  <c r="K95" i="3"/>
  <c r="X70" i="3"/>
  <c r="AG60" i="3"/>
  <c r="AN80" i="3"/>
  <c r="W55" i="3"/>
  <c r="J89" i="3"/>
  <c r="AH54" i="3"/>
  <c r="W95" i="3"/>
  <c r="K85" i="3"/>
  <c r="AH76" i="3"/>
  <c r="U85" i="3"/>
  <c r="L60" i="3"/>
  <c r="W61" i="3"/>
  <c r="U82" i="3"/>
  <c r="AC49" i="3"/>
  <c r="P67" i="3"/>
  <c r="AL54" i="3"/>
  <c r="U74" i="3"/>
  <c r="AN82" i="3"/>
  <c r="AQ69" i="3"/>
  <c r="T80" i="3"/>
  <c r="Q59" i="3"/>
  <c r="L74" i="3"/>
  <c r="M94" i="3"/>
  <c r="AN62" i="3"/>
  <c r="Y61" i="3"/>
  <c r="Z54" i="3"/>
  <c r="W84" i="3"/>
  <c r="Q96" i="3"/>
  <c r="AK57" i="3"/>
  <c r="AA71" i="3"/>
  <c r="AQ49" i="3"/>
  <c r="U72" i="3"/>
  <c r="T66" i="3"/>
  <c r="Q94" i="3"/>
  <c r="AC58" i="3"/>
  <c r="Y92" i="3"/>
  <c r="AN92" i="3"/>
  <c r="AL81" i="3"/>
  <c r="O79" i="3"/>
  <c r="O69" i="3"/>
  <c r="I96" i="3"/>
  <c r="S89" i="3"/>
  <c r="J80" i="3"/>
  <c r="K54" i="3"/>
  <c r="AJ50" i="3"/>
  <c r="AH83" i="3"/>
  <c r="M83" i="3"/>
  <c r="AA66" i="3"/>
  <c r="AK76" i="3"/>
  <c r="AM83" i="3"/>
  <c r="AN49" i="3"/>
  <c r="AE78" i="3"/>
  <c r="H81" i="3"/>
  <c r="S48" i="3"/>
  <c r="AO54" i="3"/>
  <c r="W90" i="3"/>
  <c r="AK73" i="3"/>
  <c r="O84" i="3"/>
  <c r="AG63" i="3"/>
  <c r="Y96" i="3"/>
  <c r="Z58" i="3"/>
  <c r="X83" i="3"/>
  <c r="K77" i="3"/>
  <c r="AN54" i="3"/>
  <c r="P89" i="3"/>
  <c r="AE75" i="3"/>
  <c r="L90" i="3"/>
  <c r="U71" i="3"/>
  <c r="AN97" i="3"/>
  <c r="V50" i="3"/>
  <c r="Q61" i="3"/>
  <c r="U95" i="3"/>
  <c r="T97" i="3"/>
  <c r="O75" i="3"/>
  <c r="AK60" i="3"/>
  <c r="V85" i="3"/>
  <c r="V86" i="3"/>
  <c r="Y60" i="3"/>
  <c r="R95" i="3"/>
  <c r="Q84" i="3"/>
  <c r="AK47" i="3"/>
  <c r="AK85" i="3"/>
  <c r="O57" i="3"/>
  <c r="I87" i="3"/>
  <c r="AO59" i="3"/>
  <c r="AI73" i="3"/>
  <c r="AA85" i="3"/>
  <c r="Q75" i="3"/>
  <c r="AI69" i="3"/>
  <c r="Q97" i="3"/>
  <c r="AJ68" i="3"/>
  <c r="V95" i="3"/>
  <c r="V60" i="3"/>
  <c r="AQ83" i="3"/>
  <c r="I73" i="3"/>
  <c r="S80" i="3"/>
  <c r="AL95" i="3"/>
  <c r="AI67" i="3"/>
  <c r="AA82" i="3"/>
  <c r="AE86" i="3"/>
  <c r="AE92" i="3"/>
  <c r="U77" i="3"/>
  <c r="AC76" i="3"/>
  <c r="X50" i="3"/>
  <c r="AO96" i="3"/>
  <c r="O66" i="3"/>
  <c r="S47" i="3"/>
  <c r="AL76" i="3"/>
  <c r="AO89" i="3"/>
  <c r="AG68" i="3"/>
  <c r="AA95" i="3"/>
  <c r="AA86" i="3"/>
  <c r="U87" i="3"/>
  <c r="M96" i="3"/>
  <c r="Y87" i="3"/>
  <c r="L47" i="3"/>
  <c r="S66" i="3"/>
  <c r="AK88" i="3"/>
  <c r="AO81" i="3"/>
  <c r="AC85" i="3"/>
  <c r="L76" i="3"/>
  <c r="P76" i="3"/>
  <c r="I59" i="3"/>
  <c r="AJ95" i="3"/>
  <c r="Y69" i="3"/>
  <c r="U63" i="3"/>
  <c r="AG50" i="3"/>
  <c r="M70" i="3"/>
  <c r="R66" i="3"/>
  <c r="AL84" i="3"/>
  <c r="AA90" i="3"/>
  <c r="O83" i="3"/>
  <c r="AJ83" i="3"/>
  <c r="AQ74" i="3"/>
  <c r="N67" i="3"/>
  <c r="AH79" i="3"/>
  <c r="K97" i="3"/>
  <c r="AM80" i="3"/>
  <c r="AQ66" i="3"/>
  <c r="U76" i="3"/>
  <c r="J88" i="3"/>
  <c r="S64" i="3"/>
  <c r="I55" i="3"/>
  <c r="Z73" i="3"/>
  <c r="H88" i="3"/>
  <c r="AN61" i="3"/>
  <c r="AC71" i="3"/>
  <c r="T86" i="3"/>
  <c r="AH64" i="3"/>
  <c r="AE80" i="3"/>
  <c r="V83" i="3"/>
  <c r="U48" i="3"/>
  <c r="AC80" i="3"/>
  <c r="X88" i="3"/>
  <c r="H79" i="3"/>
  <c r="M59" i="3"/>
  <c r="AO85" i="3"/>
  <c r="AK55" i="3"/>
  <c r="M93" i="3"/>
  <c r="R88" i="3"/>
  <c r="AA77" i="3"/>
  <c r="AH73" i="3"/>
  <c r="AA81" i="3"/>
  <c r="Q56" i="3"/>
  <c r="X54" i="3"/>
  <c r="AG95" i="3"/>
  <c r="Z88" i="3"/>
  <c r="AC60" i="3"/>
  <c r="Q87" i="3"/>
  <c r="AI77" i="3"/>
  <c r="S72" i="3"/>
  <c r="AM57" i="3"/>
  <c r="V97" i="3"/>
  <c r="H49" i="3"/>
  <c r="W79" i="3"/>
  <c r="V59" i="3"/>
  <c r="AH68" i="3"/>
  <c r="X64" i="3"/>
  <c r="AH63" i="3"/>
  <c r="AL74" i="3"/>
  <c r="N81" i="3"/>
  <c r="L54" i="3"/>
  <c r="H67" i="3"/>
  <c r="AL47" i="3"/>
  <c r="S91" i="3"/>
  <c r="AO71" i="3"/>
  <c r="Z81" i="3"/>
  <c r="V82" i="3"/>
  <c r="AI58" i="3"/>
  <c r="AK74" i="3"/>
  <c r="S83" i="3"/>
  <c r="J96" i="3"/>
  <c r="O50" i="3"/>
  <c r="AO84" i="3"/>
  <c r="S49" i="3"/>
  <c r="AQ88" i="3"/>
  <c r="AM75" i="3"/>
  <c r="AH90" i="3"/>
  <c r="T59" i="3"/>
  <c r="Z66" i="3"/>
  <c r="AO80" i="3"/>
  <c r="AO61" i="3"/>
  <c r="J61" i="3"/>
  <c r="AA80" i="3"/>
  <c r="M79" i="3"/>
  <c r="AG83" i="3"/>
  <c r="K57" i="3"/>
  <c r="P72" i="3"/>
  <c r="J78" i="3"/>
  <c r="AQ54" i="3"/>
  <c r="I78" i="3"/>
  <c r="Z47" i="3"/>
  <c r="P60" i="3"/>
  <c r="T64" i="3"/>
  <c r="AK63" i="3"/>
  <c r="K70" i="3"/>
  <c r="X61" i="3"/>
  <c r="J76" i="3"/>
  <c r="W67" i="3"/>
  <c r="H83" i="3"/>
  <c r="Q93" i="3"/>
  <c r="AK89" i="3"/>
  <c r="Y57" i="3"/>
  <c r="AE96" i="3"/>
  <c r="V89" i="3"/>
  <c r="R94" i="3"/>
  <c r="J49" i="3"/>
  <c r="AL75" i="3"/>
  <c r="Z96" i="3"/>
  <c r="Q92" i="3"/>
  <c r="L49" i="3"/>
  <c r="W78" i="3"/>
  <c r="AA88" i="3"/>
  <c r="AJ47" i="3"/>
  <c r="I62" i="3"/>
  <c r="Y94" i="3"/>
  <c r="K49" i="3"/>
  <c r="AL72" i="3"/>
  <c r="R86" i="3"/>
  <c r="O90" i="3"/>
  <c r="AC55" i="3"/>
  <c r="N94" i="3"/>
  <c r="K86" i="3"/>
  <c r="U84" i="3"/>
  <c r="AQ93" i="3"/>
  <c r="M90" i="3"/>
  <c r="H87" i="3"/>
  <c r="AN77" i="3"/>
  <c r="V75" i="3"/>
  <c r="Y65" i="3"/>
  <c r="AN57" i="3"/>
  <c r="W56" i="3"/>
  <c r="AE72" i="3"/>
  <c r="L92" i="3"/>
  <c r="M50" i="3"/>
  <c r="AL57" i="3"/>
  <c r="W77" i="3"/>
  <c r="AG66" i="3"/>
  <c r="Y58" i="3"/>
  <c r="I81" i="3"/>
  <c r="V55" i="3"/>
  <c r="O67" i="3"/>
  <c r="M76" i="3"/>
  <c r="AH56" i="3"/>
  <c r="R73" i="3"/>
  <c r="AJ54" i="3"/>
  <c r="AE85" i="3"/>
  <c r="H75" i="3"/>
  <c r="M69" i="3"/>
  <c r="U59" i="3"/>
  <c r="AO78" i="3"/>
  <c r="AJ70" i="3"/>
  <c r="H60" i="3"/>
  <c r="H90" i="3"/>
  <c r="AA87" i="3"/>
  <c r="Z91" i="3"/>
  <c r="AK75" i="3"/>
  <c r="AA72" i="3"/>
  <c r="AN90" i="3"/>
  <c r="V69" i="3"/>
  <c r="U97" i="3"/>
  <c r="Z62" i="3"/>
  <c r="J90" i="3"/>
  <c r="AC74" i="3"/>
  <c r="AI84" i="3"/>
  <c r="AI72" i="3"/>
  <c r="T82" i="3"/>
  <c r="Z97" i="3"/>
  <c r="X49" i="3"/>
  <c r="M67" i="3"/>
  <c r="L96" i="3"/>
  <c r="K59" i="3"/>
  <c r="M48" i="3"/>
  <c r="Y55" i="3"/>
  <c r="U62" i="3"/>
  <c r="AI95" i="3"/>
  <c r="AA96" i="3"/>
  <c r="Y91" i="3"/>
  <c r="U61" i="3"/>
  <c r="J95" i="3"/>
  <c r="AM86" i="3"/>
  <c r="W65" i="3"/>
  <c r="AE81" i="3"/>
  <c r="AI50" i="3"/>
  <c r="T74" i="3"/>
  <c r="N95" i="3"/>
  <c r="V96" i="3"/>
  <c r="AC88" i="3"/>
  <c r="R65" i="3"/>
  <c r="T94" i="3"/>
  <c r="O76" i="3"/>
  <c r="AC87" i="3"/>
  <c r="Z59" i="3"/>
  <c r="N66" i="3"/>
  <c r="AN88" i="3"/>
  <c r="AM63" i="3"/>
  <c r="K78" i="3"/>
  <c r="J71" i="3"/>
  <c r="L57" i="3"/>
  <c r="AI66" i="3"/>
  <c r="S63" i="3"/>
  <c r="T71" i="3"/>
  <c r="AL93" i="3"/>
  <c r="H54" i="3"/>
  <c r="Y66" i="3"/>
  <c r="AJ69" i="3"/>
  <c r="N88" i="3"/>
  <c r="V68" i="3"/>
  <c r="AC48" i="3"/>
  <c r="L71" i="3"/>
  <c r="P55" i="3"/>
  <c r="M75" i="3"/>
  <c r="AO56" i="3"/>
  <c r="AL89" i="3"/>
  <c r="AJ94" i="3"/>
  <c r="H48" i="3"/>
  <c r="AC77" i="3"/>
  <c r="AC63" i="3"/>
  <c r="J87" i="3"/>
  <c r="I54" i="3"/>
  <c r="P94" i="3"/>
  <c r="L66" i="3"/>
  <c r="AL55" i="3"/>
  <c r="Q66" i="3"/>
  <c r="AK59" i="3"/>
  <c r="AQ50" i="3"/>
  <c r="AJ79" i="3"/>
  <c r="AC89" i="3"/>
  <c r="X56" i="3"/>
  <c r="AK56" i="3"/>
  <c r="AA62" i="3"/>
  <c r="L89" i="3"/>
  <c r="P81" i="3"/>
  <c r="AJ71" i="3"/>
  <c r="S58" i="3"/>
  <c r="R62" i="3"/>
  <c r="AN50" i="3"/>
  <c r="N73" i="3"/>
  <c r="W97" i="3"/>
  <c r="Y73" i="3"/>
  <c r="Z80" i="3"/>
  <c r="X81" i="3"/>
  <c r="AC70" i="3"/>
  <c r="N83" i="3"/>
  <c r="I64" i="3"/>
  <c r="AC82" i="3"/>
  <c r="AO55" i="3"/>
  <c r="J81" i="3"/>
  <c r="AN75" i="3"/>
  <c r="AO64" i="3"/>
  <c r="T76" i="3"/>
  <c r="M86" i="3"/>
  <c r="O63" i="3"/>
  <c r="AM59" i="3"/>
  <c r="W49" i="3"/>
  <c r="L59" i="3"/>
  <c r="N48" i="3"/>
  <c r="AQ64" i="3"/>
  <c r="M62" i="3"/>
  <c r="AE76" i="3"/>
  <c r="AN83" i="3"/>
  <c r="AO75" i="3"/>
  <c r="L78" i="3"/>
  <c r="AG84" i="3"/>
  <c r="N76" i="3"/>
  <c r="W96" i="3"/>
  <c r="R79" i="3"/>
  <c r="P57" i="3"/>
  <c r="AM73" i="3"/>
  <c r="AN96" i="3"/>
  <c r="AO77" i="3"/>
  <c r="R85" i="3"/>
  <c r="AJ64" i="3"/>
  <c r="AE90" i="3"/>
  <c r="AG75" i="3"/>
  <c r="R77" i="3"/>
  <c r="AG57" i="3"/>
  <c r="Y90" i="3"/>
  <c r="AO57" i="3"/>
  <c r="Z64" i="3"/>
  <c r="AM47" i="3"/>
  <c r="W58" i="3"/>
  <c r="Z94" i="3"/>
  <c r="L95" i="3"/>
  <c r="Y72" i="3"/>
  <c r="AN63" i="3"/>
  <c r="P86" i="3"/>
  <c r="AE71" i="3"/>
  <c r="J70" i="3"/>
  <c r="K48" i="3"/>
  <c r="AC75" i="3"/>
  <c r="Q48" i="3"/>
  <c r="W88" i="3"/>
  <c r="AM87" i="3"/>
  <c r="AQ85" i="3"/>
  <c r="AQ84" i="3"/>
  <c r="AI71" i="3"/>
  <c r="H69" i="3"/>
  <c r="O95" i="3"/>
  <c r="AJ57" i="3"/>
  <c r="AH81" i="3"/>
  <c r="AK62" i="3"/>
  <c r="AG91" i="3"/>
  <c r="AG90" i="3"/>
  <c r="P92" i="3"/>
  <c r="P91" i="3"/>
  <c r="Q71" i="3"/>
  <c r="AM64" i="3"/>
  <c r="Q63" i="3"/>
  <c r="AN47" i="3"/>
  <c r="Z93" i="3"/>
  <c r="X62" i="3"/>
  <c r="AL71" i="3"/>
  <c r="H57" i="3"/>
  <c r="AE69" i="3"/>
  <c r="L62" i="3"/>
  <c r="X87" i="3"/>
  <c r="J85" i="3"/>
  <c r="N80" i="3"/>
  <c r="Q64" i="3"/>
  <c r="T67" i="3"/>
  <c r="K47" i="3"/>
  <c r="U58" i="3"/>
  <c r="AO60" i="3"/>
  <c r="T95" i="3"/>
  <c r="AO86" i="3"/>
  <c r="T92" i="3"/>
  <c r="I83" i="3"/>
  <c r="U70" i="3"/>
  <c r="L93" i="3"/>
  <c r="O49" i="3"/>
  <c r="AN79" i="3"/>
  <c r="Y75" i="3"/>
  <c r="AG56" i="3"/>
  <c r="AE55" i="3"/>
  <c r="AC67" i="3"/>
  <c r="H72" i="3"/>
  <c r="S79" i="3"/>
  <c r="AO88" i="3"/>
  <c r="U80" i="3"/>
  <c r="N61" i="3"/>
  <c r="M80" i="3"/>
  <c r="I74" i="3"/>
  <c r="AJ58" i="3"/>
  <c r="AC91" i="3"/>
  <c r="AC68" i="3"/>
  <c r="AG64" i="3"/>
  <c r="AO91" i="3"/>
  <c r="AG86" i="3"/>
  <c r="U57" i="3"/>
  <c r="AO93" i="3"/>
  <c r="H80" i="3"/>
  <c r="W71" i="3"/>
  <c r="AG81" i="3"/>
  <c r="H85" i="3"/>
  <c r="AH60" i="3"/>
  <c r="X76" i="3"/>
  <c r="AQ79" i="3"/>
  <c r="AK48" i="3"/>
  <c r="W64" i="3"/>
  <c r="X75" i="3"/>
  <c r="AK67" i="3"/>
  <c r="I75" i="3"/>
  <c r="AQ78" i="3"/>
  <c r="AJ61" i="3"/>
  <c r="AE95" i="3"/>
  <c r="U67" i="3"/>
  <c r="Y74" i="3"/>
  <c r="AN56" i="3"/>
  <c r="AI74" i="3"/>
  <c r="S69" i="3"/>
  <c r="AL49" i="3"/>
  <c r="J69" i="3"/>
  <c r="R49" i="3"/>
  <c r="Z71" i="3"/>
  <c r="AK83" i="3"/>
  <c r="J93" i="3"/>
  <c r="Y80" i="3"/>
  <c r="AM49" i="3"/>
  <c r="W70" i="3"/>
  <c r="R84" i="3"/>
  <c r="J83" i="3"/>
  <c r="AH77" i="3"/>
  <c r="R91" i="3"/>
  <c r="AO48" i="3"/>
  <c r="AK72" i="3"/>
  <c r="M63" i="3"/>
  <c r="AM95" i="3"/>
  <c r="AH95" i="3"/>
  <c r="H68" i="3"/>
  <c r="N84" i="3"/>
  <c r="M92" i="3"/>
  <c r="Y68" i="3"/>
  <c r="AG76" i="3"/>
  <c r="J73" i="3"/>
  <c r="L61" i="3"/>
  <c r="S86" i="3"/>
  <c r="T57" i="3"/>
  <c r="AL64" i="3"/>
  <c r="AA89" i="3"/>
  <c r="T88" i="3"/>
  <c r="AI89" i="3"/>
  <c r="T70" i="3"/>
  <c r="Q57" i="3"/>
  <c r="AN71" i="3"/>
  <c r="H73" i="3"/>
  <c r="K79" i="3"/>
  <c r="AL88" i="3"/>
  <c r="Z90" i="3"/>
  <c r="P88" i="3"/>
  <c r="S81" i="3"/>
  <c r="J58" i="3"/>
  <c r="H58" i="3"/>
  <c r="N49" i="3"/>
  <c r="R71" i="3"/>
  <c r="AC72" i="3"/>
  <c r="AJ90" i="3"/>
  <c r="Y89" i="3"/>
  <c r="O73" i="3"/>
  <c r="M65" i="3"/>
  <c r="AN91" i="3"/>
  <c r="W93" i="3"/>
  <c r="AC69" i="3"/>
  <c r="AJ81" i="3"/>
  <c r="M71" i="3"/>
  <c r="AA68" i="3"/>
  <c r="Q76" i="3"/>
  <c r="AJ91" i="3"/>
  <c r="Q70" i="3"/>
  <c r="S70" i="3"/>
  <c r="AJ48" i="3"/>
  <c r="M49" i="3"/>
  <c r="M72" i="3"/>
  <c r="Z69" i="3"/>
  <c r="AM61" i="3"/>
  <c r="V94" i="3"/>
  <c r="Q86" i="3"/>
  <c r="K61" i="3"/>
  <c r="I89" i="3"/>
  <c r="W83" i="3"/>
  <c r="X68" i="3"/>
  <c r="AQ77" i="3"/>
  <c r="N93" i="3"/>
  <c r="AM97" i="3"/>
  <c r="M73" i="3"/>
  <c r="P47" i="3"/>
  <c r="AI94" i="3"/>
  <c r="AO58" i="3"/>
  <c r="AC94" i="3"/>
  <c r="AK94" i="3"/>
  <c r="L48" i="3"/>
  <c r="AJ78" i="3"/>
  <c r="X82" i="3"/>
  <c r="I65" i="3"/>
  <c r="L94" i="3"/>
  <c r="U83" i="3"/>
  <c r="AE93" i="3"/>
  <c r="AK70" i="3"/>
  <c r="Q69" i="3"/>
  <c r="AK68" i="3"/>
  <c r="S75" i="3"/>
  <c r="O88" i="3"/>
  <c r="I71" i="3"/>
  <c r="AI87" i="3"/>
  <c r="M88" i="3"/>
  <c r="W68" i="3"/>
  <c r="Y71" i="3"/>
  <c r="AO73" i="3"/>
  <c r="P54" i="3"/>
  <c r="O77" i="3"/>
  <c r="N63" i="3"/>
  <c r="N97" i="3"/>
  <c r="L67" i="3"/>
  <c r="T73" i="3"/>
  <c r="Q68" i="3"/>
  <c r="AI61" i="3"/>
  <c r="AG74" i="3"/>
  <c r="AI63" i="3"/>
  <c r="W91" i="3"/>
  <c r="AC56" i="3"/>
  <c r="S90" i="3"/>
  <c r="Y76" i="3"/>
  <c r="AM79" i="3"/>
  <c r="Q82" i="3"/>
  <c r="H86" i="3"/>
  <c r="K63" i="3"/>
  <c r="R74" i="3"/>
  <c r="AN81" i="3"/>
  <c r="AE62" i="3"/>
  <c r="P84" i="3"/>
  <c r="AQ86" i="3"/>
  <c r="V73" i="3"/>
  <c r="M95" i="3"/>
  <c r="Q85" i="3"/>
  <c r="Y97" i="3"/>
  <c r="AM90" i="3"/>
  <c r="Y48" i="3"/>
  <c r="P80" i="3"/>
  <c r="AH69" i="3"/>
  <c r="R58" i="3"/>
  <c r="AG80" i="3"/>
  <c r="AH85" i="3"/>
  <c r="AI57" i="3"/>
  <c r="AE97" i="3"/>
  <c r="AA50" i="3"/>
  <c r="O93" i="3"/>
  <c r="I66" i="3"/>
  <c r="N62" i="3"/>
  <c r="AJ67" i="3"/>
  <c r="AI49" i="3"/>
  <c r="X55" i="3"/>
  <c r="AN64" i="3"/>
  <c r="AC66" i="3"/>
  <c r="AA48" i="3"/>
  <c r="AQ80" i="3"/>
  <c r="AJ73" i="3"/>
  <c r="AA60" i="3"/>
  <c r="T79" i="3"/>
  <c r="X90" i="3"/>
  <c r="U94" i="3"/>
  <c r="H78" i="3"/>
  <c r="S67" i="3"/>
  <c r="V74" i="3"/>
  <c r="L63" i="3"/>
  <c r="AC73" i="3"/>
  <c r="L69" i="3"/>
  <c r="AH50" i="3"/>
  <c r="S76" i="3"/>
  <c r="M60" i="3"/>
  <c r="U90" i="3"/>
  <c r="AI92" i="3"/>
  <c r="AM77" i="3"/>
  <c r="R78" i="3"/>
  <c r="AG58" i="3"/>
  <c r="O64" i="3"/>
  <c r="J86" i="3"/>
  <c r="T49" i="3"/>
  <c r="AM72" i="3"/>
  <c r="AE49" i="3"/>
  <c r="AJ75" i="3"/>
  <c r="R81" i="3"/>
  <c r="AH80" i="3"/>
  <c r="I92" i="3"/>
  <c r="AN84" i="3"/>
  <c r="I94" i="3"/>
  <c r="AQ82" i="3"/>
  <c r="N87" i="3"/>
  <c r="T91" i="3"/>
  <c r="AC78" i="3"/>
  <c r="P48" i="3"/>
  <c r="L55" i="3"/>
  <c r="Q58" i="3"/>
  <c r="V47" i="3"/>
  <c r="AL82" i="3"/>
  <c r="AL80" i="3"/>
  <c r="AK84" i="3"/>
  <c r="P62" i="3"/>
  <c r="R92" i="3"/>
  <c r="AH93" i="3"/>
  <c r="W80" i="3"/>
  <c r="R87" i="3"/>
  <c r="R48" i="3"/>
  <c r="V87" i="3"/>
  <c r="H97" i="3"/>
  <c r="AL65" i="3"/>
  <c r="N59" i="3"/>
  <c r="K84" i="3"/>
  <c r="AM92" i="3"/>
  <c r="AL73" i="3"/>
  <c r="AA69" i="3"/>
  <c r="AA57" i="3"/>
  <c r="N68" i="3"/>
  <c r="AQ92" i="3"/>
  <c r="H96" i="3"/>
  <c r="S56" i="3"/>
  <c r="M74" i="3"/>
  <c r="M78" i="3"/>
  <c r="K60" i="3"/>
  <c r="O78" i="3"/>
  <c r="K58" i="3"/>
  <c r="V90" i="3"/>
  <c r="AE56" i="3"/>
  <c r="Q88" i="3"/>
  <c r="AO67" i="3"/>
  <c r="AH74" i="3"/>
  <c r="AL94" i="3"/>
  <c r="Q91" i="3"/>
  <c r="T89" i="3"/>
  <c r="P97" i="3"/>
  <c r="AO62" i="3"/>
  <c r="N82" i="3"/>
  <c r="V77" i="3"/>
  <c r="T58" i="3"/>
  <c r="AM56" i="3"/>
  <c r="K96" i="3"/>
  <c r="W66" i="3"/>
  <c r="X96" i="3"/>
  <c r="AO76" i="3"/>
  <c r="L82" i="3"/>
  <c r="AQ68" i="3"/>
  <c r="L80" i="3"/>
  <c r="K72" i="3"/>
  <c r="AI81" i="3"/>
  <c r="AC97" i="3"/>
  <c r="M57" i="3"/>
  <c r="P61" i="3"/>
  <c r="J91" i="3"/>
  <c r="AI97" i="3"/>
  <c r="T77" i="3"/>
  <c r="W47" i="3"/>
  <c r="AE65" i="3"/>
  <c r="N47" i="3"/>
  <c r="M56" i="3"/>
  <c r="AG69" i="3"/>
  <c r="AN76" i="3"/>
  <c r="I49" i="3"/>
  <c r="AH97" i="3"/>
  <c r="AM55" i="3"/>
  <c r="I63" i="3"/>
  <c r="AH84" i="3"/>
  <c r="AL62" i="3"/>
  <c r="X65" i="3"/>
  <c r="L91" i="3"/>
  <c r="AM74" i="3"/>
  <c r="AJ49" i="3"/>
  <c r="AO72" i="3"/>
  <c r="X95" i="3"/>
  <c r="AL68" i="3"/>
  <c r="W62" i="3"/>
  <c r="BW195" i="1" l="1"/>
  <c r="BV211" i="1"/>
  <c r="W211" i="1"/>
  <c r="V246" i="1"/>
  <c r="V211" i="1"/>
  <c r="T246" i="1"/>
  <c r="T211" i="1"/>
  <c r="Q246" i="1"/>
  <c r="Q211" i="1"/>
  <c r="P246" i="1"/>
  <c r="P211" i="1"/>
  <c r="S246" i="1"/>
  <c r="S211" i="1"/>
  <c r="S249" i="1" s="1"/>
  <c r="U246" i="1"/>
  <c r="U211" i="1"/>
  <c r="U249" i="1" s="1"/>
  <c r="R246" i="1"/>
  <c r="R211" i="1"/>
  <c r="V228" i="1"/>
  <c r="Q228" i="1"/>
  <c r="R276" i="1" s="1"/>
  <c r="U228" i="1"/>
  <c r="V276" i="1" s="1"/>
  <c r="S228" i="1"/>
  <c r="T276" i="1" s="1"/>
  <c r="R228" i="1"/>
  <c r="P228" i="1"/>
  <c r="Q276" i="1" s="1"/>
  <c r="W228" i="1"/>
  <c r="T228" i="1"/>
  <c r="U276" i="1" s="1"/>
  <c r="F187" i="1"/>
  <c r="F191" i="1" s="1"/>
  <c r="BJ67" i="1"/>
  <c r="BJ81" i="1" s="1"/>
  <c r="BJ32" i="1"/>
  <c r="B228" i="1"/>
  <c r="C276" i="1" s="1"/>
  <c r="P269" i="1"/>
  <c r="L173" i="1"/>
  <c r="R187" i="1"/>
  <c r="R191" i="1" s="1"/>
  <c r="N228" i="1"/>
  <c r="O276" i="1" s="1"/>
  <c r="N173" i="1"/>
  <c r="I228" i="1"/>
  <c r="J276" i="1" s="1"/>
  <c r="D173" i="1"/>
  <c r="H240" i="1"/>
  <c r="T269" i="1"/>
  <c r="C173" i="1"/>
  <c r="C107" i="1" s="1"/>
  <c r="M173" i="1"/>
  <c r="M242" i="1" s="1"/>
  <c r="T173" i="1"/>
  <c r="E173" i="1"/>
  <c r="E242" i="1" s="1"/>
  <c r="S240" i="1"/>
  <c r="Q240" i="1"/>
  <c r="H173" i="1"/>
  <c r="I173" i="1"/>
  <c r="I211" i="1"/>
  <c r="I249" i="1" s="1"/>
  <c r="I248" i="1" s="1"/>
  <c r="V181" i="1"/>
  <c r="V90" i="1" s="1"/>
  <c r="D181" i="1"/>
  <c r="V269" i="1"/>
  <c r="O173" i="1"/>
  <c r="F181" i="1"/>
  <c r="F90" i="1" s="1"/>
  <c r="B118" i="1"/>
  <c r="S269" i="1"/>
  <c r="N187" i="1"/>
  <c r="R181" i="1"/>
  <c r="R90" i="1" s="1"/>
  <c r="Q269" i="1"/>
  <c r="B240" i="1"/>
  <c r="C187" i="1"/>
  <c r="C240" i="1"/>
  <c r="O228" i="1"/>
  <c r="L187" i="1"/>
  <c r="M228" i="1"/>
  <c r="C269" i="1"/>
  <c r="C181" i="1"/>
  <c r="J187" i="1"/>
  <c r="M211" i="1"/>
  <c r="M249" i="1" s="1"/>
  <c r="M248" i="1" s="1"/>
  <c r="U187" i="1"/>
  <c r="B222" i="1"/>
  <c r="B252" i="1" s="1"/>
  <c r="B251" i="1" s="1"/>
  <c r="S187" i="1"/>
  <c r="B187" i="1"/>
  <c r="K269" i="1"/>
  <c r="H228" i="1"/>
  <c r="C118" i="1"/>
  <c r="S181" i="1"/>
  <c r="S222" i="1"/>
  <c r="C211" i="1"/>
  <c r="K228" i="1"/>
  <c r="D228" i="1"/>
  <c r="F228" i="1"/>
  <c r="M269" i="1"/>
  <c r="F173" i="1"/>
  <c r="T187" i="1"/>
  <c r="T86" i="1" s="1"/>
  <c r="B173" i="1"/>
  <c r="G187" i="1"/>
  <c r="T181" i="1"/>
  <c r="M240" i="1"/>
  <c r="O181" i="1"/>
  <c r="L269" i="1"/>
  <c r="B181" i="1"/>
  <c r="N240" i="1"/>
  <c r="D118" i="1"/>
  <c r="D160" i="1" s="1"/>
  <c r="K211" i="1"/>
  <c r="K181" i="1"/>
  <c r="F211" i="1"/>
  <c r="J228" i="1"/>
  <c r="G173" i="1"/>
  <c r="D240" i="1"/>
  <c r="J181" i="1"/>
  <c r="N269" i="1"/>
  <c r="E240" i="1"/>
  <c r="R269" i="1"/>
  <c r="L211" i="1"/>
  <c r="D269" i="1"/>
  <c r="G211" i="1"/>
  <c r="G249" i="1" s="1"/>
  <c r="G248" i="1" s="1"/>
  <c r="K173" i="1"/>
  <c r="C228" i="1"/>
  <c r="W181" i="1"/>
  <c r="D211" i="1"/>
  <c r="U173" i="1"/>
  <c r="F222" i="1"/>
  <c r="F252" i="1" s="1"/>
  <c r="C222" i="1"/>
  <c r="W240" i="1"/>
  <c r="E269" i="1"/>
  <c r="J211" i="1"/>
  <c r="E187" i="1"/>
  <c r="H222" i="1"/>
  <c r="H252" i="1" s="1"/>
  <c r="H251" i="1" s="1"/>
  <c r="H181" i="1"/>
  <c r="U269" i="1"/>
  <c r="I187" i="1"/>
  <c r="V240" i="1"/>
  <c r="P181" i="1"/>
  <c r="G240" i="1"/>
  <c r="J173" i="1"/>
  <c r="N222" i="1"/>
  <c r="N252" i="1" s="1"/>
  <c r="N251" i="1" s="1"/>
  <c r="O211" i="1"/>
  <c r="I181" i="1"/>
  <c r="O269" i="1"/>
  <c r="D187" i="1"/>
  <c r="G228" i="1"/>
  <c r="Q187" i="1"/>
  <c r="E181" i="1"/>
  <c r="M187" i="1"/>
  <c r="Q173" i="1"/>
  <c r="P240" i="1"/>
  <c r="E211" i="1"/>
  <c r="L240" i="1"/>
  <c r="K240" i="1"/>
  <c r="K187" i="1"/>
  <c r="N181" i="1"/>
  <c r="O240" i="1"/>
  <c r="L181" i="1"/>
  <c r="P173" i="1"/>
  <c r="B211" i="1"/>
  <c r="T240" i="1"/>
  <c r="J240" i="1"/>
  <c r="P187" i="1"/>
  <c r="G181" i="1"/>
  <c r="U181" i="1"/>
  <c r="D222" i="1"/>
  <c r="H269" i="1"/>
  <c r="S173" i="1"/>
  <c r="W187" i="1"/>
  <c r="F240" i="1"/>
  <c r="O187" i="1"/>
  <c r="L228" i="1"/>
  <c r="I240" i="1"/>
  <c r="R173" i="1"/>
  <c r="V173" i="1"/>
  <c r="Q181" i="1"/>
  <c r="K222" i="1"/>
  <c r="N246" i="1"/>
  <c r="N211" i="1"/>
  <c r="P222" i="1"/>
  <c r="P252" i="1" s="1"/>
  <c r="P251" i="1" s="1"/>
  <c r="T222" i="1"/>
  <c r="J222" i="1"/>
  <c r="E222" i="1"/>
  <c r="G222" i="1"/>
  <c r="O222" i="1"/>
  <c r="U222" i="1"/>
  <c r="L222" i="1"/>
  <c r="H246" i="1"/>
  <c r="H211" i="1"/>
  <c r="R240" i="1"/>
  <c r="J269" i="1"/>
  <c r="I269" i="1"/>
  <c r="U240" i="1"/>
  <c r="G269" i="1"/>
  <c r="F269" i="1"/>
  <c r="X269" i="1"/>
  <c r="W269" i="1"/>
  <c r="M219" i="1"/>
  <c r="M222" i="1" s="1"/>
  <c r="M181" i="1"/>
  <c r="V187" i="1"/>
  <c r="I222" i="1"/>
  <c r="H187" i="1"/>
  <c r="Q222" i="1"/>
  <c r="V222" i="1"/>
  <c r="R222" i="1"/>
  <c r="BH187" i="1"/>
  <c r="BH191" i="1" s="1"/>
  <c r="AX193" i="1"/>
  <c r="AY193" i="1" s="1"/>
  <c r="AZ218" i="1"/>
  <c r="AZ250" i="1" s="1"/>
  <c r="BA250" i="1" s="1"/>
  <c r="BR179" i="1"/>
  <c r="BS179" i="1" s="1"/>
  <c r="AZ219" i="1"/>
  <c r="BA219" i="1" s="1"/>
  <c r="BT184" i="1"/>
  <c r="BP221" i="1"/>
  <c r="BQ221" i="1" s="1"/>
  <c r="BP126" i="1"/>
  <c r="BF178" i="1"/>
  <c r="BG178" i="1" s="1"/>
  <c r="AP204" i="1"/>
  <c r="AQ204" i="1" s="1"/>
  <c r="BI126" i="1"/>
  <c r="AX202" i="1"/>
  <c r="AX246" i="1" s="1"/>
  <c r="BR225" i="1"/>
  <c r="BF127" i="1"/>
  <c r="AZ217" i="1"/>
  <c r="BA217" i="1" s="1"/>
  <c r="BD188" i="1"/>
  <c r="BE188" i="1" s="1"/>
  <c r="AZ170" i="1"/>
  <c r="BA170" i="1" s="1"/>
  <c r="BN231" i="1"/>
  <c r="BO231" i="1" s="1"/>
  <c r="BF207" i="1"/>
  <c r="BG207" i="1" s="1"/>
  <c r="BT216" i="1"/>
  <c r="BU216" i="1" s="1"/>
  <c r="BN172" i="1"/>
  <c r="AX171" i="1"/>
  <c r="AY171" i="1" s="1"/>
  <c r="BW127" i="1"/>
  <c r="BN179" i="1"/>
  <c r="BO179" i="1" s="1"/>
  <c r="AX216" i="1"/>
  <c r="AY216" i="1" s="1"/>
  <c r="AP178" i="1"/>
  <c r="AQ178" i="1" s="1"/>
  <c r="AT184" i="1"/>
  <c r="AZ184" i="1"/>
  <c r="BF219" i="1"/>
  <c r="BG219" i="1" s="1"/>
  <c r="BR180" i="1"/>
  <c r="BS180" i="1" s="1"/>
  <c r="BD207" i="1"/>
  <c r="BE207" i="1" s="1"/>
  <c r="AP197" i="1"/>
  <c r="AQ197" i="1" s="1"/>
  <c r="AV188" i="1"/>
  <c r="AW188" i="1" s="1"/>
  <c r="BB188" i="1"/>
  <c r="BC188" i="1" s="1"/>
  <c r="AN170" i="1"/>
  <c r="AR231" i="1"/>
  <c r="AS231" i="1" s="1"/>
  <c r="AQ126" i="1"/>
  <c r="AT216" i="1"/>
  <c r="AU216" i="1" s="1"/>
  <c r="AX127" i="1"/>
  <c r="BA126" i="1"/>
  <c r="BF216" i="1"/>
  <c r="BG216" i="1" s="1"/>
  <c r="BN175" i="1"/>
  <c r="BO175" i="1" s="1"/>
  <c r="BP180" i="1"/>
  <c r="BQ180" i="1" s="1"/>
  <c r="BF177" i="1"/>
  <c r="BG177" i="1" s="1"/>
  <c r="BF230" i="1"/>
  <c r="BG230" i="1" s="1"/>
  <c r="AZ226" i="1"/>
  <c r="AW126" i="1"/>
  <c r="BP179" i="1"/>
  <c r="BQ179" i="1" s="1"/>
  <c r="BD217" i="1"/>
  <c r="BE217" i="1" s="1"/>
  <c r="BG126" i="1"/>
  <c r="AZ195" i="1"/>
  <c r="BA195" i="1" s="1"/>
  <c r="BD226" i="1"/>
  <c r="BT170" i="1"/>
  <c r="BU170" i="1" s="1"/>
  <c r="BN217" i="1"/>
  <c r="BO217" i="1" s="1"/>
  <c r="BD212" i="1"/>
  <c r="BE212" i="1" s="1"/>
  <c r="BT217" i="1"/>
  <c r="BU217" i="1" s="1"/>
  <c r="BM127" i="1"/>
  <c r="BN180" i="1"/>
  <c r="BO180" i="1" s="1"/>
  <c r="BR185" i="1"/>
  <c r="BP202" i="1"/>
  <c r="BP246" i="1" s="1"/>
  <c r="BQ246" i="1" s="1"/>
  <c r="AT225" i="1"/>
  <c r="BF231" i="1"/>
  <c r="BG231" i="1" s="1"/>
  <c r="AZ188" i="1"/>
  <c r="BA188" i="1" s="1"/>
  <c r="BT204" i="1"/>
  <c r="BU204" i="1" s="1"/>
  <c r="BP177" i="1"/>
  <c r="BQ177" i="1" s="1"/>
  <c r="BP195" i="1"/>
  <c r="BQ195" i="1" s="1"/>
  <c r="BT127" i="1"/>
  <c r="AR197" i="1"/>
  <c r="AS197" i="1" s="1"/>
  <c r="BF171" i="1"/>
  <c r="BG171" i="1" s="1"/>
  <c r="AX126" i="1"/>
  <c r="AX207" i="1"/>
  <c r="AY207" i="1" s="1"/>
  <c r="AX217" i="1"/>
  <c r="AY217" i="1" s="1"/>
  <c r="BB177" i="1"/>
  <c r="BF170" i="1"/>
  <c r="BG170" i="1" s="1"/>
  <c r="AZ207" i="1"/>
  <c r="BA207" i="1" s="1"/>
  <c r="BP184" i="1"/>
  <c r="AV202" i="1"/>
  <c r="AV246" i="1" s="1"/>
  <c r="AW246" i="1" s="1"/>
  <c r="BW126" i="1"/>
  <c r="BN221" i="1"/>
  <c r="BO221" i="1" s="1"/>
  <c r="BR212" i="1"/>
  <c r="BS212" i="1" s="1"/>
  <c r="BP172" i="1"/>
  <c r="BR126" i="1"/>
  <c r="BB127" i="1"/>
  <c r="BD127" i="1"/>
  <c r="AT178" i="1"/>
  <c r="AU178" i="1" s="1"/>
  <c r="BN178" i="1"/>
  <c r="BO178" i="1" s="1"/>
  <c r="BB204" i="1"/>
  <c r="BC204" i="1" s="1"/>
  <c r="BF185" i="1"/>
  <c r="AT175" i="1"/>
  <c r="AU175" i="1" s="1"/>
  <c r="BB185" i="1"/>
  <c r="AN175" i="1"/>
  <c r="AO175" i="1" s="1"/>
  <c r="BB179" i="1"/>
  <c r="BC179" i="1" s="1"/>
  <c r="BP193" i="1"/>
  <c r="BQ193" i="1" s="1"/>
  <c r="AP193" i="1"/>
  <c r="AV193" i="1"/>
  <c r="AV215" i="1"/>
  <c r="AW215" i="1" s="1"/>
  <c r="AN171" i="1"/>
  <c r="AO171" i="1" s="1"/>
  <c r="AN127" i="1"/>
  <c r="BE127" i="1"/>
  <c r="AX175" i="1"/>
  <c r="AY175" i="1" s="1"/>
  <c r="AX226" i="1"/>
  <c r="BB172" i="1"/>
  <c r="AZ203" i="1"/>
  <c r="AZ247" i="1" s="1"/>
  <c r="BA247" i="1" s="1"/>
  <c r="BT202" i="1"/>
  <c r="BT246" i="1" s="1"/>
  <c r="BU246" i="1" s="1"/>
  <c r="AP172" i="1"/>
  <c r="BR216" i="1"/>
  <c r="BS216" i="1" s="1"/>
  <c r="AT186" i="1"/>
  <c r="AX215" i="1"/>
  <c r="AY215" i="1" s="1"/>
  <c r="BN204" i="1"/>
  <c r="BO204" i="1" s="1"/>
  <c r="BN185" i="1"/>
  <c r="AY127" i="1"/>
  <c r="BR202" i="1"/>
  <c r="BR246" i="1" s="1"/>
  <c r="BS246" i="1" s="1"/>
  <c r="BB226" i="1"/>
  <c r="BD184" i="1"/>
  <c r="BT218" i="1"/>
  <c r="BT250" i="1" s="1"/>
  <c r="BU250" i="1" s="1"/>
  <c r="BA127" i="1"/>
  <c r="BR204" i="1"/>
  <c r="BS204" i="1" s="1"/>
  <c r="BB180" i="1"/>
  <c r="BC180" i="1" s="1"/>
  <c r="BP203" i="1"/>
  <c r="BP247" i="1" s="1"/>
  <c r="BQ247" i="1" s="1"/>
  <c r="AT202" i="1"/>
  <c r="AT246" i="1" s="1"/>
  <c r="AU246" i="1" s="1"/>
  <c r="BC126" i="1"/>
  <c r="BD216" i="1"/>
  <c r="BE216" i="1" s="1"/>
  <c r="BR203" i="1"/>
  <c r="BR247" i="1" s="1"/>
  <c r="BS247" i="1" s="1"/>
  <c r="BT225" i="1"/>
  <c r="AV212" i="1"/>
  <c r="AW212" i="1" s="1"/>
  <c r="BN195" i="1"/>
  <c r="BO195" i="1" s="1"/>
  <c r="AZ202" i="1"/>
  <c r="AZ246" i="1" s="1"/>
  <c r="BA246" i="1" s="1"/>
  <c r="AP177" i="1"/>
  <c r="AQ177" i="1" s="1"/>
  <c r="BP170" i="1"/>
  <c r="BQ170" i="1" s="1"/>
  <c r="BD179" i="1"/>
  <c r="BE179" i="1" s="1"/>
  <c r="BP185" i="1"/>
  <c r="AP215" i="1"/>
  <c r="AQ215" i="1" s="1"/>
  <c r="BD231" i="1"/>
  <c r="BE231" i="1" s="1"/>
  <c r="AV225" i="1"/>
  <c r="AV170" i="1"/>
  <c r="AW170" i="1" s="1"/>
  <c r="AR172" i="1"/>
  <c r="AR195" i="1"/>
  <c r="AS195" i="1" s="1"/>
  <c r="AZ193" i="1"/>
  <c r="BA193" i="1" s="1"/>
  <c r="AP230" i="1"/>
  <c r="AQ230" i="1" s="1"/>
  <c r="AP195" i="1"/>
  <c r="AN190" i="1"/>
  <c r="AO190" i="1" s="1"/>
  <c r="AV178" i="1"/>
  <c r="AW178" i="1" s="1"/>
  <c r="AV179" i="1"/>
  <c r="AW179" i="1" s="1"/>
  <c r="AR219" i="1"/>
  <c r="AS219" i="1" s="1"/>
  <c r="AV186" i="1"/>
  <c r="AR171" i="1"/>
  <c r="AS171" i="1" s="1"/>
  <c r="AR217" i="1"/>
  <c r="AS217" i="1" s="1"/>
  <c r="BP225" i="1"/>
  <c r="AN215" i="1"/>
  <c r="AO215" i="1" s="1"/>
  <c r="AR177" i="1"/>
  <c r="AN226" i="1"/>
  <c r="AV231" i="1"/>
  <c r="AW231" i="1" s="1"/>
  <c r="AR218" i="1"/>
  <c r="AR250" i="1" s="1"/>
  <c r="AN179" i="1"/>
  <c r="AO179" i="1" s="1"/>
  <c r="AR175" i="1"/>
  <c r="AS175" i="1" s="1"/>
  <c r="AR204" i="1"/>
  <c r="AS204" i="1" s="1"/>
  <c r="BB184" i="1"/>
  <c r="AV126" i="1"/>
  <c r="AU126" i="1"/>
  <c r="AR226" i="1"/>
  <c r="AV218" i="1"/>
  <c r="AV250" i="1" s="1"/>
  <c r="AT212" i="1"/>
  <c r="AU212" i="1" s="1"/>
  <c r="AT218" i="1"/>
  <c r="AT250" i="1" s="1"/>
  <c r="AU250" i="1" s="1"/>
  <c r="AR126" i="1"/>
  <c r="BO127" i="1"/>
  <c r="BT193" i="1"/>
  <c r="AP186" i="1"/>
  <c r="BF215" i="1"/>
  <c r="BG215" i="1" s="1"/>
  <c r="BN126" i="1"/>
  <c r="AV226" i="1"/>
  <c r="AR202" i="1"/>
  <c r="AR246" i="1" s="1"/>
  <c r="AS246" i="1" s="1"/>
  <c r="BP212" i="1"/>
  <c r="BQ212" i="1" s="1"/>
  <c r="AV216" i="1"/>
  <c r="AW216" i="1" s="1"/>
  <c r="BT180" i="1"/>
  <c r="BU180" i="1" s="1"/>
  <c r="AR207" i="1"/>
  <c r="AS207" i="1" s="1"/>
  <c r="BB203" i="1"/>
  <c r="BB247" i="1" s="1"/>
  <c r="BC247" i="1" s="1"/>
  <c r="AT171" i="1"/>
  <c r="AU171" i="1" s="1"/>
  <c r="BO126" i="1"/>
  <c r="AX230" i="1"/>
  <c r="AY230" i="1" s="1"/>
  <c r="BB193" i="1"/>
  <c r="BC193" i="1" s="1"/>
  <c r="BD170" i="1"/>
  <c r="BR188" i="1"/>
  <c r="BS188" i="1" s="1"/>
  <c r="BB218" i="1"/>
  <c r="BB250" i="1" s="1"/>
  <c r="BF226" i="1"/>
  <c r="BP218" i="1"/>
  <c r="BP250" i="1" s="1"/>
  <c r="BQ250" i="1" s="1"/>
  <c r="AX221" i="1"/>
  <c r="AY221" i="1" s="1"/>
  <c r="BN225" i="1"/>
  <c r="AZ179" i="1"/>
  <c r="BA179" i="1" s="1"/>
  <c r="AX184" i="1"/>
  <c r="BN202" i="1"/>
  <c r="BN246" i="1" s="1"/>
  <c r="BO246" i="1" s="1"/>
  <c r="BR171" i="1"/>
  <c r="BS171" i="1" s="1"/>
  <c r="BF203" i="1"/>
  <c r="BF247" i="1" s="1"/>
  <c r="BG247" i="1" s="1"/>
  <c r="BS126" i="1"/>
  <c r="BQ127" i="1"/>
  <c r="AT188" i="1"/>
  <c r="AU188" i="1" s="1"/>
  <c r="AT179" i="1"/>
  <c r="AU179" i="1" s="1"/>
  <c r="AZ175" i="1"/>
  <c r="BA175" i="1" s="1"/>
  <c r="BD230" i="1"/>
  <c r="BE230" i="1" s="1"/>
  <c r="BD175" i="1"/>
  <c r="BE175" i="1" s="1"/>
  <c r="BT172" i="1"/>
  <c r="BB219" i="1"/>
  <c r="BC219" i="1" s="1"/>
  <c r="BF184" i="1"/>
  <c r="AX172" i="1"/>
  <c r="AX188" i="1"/>
  <c r="AY188" i="1" s="1"/>
  <c r="AX203" i="1"/>
  <c r="AX247" i="1" s="1"/>
  <c r="AY247" i="1" s="1"/>
  <c r="AZ186" i="1"/>
  <c r="AZ221" i="1"/>
  <c r="BA221" i="1" s="1"/>
  <c r="BF218" i="1"/>
  <c r="BF250" i="1" s="1"/>
  <c r="BG250" i="1" s="1"/>
  <c r="BF188" i="1"/>
  <c r="BG188" i="1" s="1"/>
  <c r="BD215" i="1"/>
  <c r="BE215" i="1" s="1"/>
  <c r="BN215" i="1"/>
  <c r="BO215" i="1" s="1"/>
  <c r="AQ127" i="1"/>
  <c r="BR127" i="1"/>
  <c r="AZ180" i="1"/>
  <c r="BA180" i="1" s="1"/>
  <c r="BD204" i="1"/>
  <c r="BE204" i="1" s="1"/>
  <c r="BD177" i="1"/>
  <c r="BE177" i="1" s="1"/>
  <c r="BT188" i="1"/>
  <c r="BU188" i="1" s="1"/>
  <c r="BP127" i="1"/>
  <c r="AV219" i="1"/>
  <c r="AW219" i="1" s="1"/>
  <c r="BN127" i="1"/>
  <c r="BR231" i="1"/>
  <c r="BS231" i="1" s="1"/>
  <c r="AN231" i="1"/>
  <c r="AO231" i="1" s="1"/>
  <c r="AT215" i="1"/>
  <c r="AO126" i="1"/>
  <c r="AX212" i="1"/>
  <c r="AX185" i="1"/>
  <c r="AX190" i="1"/>
  <c r="AY190" i="1" s="1"/>
  <c r="BE126" i="1"/>
  <c r="BN186" i="1"/>
  <c r="BN230" i="1"/>
  <c r="BO230" i="1" s="1"/>
  <c r="BN177" i="1"/>
  <c r="BN203" i="1"/>
  <c r="BN247" i="1" s="1"/>
  <c r="BO247" i="1" s="1"/>
  <c r="BN219" i="1"/>
  <c r="BO219" i="1" s="1"/>
  <c r="AY126" i="1"/>
  <c r="BR195" i="1"/>
  <c r="BS195" i="1" s="1"/>
  <c r="BB212" i="1"/>
  <c r="BC212" i="1" s="1"/>
  <c r="BB216" i="1"/>
  <c r="BC216" i="1" s="1"/>
  <c r="AZ216" i="1"/>
  <c r="BA216" i="1" s="1"/>
  <c r="BF195" i="1"/>
  <c r="BG195" i="1" s="1"/>
  <c r="BD203" i="1"/>
  <c r="BD247" i="1" s="1"/>
  <c r="BE247" i="1" s="1"/>
  <c r="BT219" i="1"/>
  <c r="BU219" i="1" s="1"/>
  <c r="BT226" i="1"/>
  <c r="BP197" i="1"/>
  <c r="BQ197" i="1" s="1"/>
  <c r="BP216" i="1"/>
  <c r="BQ216" i="1" s="1"/>
  <c r="AP171" i="1"/>
  <c r="AQ171" i="1" s="1"/>
  <c r="AZ171" i="1"/>
  <c r="BA171" i="1" s="1"/>
  <c r="AX179" i="1"/>
  <c r="AY179" i="1" s="1"/>
  <c r="AX195" i="1"/>
  <c r="AY195" i="1" s="1"/>
  <c r="BN207" i="1"/>
  <c r="BO207" i="1" s="1"/>
  <c r="BR186" i="1"/>
  <c r="BR221" i="1"/>
  <c r="BS221" i="1" s="1"/>
  <c r="BR215" i="1"/>
  <c r="BS215" i="1" s="1"/>
  <c r="BB175" i="1"/>
  <c r="BC175" i="1" s="1"/>
  <c r="AZ185" i="1"/>
  <c r="AP212" i="1"/>
  <c r="AQ212" i="1" s="1"/>
  <c r="AW127" i="1"/>
  <c r="AS126" i="1"/>
  <c r="AT180" i="1"/>
  <c r="AU180" i="1" s="1"/>
  <c r="AT203" i="1"/>
  <c r="AT247" i="1" s="1"/>
  <c r="AU247" i="1" s="1"/>
  <c r="AT221" i="1"/>
  <c r="AU221" i="1" s="1"/>
  <c r="AT204" i="1"/>
  <c r="AU204" i="1" s="1"/>
  <c r="AT219" i="1"/>
  <c r="AU219" i="1" s="1"/>
  <c r="AT170" i="1"/>
  <c r="BB215" i="1"/>
  <c r="BC215" i="1" s="1"/>
  <c r="AZ230" i="1"/>
  <c r="BA230" i="1" s="1"/>
  <c r="AZ215" i="1"/>
  <c r="BA215" i="1" s="1"/>
  <c r="BF172" i="1"/>
  <c r="BD172" i="1"/>
  <c r="BD193" i="1"/>
  <c r="BE193" i="1" s="1"/>
  <c r="AP127" i="1"/>
  <c r="BG127" i="1"/>
  <c r="BF175" i="1"/>
  <c r="BG175" i="1" s="1"/>
  <c r="AZ231" i="1"/>
  <c r="BA231" i="1" s="1"/>
  <c r="BF193" i="1"/>
  <c r="BG193" i="1" s="1"/>
  <c r="BH269" i="1" s="1"/>
  <c r="BD195" i="1"/>
  <c r="BE195" i="1" s="1"/>
  <c r="BP175" i="1"/>
  <c r="BQ175" i="1" s="1"/>
  <c r="BK126" i="1"/>
  <c r="AP175" i="1"/>
  <c r="AQ175" i="1" s="1"/>
  <c r="AT197" i="1"/>
  <c r="AU197" i="1" s="1"/>
  <c r="AT172" i="1"/>
  <c r="BN218" i="1"/>
  <c r="BN250" i="1" s="1"/>
  <c r="BO250" i="1" s="1"/>
  <c r="BB186" i="1"/>
  <c r="BB195" i="1"/>
  <c r="BC195" i="1" s="1"/>
  <c r="AZ212" i="1"/>
  <c r="BA212" i="1" s="1"/>
  <c r="BP204" i="1"/>
  <c r="BQ204" i="1" s="1"/>
  <c r="AN204" i="1"/>
  <c r="AO204" i="1" s="1"/>
  <c r="BT203" i="1"/>
  <c r="BT247" i="1" s="1"/>
  <c r="BU247" i="1" s="1"/>
  <c r="BD218" i="1"/>
  <c r="BD250" i="1" s="1"/>
  <c r="BE250" i="1" s="1"/>
  <c r="BF179" i="1"/>
  <c r="BG179" i="1" s="1"/>
  <c r="BT215" i="1"/>
  <c r="BU215" i="1" s="1"/>
  <c r="AN225" i="1"/>
  <c r="AZ190" i="1"/>
  <c r="BA190" i="1" s="1"/>
  <c r="AP179" i="1"/>
  <c r="AQ179" i="1" s="1"/>
  <c r="AP202" i="1"/>
  <c r="AP246" i="1" s="1"/>
  <c r="AQ246" i="1" s="1"/>
  <c r="AN217" i="1"/>
  <c r="AO217" i="1" s="1"/>
  <c r="BP178" i="1"/>
  <c r="BQ178" i="1" s="1"/>
  <c r="AV204" i="1"/>
  <c r="AW204" i="1" s="1"/>
  <c r="AR178" i="1"/>
  <c r="AS178" i="1" s="1"/>
  <c r="AR127" i="1"/>
  <c r="BT207" i="1"/>
  <c r="BU207" i="1" s="1"/>
  <c r="BP217" i="1"/>
  <c r="BQ217" i="1" s="1"/>
  <c r="AN230" i="1"/>
  <c r="AO230" i="1" s="1"/>
  <c r="AV127" i="1"/>
  <c r="AP180" i="1"/>
  <c r="AQ180" i="1" s="1"/>
  <c r="AV171" i="1"/>
  <c r="AW171" i="1" s="1"/>
  <c r="AV230" i="1"/>
  <c r="AW230" i="1" s="1"/>
  <c r="AR170" i="1"/>
  <c r="AV177" i="1"/>
  <c r="BD126" i="1"/>
  <c r="AP218" i="1"/>
  <c r="AP250" i="1" s="1"/>
  <c r="AQ250" i="1" s="1"/>
  <c r="BP186" i="1"/>
  <c r="AN207" i="1"/>
  <c r="AO207" i="1" s="1"/>
  <c r="AR190" i="1"/>
  <c r="AS190" i="1" s="1"/>
  <c r="BI127" i="1"/>
  <c r="AS127" i="1"/>
  <c r="AR215" i="1"/>
  <c r="AS215" i="1" s="1"/>
  <c r="AP226" i="1"/>
  <c r="AN219" i="1"/>
  <c r="AO219" i="1" s="1"/>
  <c r="AV180" i="1"/>
  <c r="AW180" i="1" s="1"/>
  <c r="BP219" i="1"/>
  <c r="BQ219" i="1" s="1"/>
  <c r="AN216" i="1"/>
  <c r="AO216" i="1" s="1"/>
  <c r="AN188" i="1"/>
  <c r="AO188" i="1" s="1"/>
  <c r="AR180" i="1"/>
  <c r="AS180" i="1" s="1"/>
  <c r="AV217" i="1"/>
  <c r="AW217" i="1" s="1"/>
  <c r="BQ126" i="1"/>
  <c r="BS127" i="1"/>
  <c r="AR212" i="1"/>
  <c r="AS212" i="1" s="1"/>
  <c r="AP126" i="1"/>
  <c r="BR177" i="1"/>
  <c r="BS177" i="1" s="1"/>
  <c r="AV195" i="1"/>
  <c r="AW195" i="1" s="1"/>
  <c r="AN197" i="1"/>
  <c r="AO197" i="1" s="1"/>
  <c r="AN185" i="1"/>
  <c r="AR230" i="1"/>
  <c r="AS230" i="1" s="1"/>
  <c r="AV203" i="1"/>
  <c r="AV247" i="1" s="1"/>
  <c r="AW247" i="1" s="1"/>
  <c r="AN195" i="1"/>
  <c r="AR179" i="1"/>
  <c r="AS179" i="1" s="1"/>
  <c r="AX218" i="1"/>
  <c r="AX250" i="1" s="1"/>
  <c r="AY250" i="1" s="1"/>
  <c r="BB126" i="1"/>
  <c r="AZ204" i="1"/>
  <c r="BA204" i="1" s="1"/>
  <c r="BD225" i="1"/>
  <c r="BR219" i="1"/>
  <c r="BS219" i="1" s="1"/>
  <c r="BT185" i="1"/>
  <c r="BK127" i="1"/>
  <c r="AX170" i="1"/>
  <c r="AX219" i="1"/>
  <c r="AY219" i="1" s="1"/>
  <c r="BB178" i="1"/>
  <c r="BC178" i="1" s="1"/>
  <c r="BF202" i="1"/>
  <c r="BF246" i="1" s="1"/>
  <c r="BG246" i="1" s="1"/>
  <c r="BT178" i="1"/>
  <c r="BU178" i="1" s="1"/>
  <c r="AX177" i="1"/>
  <c r="BR193" i="1"/>
  <c r="BT177" i="1"/>
  <c r="AP221" i="1"/>
  <c r="AQ221" i="1" s="1"/>
  <c r="AT231" i="1"/>
  <c r="AU231" i="1" s="1"/>
  <c r="AT217" i="1"/>
  <c r="AU217" i="1" s="1"/>
  <c r="BC127" i="1"/>
  <c r="AZ177" i="1"/>
  <c r="BA177" i="1" s="1"/>
  <c r="BF217" i="1"/>
  <c r="BG217" i="1" s="1"/>
  <c r="BD202" i="1"/>
  <c r="BD246" i="1" s="1"/>
  <c r="BE246" i="1" s="1"/>
  <c r="AT127" i="1"/>
  <c r="BB202" i="1"/>
  <c r="BB246" i="1" s="1"/>
  <c r="BC246" i="1" s="1"/>
  <c r="BT221" i="1"/>
  <c r="BU221" i="1" s="1"/>
  <c r="BB207" i="1"/>
  <c r="BC207" i="1" s="1"/>
  <c r="AN193" i="1"/>
  <c r="BP215" i="1"/>
  <c r="BQ215" i="1" s="1"/>
  <c r="AN186" i="1"/>
  <c r="BT126" i="1"/>
  <c r="AP203" i="1"/>
  <c r="AP247" i="1" s="1"/>
  <c r="AQ247" i="1" s="1"/>
  <c r="AV184" i="1"/>
  <c r="BD180" i="1"/>
  <c r="BE180" i="1" s="1"/>
  <c r="AX225" i="1"/>
  <c r="AX231" i="1"/>
  <c r="AY231" i="1" s="1"/>
  <c r="AX178" i="1"/>
  <c r="AY178" i="1" s="1"/>
  <c r="BB230" i="1"/>
  <c r="BC230" i="1" s="1"/>
  <c r="BU126" i="1"/>
  <c r="AZ127" i="1"/>
  <c r="BF204" i="1"/>
  <c r="BG204" i="1" s="1"/>
  <c r="BF180" i="1"/>
  <c r="BG180" i="1" s="1"/>
  <c r="BD186" i="1"/>
  <c r="BN193" i="1"/>
  <c r="BR217" i="1"/>
  <c r="BS217" i="1" s="1"/>
  <c r="BR172" i="1"/>
  <c r="BR178" i="1"/>
  <c r="BS178" i="1" s="1"/>
  <c r="BR170" i="1"/>
  <c r="BB231" i="1"/>
  <c r="BC231" i="1" s="1"/>
  <c r="AZ172" i="1"/>
  <c r="BF212" i="1"/>
  <c r="BG212" i="1" s="1"/>
  <c r="BD171" i="1"/>
  <c r="BE171" i="1" s="1"/>
  <c r="BT231" i="1"/>
  <c r="BU231" i="1" s="1"/>
  <c r="BP226" i="1"/>
  <c r="AP185" i="1"/>
  <c r="AV185" i="1"/>
  <c r="BN184" i="1"/>
  <c r="BR207" i="1"/>
  <c r="BS207" i="1" s="1"/>
  <c r="AX186" i="1"/>
  <c r="AX204" i="1"/>
  <c r="AY204" i="1" s="1"/>
  <c r="BN226" i="1"/>
  <c r="BN171" i="1"/>
  <c r="BO171" i="1" s="1"/>
  <c r="BN212" i="1"/>
  <c r="BO212" i="1" s="1"/>
  <c r="BR226" i="1"/>
  <c r="BR175" i="1"/>
  <c r="BS175" i="1" s="1"/>
  <c r="BB225" i="1"/>
  <c r="BF186" i="1"/>
  <c r="BT171" i="1"/>
  <c r="BU171" i="1" s="1"/>
  <c r="BP230" i="1"/>
  <c r="BQ230" i="1" s="1"/>
  <c r="BP207" i="1"/>
  <c r="BQ207" i="1" s="1"/>
  <c r="BM126" i="1"/>
  <c r="AX180" i="1"/>
  <c r="AY180" i="1" s="1"/>
  <c r="BN216" i="1"/>
  <c r="BO216" i="1" s="1"/>
  <c r="BN170" i="1"/>
  <c r="BO170" i="1" s="1"/>
  <c r="BR184" i="1"/>
  <c r="BR230" i="1"/>
  <c r="BS230" i="1" s="1"/>
  <c r="BR218" i="1"/>
  <c r="BR250" i="1" s="1"/>
  <c r="BS250" i="1" s="1"/>
  <c r="BB221" i="1"/>
  <c r="BC221" i="1" s="1"/>
  <c r="AZ225" i="1"/>
  <c r="BD221" i="1"/>
  <c r="BE221" i="1" s="1"/>
  <c r="BT186" i="1"/>
  <c r="AP216" i="1"/>
  <c r="AQ216" i="1" s="1"/>
  <c r="AT193" i="1"/>
  <c r="AU193" i="1" s="1"/>
  <c r="AT226" i="1"/>
  <c r="AT177" i="1"/>
  <c r="AU177" i="1" s="1"/>
  <c r="AT195" i="1"/>
  <c r="BN188" i="1"/>
  <c r="BO188" i="1" s="1"/>
  <c r="BB217" i="1"/>
  <c r="BC217" i="1" s="1"/>
  <c r="BU127" i="1"/>
  <c r="AZ178" i="1"/>
  <c r="BA178" i="1" s="1"/>
  <c r="BF221" i="1"/>
  <c r="BG221" i="1" s="1"/>
  <c r="BP171" i="1"/>
  <c r="BQ171" i="1" s="1"/>
  <c r="BF225" i="1"/>
  <c r="BF126" i="1"/>
  <c r="BD178" i="1"/>
  <c r="BE178" i="1" s="1"/>
  <c r="BT175" i="1"/>
  <c r="BU175" i="1" s="1"/>
  <c r="AP217" i="1"/>
  <c r="AQ217" i="1" s="1"/>
  <c r="AT230" i="1"/>
  <c r="AU230" i="1" s="1"/>
  <c r="AT207" i="1"/>
  <c r="AU207" i="1" s="1"/>
  <c r="BT179" i="1"/>
  <c r="BU179" i="1" s="1"/>
  <c r="AU127" i="1"/>
  <c r="BB171" i="1"/>
  <c r="BC171" i="1" s="1"/>
  <c r="AZ126" i="1"/>
  <c r="BT195" i="1"/>
  <c r="AP231" i="1"/>
  <c r="AQ231" i="1" s="1"/>
  <c r="BB170" i="1"/>
  <c r="AN203" i="1"/>
  <c r="AN247" i="1" s="1"/>
  <c r="AO247" i="1" s="1"/>
  <c r="BD219" i="1"/>
  <c r="BE219" i="1" s="1"/>
  <c r="BT230" i="1"/>
  <c r="BU230" i="1" s="1"/>
  <c r="BP188" i="1"/>
  <c r="BQ188" i="1" s="1"/>
  <c r="AP188" i="1"/>
  <c r="AQ188" i="1" s="1"/>
  <c r="AN177" i="1"/>
  <c r="BP231" i="1"/>
  <c r="BQ231" i="1" s="1"/>
  <c r="AP170" i="1"/>
  <c r="AQ170" i="1" s="1"/>
  <c r="AN172" i="1"/>
  <c r="AV175" i="1"/>
  <c r="AW175" i="1" s="1"/>
  <c r="AR188" i="1"/>
  <c r="AS188" i="1" s="1"/>
  <c r="AR193" i="1"/>
  <c r="AS193" i="1" s="1"/>
  <c r="AR186" i="1"/>
  <c r="AP225" i="1"/>
  <c r="AP207" i="1"/>
  <c r="AQ207" i="1" s="1"/>
  <c r="AN218" i="1"/>
  <c r="AN250" i="1" s="1"/>
  <c r="AO250" i="1" s="1"/>
  <c r="AV221" i="1"/>
  <c r="AW221" i="1" s="1"/>
  <c r="AP184" i="1"/>
  <c r="AR185" i="1"/>
  <c r="AR184" i="1"/>
  <c r="AR225" i="1"/>
  <c r="BD185" i="1"/>
  <c r="AN202" i="1"/>
  <c r="AN246" i="1" s="1"/>
  <c r="AO246" i="1" s="1"/>
  <c r="AV172" i="1"/>
  <c r="AR203" i="1"/>
  <c r="BT212" i="1"/>
  <c r="BU212" i="1" s="1"/>
  <c r="AN212" i="1"/>
  <c r="AO212" i="1" s="1"/>
  <c r="AR221" i="1"/>
  <c r="AS221" i="1" s="1"/>
  <c r="AP219" i="1"/>
  <c r="AQ219" i="1" s="1"/>
  <c r="AN180" i="1"/>
  <c r="AO180" i="1" s="1"/>
  <c r="AN221" i="1"/>
  <c r="AO221" i="1" s="1"/>
  <c r="AR216" i="1"/>
  <c r="AS216" i="1" s="1"/>
  <c r="AN184" i="1"/>
  <c r="AT185" i="1"/>
  <c r="AT126" i="1"/>
  <c r="AN126" i="1"/>
  <c r="AN178" i="1"/>
  <c r="AO178" i="1" s="1"/>
  <c r="AO127" i="1"/>
  <c r="AV207" i="1"/>
  <c r="AW207" i="1" s="1"/>
  <c r="BH228" i="1"/>
  <c r="BI195" i="1"/>
  <c r="BH211" i="1"/>
  <c r="BH249" i="1" s="1"/>
  <c r="BI212" i="1"/>
  <c r="BH222" i="1"/>
  <c r="BH252" i="1" s="1"/>
  <c r="BI177" i="1"/>
  <c r="BI181" i="1" s="1"/>
  <c r="BH181" i="1"/>
  <c r="AV190" i="1"/>
  <c r="AW190" i="1" s="1"/>
  <c r="AV197" i="1"/>
  <c r="AZ61" i="1"/>
  <c r="AP190" i="1"/>
  <c r="AQ190" i="1" s="1"/>
  <c r="BF190" i="1"/>
  <c r="BG190" i="1" s="1"/>
  <c r="AT190" i="1"/>
  <c r="AU190" i="1" s="1"/>
  <c r="BP190" i="1"/>
  <c r="BQ190" i="1" s="1"/>
  <c r="BD190" i="1"/>
  <c r="BE190" i="1" s="1"/>
  <c r="BN190" i="1"/>
  <c r="BO190" i="1" s="1"/>
  <c r="BR190" i="1"/>
  <c r="BS190" i="1" s="1"/>
  <c r="BT190" i="1"/>
  <c r="BU190" i="1" s="1"/>
  <c r="BB190" i="1"/>
  <c r="BC190" i="1" s="1"/>
  <c r="BT197" i="1"/>
  <c r="BB197" i="1"/>
  <c r="BF197" i="1"/>
  <c r="AX197" i="1"/>
  <c r="BD197" i="1"/>
  <c r="AZ197" i="1"/>
  <c r="BR197" i="1"/>
  <c r="BN197" i="1"/>
  <c r="AN319" i="1"/>
  <c r="AI90" i="1"/>
  <c r="BV228" i="1"/>
  <c r="BW276" i="1" s="1"/>
  <c r="AP319" i="1"/>
  <c r="BK319" i="1"/>
  <c r="BO79" i="1"/>
  <c r="AU151" i="1"/>
  <c r="AU152" i="1" s="1"/>
  <c r="BH319" i="1"/>
  <c r="BI319" i="1"/>
  <c r="BU79" i="1"/>
  <c r="BD79" i="1"/>
  <c r="BK61" i="1"/>
  <c r="BK32" i="1" s="1"/>
  <c r="AT298" i="1"/>
  <c r="AP261" i="1"/>
  <c r="AP320" i="1"/>
  <c r="AY61" i="1"/>
  <c r="AM101" i="1"/>
  <c r="BO319" i="1"/>
  <c r="BR79" i="1"/>
  <c r="BW79" i="1"/>
  <c r="BF319" i="1"/>
  <c r="AX79" i="1"/>
  <c r="BI170" i="1"/>
  <c r="BH173" i="1"/>
  <c r="BH145" i="1" s="1"/>
  <c r="BH149" i="1" s="1"/>
  <c r="AZ298" i="1"/>
  <c r="BC151" i="1"/>
  <c r="BC152" i="1" s="1"/>
  <c r="AY319" i="1"/>
  <c r="AW61" i="1"/>
  <c r="AW67" i="1" s="1"/>
  <c r="BN320" i="1"/>
  <c r="AP61" i="1"/>
  <c r="BJ151" i="1"/>
  <c r="BJ152" i="1" s="1"/>
  <c r="BJ155" i="1" s="1"/>
  <c r="AI250" i="1"/>
  <c r="AI252" i="1"/>
  <c r="AI249" i="1"/>
  <c r="AN261" i="1"/>
  <c r="AN86" i="1"/>
  <c r="AW79" i="1"/>
  <c r="AU79" i="1"/>
  <c r="BQ319" i="1"/>
  <c r="BN151" i="1"/>
  <c r="BN152" i="1" s="1"/>
  <c r="BM61" i="1"/>
  <c r="BM32" i="1" s="1"/>
  <c r="AO320" i="1"/>
  <c r="BA61" i="1"/>
  <c r="BW320" i="1"/>
  <c r="BR151" i="1"/>
  <c r="BR152" i="1" s="1"/>
  <c r="BP319" i="1"/>
  <c r="BQ61" i="1"/>
  <c r="BQ32" i="1" s="1"/>
  <c r="BQ298" i="1"/>
  <c r="BS151" i="1"/>
  <c r="BS152" i="1" s="1"/>
  <c r="BB261" i="1"/>
  <c r="BB320" i="1"/>
  <c r="BN319" i="1"/>
  <c r="BO151" i="1"/>
  <c r="BO152" i="1" s="1"/>
  <c r="BO155" i="1" s="1"/>
  <c r="BN298" i="1"/>
  <c r="BM298" i="1"/>
  <c r="BP151" i="1"/>
  <c r="BP152" i="1" s="1"/>
  <c r="BK79" i="1"/>
  <c r="BU319" i="1"/>
  <c r="BU61" i="1"/>
  <c r="BU32" i="1" s="1"/>
  <c r="BD61" i="1"/>
  <c r="BD32" i="1" s="1"/>
  <c r="BD320" i="1"/>
  <c r="BD298" i="1"/>
  <c r="BG151" i="1"/>
  <c r="BG152" i="1" s="1"/>
  <c r="AI270" i="1"/>
  <c r="AI268" i="1" s="1"/>
  <c r="AI79" i="1"/>
  <c r="BV320" i="1"/>
  <c r="BJ80" i="1"/>
  <c r="BV61" i="1"/>
  <c r="BO61" i="1"/>
  <c r="BO32" i="1" s="1"/>
  <c r="BK90" i="1"/>
  <c r="AR320" i="1"/>
  <c r="BU151" i="1"/>
  <c r="BU152" i="1" s="1"/>
  <c r="BW181" i="1"/>
  <c r="BW151" i="1"/>
  <c r="BW152" i="1" s="1"/>
  <c r="AZ151" i="1"/>
  <c r="AZ152" i="1" s="1"/>
  <c r="AZ155" i="1" s="1"/>
  <c r="BG79" i="1"/>
  <c r="BA319" i="1"/>
  <c r="AY320" i="1"/>
  <c r="AT61" i="1"/>
  <c r="AT67" i="1" s="1"/>
  <c r="AZ79" i="1"/>
  <c r="AS79" i="1"/>
  <c r="BO298" i="1"/>
  <c r="AS319" i="1"/>
  <c r="BA79" i="1"/>
  <c r="AZ319" i="1"/>
  <c r="BE79" i="1"/>
  <c r="BR61" i="1"/>
  <c r="BR32" i="1" s="1"/>
  <c r="AR79" i="1"/>
  <c r="BD319" i="1"/>
  <c r="BI79" i="1"/>
  <c r="BM90" i="1"/>
  <c r="BQ79" i="1"/>
  <c r="AR61" i="1"/>
  <c r="AS61" i="1"/>
  <c r="AT79" i="1"/>
  <c r="BP79" i="1"/>
  <c r="BT320" i="1"/>
  <c r="AP79" i="1"/>
  <c r="AI61" i="1"/>
  <c r="BV246" i="1"/>
  <c r="BW246" i="1" s="1"/>
  <c r="BX151" i="1"/>
  <c r="BX152" i="1" s="1"/>
  <c r="BG320" i="1"/>
  <c r="BV151" i="1"/>
  <c r="BV152" i="1" s="1"/>
  <c r="AL151" i="1"/>
  <c r="AL152" i="1" s="1"/>
  <c r="AL157" i="1" s="1"/>
  <c r="AT319" i="1"/>
  <c r="AT151" i="1"/>
  <c r="AT152" i="1" s="1"/>
  <c r="BT151" i="1"/>
  <c r="BT152" i="1" s="1"/>
  <c r="AW320" i="1"/>
  <c r="BS319" i="1"/>
  <c r="AX319" i="1"/>
  <c r="AO319" i="1"/>
  <c r="AN79" i="1"/>
  <c r="BT79" i="1"/>
  <c r="AQ79" i="1"/>
  <c r="AV79" i="1"/>
  <c r="BH79" i="1"/>
  <c r="BI61" i="1"/>
  <c r="BI32" i="1" s="1"/>
  <c r="BP61" i="1"/>
  <c r="BP32" i="1" s="1"/>
  <c r="AY79" i="1"/>
  <c r="BF79" i="1"/>
  <c r="BN79" i="1"/>
  <c r="AU61" i="1"/>
  <c r="AY298" i="1"/>
  <c r="BV319" i="1"/>
  <c r="AI247" i="1"/>
  <c r="BV181" i="1"/>
  <c r="BS61" i="1"/>
  <c r="BS32" i="1" s="1"/>
  <c r="BQ151" i="1"/>
  <c r="BQ152" i="1" s="1"/>
  <c r="BQ155" i="1" s="1"/>
  <c r="BV250" i="1"/>
  <c r="BE61" i="1"/>
  <c r="BE32" i="1" s="1"/>
  <c r="BY151" i="1"/>
  <c r="BY152" i="1" s="1"/>
  <c r="BE319" i="1"/>
  <c r="BL151" i="1"/>
  <c r="BL152" i="1" s="1"/>
  <c r="AT320" i="1"/>
  <c r="BT319" i="1"/>
  <c r="BM320" i="1"/>
  <c r="BM270" i="1"/>
  <c r="BM268" i="1" s="1"/>
  <c r="BM86" i="1"/>
  <c r="BM261" i="1"/>
  <c r="BP320" i="1"/>
  <c r="BP261" i="1"/>
  <c r="BR320" i="1"/>
  <c r="BR261" i="1"/>
  <c r="BC61" i="1"/>
  <c r="BC32" i="1" s="1"/>
  <c r="AU320" i="1"/>
  <c r="BV247" i="1"/>
  <c r="BW247" i="1" s="1"/>
  <c r="BH151" i="1"/>
  <c r="BH152" i="1" s="1"/>
  <c r="BH156" i="1" s="1"/>
  <c r="BF320" i="1"/>
  <c r="BD151" i="1"/>
  <c r="BD152" i="1" s="1"/>
  <c r="AI86" i="1"/>
  <c r="BH61" i="1"/>
  <c r="BH32" i="1" s="1"/>
  <c r="BH247" i="1"/>
  <c r="BI247" i="1" s="1"/>
  <c r="AX151" i="1"/>
  <c r="AX152" i="1" s="1"/>
  <c r="BQ320" i="1"/>
  <c r="BK151" i="1"/>
  <c r="BK152" i="1" s="1"/>
  <c r="BK157" i="1" s="1"/>
  <c r="AX320" i="1"/>
  <c r="AR151" i="1"/>
  <c r="AR152" i="1" s="1"/>
  <c r="AQ319" i="1"/>
  <c r="AS151" i="1"/>
  <c r="AS152" i="1" s="1"/>
  <c r="AQ61" i="1"/>
  <c r="BT261" i="1"/>
  <c r="BH246" i="1"/>
  <c r="BI246" i="1" s="1"/>
  <c r="AR319" i="1"/>
  <c r="BU261" i="1"/>
  <c r="BU320" i="1"/>
  <c r="BW170" i="1"/>
  <c r="BV173" i="1"/>
  <c r="BK320" i="1"/>
  <c r="BK261" i="1"/>
  <c r="BK86" i="1"/>
  <c r="BK270" i="1"/>
  <c r="BK268" i="1" s="1"/>
  <c r="BK298" i="1"/>
  <c r="BM151" i="1"/>
  <c r="BM152" i="1" s="1"/>
  <c r="BM319" i="1"/>
  <c r="BS79" i="1"/>
  <c r="AN61" i="1"/>
  <c r="AN298" i="1"/>
  <c r="AN151" i="1"/>
  <c r="AN152" i="1" s="1"/>
  <c r="AO151" i="1"/>
  <c r="AO152" i="1" s="1"/>
  <c r="AU298" i="1"/>
  <c r="BO320" i="1"/>
  <c r="BF151" i="1"/>
  <c r="BF152" i="1" s="1"/>
  <c r="BF61" i="1"/>
  <c r="BF32" i="1" s="1"/>
  <c r="AV61" i="1"/>
  <c r="AY151" i="1"/>
  <c r="AY152" i="1" s="1"/>
  <c r="AW151" i="1"/>
  <c r="AW152" i="1" s="1"/>
  <c r="AV319" i="1"/>
  <c r="AP151" i="1"/>
  <c r="AP152" i="1" s="1"/>
  <c r="AV151" i="1"/>
  <c r="AV152" i="1" s="1"/>
  <c r="BW61" i="1"/>
  <c r="BW32" i="1" s="1"/>
  <c r="BW298" i="1"/>
  <c r="BZ151" i="1"/>
  <c r="BZ152" i="1" s="1"/>
  <c r="BV187" i="1"/>
  <c r="AO79" i="1"/>
  <c r="BR319" i="1"/>
  <c r="BN86" i="1"/>
  <c r="BN261" i="1"/>
  <c r="AQ320" i="1"/>
  <c r="AQ261" i="1"/>
  <c r="BN61" i="1"/>
  <c r="BN32" i="1" s="1"/>
  <c r="BW319" i="1"/>
  <c r="BI320" i="1"/>
  <c r="BI261" i="1"/>
  <c r="BB298" i="1"/>
  <c r="BB61" i="1"/>
  <c r="BB32" i="1" s="1"/>
  <c r="BM79" i="1"/>
  <c r="BI151" i="1"/>
  <c r="BI152" i="1" s="1"/>
  <c r="BI156" i="1" s="1"/>
  <c r="BF298" i="1"/>
  <c r="BE151" i="1"/>
  <c r="BE152" i="1" s="1"/>
  <c r="BE157" i="1" s="1"/>
  <c r="AN320" i="1"/>
  <c r="BC319" i="1"/>
  <c r="AV320" i="1"/>
  <c r="BC320" i="1"/>
  <c r="BE320" i="1"/>
  <c r="AQ151" i="1"/>
  <c r="AQ152" i="1" s="1"/>
  <c r="AQ157" i="1" s="1"/>
  <c r="BH320" i="1"/>
  <c r="BV222" i="1"/>
  <c r="BV252" i="1" s="1"/>
  <c r="BB319" i="1"/>
  <c r="BV79" i="1"/>
  <c r="BJ320" i="1"/>
  <c r="BJ261" i="1"/>
  <c r="BG319" i="1"/>
  <c r="BG298" i="1"/>
  <c r="BC79" i="1"/>
  <c r="AX298" i="1"/>
  <c r="AX61" i="1"/>
  <c r="AZ320" i="1"/>
  <c r="AZ261" i="1"/>
  <c r="BT298" i="1"/>
  <c r="BT61" i="1"/>
  <c r="BT32" i="1" s="1"/>
  <c r="BH250" i="1"/>
  <c r="BI250" i="1" s="1"/>
  <c r="BG61" i="1"/>
  <c r="BG32" i="1" s="1"/>
  <c r="AU319" i="1"/>
  <c r="BA320" i="1"/>
  <c r="BA261" i="1"/>
  <c r="AO298" i="1"/>
  <c r="AO61" i="1"/>
  <c r="AW319" i="1"/>
  <c r="AW298" i="1"/>
  <c r="AI246" i="1"/>
  <c r="AI298" i="1"/>
  <c r="BB79" i="1"/>
  <c r="BA151" i="1"/>
  <c r="BA152" i="1" s="1"/>
  <c r="BB151" i="1"/>
  <c r="BB152" i="1" s="1"/>
  <c r="AS320" i="1"/>
  <c r="AS261" i="1"/>
  <c r="BS320" i="1"/>
  <c r="BI269" i="1"/>
  <c r="BW269" i="1"/>
  <c r="DB130" i="1"/>
  <c r="CY118" i="1"/>
  <c r="CZ116" i="1"/>
  <c r="BV249" i="1" l="1"/>
  <c r="BU195" i="1"/>
  <c r="BT211" i="1"/>
  <c r="U248" i="1"/>
  <c r="S248" i="1"/>
  <c r="F86" i="1"/>
  <c r="BJ68" i="1"/>
  <c r="M107" i="1"/>
  <c r="T107" i="1"/>
  <c r="E107" i="1"/>
  <c r="AZ67" i="1"/>
  <c r="AZ81" i="1" s="1"/>
  <c r="AZ32" i="1"/>
  <c r="BV67" i="1"/>
  <c r="BV68" i="1" s="1"/>
  <c r="BV32" i="1"/>
  <c r="BA67" i="1"/>
  <c r="BA32" i="1"/>
  <c r="I235" i="1"/>
  <c r="I162" i="1" s="1"/>
  <c r="T242" i="1"/>
  <c r="L242" i="1"/>
  <c r="I274" i="1"/>
  <c r="M274" i="1"/>
  <c r="O107" i="1"/>
  <c r="R86" i="1"/>
  <c r="H242" i="1"/>
  <c r="H107" i="1"/>
  <c r="L107" i="1"/>
  <c r="P264" i="1"/>
  <c r="O242" i="1"/>
  <c r="T274" i="1"/>
  <c r="T191" i="1"/>
  <c r="T311" i="1" s="1"/>
  <c r="D235" i="1"/>
  <c r="D162" i="1" s="1"/>
  <c r="D163" i="1" s="1"/>
  <c r="D166" i="1" s="1"/>
  <c r="D274" i="1"/>
  <c r="D316" i="1"/>
  <c r="D318" i="1" s="1"/>
  <c r="D242" i="1"/>
  <c r="N274" i="1"/>
  <c r="E274" i="1"/>
  <c r="U263" i="1"/>
  <c r="D107" i="1"/>
  <c r="C242" i="1"/>
  <c r="I107" i="1"/>
  <c r="O274" i="1"/>
  <c r="N315" i="1"/>
  <c r="I242" i="1"/>
  <c r="N107" i="1"/>
  <c r="R274" i="1"/>
  <c r="C316" i="1"/>
  <c r="C318" i="1" s="1"/>
  <c r="I315" i="1"/>
  <c r="N242" i="1"/>
  <c r="T315" i="1"/>
  <c r="R107" i="1"/>
  <c r="C274" i="1"/>
  <c r="AR187" i="1"/>
  <c r="AS86" i="1" s="1"/>
  <c r="E273" i="1"/>
  <c r="R235" i="1"/>
  <c r="R162" i="1" s="1"/>
  <c r="W276" i="1"/>
  <c r="V235" i="1"/>
  <c r="V162" i="1" s="1"/>
  <c r="D273" i="1"/>
  <c r="D90" i="1"/>
  <c r="D182" i="1"/>
  <c r="D108" i="1" s="1"/>
  <c r="B160" i="1"/>
  <c r="B161" i="1"/>
  <c r="B119" i="1"/>
  <c r="P276" i="1"/>
  <c r="O315" i="1"/>
  <c r="N276" i="1"/>
  <c r="M315" i="1"/>
  <c r="C90" i="1"/>
  <c r="C182" i="1"/>
  <c r="C108" i="1" s="1"/>
  <c r="I276" i="1"/>
  <c r="H315" i="1"/>
  <c r="U274" i="1"/>
  <c r="U107" i="1"/>
  <c r="N191" i="1"/>
  <c r="N86" i="1"/>
  <c r="J191" i="1"/>
  <c r="J86" i="1"/>
  <c r="E263" i="1"/>
  <c r="P263" i="1"/>
  <c r="Q315" i="1"/>
  <c r="Q235" i="1"/>
  <c r="Q162" i="1" s="1"/>
  <c r="H264" i="1"/>
  <c r="S264" i="1"/>
  <c r="C191" i="1"/>
  <c r="C86" i="1"/>
  <c r="L86" i="1"/>
  <c r="L191" i="1"/>
  <c r="C160" i="1"/>
  <c r="C119" i="1"/>
  <c r="C161" i="1"/>
  <c r="S316" i="1"/>
  <c r="S318" i="1" s="1"/>
  <c r="S273" i="1"/>
  <c r="S235" i="1"/>
  <c r="S162" i="1" s="1"/>
  <c r="S90" i="1"/>
  <c r="G276" i="1"/>
  <c r="F315" i="1"/>
  <c r="F235" i="1"/>
  <c r="F162" i="1" s="1"/>
  <c r="F274" i="1"/>
  <c r="F242" i="1"/>
  <c r="F107" i="1"/>
  <c r="F182" i="1"/>
  <c r="F108" i="1" s="1"/>
  <c r="T235" i="1"/>
  <c r="T162" i="1" s="1"/>
  <c r="T273" i="1"/>
  <c r="S86" i="1"/>
  <c r="S191" i="1"/>
  <c r="S313" i="1" s="1"/>
  <c r="B191" i="1"/>
  <c r="B86" i="1"/>
  <c r="S252" i="1"/>
  <c r="S223" i="1"/>
  <c r="H191" i="1"/>
  <c r="H86" i="1"/>
  <c r="U86" i="1"/>
  <c r="U191" i="1"/>
  <c r="E276" i="1"/>
  <c r="D315" i="1"/>
  <c r="O182" i="1"/>
  <c r="O108" i="1" s="1"/>
  <c r="O273" i="1"/>
  <c r="F249" i="1"/>
  <c r="G263" i="1"/>
  <c r="F223" i="1"/>
  <c r="F232" i="1" s="1"/>
  <c r="K276" i="1"/>
  <c r="J315" i="1"/>
  <c r="G274" i="1"/>
  <c r="G242" i="1"/>
  <c r="H274" i="1"/>
  <c r="G107" i="1"/>
  <c r="J90" i="1"/>
  <c r="J182" i="1"/>
  <c r="J108" i="1" s="1"/>
  <c r="J235" i="1"/>
  <c r="J162" i="1" s="1"/>
  <c r="J316" i="1"/>
  <c r="J318" i="1" s="1"/>
  <c r="D264" i="1"/>
  <c r="C223" i="1"/>
  <c r="J249" i="1"/>
  <c r="J248" i="1" s="1"/>
  <c r="K263" i="1"/>
  <c r="J263" i="1"/>
  <c r="H182" i="1"/>
  <c r="H108" i="1" s="1"/>
  <c r="H90" i="1"/>
  <c r="H235" i="1"/>
  <c r="H162" i="1" s="1"/>
  <c r="H273" i="1"/>
  <c r="E249" i="1"/>
  <c r="E248" i="1" s="1"/>
  <c r="F263" i="1"/>
  <c r="P191" i="1"/>
  <c r="P86" i="1"/>
  <c r="V316" i="1"/>
  <c r="V318" i="1" s="1"/>
  <c r="U316" i="1"/>
  <c r="U318" i="1" s="1"/>
  <c r="R182" i="1"/>
  <c r="R108" i="1" s="1"/>
  <c r="R242" i="1"/>
  <c r="T252" i="1"/>
  <c r="T251" i="1" s="1"/>
  <c r="T264" i="1"/>
  <c r="U264" i="1"/>
  <c r="K274" i="1"/>
  <c r="G191" i="1"/>
  <c r="G270" i="1" s="1"/>
  <c r="G268" i="1" s="1"/>
  <c r="G86" i="1"/>
  <c r="I86" i="1"/>
  <c r="I191" i="1"/>
  <c r="V263" i="1"/>
  <c r="V249" i="1"/>
  <c r="V248" i="1" s="1"/>
  <c r="T263" i="1"/>
  <c r="E182" i="1"/>
  <c r="E108" i="1" s="1"/>
  <c r="F316" i="1"/>
  <c r="F318" i="1" s="1"/>
  <c r="H316" i="1"/>
  <c r="H318" i="1" s="1"/>
  <c r="G273" i="1"/>
  <c r="G316" i="1"/>
  <c r="G318" i="1" s="1"/>
  <c r="BD228" i="1"/>
  <c r="BE276" i="1" s="1"/>
  <c r="Q263" i="1"/>
  <c r="E86" i="1"/>
  <c r="E191" i="1"/>
  <c r="J242" i="1"/>
  <c r="J107" i="1"/>
  <c r="J274" i="1"/>
  <c r="D86" i="1"/>
  <c r="D191" i="1"/>
  <c r="L252" i="1"/>
  <c r="L251" i="1" s="1"/>
  <c r="L223" i="1"/>
  <c r="C249" i="1"/>
  <c r="C248" i="1" s="1"/>
  <c r="D263" i="1"/>
  <c r="L276" i="1"/>
  <c r="K315" i="1"/>
  <c r="B242" i="1"/>
  <c r="B107" i="1"/>
  <c r="B315" i="1"/>
  <c r="T90" i="1"/>
  <c r="T182" i="1"/>
  <c r="T108" i="1" s="1"/>
  <c r="T316" i="1"/>
  <c r="T318" i="1" s="1"/>
  <c r="O90" i="1"/>
  <c r="O235" i="1"/>
  <c r="O162" i="1" s="1"/>
  <c r="B90" i="1"/>
  <c r="C273" i="1"/>
  <c r="B235" i="1"/>
  <c r="B162" i="1" s="1"/>
  <c r="B182" i="1"/>
  <c r="B108" i="1" s="1"/>
  <c r="K316" i="1"/>
  <c r="K318" i="1" s="1"/>
  <c r="K273" i="1"/>
  <c r="K182" i="1"/>
  <c r="K108" i="1" s="1"/>
  <c r="K90" i="1"/>
  <c r="K235" i="1"/>
  <c r="K162" i="1" s="1"/>
  <c r="K107" i="1"/>
  <c r="L274" i="1"/>
  <c r="K242" i="1"/>
  <c r="C235" i="1"/>
  <c r="C162" i="1" s="1"/>
  <c r="D276" i="1"/>
  <c r="C315" i="1"/>
  <c r="W316" i="1"/>
  <c r="W318" i="1" s="1"/>
  <c r="W273" i="1"/>
  <c r="W90" i="1"/>
  <c r="X316" i="1"/>
  <c r="X318" i="1" s="1"/>
  <c r="X273" i="1"/>
  <c r="U315" i="1"/>
  <c r="U242" i="1"/>
  <c r="M191" i="1"/>
  <c r="M86" i="1"/>
  <c r="S182" i="1"/>
  <c r="S108" i="1" s="1"/>
  <c r="S274" i="1"/>
  <c r="S107" i="1"/>
  <c r="Q249" i="1"/>
  <c r="Q248" i="1" s="1"/>
  <c r="R263" i="1"/>
  <c r="H249" i="1"/>
  <c r="I263" i="1"/>
  <c r="J223" i="1"/>
  <c r="D119" i="1"/>
  <c r="D161" i="1"/>
  <c r="K249" i="1"/>
  <c r="K248" i="1" s="1"/>
  <c r="K223" i="1"/>
  <c r="D249" i="1"/>
  <c r="D248" i="1" s="1"/>
  <c r="D223" i="1"/>
  <c r="I90" i="1"/>
  <c r="I273" i="1"/>
  <c r="J273" i="1"/>
  <c r="Q107" i="1"/>
  <c r="Q242" i="1"/>
  <c r="K86" i="1"/>
  <c r="K191" i="1"/>
  <c r="M273" i="1"/>
  <c r="L182" i="1"/>
  <c r="L108" i="1" s="1"/>
  <c r="D252" i="1"/>
  <c r="E264" i="1"/>
  <c r="W191" i="1"/>
  <c r="X270" i="1" s="1"/>
  <c r="X268" i="1" s="1"/>
  <c r="W86" i="1"/>
  <c r="S276" i="1"/>
  <c r="R315" i="1"/>
  <c r="V274" i="1"/>
  <c r="V315" i="1"/>
  <c r="N263" i="1"/>
  <c r="O263" i="1"/>
  <c r="K264" i="1"/>
  <c r="J252" i="1"/>
  <c r="AN228" i="1"/>
  <c r="AO276" i="1" s="1"/>
  <c r="Q274" i="1"/>
  <c r="L249" i="1"/>
  <c r="L263" i="1"/>
  <c r="M263" i="1"/>
  <c r="P249" i="1"/>
  <c r="P223" i="1"/>
  <c r="R249" i="1"/>
  <c r="R248" i="1" s="1"/>
  <c r="S263" i="1"/>
  <c r="C252" i="1"/>
  <c r="C264" i="1"/>
  <c r="O249" i="1"/>
  <c r="O248" i="1" s="1"/>
  <c r="O223" i="1"/>
  <c r="I316" i="1"/>
  <c r="I318" i="1" s="1"/>
  <c r="I182" i="1"/>
  <c r="I108" i="1" s="1"/>
  <c r="Q86" i="1"/>
  <c r="Q191" i="1"/>
  <c r="R270" i="1" s="1"/>
  <c r="R268" i="1" s="1"/>
  <c r="P242" i="1"/>
  <c r="G182" i="1"/>
  <c r="G108" i="1" s="1"/>
  <c r="G90" i="1"/>
  <c r="G235" i="1"/>
  <c r="G162" i="1" s="1"/>
  <c r="U273" i="1"/>
  <c r="U235" i="1"/>
  <c r="U162" i="1" s="1"/>
  <c r="U90" i="1"/>
  <c r="U182" i="1"/>
  <c r="U108" i="1" s="1"/>
  <c r="V273" i="1"/>
  <c r="S315" i="1"/>
  <c r="S242" i="1"/>
  <c r="Q316" i="1"/>
  <c r="Q318" i="1" s="1"/>
  <c r="R316" i="1"/>
  <c r="R318" i="1" s="1"/>
  <c r="Q273" i="1"/>
  <c r="H263" i="1"/>
  <c r="H223" i="1"/>
  <c r="AV228" i="1"/>
  <c r="AW276" i="1" s="1"/>
  <c r="BN228" i="1"/>
  <c r="BO276" i="1" s="1"/>
  <c r="I223" i="1"/>
  <c r="I264" i="1"/>
  <c r="I252" i="1"/>
  <c r="J264" i="1"/>
  <c r="Q252" i="1"/>
  <c r="Q223" i="1"/>
  <c r="Q264" i="1"/>
  <c r="R264" i="1"/>
  <c r="BR187" i="1"/>
  <c r="AX228" i="1"/>
  <c r="AY276" i="1" s="1"/>
  <c r="BS181" i="1"/>
  <c r="P182" i="1"/>
  <c r="P108" i="1" s="1"/>
  <c r="P273" i="1"/>
  <c r="P235" i="1"/>
  <c r="P162" i="1" s="1"/>
  <c r="P316" i="1"/>
  <c r="P318" i="1" s="1"/>
  <c r="P90" i="1"/>
  <c r="H276" i="1"/>
  <c r="G315" i="1"/>
  <c r="T249" i="1"/>
  <c r="T223" i="1"/>
  <c r="F273" i="1"/>
  <c r="E235" i="1"/>
  <c r="E162" i="1" s="1"/>
  <c r="E90" i="1"/>
  <c r="O316" i="1"/>
  <c r="O318" i="1" s="1"/>
  <c r="N182" i="1"/>
  <c r="N108" i="1" s="1"/>
  <c r="N316" i="1"/>
  <c r="N318" i="1" s="1"/>
  <c r="N90" i="1"/>
  <c r="N273" i="1"/>
  <c r="N235" i="1"/>
  <c r="N162" i="1" s="1"/>
  <c r="L235" i="1"/>
  <c r="L162" i="1" s="1"/>
  <c r="L90" i="1"/>
  <c r="L316" i="1"/>
  <c r="L318" i="1" s="1"/>
  <c r="L273" i="1"/>
  <c r="P274" i="1"/>
  <c r="P107" i="1"/>
  <c r="P315" i="1"/>
  <c r="B223" i="1"/>
  <c r="B249" i="1"/>
  <c r="C263" i="1"/>
  <c r="O191" i="1"/>
  <c r="O86" i="1"/>
  <c r="M276" i="1"/>
  <c r="L315" i="1"/>
  <c r="V107" i="1"/>
  <c r="V182" i="1"/>
  <c r="V108" i="1" s="1"/>
  <c r="V242" i="1"/>
  <c r="Q182" i="1"/>
  <c r="Q108" i="1" s="1"/>
  <c r="R273" i="1"/>
  <c r="Q90" i="1"/>
  <c r="K252" i="1"/>
  <c r="L264" i="1"/>
  <c r="N249" i="1"/>
  <c r="N223" i="1"/>
  <c r="E252" i="1"/>
  <c r="F264" i="1"/>
  <c r="E223" i="1"/>
  <c r="G252" i="1"/>
  <c r="G223" i="1"/>
  <c r="G264" i="1"/>
  <c r="O252" i="1"/>
  <c r="O264" i="1"/>
  <c r="U252" i="1"/>
  <c r="U223" i="1"/>
  <c r="M316" i="1"/>
  <c r="M318" i="1" s="1"/>
  <c r="M90" i="1"/>
  <c r="M182" i="1"/>
  <c r="M108" i="1" s="1"/>
  <c r="M235" i="1"/>
  <c r="M162" i="1" s="1"/>
  <c r="V191" i="1"/>
  <c r="V86" i="1"/>
  <c r="V252" i="1"/>
  <c r="V223" i="1"/>
  <c r="V264" i="1"/>
  <c r="AZ187" i="1"/>
  <c r="BP187" i="1"/>
  <c r="BT228" i="1"/>
  <c r="BU276" i="1" s="1"/>
  <c r="BP228" i="1"/>
  <c r="BQ276" i="1" s="1"/>
  <c r="BB228" i="1"/>
  <c r="AZ228" i="1"/>
  <c r="BA276" i="1" s="1"/>
  <c r="BE181" i="1"/>
  <c r="AR228" i="1"/>
  <c r="AS276" i="1" s="1"/>
  <c r="AQ193" i="1"/>
  <c r="AW193" i="1"/>
  <c r="AQ195" i="1"/>
  <c r="AP211" i="1"/>
  <c r="AP249" i="1" s="1"/>
  <c r="AP248" i="1" s="1"/>
  <c r="AS177" i="1"/>
  <c r="AS181" i="1" s="1"/>
  <c r="AR181" i="1"/>
  <c r="AU170" i="1"/>
  <c r="AT173" i="1"/>
  <c r="AT145" i="1" s="1"/>
  <c r="AS170" i="1"/>
  <c r="AR173" i="1"/>
  <c r="AX173" i="1"/>
  <c r="AY170" i="1"/>
  <c r="AY177" i="1"/>
  <c r="AY181" i="1" s="1"/>
  <c r="AX181" i="1"/>
  <c r="BO193" i="1"/>
  <c r="BN269" i="1"/>
  <c r="BT187" i="1"/>
  <c r="AT187" i="1"/>
  <c r="BF228" i="1"/>
  <c r="BG276" i="1" s="1"/>
  <c r="BF187" i="1"/>
  <c r="AV187" i="1"/>
  <c r="BD187" i="1"/>
  <c r="AP187" i="1"/>
  <c r="M264" i="1"/>
  <c r="N264" i="1"/>
  <c r="M223" i="1"/>
  <c r="M252" i="1"/>
  <c r="R252" i="1"/>
  <c r="R223" i="1"/>
  <c r="R232" i="1" s="1"/>
  <c r="AU195" i="1"/>
  <c r="AT211" i="1"/>
  <c r="BC170" i="1"/>
  <c r="BB173" i="1"/>
  <c r="BB145" i="1" s="1"/>
  <c r="AO177" i="1"/>
  <c r="AO181" i="1" s="1"/>
  <c r="AN181" i="1"/>
  <c r="AR247" i="1"/>
  <c r="AS247" i="1" s="1"/>
  <c r="AR211" i="1"/>
  <c r="AR249" i="1" s="1"/>
  <c r="AO170" i="1"/>
  <c r="AN173" i="1"/>
  <c r="BC177" i="1"/>
  <c r="BC181" i="1" s="1"/>
  <c r="BB181" i="1"/>
  <c r="BU193" i="1"/>
  <c r="BV269" i="1" s="1"/>
  <c r="BE170" i="1"/>
  <c r="BD173" i="1"/>
  <c r="AU215" i="1"/>
  <c r="AT222" i="1"/>
  <c r="AT252" i="1" s="1"/>
  <c r="AT251" i="1" s="1"/>
  <c r="AY212" i="1"/>
  <c r="AX222" i="1"/>
  <c r="AX252" i="1" s="1"/>
  <c r="AX251" i="1" s="1"/>
  <c r="BO177" i="1"/>
  <c r="BO181" i="1" s="1"/>
  <c r="BN181" i="1"/>
  <c r="AW177" i="1"/>
  <c r="AW181" i="1" s="1"/>
  <c r="AV181" i="1"/>
  <c r="AO195" i="1"/>
  <c r="AN211" i="1"/>
  <c r="BS193" i="1"/>
  <c r="BR269" i="1"/>
  <c r="BU177" i="1"/>
  <c r="BU181" i="1" s="1"/>
  <c r="BT181" i="1"/>
  <c r="AO193" i="1"/>
  <c r="AN269" i="1"/>
  <c r="BS170" i="1"/>
  <c r="BR173" i="1"/>
  <c r="BR145" i="1" s="1"/>
  <c r="BF269" i="1"/>
  <c r="AQ181" i="1"/>
  <c r="AT269" i="1"/>
  <c r="AI253" i="1"/>
  <c r="AN187" i="1"/>
  <c r="AP228" i="1"/>
  <c r="BT222" i="1"/>
  <c r="BT252" i="1" s="1"/>
  <c r="BT251" i="1" s="1"/>
  <c r="BN187" i="1"/>
  <c r="AX187" i="1"/>
  <c r="BB187" i="1"/>
  <c r="AT228" i="1"/>
  <c r="AU276" i="1" s="1"/>
  <c r="AZ173" i="1"/>
  <c r="BR228" i="1"/>
  <c r="AR222" i="1"/>
  <c r="BN173" i="1"/>
  <c r="AS269" i="1"/>
  <c r="BP222" i="1"/>
  <c r="BP252" i="1" s="1"/>
  <c r="BP251" i="1" s="1"/>
  <c r="BT173" i="1"/>
  <c r="BF181" i="1"/>
  <c r="BE269" i="1"/>
  <c r="BR222" i="1"/>
  <c r="BR252" i="1" s="1"/>
  <c r="BR251" i="1" s="1"/>
  <c r="BP211" i="1"/>
  <c r="BP249" i="1" s="1"/>
  <c r="BP248" i="1" s="1"/>
  <c r="AZ181" i="1"/>
  <c r="BQ269" i="1"/>
  <c r="BB222" i="1"/>
  <c r="BB252" i="1" s="1"/>
  <c r="BB251" i="1" s="1"/>
  <c r="AP181" i="1"/>
  <c r="AP173" i="1"/>
  <c r="AP145" i="1" s="1"/>
  <c r="BD222" i="1"/>
  <c r="BD252" i="1" s="1"/>
  <c r="BD251" i="1" s="1"/>
  <c r="BP173" i="1"/>
  <c r="BP145" i="1" s="1"/>
  <c r="BP147" i="1" s="1"/>
  <c r="BN222" i="1"/>
  <c r="BN252" i="1" s="1"/>
  <c r="AN222" i="1"/>
  <c r="AN252" i="1" s="1"/>
  <c r="BP181" i="1"/>
  <c r="BG181" i="1"/>
  <c r="BH273" i="1" s="1"/>
  <c r="BA181" i="1"/>
  <c r="AT181" i="1"/>
  <c r="AP222" i="1"/>
  <c r="BF222" i="1"/>
  <c r="BF252" i="1" s="1"/>
  <c r="BF251" i="1" s="1"/>
  <c r="AV222" i="1"/>
  <c r="AV252" i="1" s="1"/>
  <c r="AV251" i="1" s="1"/>
  <c r="BF173" i="1"/>
  <c r="BQ181" i="1"/>
  <c r="BR181" i="1"/>
  <c r="BD181" i="1"/>
  <c r="AZ222" i="1"/>
  <c r="AZ252" i="1" s="1"/>
  <c r="AZ251" i="1" s="1"/>
  <c r="AV173" i="1"/>
  <c r="AU181" i="1"/>
  <c r="AI251" i="1"/>
  <c r="AW197" i="1"/>
  <c r="AV211" i="1"/>
  <c r="BH223" i="1"/>
  <c r="BH232" i="1" s="1"/>
  <c r="BH182" i="1"/>
  <c r="AZ80" i="1"/>
  <c r="BK62" i="1"/>
  <c r="BC197" i="1"/>
  <c r="BB211" i="1"/>
  <c r="BG197" i="1"/>
  <c r="BF211" i="1"/>
  <c r="BE197" i="1"/>
  <c r="BD211" i="1"/>
  <c r="BO197" i="1"/>
  <c r="BN211" i="1"/>
  <c r="BU197" i="1"/>
  <c r="AY197" i="1"/>
  <c r="AX211" i="1"/>
  <c r="BS197" i="1"/>
  <c r="BR211" i="1"/>
  <c r="BA197" i="1"/>
  <c r="AZ211" i="1"/>
  <c r="AU269" i="1"/>
  <c r="AV269" i="1"/>
  <c r="BC155" i="1"/>
  <c r="BC157" i="1"/>
  <c r="BC156" i="1"/>
  <c r="O111" i="1"/>
  <c r="BF156" i="1"/>
  <c r="BF157" i="1"/>
  <c r="BF155" i="1"/>
  <c r="BB269" i="1"/>
  <c r="BA269" i="1"/>
  <c r="BH147" i="1"/>
  <c r="BH148" i="1"/>
  <c r="BK80" i="1"/>
  <c r="AW80" i="1"/>
  <c r="AU156" i="1"/>
  <c r="AU157" i="1"/>
  <c r="AU155" i="1"/>
  <c r="AY269" i="1"/>
  <c r="AZ269" i="1"/>
  <c r="BE80" i="1"/>
  <c r="BK63" i="1"/>
  <c r="BL63" i="1"/>
  <c r="BK67" i="1"/>
  <c r="AM105" i="1"/>
  <c r="AM172" i="1"/>
  <c r="AM173" i="1" s="1"/>
  <c r="AM182" i="1" s="1"/>
  <c r="AM260" i="1"/>
  <c r="AM262" i="1" s="1"/>
  <c r="AM119" i="1"/>
  <c r="AM122" i="1" s="1"/>
  <c r="AS63" i="1"/>
  <c r="AT63" i="1"/>
  <c r="AT80" i="1"/>
  <c r="AY80" i="1"/>
  <c r="AP292" i="1"/>
  <c r="AQ63" i="1"/>
  <c r="AZ63" i="1"/>
  <c r="AY67" i="1"/>
  <c r="AP67" i="1"/>
  <c r="AP62" i="1"/>
  <c r="BJ156" i="1"/>
  <c r="BJ157" i="1"/>
  <c r="BA80" i="1"/>
  <c r="BQ80" i="1"/>
  <c r="AP80" i="1"/>
  <c r="AQ255" i="1"/>
  <c r="BM80" i="1"/>
  <c r="BN156" i="1"/>
  <c r="BN157" i="1"/>
  <c r="BN155" i="1"/>
  <c r="BQ62" i="1"/>
  <c r="BM292" i="1"/>
  <c r="BM62" i="1"/>
  <c r="BR155" i="1"/>
  <c r="BR157" i="1"/>
  <c r="BR156" i="1"/>
  <c r="BU62" i="1"/>
  <c r="BQ67" i="1"/>
  <c r="BQ81" i="1" s="1"/>
  <c r="BQ63" i="1"/>
  <c r="BC269" i="1"/>
  <c r="BD269" i="1"/>
  <c r="BS155" i="1"/>
  <c r="BS156" i="1"/>
  <c r="BS157" i="1"/>
  <c r="BO156" i="1"/>
  <c r="BO157" i="1"/>
  <c r="BP156" i="1"/>
  <c r="BP157" i="1"/>
  <c r="BP155" i="1"/>
  <c r="BU80" i="1"/>
  <c r="BU67" i="1"/>
  <c r="BU157" i="1"/>
  <c r="BU156" i="1"/>
  <c r="BV145" i="1"/>
  <c r="BV315" i="1"/>
  <c r="BM67" i="1"/>
  <c r="BM63" i="1"/>
  <c r="BA62" i="1"/>
  <c r="BA63" i="1"/>
  <c r="AI80" i="1"/>
  <c r="BH80" i="1"/>
  <c r="AS67" i="1"/>
  <c r="AW62" i="1"/>
  <c r="BJ62" i="1"/>
  <c r="BF67" i="1"/>
  <c r="BF81" i="1" s="1"/>
  <c r="BJ83" i="1" s="1"/>
  <c r="BV80" i="1"/>
  <c r="BC80" i="1"/>
  <c r="AY255" i="1"/>
  <c r="BT292" i="1"/>
  <c r="AY246" i="1"/>
  <c r="AS250" i="1"/>
  <c r="BY62" i="1"/>
  <c r="BU255" i="1"/>
  <c r="F313" i="1"/>
  <c r="F311" i="1"/>
  <c r="R311" i="1"/>
  <c r="R313" i="1"/>
  <c r="BD62" i="1"/>
  <c r="BE63" i="1"/>
  <c r="BG292" i="1"/>
  <c r="BH62" i="1"/>
  <c r="BD67" i="1"/>
  <c r="BD80" i="1"/>
  <c r="BD255" i="1"/>
  <c r="BG155" i="1"/>
  <c r="BG157" i="1"/>
  <c r="BG156" i="1"/>
  <c r="BV63" i="1"/>
  <c r="BV255" i="1"/>
  <c r="BJ316" i="1"/>
  <c r="BJ273" i="1"/>
  <c r="BI316" i="1"/>
  <c r="BO62" i="1"/>
  <c r="BP63" i="1"/>
  <c r="BO80" i="1"/>
  <c r="BO67" i="1"/>
  <c r="BR292" i="1"/>
  <c r="V111" i="1"/>
  <c r="BX273" i="1"/>
  <c r="BX316" i="1"/>
  <c r="BW273" i="1"/>
  <c r="BW157" i="1"/>
  <c r="BW155" i="1"/>
  <c r="AT62" i="1"/>
  <c r="AW292" i="1"/>
  <c r="AU63" i="1"/>
  <c r="AT255" i="1"/>
  <c r="BR80" i="1"/>
  <c r="BV62" i="1"/>
  <c r="BS63" i="1"/>
  <c r="BU292" i="1"/>
  <c r="AR67" i="1"/>
  <c r="AR81" i="1" s="1"/>
  <c r="AR82" i="1" s="1"/>
  <c r="AU292" i="1"/>
  <c r="AS292" i="1"/>
  <c r="AT68" i="1"/>
  <c r="AT81" i="1"/>
  <c r="N111" i="1"/>
  <c r="AL311" i="1"/>
  <c r="AJ63" i="1"/>
  <c r="AM62" i="1"/>
  <c r="AL292" i="1"/>
  <c r="AI67" i="1"/>
  <c r="BX155" i="1"/>
  <c r="BX156" i="1"/>
  <c r="BX157" i="1"/>
  <c r="BV156" i="1"/>
  <c r="BV155" i="1"/>
  <c r="BV157" i="1"/>
  <c r="AT156" i="1"/>
  <c r="AT157" i="1"/>
  <c r="AT155" i="1"/>
  <c r="BT157" i="1"/>
  <c r="BT156" i="1"/>
  <c r="BT155" i="1"/>
  <c r="BI67" i="1"/>
  <c r="BI255" i="1"/>
  <c r="BJ255" i="1"/>
  <c r="BL311" i="1"/>
  <c r="BL292" i="1"/>
  <c r="AW68" i="1"/>
  <c r="AW81" i="1"/>
  <c r="BP67" i="1"/>
  <c r="BP255" i="1"/>
  <c r="BS292" i="1"/>
  <c r="BQ255" i="1"/>
  <c r="BC250" i="1"/>
  <c r="AY62" i="1"/>
  <c r="AU67" i="1"/>
  <c r="AU80" i="1"/>
  <c r="BV235" i="1"/>
  <c r="BV182" i="1"/>
  <c r="BS80" i="1"/>
  <c r="BW62" i="1"/>
  <c r="BS67" i="1"/>
  <c r="BT63" i="1"/>
  <c r="BS255" i="1"/>
  <c r="BX255" i="1"/>
  <c r="BW250" i="1"/>
  <c r="BV251" i="1"/>
  <c r="BE67" i="1"/>
  <c r="BE255" i="1"/>
  <c r="BI62" i="1"/>
  <c r="BF63" i="1"/>
  <c r="BE62" i="1"/>
  <c r="BY157" i="1"/>
  <c r="BY155" i="1"/>
  <c r="BC67" i="1"/>
  <c r="BC62" i="1"/>
  <c r="AW250" i="1"/>
  <c r="BD155" i="1"/>
  <c r="BD156" i="1"/>
  <c r="BD157" i="1"/>
  <c r="BK292" i="1"/>
  <c r="T111" i="1"/>
  <c r="BL255" i="1"/>
  <c r="BH255" i="1"/>
  <c r="BF80" i="1"/>
  <c r="BR67" i="1"/>
  <c r="BG269" i="1"/>
  <c r="AX292" i="1"/>
  <c r="BF292" i="1"/>
  <c r="AV255" i="1"/>
  <c r="BF255" i="1"/>
  <c r="BK156" i="1"/>
  <c r="BK155" i="1"/>
  <c r="BS62" i="1"/>
  <c r="BR63" i="1"/>
  <c r="BT255" i="1"/>
  <c r="AY63" i="1"/>
  <c r="BI292" i="1"/>
  <c r="BG63" i="1"/>
  <c r="BW316" i="1"/>
  <c r="BH235" i="1"/>
  <c r="BP80" i="1"/>
  <c r="AR80" i="1"/>
  <c r="BW156" i="1"/>
  <c r="BI273" i="1"/>
  <c r="AI248" i="1"/>
  <c r="BZ62" i="1"/>
  <c r="BZ255" i="1"/>
  <c r="BY156" i="1"/>
  <c r="AZ157" i="1"/>
  <c r="BK255" i="1"/>
  <c r="BH292" i="1"/>
  <c r="AR292" i="1"/>
  <c r="S111" i="1"/>
  <c r="W111" i="1"/>
  <c r="AV292" i="1"/>
  <c r="AS80" i="1"/>
  <c r="AZ156" i="1"/>
  <c r="AS255" i="1"/>
  <c r="AN80" i="1"/>
  <c r="BU155" i="1"/>
  <c r="Q111" i="1"/>
  <c r="BE156" i="1"/>
  <c r="BV292" i="1"/>
  <c r="AP63" i="1"/>
  <c r="BA292" i="1"/>
  <c r="AZ255" i="1"/>
  <c r="AU62" i="1"/>
  <c r="AY292" i="1"/>
  <c r="AU255" i="1"/>
  <c r="BP62" i="1"/>
  <c r="BJ63" i="1"/>
  <c r="BT80" i="1"/>
  <c r="BQ156" i="1"/>
  <c r="BQ157" i="1"/>
  <c r="BI80" i="1"/>
  <c r="AX80" i="1"/>
  <c r="AL155" i="1"/>
  <c r="AL156" i="1"/>
  <c r="BE155" i="1"/>
  <c r="AQ292" i="1"/>
  <c r="BH248" i="1"/>
  <c r="AQ156" i="1"/>
  <c r="BM255" i="1"/>
  <c r="BL157" i="1"/>
  <c r="BL155" i="1"/>
  <c r="BL156" i="1"/>
  <c r="BB63" i="1"/>
  <c r="BB255" i="1"/>
  <c r="R111" i="1"/>
  <c r="BD292" i="1"/>
  <c r="BB67" i="1"/>
  <c r="BN62" i="1"/>
  <c r="BN255" i="1"/>
  <c r="BN67" i="1"/>
  <c r="BN63" i="1"/>
  <c r="BR62" i="1"/>
  <c r="BR255" i="1"/>
  <c r="BZ156" i="1"/>
  <c r="BZ155" i="1"/>
  <c r="BZ157" i="1"/>
  <c r="AN155" i="1"/>
  <c r="AN156" i="1"/>
  <c r="AN157" i="1"/>
  <c r="BM157" i="1"/>
  <c r="BM155" i="1"/>
  <c r="BM156" i="1"/>
  <c r="AR155" i="1"/>
  <c r="AR156" i="1"/>
  <c r="AR157" i="1"/>
  <c r="U111" i="1"/>
  <c r="BE292" i="1"/>
  <c r="BQ292" i="1"/>
  <c r="BO63" i="1"/>
  <c r="AP255" i="1"/>
  <c r="AQ155" i="1"/>
  <c r="BB80" i="1"/>
  <c r="BX62" i="1"/>
  <c r="BU63" i="1"/>
  <c r="BT67" i="1"/>
  <c r="BY255" i="1"/>
  <c r="BW292" i="1"/>
  <c r="AX255" i="1"/>
  <c r="AX63" i="1"/>
  <c r="AX67" i="1"/>
  <c r="BB62" i="1"/>
  <c r="AZ292" i="1"/>
  <c r="BI187" i="1"/>
  <c r="AV155" i="1"/>
  <c r="AV157" i="1"/>
  <c r="AV156" i="1"/>
  <c r="AY155" i="1"/>
  <c r="AY156" i="1"/>
  <c r="AY157" i="1"/>
  <c r="AT292" i="1"/>
  <c r="P111" i="1"/>
  <c r="AQ67" i="1"/>
  <c r="AQ62" i="1"/>
  <c r="AR63" i="1"/>
  <c r="AX155" i="1"/>
  <c r="AX157" i="1"/>
  <c r="AX156" i="1"/>
  <c r="BH157" i="1"/>
  <c r="BH155" i="1"/>
  <c r="AX62" i="1"/>
  <c r="BV223" i="1"/>
  <c r="AR255" i="1"/>
  <c r="BC63" i="1"/>
  <c r="BP292" i="1"/>
  <c r="BC292" i="1"/>
  <c r="BO292" i="1"/>
  <c r="BB157" i="1"/>
  <c r="BB156" i="1"/>
  <c r="BB155" i="1"/>
  <c r="AO62" i="1"/>
  <c r="AS62" i="1"/>
  <c r="AO255" i="1"/>
  <c r="AO67" i="1"/>
  <c r="BH251" i="1"/>
  <c r="BI276" i="1"/>
  <c r="BH315" i="1"/>
  <c r="AO80" i="1"/>
  <c r="BX311" i="1"/>
  <c r="CA255" i="1"/>
  <c r="CB255" i="1"/>
  <c r="X111" i="1"/>
  <c r="BW67" i="1"/>
  <c r="BZ311" i="1"/>
  <c r="CA62" i="1"/>
  <c r="BW63" i="1"/>
  <c r="BY292" i="1"/>
  <c r="BZ292" i="1"/>
  <c r="BX63" i="1"/>
  <c r="BX292" i="1"/>
  <c r="AV80" i="1"/>
  <c r="AW255" i="1"/>
  <c r="AV67" i="1"/>
  <c r="AW63" i="1"/>
  <c r="BA255" i="1"/>
  <c r="AZ62" i="1"/>
  <c r="AN62" i="1"/>
  <c r="AO292" i="1"/>
  <c r="AN67" i="1"/>
  <c r="AN63" i="1"/>
  <c r="AN292" i="1"/>
  <c r="AO63" i="1"/>
  <c r="AR62" i="1"/>
  <c r="AS155" i="1"/>
  <c r="AS157" i="1"/>
  <c r="AS156" i="1"/>
  <c r="BH67" i="1"/>
  <c r="BL62" i="1"/>
  <c r="BI63" i="1"/>
  <c r="BT62" i="1"/>
  <c r="AV63" i="1"/>
  <c r="BN80" i="1"/>
  <c r="BI86" i="1"/>
  <c r="BC255" i="1"/>
  <c r="BI157" i="1"/>
  <c r="BB292" i="1"/>
  <c r="BO255" i="1"/>
  <c r="BI155" i="1"/>
  <c r="BN292" i="1"/>
  <c r="BA157" i="1"/>
  <c r="BA155" i="1"/>
  <c r="BA156" i="1"/>
  <c r="BG255" i="1"/>
  <c r="BG80" i="1"/>
  <c r="BJ292" i="1"/>
  <c r="BJ311" i="1"/>
  <c r="BH63" i="1"/>
  <c r="BG67" i="1"/>
  <c r="BW255" i="1"/>
  <c r="BV191" i="1"/>
  <c r="BW86" i="1"/>
  <c r="BW187" i="1"/>
  <c r="AP155" i="1"/>
  <c r="AP157" i="1"/>
  <c r="AP156" i="1"/>
  <c r="AW155" i="1"/>
  <c r="AW157" i="1"/>
  <c r="AW156" i="1"/>
  <c r="BF62" i="1"/>
  <c r="AO155" i="1"/>
  <c r="AO157" i="1"/>
  <c r="AO156" i="1"/>
  <c r="BW80" i="1"/>
  <c r="BD63" i="1"/>
  <c r="BG62" i="1"/>
  <c r="AN255" i="1"/>
  <c r="AV62" i="1"/>
  <c r="AQ80" i="1"/>
  <c r="BH253" i="1"/>
  <c r="BL256" i="1" s="1"/>
  <c r="BJ82" i="1"/>
  <c r="BJ87" i="1"/>
  <c r="BJ91" i="1" s="1"/>
  <c r="BJ299" i="1"/>
  <c r="BJ300" i="1" s="1"/>
  <c r="F251" i="1"/>
  <c r="AE130" i="1"/>
  <c r="AB178" i="1"/>
  <c r="AB181" i="1" s="1"/>
  <c r="AB316" i="1" s="1"/>
  <c r="AD195" i="1"/>
  <c r="CZ118" i="1"/>
  <c r="DA116" i="1"/>
  <c r="BV248" i="1" l="1"/>
  <c r="BV253" i="1"/>
  <c r="BZ256" i="1" s="1"/>
  <c r="AZ68" i="1"/>
  <c r="BV81" i="1"/>
  <c r="BV87" i="1" s="1"/>
  <c r="BV91" i="1" s="1"/>
  <c r="BZ69" i="1"/>
  <c r="BA70" i="1"/>
  <c r="BV69" i="1"/>
  <c r="BE69" i="1"/>
  <c r="BA69" i="1"/>
  <c r="BA68" i="1"/>
  <c r="BA81" i="1"/>
  <c r="BA83" i="1" s="1"/>
  <c r="I272" i="1"/>
  <c r="M272" i="1"/>
  <c r="C270" i="1"/>
  <c r="C268" i="1" s="1"/>
  <c r="T313" i="1"/>
  <c r="T232" i="1"/>
  <c r="T233" i="1" s="1"/>
  <c r="D164" i="1"/>
  <c r="D167" i="1" s="1"/>
  <c r="L232" i="1"/>
  <c r="L233" i="1" s="1"/>
  <c r="O272" i="1"/>
  <c r="P265" i="1"/>
  <c r="P266" i="1" s="1"/>
  <c r="T272" i="1"/>
  <c r="N272" i="1"/>
  <c r="U265" i="1"/>
  <c r="U266" i="1" s="1"/>
  <c r="D272" i="1"/>
  <c r="AR191" i="1"/>
  <c r="AR313" i="1" s="1"/>
  <c r="AS187" i="1"/>
  <c r="AS191" i="1" s="1"/>
  <c r="E272" i="1"/>
  <c r="E265" i="1"/>
  <c r="E266" i="1" s="1"/>
  <c r="J270" i="1"/>
  <c r="J268" i="1" s="1"/>
  <c r="C272" i="1"/>
  <c r="H272" i="1"/>
  <c r="T265" i="1"/>
  <c r="T266" i="1" s="1"/>
  <c r="R272" i="1"/>
  <c r="S232" i="1"/>
  <c r="S233" i="1" s="1"/>
  <c r="BR316" i="1"/>
  <c r="BU269" i="1"/>
  <c r="D265" i="1"/>
  <c r="D266" i="1" s="1"/>
  <c r="V232" i="1"/>
  <c r="V233" i="1" s="1"/>
  <c r="F233" i="1"/>
  <c r="J232" i="1"/>
  <c r="J233" i="1" s="1"/>
  <c r="U272" i="1"/>
  <c r="C232" i="1"/>
  <c r="G272" i="1"/>
  <c r="S272" i="1"/>
  <c r="S265" i="1"/>
  <c r="S266" i="1" s="1"/>
  <c r="H265" i="1"/>
  <c r="H266" i="1" s="1"/>
  <c r="H232" i="1"/>
  <c r="H233" i="1" s="1"/>
  <c r="I232" i="1"/>
  <c r="I233" i="1" s="1"/>
  <c r="F272" i="1"/>
  <c r="B232" i="1"/>
  <c r="N232" i="1"/>
  <c r="N233" i="1" s="1"/>
  <c r="F265" i="1"/>
  <c r="F266" i="1" s="1"/>
  <c r="G265" i="1"/>
  <c r="G266" i="1" s="1"/>
  <c r="G280" i="1" s="1"/>
  <c r="U232" i="1"/>
  <c r="U233" i="1" s="1"/>
  <c r="V265" i="1"/>
  <c r="V266" i="1" s="1"/>
  <c r="R233" i="1"/>
  <c r="B121" i="1"/>
  <c r="B122" i="1"/>
  <c r="N313" i="1"/>
  <c r="N311" i="1"/>
  <c r="J313" i="1"/>
  <c r="J311" i="1"/>
  <c r="W270" i="1"/>
  <c r="W268" i="1" s="1"/>
  <c r="V272" i="1"/>
  <c r="AR248" i="1"/>
  <c r="D270" i="1"/>
  <c r="D268" i="1" s="1"/>
  <c r="S270" i="1"/>
  <c r="S268" i="1" s="1"/>
  <c r="S311" i="1"/>
  <c r="T270" i="1"/>
  <c r="T268" i="1" s="1"/>
  <c r="H313" i="1"/>
  <c r="H311" i="1"/>
  <c r="U311" i="1"/>
  <c r="U313" i="1"/>
  <c r="U270" i="1"/>
  <c r="U268" i="1" s="1"/>
  <c r="F248" i="1"/>
  <c r="F253" i="1"/>
  <c r="E311" i="1"/>
  <c r="E313" i="1"/>
  <c r="F270" i="1"/>
  <c r="F268" i="1" s="1"/>
  <c r="B163" i="1"/>
  <c r="B166" i="1" s="1"/>
  <c r="B164" i="1"/>
  <c r="B167" i="1" s="1"/>
  <c r="I270" i="1"/>
  <c r="I268" i="1" s="1"/>
  <c r="K272" i="1"/>
  <c r="G232" i="1"/>
  <c r="G233" i="1" s="1"/>
  <c r="K265" i="1"/>
  <c r="K266" i="1" s="1"/>
  <c r="P232" i="1"/>
  <c r="P233" i="1" s="1"/>
  <c r="J265" i="1"/>
  <c r="J266" i="1" s="1"/>
  <c r="Q265" i="1"/>
  <c r="Q266" i="1" s="1"/>
  <c r="L311" i="1"/>
  <c r="L313" i="1"/>
  <c r="M270" i="1"/>
  <c r="M268" i="1" s="1"/>
  <c r="C121" i="1"/>
  <c r="C122" i="1"/>
  <c r="P311" i="1"/>
  <c r="P313" i="1"/>
  <c r="G311" i="1"/>
  <c r="H270" i="1"/>
  <c r="H268" i="1" s="1"/>
  <c r="G313" i="1"/>
  <c r="I311" i="1"/>
  <c r="I313" i="1"/>
  <c r="C163" i="1"/>
  <c r="C166" i="1" s="1"/>
  <c r="C164" i="1"/>
  <c r="C167" i="1" s="1"/>
  <c r="N270" i="1"/>
  <c r="N268" i="1" s="1"/>
  <c r="M311" i="1"/>
  <c r="M313" i="1"/>
  <c r="AX269" i="1"/>
  <c r="AW269" i="1"/>
  <c r="S253" i="1"/>
  <c r="S251" i="1"/>
  <c r="L270" i="1"/>
  <c r="L268" i="1" s="1"/>
  <c r="K270" i="1"/>
  <c r="K268" i="1" s="1"/>
  <c r="D232" i="1"/>
  <c r="J272" i="1"/>
  <c r="L272" i="1"/>
  <c r="E232" i="1"/>
  <c r="E233" i="1" s="1"/>
  <c r="K232" i="1"/>
  <c r="K233" i="1" s="1"/>
  <c r="E270" i="1"/>
  <c r="E268" i="1" s="1"/>
  <c r="L248" i="1"/>
  <c r="L253" i="1"/>
  <c r="C265" i="1"/>
  <c r="C266" i="1" s="1"/>
  <c r="H248" i="1"/>
  <c r="H253" i="1"/>
  <c r="D251" i="1"/>
  <c r="D253" i="1"/>
  <c r="Q272" i="1"/>
  <c r="I265" i="1"/>
  <c r="I266" i="1" s="1"/>
  <c r="Q232" i="1"/>
  <c r="Q233" i="1" s="1"/>
  <c r="R265" i="1"/>
  <c r="R266" i="1" s="1"/>
  <c r="M265" i="1"/>
  <c r="M266" i="1" s="1"/>
  <c r="N265" i="1"/>
  <c r="N266" i="1" s="1"/>
  <c r="M232" i="1"/>
  <c r="M233" i="1" s="1"/>
  <c r="D122" i="1"/>
  <c r="D121" i="1"/>
  <c r="B253" i="1"/>
  <c r="B248" i="1"/>
  <c r="AR269" i="1"/>
  <c r="AQ269" i="1"/>
  <c r="O265" i="1"/>
  <c r="O266" i="1" s="1"/>
  <c r="BB235" i="1"/>
  <c r="J251" i="1"/>
  <c r="J253" i="1"/>
  <c r="L265" i="1"/>
  <c r="L266" i="1" s="1"/>
  <c r="AV235" i="1"/>
  <c r="P272" i="1"/>
  <c r="K311" i="1"/>
  <c r="K313" i="1"/>
  <c r="C251" i="1"/>
  <c r="C253" i="1"/>
  <c r="BS86" i="1"/>
  <c r="BS187" i="1"/>
  <c r="BR191" i="1"/>
  <c r="V270" i="1"/>
  <c r="V268" i="1" s="1"/>
  <c r="V311" i="1"/>
  <c r="V313" i="1"/>
  <c r="AQ316" i="1"/>
  <c r="AN145" i="1"/>
  <c r="AN148" i="1" s="1"/>
  <c r="AN315" i="1"/>
  <c r="P253" i="1"/>
  <c r="P248" i="1"/>
  <c r="O232" i="1"/>
  <c r="O233" i="1" s="1"/>
  <c r="AV316" i="1"/>
  <c r="Q313" i="1"/>
  <c r="Q311" i="1"/>
  <c r="Q270" i="1"/>
  <c r="Q268" i="1" s="1"/>
  <c r="O313" i="1"/>
  <c r="P270" i="1"/>
  <c r="P268" i="1" s="1"/>
  <c r="AR273" i="1"/>
  <c r="AR316" i="1"/>
  <c r="AO187" i="1"/>
  <c r="AO86" i="1"/>
  <c r="AN191" i="1"/>
  <c r="AN313" i="1" s="1"/>
  <c r="BC86" i="1"/>
  <c r="BB191" i="1"/>
  <c r="BC187" i="1"/>
  <c r="Q253" i="1"/>
  <c r="Q251" i="1"/>
  <c r="AV273" i="1"/>
  <c r="BT182" i="1"/>
  <c r="I251" i="1"/>
  <c r="I253" i="1"/>
  <c r="K251" i="1"/>
  <c r="K253" i="1"/>
  <c r="E251" i="1"/>
  <c r="E253" i="1"/>
  <c r="U251" i="1"/>
  <c r="U253" i="1"/>
  <c r="V251" i="1"/>
  <c r="V253" i="1"/>
  <c r="BN235" i="1"/>
  <c r="BN182" i="1"/>
  <c r="BC273" i="1"/>
  <c r="BC316" i="1"/>
  <c r="T253" i="1"/>
  <c r="T248" i="1"/>
  <c r="O270" i="1"/>
  <c r="O268" i="1" s="1"/>
  <c r="O311" i="1"/>
  <c r="N253" i="1"/>
  <c r="N248" i="1"/>
  <c r="G253" i="1"/>
  <c r="G251" i="1"/>
  <c r="O253" i="1"/>
  <c r="O251" i="1"/>
  <c r="BB182" i="1"/>
  <c r="AT315" i="1"/>
  <c r="AS273" i="1"/>
  <c r="AS316" i="1"/>
  <c r="AR235" i="1"/>
  <c r="AS90" i="1" s="1"/>
  <c r="AR182" i="1"/>
  <c r="AR145" i="1"/>
  <c r="AX145" i="1"/>
  <c r="AX315" i="1"/>
  <c r="BU86" i="1"/>
  <c r="BT191" i="1"/>
  <c r="BU187" i="1"/>
  <c r="BG187" i="1"/>
  <c r="BG86" i="1"/>
  <c r="BF191" i="1"/>
  <c r="AW86" i="1"/>
  <c r="AV191" i="1"/>
  <c r="AW187" i="1"/>
  <c r="BE86" i="1"/>
  <c r="BE187" i="1"/>
  <c r="BD191" i="1"/>
  <c r="AQ187" i="1"/>
  <c r="AP191" i="1"/>
  <c r="AQ86" i="1"/>
  <c r="R253" i="1"/>
  <c r="R251" i="1"/>
  <c r="AT249" i="1"/>
  <c r="AT223" i="1"/>
  <c r="BB148" i="1"/>
  <c r="BB149" i="1"/>
  <c r="BB147" i="1"/>
  <c r="AO316" i="1"/>
  <c r="AO273" i="1"/>
  <c r="AN316" i="1"/>
  <c r="AN273" i="1"/>
  <c r="AN182" i="1"/>
  <c r="AN235" i="1"/>
  <c r="BN191" i="1"/>
  <c r="BO187" i="1"/>
  <c r="BO86" i="1"/>
  <c r="AY187" i="1"/>
  <c r="AX191" i="1"/>
  <c r="AY86" i="1"/>
  <c r="AR252" i="1"/>
  <c r="AR223" i="1"/>
  <c r="BN315" i="1"/>
  <c r="BN145" i="1"/>
  <c r="BF273" i="1"/>
  <c r="BF235" i="1"/>
  <c r="BP316" i="1"/>
  <c r="BP273" i="1"/>
  <c r="BP235" i="1"/>
  <c r="BR182" i="1"/>
  <c r="BS316" i="1"/>
  <c r="BS273" i="1"/>
  <c r="BR235" i="1"/>
  <c r="BA187" i="1"/>
  <c r="BA86" i="1"/>
  <c r="AZ191" i="1"/>
  <c r="BQ86" i="1"/>
  <c r="BP191" i="1"/>
  <c r="BQ187" i="1"/>
  <c r="BC276" i="1"/>
  <c r="BB315" i="1"/>
  <c r="AR315" i="1"/>
  <c r="AX273" i="1"/>
  <c r="AX235" i="1"/>
  <c r="AX182" i="1"/>
  <c r="AX316" i="1"/>
  <c r="BO269" i="1"/>
  <c r="BP269" i="1"/>
  <c r="AT191" i="1"/>
  <c r="AU86" i="1"/>
  <c r="AU187" i="1"/>
  <c r="BD145" i="1"/>
  <c r="BD315" i="1"/>
  <c r="BO273" i="1"/>
  <c r="BO316" i="1"/>
  <c r="BN316" i="1"/>
  <c r="BN273" i="1"/>
  <c r="AW316" i="1"/>
  <c r="AW273" i="1"/>
  <c r="AN249" i="1"/>
  <c r="AN223" i="1"/>
  <c r="BT269" i="1"/>
  <c r="BS269" i="1"/>
  <c r="BV316" i="1"/>
  <c r="BU316" i="1"/>
  <c r="BU273" i="1"/>
  <c r="BV273" i="1"/>
  <c r="BT235" i="1"/>
  <c r="BT316" i="1"/>
  <c r="BT273" i="1"/>
  <c r="AP269" i="1"/>
  <c r="AO269" i="1"/>
  <c r="M253" i="1"/>
  <c r="M251" i="1"/>
  <c r="AZ235" i="1"/>
  <c r="AZ316" i="1"/>
  <c r="AZ182" i="1"/>
  <c r="AZ273" i="1"/>
  <c r="AN251" i="1"/>
  <c r="AT182" i="1"/>
  <c r="AT316" i="1"/>
  <c r="AT273" i="1"/>
  <c r="AT235" i="1"/>
  <c r="BD273" i="1"/>
  <c r="BD182" i="1"/>
  <c r="BE316" i="1"/>
  <c r="BE273" i="1"/>
  <c r="BD235" i="1"/>
  <c r="BD316" i="1"/>
  <c r="AV145" i="1"/>
  <c r="AV315" i="1"/>
  <c r="AQ273" i="1"/>
  <c r="AP273" i="1"/>
  <c r="AP316" i="1"/>
  <c r="BG316" i="1"/>
  <c r="BH316" i="1"/>
  <c r="BB273" i="1"/>
  <c r="BA316" i="1"/>
  <c r="BB316" i="1"/>
  <c r="BA273" i="1"/>
  <c r="AU273" i="1"/>
  <c r="AU316" i="1"/>
  <c r="BP253" i="1"/>
  <c r="BP256" i="1" s="1"/>
  <c r="BR273" i="1"/>
  <c r="AY273" i="1"/>
  <c r="AY316" i="1"/>
  <c r="AQ276" i="1"/>
  <c r="AP315" i="1"/>
  <c r="AZ145" i="1"/>
  <c r="AZ315" i="1"/>
  <c r="BS276" i="1"/>
  <c r="BR315" i="1"/>
  <c r="BT145" i="1"/>
  <c r="BT315" i="1"/>
  <c r="BF316" i="1"/>
  <c r="BF182" i="1"/>
  <c r="AP235" i="1"/>
  <c r="AP182" i="1"/>
  <c r="AP148" i="1"/>
  <c r="AP147" i="1"/>
  <c r="AP149" i="1"/>
  <c r="AP252" i="1"/>
  <c r="AP223" i="1"/>
  <c r="BF145" i="1"/>
  <c r="BF315" i="1"/>
  <c r="BP149" i="1"/>
  <c r="AV182" i="1"/>
  <c r="BQ316" i="1"/>
  <c r="BP315" i="1"/>
  <c r="BP182" i="1"/>
  <c r="BP223" i="1"/>
  <c r="BG273" i="1"/>
  <c r="BQ273" i="1"/>
  <c r="BP148" i="1"/>
  <c r="AV249" i="1"/>
  <c r="AV253" i="1" s="1"/>
  <c r="AV223" i="1"/>
  <c r="BH233" i="1"/>
  <c r="BB249" i="1"/>
  <c r="BB223" i="1"/>
  <c r="BD249" i="1"/>
  <c r="BD223" i="1"/>
  <c r="AX249" i="1"/>
  <c r="AX223" i="1"/>
  <c r="BF249" i="1"/>
  <c r="BF223" i="1"/>
  <c r="BT249" i="1"/>
  <c r="BT223" i="1"/>
  <c r="BR249" i="1"/>
  <c r="BR253" i="1" s="1"/>
  <c r="BR223" i="1"/>
  <c r="BN249" i="1"/>
  <c r="BN223" i="1"/>
  <c r="AZ249" i="1"/>
  <c r="AZ223" i="1"/>
  <c r="BV149" i="1"/>
  <c r="BV148" i="1"/>
  <c r="BV147" i="1"/>
  <c r="AP70" i="1"/>
  <c r="BL70" i="1"/>
  <c r="BK68" i="1"/>
  <c r="BK81" i="1"/>
  <c r="BK70" i="1"/>
  <c r="AM107" i="1"/>
  <c r="AM274" i="1"/>
  <c r="AM272" i="1" s="1"/>
  <c r="AM108" i="1"/>
  <c r="AM145" i="1"/>
  <c r="AM139" i="1"/>
  <c r="AM138" i="1"/>
  <c r="AM140" i="1"/>
  <c r="AY81" i="1"/>
  <c r="AY68" i="1"/>
  <c r="AZ70" i="1"/>
  <c r="AT69" i="1"/>
  <c r="AP81" i="1"/>
  <c r="AP69" i="1"/>
  <c r="AP68" i="1"/>
  <c r="BQ68" i="1"/>
  <c r="BU69" i="1"/>
  <c r="BU81" i="1"/>
  <c r="BV70" i="1"/>
  <c r="BY69" i="1"/>
  <c r="BU68" i="1"/>
  <c r="BQ87" i="1"/>
  <c r="BQ91" i="1" s="1"/>
  <c r="BQ82" i="1"/>
  <c r="BQ299" i="1"/>
  <c r="BQ300" i="1" s="1"/>
  <c r="AS68" i="1"/>
  <c r="AS81" i="1"/>
  <c r="AS84" i="1" s="1"/>
  <c r="AT70" i="1"/>
  <c r="AW69" i="1"/>
  <c r="AR68" i="1"/>
  <c r="AS70" i="1"/>
  <c r="BI69" i="1"/>
  <c r="BI68" i="1"/>
  <c r="BM69" i="1"/>
  <c r="BI81" i="1"/>
  <c r="BJ70" i="1"/>
  <c r="BP81" i="1"/>
  <c r="BP69" i="1"/>
  <c r="BP68" i="1"/>
  <c r="BQ70" i="1"/>
  <c r="BN251" i="1"/>
  <c r="BM68" i="1"/>
  <c r="BQ69" i="1"/>
  <c r="BM81" i="1"/>
  <c r="BM70" i="1"/>
  <c r="BF68" i="1"/>
  <c r="BJ69" i="1"/>
  <c r="BE70" i="1"/>
  <c r="BS70" i="1"/>
  <c r="BD68" i="1"/>
  <c r="BD81" i="1"/>
  <c r="BD83" i="1" s="1"/>
  <c r="BD69" i="1"/>
  <c r="BE81" i="1"/>
  <c r="BE68" i="1"/>
  <c r="BF70" i="1"/>
  <c r="BC70" i="1"/>
  <c r="BT70" i="1"/>
  <c r="AU69" i="1"/>
  <c r="BW69" i="1"/>
  <c r="Q112" i="1"/>
  <c r="BF82" i="1"/>
  <c r="BF87" i="1"/>
  <c r="BF91" i="1" s="1"/>
  <c r="BF299" i="1"/>
  <c r="BF300" i="1" s="1"/>
  <c r="BO81" i="1"/>
  <c r="V112" i="1"/>
  <c r="BP70" i="1"/>
  <c r="BS69" i="1"/>
  <c r="BO69" i="1"/>
  <c r="BO68" i="1"/>
  <c r="AT87" i="1"/>
  <c r="AT91" i="1" s="1"/>
  <c r="AT82" i="1"/>
  <c r="AT299" i="1"/>
  <c r="AT300" i="1" s="1"/>
  <c r="AJ70" i="1"/>
  <c r="AI68" i="1"/>
  <c r="AM69" i="1"/>
  <c r="AI81" i="1"/>
  <c r="N112" i="1"/>
  <c r="AW299" i="1"/>
  <c r="AW300" i="1" s="1"/>
  <c r="AW82" i="1"/>
  <c r="AW87" i="1"/>
  <c r="AW91" i="1" s="1"/>
  <c r="AU70" i="1"/>
  <c r="AV70" i="1"/>
  <c r="AU81" i="1"/>
  <c r="AY69" i="1"/>
  <c r="AU68" i="1"/>
  <c r="BV162" i="1"/>
  <c r="BW90" i="1"/>
  <c r="BS81" i="1"/>
  <c r="BS68" i="1"/>
  <c r="BD70" i="1"/>
  <c r="S112" i="1"/>
  <c r="BC81" i="1"/>
  <c r="BC68" i="1"/>
  <c r="BC69" i="1"/>
  <c r="BH162" i="1"/>
  <c r="BI90" i="1"/>
  <c r="BR81" i="1"/>
  <c r="BR70" i="1"/>
  <c r="BR68" i="1"/>
  <c r="AZ82" i="1"/>
  <c r="AZ299" i="1"/>
  <c r="AZ300" i="1" s="1"/>
  <c r="AZ87" i="1"/>
  <c r="AZ91" i="1" s="1"/>
  <c r="AQ70" i="1"/>
  <c r="BH81" i="1"/>
  <c r="BH68" i="1"/>
  <c r="BL69" i="1"/>
  <c r="BH69" i="1"/>
  <c r="BB69" i="1"/>
  <c r="AX70" i="1"/>
  <c r="AX68" i="1"/>
  <c r="AX69" i="1"/>
  <c r="AX81" i="1"/>
  <c r="AT148" i="1"/>
  <c r="AT149" i="1"/>
  <c r="AT147" i="1"/>
  <c r="BN69" i="1"/>
  <c r="BR69" i="1"/>
  <c r="BN81" i="1"/>
  <c r="U112" i="1"/>
  <c r="BN68" i="1"/>
  <c r="BN70" i="1"/>
  <c r="AR299" i="1"/>
  <c r="AR300" i="1" s="1"/>
  <c r="BO70" i="1"/>
  <c r="BG70" i="1"/>
  <c r="BG69" i="1"/>
  <c r="BG68" i="1"/>
  <c r="BH70" i="1"/>
  <c r="BK69" i="1"/>
  <c r="T112" i="1"/>
  <c r="BG81" i="1"/>
  <c r="AN81" i="1"/>
  <c r="AO70" i="1"/>
  <c r="AN69" i="1"/>
  <c r="AR69" i="1"/>
  <c r="AN70" i="1"/>
  <c r="AN68" i="1"/>
  <c r="AV81" i="1"/>
  <c r="AV68" i="1"/>
  <c r="AW70" i="1"/>
  <c r="AV69" i="1"/>
  <c r="AZ69" i="1"/>
  <c r="BW70" i="1"/>
  <c r="BW68" i="1"/>
  <c r="X112" i="1"/>
  <c r="CA69" i="1"/>
  <c r="BX70" i="1"/>
  <c r="BW81" i="1"/>
  <c r="BW48" i="1" s="1"/>
  <c r="BU70" i="1"/>
  <c r="BT81" i="1"/>
  <c r="BX69" i="1"/>
  <c r="BT68" i="1"/>
  <c r="BT69" i="1"/>
  <c r="BW191" i="1"/>
  <c r="BX86" i="1"/>
  <c r="AR87" i="1"/>
  <c r="AR91" i="1" s="1"/>
  <c r="AY70" i="1"/>
  <c r="BI70" i="1"/>
  <c r="BV311" i="1"/>
  <c r="BV313" i="1"/>
  <c r="BR149" i="1"/>
  <c r="BR147" i="1"/>
  <c r="BR148" i="1"/>
  <c r="AO69" i="1"/>
  <c r="AO81" i="1"/>
  <c r="AO68" i="1"/>
  <c r="AS69" i="1"/>
  <c r="BH313" i="1"/>
  <c r="BH311" i="1"/>
  <c r="O112" i="1"/>
  <c r="BV232" i="1"/>
  <c r="BV233" i="1" s="1"/>
  <c r="AQ81" i="1"/>
  <c r="P112" i="1"/>
  <c r="AQ69" i="1"/>
  <c r="AQ68" i="1"/>
  <c r="AR70" i="1"/>
  <c r="BJ86" i="1"/>
  <c r="BI191" i="1"/>
  <c r="BJ270" i="1" s="1"/>
  <c r="BJ268" i="1" s="1"/>
  <c r="BB68" i="1"/>
  <c r="R112" i="1"/>
  <c r="BB81" i="1"/>
  <c r="BF69" i="1"/>
  <c r="BB70" i="1"/>
  <c r="BJ94" i="1"/>
  <c r="BJ93" i="1"/>
  <c r="AB273" i="1"/>
  <c r="DB116" i="1"/>
  <c r="DB118" i="1" s="1"/>
  <c r="DA118" i="1"/>
  <c r="BV256" i="1" l="1"/>
  <c r="BA317" i="1"/>
  <c r="BA318" i="1" s="1"/>
  <c r="BA87" i="1"/>
  <c r="BA91" i="1" s="1"/>
  <c r="BA94" i="1" s="1"/>
  <c r="BA82" i="1"/>
  <c r="BV82" i="1"/>
  <c r="BV299" i="1"/>
  <c r="BV300" i="1" s="1"/>
  <c r="BZ83" i="1"/>
  <c r="BA84" i="1"/>
  <c r="BA299" i="1"/>
  <c r="BA300" i="1" s="1"/>
  <c r="AT86" i="1"/>
  <c r="AR232" i="1"/>
  <c r="AR233" i="1" s="1"/>
  <c r="J280" i="1"/>
  <c r="AR311" i="1"/>
  <c r="V256" i="1"/>
  <c r="V257" i="1" s="1"/>
  <c r="H277" i="1"/>
  <c r="H278" i="1" s="1"/>
  <c r="H280" i="1"/>
  <c r="G277" i="1"/>
  <c r="G278" i="1" s="1"/>
  <c r="D123" i="1"/>
  <c r="C311" i="1"/>
  <c r="C233" i="1"/>
  <c r="B311" i="1"/>
  <c r="B233" i="1"/>
  <c r="B140" i="1"/>
  <c r="B139" i="1"/>
  <c r="B138" i="1"/>
  <c r="S277" i="1"/>
  <c r="S278" i="1" s="1"/>
  <c r="S280" i="1"/>
  <c r="T277" i="1"/>
  <c r="T278" i="1" s="1"/>
  <c r="T280" i="1"/>
  <c r="U280" i="1"/>
  <c r="U277" i="1"/>
  <c r="U278" i="1" s="1"/>
  <c r="F280" i="1"/>
  <c r="F277" i="1"/>
  <c r="F278" i="1" s="1"/>
  <c r="K277" i="1"/>
  <c r="K278" i="1" s="1"/>
  <c r="K280" i="1"/>
  <c r="J277" i="1"/>
  <c r="J278" i="1" s="1"/>
  <c r="Q277" i="1"/>
  <c r="Q278" i="1" s="1"/>
  <c r="D277" i="1"/>
  <c r="D278" i="1" s="1"/>
  <c r="D280" i="1"/>
  <c r="Q280" i="1"/>
  <c r="I256" i="1"/>
  <c r="I257" i="1" s="1"/>
  <c r="C140" i="1"/>
  <c r="C138" i="1"/>
  <c r="C123" i="1"/>
  <c r="C139" i="1"/>
  <c r="B142" i="1"/>
  <c r="D311" i="1"/>
  <c r="D233" i="1"/>
  <c r="E280" i="1"/>
  <c r="E277" i="1"/>
  <c r="E278" i="1" s="1"/>
  <c r="C277" i="1"/>
  <c r="C278" i="1" s="1"/>
  <c r="C280" i="1"/>
  <c r="I277" i="1"/>
  <c r="I278" i="1" s="1"/>
  <c r="I280" i="1"/>
  <c r="AW90" i="1"/>
  <c r="AV162" i="1"/>
  <c r="BS191" i="1"/>
  <c r="BT86" i="1"/>
  <c r="BR313" i="1"/>
  <c r="BR311" i="1"/>
  <c r="M280" i="1"/>
  <c r="M277" i="1"/>
  <c r="M278" i="1" s="1"/>
  <c r="N280" i="1"/>
  <c r="N277" i="1"/>
  <c r="N278" i="1" s="1"/>
  <c r="P280" i="1"/>
  <c r="P277" i="1"/>
  <c r="P278" i="1" s="1"/>
  <c r="V277" i="1"/>
  <c r="V278" i="1" s="1"/>
  <c r="V280" i="1"/>
  <c r="AP86" i="1"/>
  <c r="AO191" i="1"/>
  <c r="AN147" i="1"/>
  <c r="AN149" i="1"/>
  <c r="O280" i="1"/>
  <c r="J256" i="1"/>
  <c r="J257" i="1" s="1"/>
  <c r="Q256" i="1"/>
  <c r="Q257" i="1" s="1"/>
  <c r="O277" i="1"/>
  <c r="O278" i="1" s="1"/>
  <c r="BR232" i="1"/>
  <c r="BR233" i="1" s="1"/>
  <c r="R277" i="1"/>
  <c r="R278" i="1" s="1"/>
  <c r="R280" i="1"/>
  <c r="BB162" i="1"/>
  <c r="BC90" i="1"/>
  <c r="L280" i="1"/>
  <c r="L277" i="1"/>
  <c r="L278" i="1" s="1"/>
  <c r="D138" i="1"/>
  <c r="D139" i="1"/>
  <c r="D140" i="1"/>
  <c r="C142" i="1"/>
  <c r="AN232" i="1"/>
  <c r="AN233" i="1" s="1"/>
  <c r="BP232" i="1"/>
  <c r="BP233" i="1" s="1"/>
  <c r="BN162" i="1"/>
  <c r="BO90" i="1"/>
  <c r="AZ86" i="1"/>
  <c r="AY191" i="1"/>
  <c r="L256" i="1"/>
  <c r="L257" i="1" s="1"/>
  <c r="K256" i="1"/>
  <c r="K257" i="1" s="1"/>
  <c r="E256" i="1"/>
  <c r="E257" i="1" s="1"/>
  <c r="F256" i="1"/>
  <c r="F257" i="1" s="1"/>
  <c r="H256" i="1"/>
  <c r="H257" i="1" s="1"/>
  <c r="G256" i="1"/>
  <c r="G257" i="1" s="1"/>
  <c r="BN270" i="1"/>
  <c r="BN268" i="1" s="1"/>
  <c r="BN313" i="1"/>
  <c r="BN311" i="1"/>
  <c r="BN149" i="1"/>
  <c r="BN148" i="1"/>
  <c r="BN147" i="1"/>
  <c r="BP162" i="1"/>
  <c r="BQ90" i="1"/>
  <c r="C256" i="1"/>
  <c r="C257" i="1" s="1"/>
  <c r="D256" i="1"/>
  <c r="D257" i="1" s="1"/>
  <c r="BB232" i="1"/>
  <c r="BB233" i="1" s="1"/>
  <c r="BF232" i="1"/>
  <c r="BF233" i="1" s="1"/>
  <c r="BT232" i="1"/>
  <c r="BT233" i="1" s="1"/>
  <c r="BF313" i="1"/>
  <c r="BF311" i="1"/>
  <c r="AP313" i="1"/>
  <c r="AP311" i="1"/>
  <c r="BG90" i="1"/>
  <c r="BF162" i="1"/>
  <c r="BD86" i="1"/>
  <c r="BC191" i="1"/>
  <c r="BN232" i="1"/>
  <c r="BN233" i="1" s="1"/>
  <c r="AZ232" i="1"/>
  <c r="AZ233" i="1" s="1"/>
  <c r="AN311" i="1"/>
  <c r="AN270" i="1"/>
  <c r="AN268" i="1" s="1"/>
  <c r="BT313" i="1"/>
  <c r="BT311" i="1"/>
  <c r="AW191" i="1"/>
  <c r="AX86" i="1"/>
  <c r="BS90" i="1"/>
  <c r="BR162" i="1"/>
  <c r="BA191" i="1"/>
  <c r="BB86" i="1"/>
  <c r="AZ311" i="1"/>
  <c r="AZ313" i="1"/>
  <c r="BR86" i="1"/>
  <c r="BQ191" i="1"/>
  <c r="AN248" i="1"/>
  <c r="AN253" i="1"/>
  <c r="BB313" i="1"/>
  <c r="BB311" i="1"/>
  <c r="BG191" i="1"/>
  <c r="BH86" i="1"/>
  <c r="AV311" i="1"/>
  <c r="AV313" i="1"/>
  <c r="BE191" i="1"/>
  <c r="BF86" i="1"/>
  <c r="BD311" i="1"/>
  <c r="BD313" i="1"/>
  <c r="S256" i="1"/>
  <c r="S257" i="1" s="1"/>
  <c r="R256" i="1"/>
  <c r="R257" i="1" s="1"/>
  <c r="AX313" i="1"/>
  <c r="AX311" i="1"/>
  <c r="AU90" i="1"/>
  <c r="AT162" i="1"/>
  <c r="AP232" i="1"/>
  <c r="AP233" i="1" s="1"/>
  <c r="BD232" i="1"/>
  <c r="BD233" i="1" s="1"/>
  <c r="AR147" i="1"/>
  <c r="AR149" i="1"/>
  <c r="AR148" i="1"/>
  <c r="AX149" i="1"/>
  <c r="AX148" i="1"/>
  <c r="AX147" i="1"/>
  <c r="BV86" i="1"/>
  <c r="BU191" i="1"/>
  <c r="AQ191" i="1"/>
  <c r="AR86" i="1"/>
  <c r="AT253" i="1"/>
  <c r="AT248" i="1"/>
  <c r="AO90" i="1"/>
  <c r="AN162" i="1"/>
  <c r="AR253" i="1"/>
  <c r="AR251" i="1"/>
  <c r="AV86" i="1"/>
  <c r="AU191" i="1"/>
  <c r="BD148" i="1"/>
  <c r="BD147" i="1"/>
  <c r="BD149" i="1"/>
  <c r="BU90" i="1"/>
  <c r="BT162" i="1"/>
  <c r="BE90" i="1"/>
  <c r="BD162" i="1"/>
  <c r="AV149" i="1"/>
  <c r="AV147" i="1"/>
  <c r="AV148" i="1"/>
  <c r="T256" i="1"/>
  <c r="T257" i="1" s="1"/>
  <c r="U256" i="1"/>
  <c r="U257" i="1" s="1"/>
  <c r="P256" i="1"/>
  <c r="P257" i="1" s="1"/>
  <c r="O256" i="1"/>
  <c r="O257" i="1" s="1"/>
  <c r="AV232" i="1"/>
  <c r="AV233" i="1" s="1"/>
  <c r="AX232" i="1"/>
  <c r="AX233" i="1" s="1"/>
  <c r="BP86" i="1"/>
  <c r="BO191" i="1"/>
  <c r="BP313" i="1"/>
  <c r="BP311" i="1"/>
  <c r="AY90" i="1"/>
  <c r="AX162" i="1"/>
  <c r="AT232" i="1"/>
  <c r="AT233" i="1" s="1"/>
  <c r="AT313" i="1"/>
  <c r="AT311" i="1"/>
  <c r="AP162" i="1"/>
  <c r="AQ90" i="1"/>
  <c r="AZ162" i="1"/>
  <c r="BA90" i="1"/>
  <c r="M256" i="1"/>
  <c r="M257" i="1" s="1"/>
  <c r="N256" i="1"/>
  <c r="N257" i="1" s="1"/>
  <c r="AZ148" i="1"/>
  <c r="AZ149" i="1"/>
  <c r="AZ147" i="1"/>
  <c r="AP253" i="1"/>
  <c r="AP256" i="1" s="1"/>
  <c r="AP251" i="1"/>
  <c r="AX248" i="1"/>
  <c r="AX253" i="1"/>
  <c r="BF248" i="1"/>
  <c r="BF253" i="1"/>
  <c r="BJ256" i="1" s="1"/>
  <c r="BT149" i="1"/>
  <c r="BT148" i="1"/>
  <c r="BT147" i="1"/>
  <c r="BF148" i="1"/>
  <c r="BF149" i="1"/>
  <c r="BF147" i="1"/>
  <c r="AV248" i="1"/>
  <c r="BR248" i="1"/>
  <c r="BN248" i="1"/>
  <c r="BN253" i="1"/>
  <c r="BB253" i="1"/>
  <c r="BB248" i="1"/>
  <c r="BD248" i="1"/>
  <c r="BD253" i="1"/>
  <c r="BT253" i="1"/>
  <c r="BT248" i="1"/>
  <c r="BX270" i="1"/>
  <c r="BX268" i="1" s="1"/>
  <c r="BW270" i="1"/>
  <c r="BW268" i="1" s="1"/>
  <c r="AZ253" i="1"/>
  <c r="AZ256" i="1" s="1"/>
  <c r="AZ248" i="1"/>
  <c r="BA293" i="1"/>
  <c r="BL165" i="1"/>
  <c r="AQ317" i="1"/>
  <c r="AQ318" i="1" s="1"/>
  <c r="AT83" i="1"/>
  <c r="AQ84" i="1"/>
  <c r="BS293" i="1"/>
  <c r="BO83" i="1"/>
  <c r="BK83" i="1"/>
  <c r="BX293" i="1"/>
  <c r="BK84" i="1"/>
  <c r="BK82" i="1"/>
  <c r="BL84" i="1"/>
  <c r="BK299" i="1"/>
  <c r="BK300" i="1" s="1"/>
  <c r="BK87" i="1"/>
  <c r="BK91" i="1" s="1"/>
  <c r="BK317" i="1"/>
  <c r="BK318" i="1" s="1"/>
  <c r="BL317" i="1"/>
  <c r="BL318" i="1" s="1"/>
  <c r="AM147" i="1"/>
  <c r="AM148" i="1"/>
  <c r="AM149" i="1"/>
  <c r="AY82" i="1"/>
  <c r="AY299" i="1"/>
  <c r="AY300" i="1" s="1"/>
  <c r="AY87" i="1"/>
  <c r="AY91" i="1" s="1"/>
  <c r="AZ317" i="1"/>
  <c r="AZ318" i="1" s="1"/>
  <c r="AZ84" i="1"/>
  <c r="AP82" i="1"/>
  <c r="AP83" i="1"/>
  <c r="AP299" i="1"/>
  <c r="AP300" i="1" s="1"/>
  <c r="AP87" i="1"/>
  <c r="AP91" i="1" s="1"/>
  <c r="BV317" i="1"/>
  <c r="BV318" i="1" s="1"/>
  <c r="BV84" i="1"/>
  <c r="BM165" i="1"/>
  <c r="BM293" i="1"/>
  <c r="BU83" i="1"/>
  <c r="BU82" i="1"/>
  <c r="BU299" i="1"/>
  <c r="BU300" i="1" s="1"/>
  <c r="BY83" i="1"/>
  <c r="BU87" i="1"/>
  <c r="BU91" i="1" s="1"/>
  <c r="S113" i="1"/>
  <c r="BK165" i="1"/>
  <c r="U113" i="1"/>
  <c r="AS270" i="1"/>
  <c r="AS268" i="1" s="1"/>
  <c r="AT270" i="1"/>
  <c r="AT268" i="1" s="1"/>
  <c r="AS299" i="1"/>
  <c r="AS300" i="1" s="1"/>
  <c r="AS87" i="1"/>
  <c r="AS91" i="1" s="1"/>
  <c r="AW83" i="1"/>
  <c r="AT84" i="1"/>
  <c r="AS317" i="1"/>
  <c r="AS318" i="1" s="1"/>
  <c r="AS82" i="1"/>
  <c r="AT317" i="1"/>
  <c r="AT318" i="1" s="1"/>
  <c r="AS293" i="1"/>
  <c r="AS165" i="1"/>
  <c r="BF317" i="1"/>
  <c r="BF318" i="1" s="1"/>
  <c r="BE83" i="1"/>
  <c r="BI299" i="1"/>
  <c r="BI300" i="1" s="1"/>
  <c r="BI87" i="1"/>
  <c r="BI82" i="1"/>
  <c r="BL293" i="1"/>
  <c r="BJ84" i="1"/>
  <c r="BJ317" i="1"/>
  <c r="BJ318" i="1" s="1"/>
  <c r="BQ84" i="1"/>
  <c r="BP82" i="1"/>
  <c r="BP83" i="1"/>
  <c r="BP299" i="1"/>
  <c r="BP300" i="1" s="1"/>
  <c r="BP87" i="1"/>
  <c r="BP91" i="1" s="1"/>
  <c r="BQ317" i="1"/>
  <c r="BQ318" i="1" s="1"/>
  <c r="BM87" i="1"/>
  <c r="BM91" i="1" s="1"/>
  <c r="BM82" i="1"/>
  <c r="BQ83" i="1"/>
  <c r="BM84" i="1"/>
  <c r="BM83" i="1"/>
  <c r="BM299" i="1"/>
  <c r="BM300" i="1" s="1"/>
  <c r="BM317" i="1"/>
  <c r="BM318" i="1" s="1"/>
  <c r="BD317" i="1"/>
  <c r="BD318" i="1" s="1"/>
  <c r="O113" i="1"/>
  <c r="AP84" i="1"/>
  <c r="BE84" i="1"/>
  <c r="BD87" i="1"/>
  <c r="BD91" i="1" s="1"/>
  <c r="BD82" i="1"/>
  <c r="BD299" i="1"/>
  <c r="BD300" i="1" s="1"/>
  <c r="BE317" i="1"/>
  <c r="BE318" i="1" s="1"/>
  <c r="BI83" i="1"/>
  <c r="BE299" i="1"/>
  <c r="BE300" i="1" s="1"/>
  <c r="BE82" i="1"/>
  <c r="BE87" i="1"/>
  <c r="BE91" i="1" s="1"/>
  <c r="BF84" i="1"/>
  <c r="BF94" i="1"/>
  <c r="BF93" i="1"/>
  <c r="BO82" i="1"/>
  <c r="BO87" i="1"/>
  <c r="BO91" i="1" s="1"/>
  <c r="BO299" i="1"/>
  <c r="BO300" i="1" s="1"/>
  <c r="BP84" i="1"/>
  <c r="BP317" i="1"/>
  <c r="BP318" i="1" s="1"/>
  <c r="BH163" i="1"/>
  <c r="BH164" i="1"/>
  <c r="AX293" i="1"/>
  <c r="BT317" i="1"/>
  <c r="BT318" i="1" s="1"/>
  <c r="BC84" i="1"/>
  <c r="AJ84" i="1"/>
  <c r="AL165" i="1"/>
  <c r="AI82" i="1"/>
  <c r="AM83" i="1"/>
  <c r="AI87" i="1"/>
  <c r="N113" i="1"/>
  <c r="AL293" i="1"/>
  <c r="AI299" i="1"/>
  <c r="AI300" i="1" s="1"/>
  <c r="AW293" i="1"/>
  <c r="AU293" i="1"/>
  <c r="AW165" i="1"/>
  <c r="AU84" i="1"/>
  <c r="AU317" i="1"/>
  <c r="AU318" i="1" s="1"/>
  <c r="AU165" i="1"/>
  <c r="AV293" i="1"/>
  <c r="AU299" i="1"/>
  <c r="AU300" i="1" s="1"/>
  <c r="AU82" i="1"/>
  <c r="AU87" i="1"/>
  <c r="AU91" i="1" s="1"/>
  <c r="AY83" i="1"/>
  <c r="AV84" i="1"/>
  <c r="AV317" i="1"/>
  <c r="AV318" i="1" s="1"/>
  <c r="AU83" i="1"/>
  <c r="BV163" i="1"/>
  <c r="BV164" i="1"/>
  <c r="BS83" i="1"/>
  <c r="BS87" i="1"/>
  <c r="BS91" i="1" s="1"/>
  <c r="BS82" i="1"/>
  <c r="BS299" i="1"/>
  <c r="BS300" i="1" s="1"/>
  <c r="BS317" i="1"/>
  <c r="BS318" i="1" s="1"/>
  <c r="BD84" i="1"/>
  <c r="BG83" i="1"/>
  <c r="BF165" i="1"/>
  <c r="BC87" i="1"/>
  <c r="BC82" i="1"/>
  <c r="BC299" i="1"/>
  <c r="BC300" i="1" s="1"/>
  <c r="BF293" i="1"/>
  <c r="BC83" i="1"/>
  <c r="BV83" i="1"/>
  <c r="BS165" i="1"/>
  <c r="BT293" i="1"/>
  <c r="AQ293" i="1"/>
  <c r="AZ94" i="1"/>
  <c r="AZ93" i="1"/>
  <c r="BV293" i="1"/>
  <c r="BR317" i="1"/>
  <c r="BR318" i="1" s="1"/>
  <c r="BR82" i="1"/>
  <c r="BR84" i="1"/>
  <c r="BS84" i="1"/>
  <c r="V113" i="1"/>
  <c r="BR293" i="1"/>
  <c r="BR299" i="1"/>
  <c r="BR300" i="1" s="1"/>
  <c r="BR165" i="1"/>
  <c r="BR87" i="1"/>
  <c r="BN165" i="1"/>
  <c r="BN293" i="1"/>
  <c r="BA165" i="1"/>
  <c r="AX165" i="1"/>
  <c r="AY165" i="1"/>
  <c r="AY293" i="1"/>
  <c r="AY84" i="1"/>
  <c r="AY317" i="1"/>
  <c r="AY318" i="1" s="1"/>
  <c r="AZ165" i="1"/>
  <c r="BV165" i="1"/>
  <c r="AQ165" i="1"/>
  <c r="BT165" i="1"/>
  <c r="BT84" i="1"/>
  <c r="AR293" i="1"/>
  <c r="AP293" i="1"/>
  <c r="AP317" i="1"/>
  <c r="AP318" i="1" s="1"/>
  <c r="AP165" i="1"/>
  <c r="BK293" i="1"/>
  <c r="BX165" i="1"/>
  <c r="AV165" i="1"/>
  <c r="Q113" i="1"/>
  <c r="BI270" i="1"/>
  <c r="BI268" i="1" s="1"/>
  <c r="BV93" i="1"/>
  <c r="BV94" i="1"/>
  <c r="BD293" i="1"/>
  <c r="BC165" i="1"/>
  <c r="BC293" i="1"/>
  <c r="BB293" i="1"/>
  <c r="R113" i="1"/>
  <c r="AV87" i="1"/>
  <c r="AZ83" i="1"/>
  <c r="AV82" i="1"/>
  <c r="AV299" i="1"/>
  <c r="AV300" i="1" s="1"/>
  <c r="AW317" i="1"/>
  <c r="AW318" i="1" s="1"/>
  <c r="AW84" i="1"/>
  <c r="BG82" i="1"/>
  <c r="BH293" i="1"/>
  <c r="T113" i="1"/>
  <c r="BG165" i="1"/>
  <c r="BJ165" i="1"/>
  <c r="BG317" i="1"/>
  <c r="BG318" i="1" s="1"/>
  <c r="BI293" i="1"/>
  <c r="BG87" i="1"/>
  <c r="BI165" i="1"/>
  <c r="BG299" i="1"/>
  <c r="BG300" i="1" s="1"/>
  <c r="BH165" i="1"/>
  <c r="BJ293" i="1"/>
  <c r="BH84" i="1"/>
  <c r="BG293" i="1"/>
  <c r="BG84" i="1"/>
  <c r="BL83" i="1"/>
  <c r="BH82" i="1"/>
  <c r="BH87" i="1"/>
  <c r="BH91" i="1" s="1"/>
  <c r="BH299" i="1"/>
  <c r="BH300" i="1" s="1"/>
  <c r="BH317" i="1"/>
  <c r="BH318" i="1" s="1"/>
  <c r="BH83" i="1"/>
  <c r="BI317" i="1"/>
  <c r="BI318" i="1" s="1"/>
  <c r="BI84" i="1"/>
  <c r="BW83" i="1"/>
  <c r="AN317" i="1"/>
  <c r="AN318" i="1" s="1"/>
  <c r="AN87" i="1"/>
  <c r="AO293" i="1"/>
  <c r="AN84" i="1"/>
  <c r="AN82" i="1"/>
  <c r="AN299" i="1"/>
  <c r="AN300" i="1" s="1"/>
  <c r="AN293" i="1"/>
  <c r="AR83" i="1"/>
  <c r="AO165" i="1"/>
  <c r="AN165" i="1"/>
  <c r="AO84" i="1"/>
  <c r="AN83" i="1"/>
  <c r="BW84" i="1"/>
  <c r="BN87" i="1"/>
  <c r="BP293" i="1"/>
  <c r="BO293" i="1"/>
  <c r="BR83" i="1"/>
  <c r="BQ165" i="1"/>
  <c r="BN82" i="1"/>
  <c r="BO84" i="1"/>
  <c r="BN84" i="1"/>
  <c r="BN299" i="1"/>
  <c r="BN300" i="1" s="1"/>
  <c r="BO317" i="1"/>
  <c r="BO318" i="1" s="1"/>
  <c r="BN317" i="1"/>
  <c r="BN318" i="1" s="1"/>
  <c r="BN83" i="1"/>
  <c r="BP165" i="1"/>
  <c r="BQ293" i="1"/>
  <c r="BO165" i="1"/>
  <c r="AX317" i="1"/>
  <c r="AX318" i="1" s="1"/>
  <c r="AX299" i="1"/>
  <c r="AX300" i="1" s="1"/>
  <c r="AX83" i="1"/>
  <c r="BB83" i="1"/>
  <c r="AZ293" i="1"/>
  <c r="AX87" i="1"/>
  <c r="AX84" i="1"/>
  <c r="AX82" i="1"/>
  <c r="BB87" i="1"/>
  <c r="BF83" i="1"/>
  <c r="BB299" i="1"/>
  <c r="BB300" i="1" s="1"/>
  <c r="BB165" i="1"/>
  <c r="BD165" i="1"/>
  <c r="BB82" i="1"/>
  <c r="BB317" i="1"/>
  <c r="BB318" i="1" s="1"/>
  <c r="BB84" i="1"/>
  <c r="BW293" i="1"/>
  <c r="BW299" i="1"/>
  <c r="BW300" i="1" s="1"/>
  <c r="BX84" i="1"/>
  <c r="X113" i="1"/>
  <c r="BW82" i="1"/>
  <c r="BZ165" i="1"/>
  <c r="BZ293" i="1"/>
  <c r="BW317" i="1"/>
  <c r="BW318" i="1" s="1"/>
  <c r="BW87" i="1"/>
  <c r="BY165" i="1"/>
  <c r="CA83" i="1"/>
  <c r="BX317" i="1"/>
  <c r="BX318" i="1" s="1"/>
  <c r="BY293" i="1"/>
  <c r="BC317" i="1"/>
  <c r="BC318" i="1" s="1"/>
  <c r="BE293" i="1"/>
  <c r="BE165" i="1"/>
  <c r="AQ82" i="1"/>
  <c r="AT293" i="1"/>
  <c r="AQ299" i="1"/>
  <c r="AQ300" i="1" s="1"/>
  <c r="P113" i="1"/>
  <c r="AQ87" i="1"/>
  <c r="AQ83" i="1"/>
  <c r="AR84" i="1"/>
  <c r="AR317" i="1"/>
  <c r="AR318" i="1" s="1"/>
  <c r="AT165" i="1"/>
  <c r="AO299" i="1"/>
  <c r="AO300" i="1" s="1"/>
  <c r="AO87" i="1"/>
  <c r="AO91" i="1" s="1"/>
  <c r="AO93" i="1" s="1"/>
  <c r="AR165" i="1"/>
  <c r="AO317" i="1"/>
  <c r="AO318" i="1" s="1"/>
  <c r="AO83" i="1"/>
  <c r="AS83" i="1"/>
  <c r="AO82" i="1"/>
  <c r="AR94" i="1"/>
  <c r="AR93" i="1"/>
  <c r="BT87" i="1"/>
  <c r="BU317" i="1"/>
  <c r="BU318" i="1" s="1"/>
  <c r="BT82" i="1"/>
  <c r="BX83" i="1"/>
  <c r="BU84" i="1"/>
  <c r="BT299" i="1"/>
  <c r="BT300" i="1" s="1"/>
  <c r="BT83" i="1"/>
  <c r="BW165" i="1"/>
  <c r="BU165" i="1"/>
  <c r="AV83" i="1"/>
  <c r="BJ301" i="1"/>
  <c r="BJ95" i="1"/>
  <c r="BJ312" i="1" s="1"/>
  <c r="BJ101" i="1"/>
  <c r="BQ93" i="1"/>
  <c r="BQ94" i="1"/>
  <c r="AW93" i="1"/>
  <c r="AW94" i="1"/>
  <c r="AT94" i="1"/>
  <c r="AT93" i="1"/>
  <c r="AE195" i="1"/>
  <c r="AC177" i="1"/>
  <c r="BA93" i="1" l="1"/>
  <c r="BS270" i="1"/>
  <c r="BS268" i="1" s="1"/>
  <c r="BT270" i="1"/>
  <c r="BT268" i="1" s="1"/>
  <c r="BB164" i="1"/>
  <c r="BB167" i="1" s="1"/>
  <c r="BB163" i="1"/>
  <c r="BB166" i="1" s="1"/>
  <c r="BN164" i="1"/>
  <c r="BN167" i="1" s="1"/>
  <c r="BN163" i="1"/>
  <c r="BN166" i="1" s="1"/>
  <c r="AV163" i="1"/>
  <c r="AV166" i="1" s="1"/>
  <c r="AV164" i="1"/>
  <c r="AV167" i="1" s="1"/>
  <c r="AP270" i="1"/>
  <c r="AP268" i="1" s="1"/>
  <c r="AO270" i="1"/>
  <c r="AO268" i="1" s="1"/>
  <c r="BP163" i="1"/>
  <c r="BP166" i="1" s="1"/>
  <c r="BP164" i="1"/>
  <c r="BP167" i="1" s="1"/>
  <c r="AY270" i="1"/>
  <c r="AY268" i="1" s="1"/>
  <c r="AZ270" i="1"/>
  <c r="AZ268" i="1" s="1"/>
  <c r="BF164" i="1"/>
  <c r="BF167" i="1" s="1"/>
  <c r="BF163" i="1"/>
  <c r="BF166" i="1" s="1"/>
  <c r="BC270" i="1"/>
  <c r="BC268" i="1" s="1"/>
  <c r="BD270" i="1"/>
  <c r="BD268" i="1" s="1"/>
  <c r="AX270" i="1"/>
  <c r="AX268" i="1" s="1"/>
  <c r="AW270" i="1"/>
  <c r="AW268" i="1" s="1"/>
  <c r="BB270" i="1"/>
  <c r="BB268" i="1" s="1"/>
  <c r="BA270" i="1"/>
  <c r="BA268" i="1" s="1"/>
  <c r="BR270" i="1"/>
  <c r="BR268" i="1" s="1"/>
  <c r="BQ270" i="1"/>
  <c r="BQ268" i="1" s="1"/>
  <c r="BH270" i="1"/>
  <c r="BH268" i="1" s="1"/>
  <c r="BG270" i="1"/>
  <c r="BG268" i="1" s="1"/>
  <c r="AR270" i="1"/>
  <c r="AR268" i="1" s="1"/>
  <c r="AQ270" i="1"/>
  <c r="AQ268" i="1" s="1"/>
  <c r="AR256" i="1"/>
  <c r="AV256" i="1"/>
  <c r="BR163" i="1"/>
  <c r="BR166" i="1" s="1"/>
  <c r="BR164" i="1"/>
  <c r="BR167" i="1" s="1"/>
  <c r="BE270" i="1"/>
  <c r="BE268" i="1" s="1"/>
  <c r="BF270" i="1"/>
  <c r="BF268" i="1" s="1"/>
  <c r="AT164" i="1"/>
  <c r="AT167" i="1" s="1"/>
  <c r="AT163" i="1"/>
  <c r="AT166" i="1" s="1"/>
  <c r="AN164" i="1"/>
  <c r="AN167" i="1" s="1"/>
  <c r="AN163" i="1"/>
  <c r="AN166" i="1" s="1"/>
  <c r="AT256" i="1"/>
  <c r="AX256" i="1"/>
  <c r="BV270" i="1"/>
  <c r="BV268" i="1" s="1"/>
  <c r="BU270" i="1"/>
  <c r="BU268" i="1" s="1"/>
  <c r="AV270" i="1"/>
  <c r="AV268" i="1" s="1"/>
  <c r="AU270" i="1"/>
  <c r="AU268" i="1" s="1"/>
  <c r="BT164" i="1"/>
  <c r="BT167" i="1" s="1"/>
  <c r="BT163" i="1"/>
  <c r="BT166" i="1" s="1"/>
  <c r="BD164" i="1"/>
  <c r="BD167" i="1" s="1"/>
  <c r="BD163" i="1"/>
  <c r="BD166" i="1" s="1"/>
  <c r="BO270" i="1"/>
  <c r="BO268" i="1" s="1"/>
  <c r="BP270" i="1"/>
  <c r="BP268" i="1" s="1"/>
  <c r="AX163" i="1"/>
  <c r="AX166" i="1" s="1"/>
  <c r="AX164" i="1"/>
  <c r="AX167" i="1" s="1"/>
  <c r="AP163" i="1"/>
  <c r="AP166" i="1" s="1"/>
  <c r="AP164" i="1"/>
  <c r="AP167" i="1" s="1"/>
  <c r="AZ163" i="1"/>
  <c r="AZ166" i="1" s="1"/>
  <c r="AZ164" i="1"/>
  <c r="AZ167" i="1" s="1"/>
  <c r="BH256" i="1"/>
  <c r="BD256" i="1"/>
  <c r="BN256" i="1"/>
  <c r="BR256" i="1"/>
  <c r="BB256" i="1"/>
  <c r="BF256" i="1"/>
  <c r="BT256" i="1"/>
  <c r="BX256" i="1"/>
  <c r="BL166" i="1"/>
  <c r="BL167" i="1"/>
  <c r="BK94" i="1"/>
  <c r="BK93" i="1"/>
  <c r="AY93" i="1"/>
  <c r="AY94" i="1"/>
  <c r="AP93" i="1"/>
  <c r="AP94" i="1"/>
  <c r="AP96" i="1" s="1"/>
  <c r="BU94" i="1"/>
  <c r="BY96" i="1" s="1"/>
  <c r="BU93" i="1"/>
  <c r="AS93" i="1"/>
  <c r="AS94" i="1"/>
  <c r="AS97" i="1" s="1"/>
  <c r="BP93" i="1"/>
  <c r="BP94" i="1"/>
  <c r="BQ97" i="1" s="1"/>
  <c r="BI91" i="1"/>
  <c r="BL108" i="1"/>
  <c r="BM93" i="1"/>
  <c r="BM94" i="1"/>
  <c r="BV166" i="1"/>
  <c r="BE93" i="1"/>
  <c r="BE94" i="1"/>
  <c r="BF301" i="1"/>
  <c r="BF95" i="1"/>
  <c r="BF312" i="1" s="1"/>
  <c r="BF101" i="1"/>
  <c r="BJ96" i="1"/>
  <c r="BD108" i="1"/>
  <c r="BV108" i="1"/>
  <c r="BD93" i="1"/>
  <c r="BD94" i="1"/>
  <c r="BO94" i="1"/>
  <c r="BO93" i="1"/>
  <c r="AL167" i="1"/>
  <c r="AL166" i="1"/>
  <c r="AI91" i="1"/>
  <c r="AL108" i="1"/>
  <c r="AU94" i="1"/>
  <c r="AU93" i="1"/>
  <c r="BC91" i="1"/>
  <c r="BF108" i="1"/>
  <c r="BX166" i="1"/>
  <c r="BX167" i="1"/>
  <c r="AZ301" i="1"/>
  <c r="AZ101" i="1"/>
  <c r="AZ95" i="1"/>
  <c r="AZ312" i="1" s="1"/>
  <c r="BR91" i="1"/>
  <c r="BR108" i="1"/>
  <c r="AR108" i="1"/>
  <c r="AP108" i="1"/>
  <c r="BV167" i="1"/>
  <c r="AO94" i="1"/>
  <c r="AR95" i="1"/>
  <c r="AR312" i="1" s="1"/>
  <c r="AR101" i="1"/>
  <c r="AR301" i="1"/>
  <c r="AX91" i="1"/>
  <c r="AZ108" i="1"/>
  <c r="BN91" i="1"/>
  <c r="BP108" i="1"/>
  <c r="BV95" i="1"/>
  <c r="BV312" i="1" s="1"/>
  <c r="BV101" i="1"/>
  <c r="BV301" i="1"/>
  <c r="BZ96" i="1"/>
  <c r="BH94" i="1"/>
  <c r="BH93" i="1"/>
  <c r="AQ91" i="1"/>
  <c r="AT108" i="1"/>
  <c r="BX108" i="1"/>
  <c r="BZ108" i="1"/>
  <c r="BW91" i="1"/>
  <c r="BB91" i="1"/>
  <c r="BB108" i="1"/>
  <c r="AN108" i="1"/>
  <c r="AN91" i="1"/>
  <c r="BH166" i="1"/>
  <c r="BH167" i="1"/>
  <c r="AV91" i="1"/>
  <c r="AV108" i="1"/>
  <c r="AX108" i="1"/>
  <c r="BT91" i="1"/>
  <c r="BT108" i="1"/>
  <c r="BJ166" i="1"/>
  <c r="BJ167" i="1"/>
  <c r="BN108" i="1"/>
  <c r="BY108" i="1"/>
  <c r="BZ166" i="1"/>
  <c r="BZ167" i="1"/>
  <c r="BJ108" i="1"/>
  <c r="BG91" i="1"/>
  <c r="BH108" i="1"/>
  <c r="BS93" i="1"/>
  <c r="BS94" i="1"/>
  <c r="BJ105" i="1"/>
  <c r="BJ260" i="1"/>
  <c r="BJ262" i="1" s="1"/>
  <c r="BJ119" i="1"/>
  <c r="BQ95" i="1"/>
  <c r="BQ312" i="1" s="1"/>
  <c r="BQ101" i="1"/>
  <c r="BQ301" i="1"/>
  <c r="AT101" i="1"/>
  <c r="AT301" i="1"/>
  <c r="AT95" i="1"/>
  <c r="AT312" i="1" s="1"/>
  <c r="BA301" i="1"/>
  <c r="BA95" i="1"/>
  <c r="BA312" i="1" s="1"/>
  <c r="BA97" i="1"/>
  <c r="BA101" i="1"/>
  <c r="AW101" i="1"/>
  <c r="AW301" i="1"/>
  <c r="AW95" i="1"/>
  <c r="AW312" i="1" s="1"/>
  <c r="BA96" i="1"/>
  <c r="BL97" i="1" l="1"/>
  <c r="BK101" i="1"/>
  <c r="BK95" i="1"/>
  <c r="BK312" i="1" s="1"/>
  <c r="AY301" i="1"/>
  <c r="AY95" i="1"/>
  <c r="AY312" i="1" s="1"/>
  <c r="AT96" i="1"/>
  <c r="AP301" i="1"/>
  <c r="AP101" i="1"/>
  <c r="AP95" i="1"/>
  <c r="AP312" i="1" s="1"/>
  <c r="AZ97" i="1"/>
  <c r="AY101" i="1"/>
  <c r="BU95" i="1"/>
  <c r="BU312" i="1" s="1"/>
  <c r="BU301" i="1"/>
  <c r="BU101" i="1"/>
  <c r="BK97" i="1"/>
  <c r="BK301" i="1"/>
  <c r="AS101" i="1"/>
  <c r="AS95" i="1"/>
  <c r="AS312" i="1" s="1"/>
  <c r="BV97" i="1"/>
  <c r="BU96" i="1"/>
  <c r="AS301" i="1"/>
  <c r="AT97" i="1"/>
  <c r="AW96" i="1"/>
  <c r="BP101" i="1"/>
  <c r="BP96" i="1"/>
  <c r="BP301" i="1"/>
  <c r="BP95" i="1"/>
  <c r="BP312" i="1" s="1"/>
  <c r="BI94" i="1"/>
  <c r="BI97" i="1" s="1"/>
  <c r="BI93" i="1"/>
  <c r="BM101" i="1"/>
  <c r="BM97" i="1"/>
  <c r="BM301" i="1"/>
  <c r="BM294" i="1"/>
  <c r="BQ96" i="1"/>
  <c r="BM95" i="1"/>
  <c r="BM312" i="1" s="1"/>
  <c r="BE95" i="1"/>
  <c r="BE312" i="1" s="1"/>
  <c r="BE101" i="1"/>
  <c r="BE301" i="1"/>
  <c r="BF97" i="1"/>
  <c r="BF105" i="1"/>
  <c r="BF260" i="1"/>
  <c r="BF262" i="1" s="1"/>
  <c r="BF119" i="1"/>
  <c r="BC94" i="1"/>
  <c r="BC93" i="1"/>
  <c r="BS96" i="1"/>
  <c r="BE96" i="1"/>
  <c r="BD101" i="1"/>
  <c r="BD301" i="1"/>
  <c r="BD95" i="1"/>
  <c r="BD312" i="1" s="1"/>
  <c r="BD96" i="1"/>
  <c r="BE97" i="1"/>
  <c r="BO301" i="1"/>
  <c r="BO95" i="1"/>
  <c r="BO312" i="1" s="1"/>
  <c r="BO101" i="1"/>
  <c r="BP97" i="1"/>
  <c r="BO96" i="1"/>
  <c r="AI94" i="1"/>
  <c r="AI93" i="1"/>
  <c r="AU95" i="1"/>
  <c r="AU312" i="1" s="1"/>
  <c r="AU301" i="1"/>
  <c r="AY96" i="1"/>
  <c r="AU101" i="1"/>
  <c r="AU294" i="1"/>
  <c r="AU97" i="1"/>
  <c r="AP97" i="1"/>
  <c r="AO101" i="1"/>
  <c r="AZ119" i="1"/>
  <c r="AZ105" i="1"/>
  <c r="AZ260" i="1"/>
  <c r="AZ262" i="1" s="1"/>
  <c r="BR94" i="1"/>
  <c r="BR93" i="1"/>
  <c r="AO96" i="1"/>
  <c r="BH96" i="1"/>
  <c r="AO301" i="1"/>
  <c r="AS96" i="1"/>
  <c r="AO95" i="1"/>
  <c r="AO312" i="1" s="1"/>
  <c r="BW94" i="1"/>
  <c r="BW96" i="1" s="1"/>
  <c r="BW93" i="1"/>
  <c r="BN94" i="1"/>
  <c r="BN93" i="1"/>
  <c r="AQ94" i="1"/>
  <c r="AQ93" i="1"/>
  <c r="AR105" i="1"/>
  <c r="AR260" i="1"/>
  <c r="AR262" i="1" s="1"/>
  <c r="AR119" i="1"/>
  <c r="BT94" i="1"/>
  <c r="BT93" i="1"/>
  <c r="AV93" i="1"/>
  <c r="AV94" i="1"/>
  <c r="AN94" i="1"/>
  <c r="AN93" i="1"/>
  <c r="BH101" i="1"/>
  <c r="BL96" i="1"/>
  <c r="BH301" i="1"/>
  <c r="BH95" i="1"/>
  <c r="BH312" i="1" s="1"/>
  <c r="AX94" i="1"/>
  <c r="AX93" i="1"/>
  <c r="BV260" i="1"/>
  <c r="BV262" i="1" s="1"/>
  <c r="BV119" i="1"/>
  <c r="BV105" i="1"/>
  <c r="BG93" i="1"/>
  <c r="BG94" i="1"/>
  <c r="BB94" i="1"/>
  <c r="BB93" i="1"/>
  <c r="BS301" i="1"/>
  <c r="BS95" i="1"/>
  <c r="BS312" i="1" s="1"/>
  <c r="BS101" i="1"/>
  <c r="BQ260" i="1"/>
  <c r="BQ262" i="1" s="1"/>
  <c r="BQ172" i="1"/>
  <c r="BQ173" i="1" s="1"/>
  <c r="BQ119" i="1"/>
  <c r="BQ105" i="1"/>
  <c r="AT119" i="1"/>
  <c r="AT260" i="1"/>
  <c r="AT262" i="1" s="1"/>
  <c r="AT105" i="1"/>
  <c r="AW260" i="1"/>
  <c r="AW262" i="1" s="1"/>
  <c r="AW119" i="1"/>
  <c r="AW172" i="1"/>
  <c r="AW173" i="1" s="1"/>
  <c r="AW105" i="1"/>
  <c r="BA105" i="1"/>
  <c r="BA260" i="1"/>
  <c r="BA262" i="1" s="1"/>
  <c r="BA119" i="1"/>
  <c r="BA172" i="1"/>
  <c r="BA173" i="1" s="1"/>
  <c r="AC178" i="1"/>
  <c r="AC181" i="1" s="1"/>
  <c r="AC316" i="1" s="1"/>
  <c r="BK105" i="1" l="1"/>
  <c r="BK260" i="1"/>
  <c r="BK262" i="1" s="1"/>
  <c r="BK172" i="1"/>
  <c r="BK173" i="1" s="1"/>
  <c r="BK119" i="1"/>
  <c r="AP260" i="1"/>
  <c r="AP262" i="1" s="1"/>
  <c r="AP119" i="1"/>
  <c r="AP105" i="1"/>
  <c r="BU172" i="1"/>
  <c r="BU173" i="1" s="1"/>
  <c r="BU105" i="1"/>
  <c r="BU260" i="1"/>
  <c r="BU262" i="1" s="1"/>
  <c r="BU119" i="1"/>
  <c r="BS97" i="1"/>
  <c r="BS294" i="1"/>
  <c r="AY260" i="1"/>
  <c r="AY262" i="1" s="1"/>
  <c r="AY119" i="1"/>
  <c r="AY172" i="1"/>
  <c r="AY173" i="1" s="1"/>
  <c r="AY105" i="1"/>
  <c r="AS105" i="1"/>
  <c r="AS172" i="1"/>
  <c r="AS173" i="1" s="1"/>
  <c r="AS260" i="1"/>
  <c r="AS262" i="1" s="1"/>
  <c r="AS119" i="1"/>
  <c r="BI96" i="1"/>
  <c r="BK294" i="1"/>
  <c r="BM119" i="1"/>
  <c r="BM105" i="1"/>
  <c r="BP105" i="1"/>
  <c r="BP260" i="1"/>
  <c r="BP262" i="1" s="1"/>
  <c r="BP119" i="1"/>
  <c r="BM96" i="1"/>
  <c r="BL294" i="1"/>
  <c r="BI101" i="1"/>
  <c r="BI301" i="1"/>
  <c r="BJ97" i="1"/>
  <c r="BI95" i="1"/>
  <c r="BI312" i="1" s="1"/>
  <c r="BM172" i="1"/>
  <c r="BM173" i="1" s="1"/>
  <c r="BM260" i="1"/>
  <c r="BM262" i="1" s="1"/>
  <c r="BE119" i="1"/>
  <c r="BE260" i="1"/>
  <c r="BE262" i="1" s="1"/>
  <c r="BE105" i="1"/>
  <c r="BE172" i="1"/>
  <c r="BE173" i="1" s="1"/>
  <c r="BF294" i="1"/>
  <c r="BD97" i="1"/>
  <c r="BC96" i="1"/>
  <c r="BC101" i="1"/>
  <c r="BC301" i="1"/>
  <c r="BC95" i="1"/>
  <c r="BC312" i="1" s="1"/>
  <c r="BD105" i="1"/>
  <c r="BD260" i="1"/>
  <c r="BD262" i="1" s="1"/>
  <c r="BD119" i="1"/>
  <c r="BO105" i="1"/>
  <c r="BO119" i="1"/>
  <c r="BO260" i="1"/>
  <c r="BO262" i="1" s="1"/>
  <c r="BO172" i="1"/>
  <c r="BO173" i="1" s="1"/>
  <c r="AI95" i="1"/>
  <c r="AI301" i="1"/>
  <c r="AJ97" i="1"/>
  <c r="AM96" i="1"/>
  <c r="AI101" i="1"/>
  <c r="AL294" i="1"/>
  <c r="AU105" i="1"/>
  <c r="AU119" i="1"/>
  <c r="AU260" i="1"/>
  <c r="AU262" i="1" s="1"/>
  <c r="AU172" i="1"/>
  <c r="AU173" i="1" s="1"/>
  <c r="AO260" i="1"/>
  <c r="AO262" i="1" s="1"/>
  <c r="AO119" i="1"/>
  <c r="AO172" i="1"/>
  <c r="AO173" i="1" s="1"/>
  <c r="AO105" i="1"/>
  <c r="BR95" i="1"/>
  <c r="BR312" i="1" s="1"/>
  <c r="BR301" i="1"/>
  <c r="BR101" i="1"/>
  <c r="BR274" i="1" s="1"/>
  <c r="BR272" i="1" s="1"/>
  <c r="BV96" i="1"/>
  <c r="BR97" i="1"/>
  <c r="BR294" i="1"/>
  <c r="AN95" i="1"/>
  <c r="AN312" i="1" s="1"/>
  <c r="AQ294" i="1"/>
  <c r="AO97" i="1"/>
  <c r="AN294" i="1"/>
  <c r="AN96" i="1"/>
  <c r="AP294" i="1"/>
  <c r="AR96" i="1"/>
  <c r="AO294" i="1"/>
  <c r="AN101" i="1"/>
  <c r="AN97" i="1"/>
  <c r="AN301" i="1"/>
  <c r="BX96" i="1"/>
  <c r="BT95" i="1"/>
  <c r="BT312" i="1" s="1"/>
  <c r="BT301" i="1"/>
  <c r="BT101" i="1"/>
  <c r="BU97" i="1"/>
  <c r="BT96" i="1"/>
  <c r="BW294" i="1"/>
  <c r="BV294" i="1"/>
  <c r="AZ96" i="1"/>
  <c r="AV95" i="1"/>
  <c r="AV312" i="1" s="1"/>
  <c r="AV301" i="1"/>
  <c r="AV101" i="1"/>
  <c r="AY294" i="1"/>
  <c r="AW294" i="1"/>
  <c r="AW97" i="1"/>
  <c r="AV96" i="1"/>
  <c r="AV97" i="1"/>
  <c r="AX294" i="1"/>
  <c r="AV294" i="1"/>
  <c r="AR97" i="1"/>
  <c r="AQ96" i="1"/>
  <c r="AQ301" i="1"/>
  <c r="AQ101" i="1"/>
  <c r="AQ95" i="1"/>
  <c r="AQ312" i="1" s="1"/>
  <c r="AQ97" i="1"/>
  <c r="AU96" i="1"/>
  <c r="AT294" i="1"/>
  <c r="AS294" i="1"/>
  <c r="AR294" i="1"/>
  <c r="BN301" i="1"/>
  <c r="BR96" i="1"/>
  <c r="BN101" i="1"/>
  <c r="BQ107" i="1" s="1"/>
  <c r="BN96" i="1"/>
  <c r="BN95" i="1"/>
  <c r="BN312" i="1" s="1"/>
  <c r="BO97" i="1"/>
  <c r="BN294" i="1"/>
  <c r="BQ294" i="1"/>
  <c r="BN97" i="1"/>
  <c r="BO294" i="1"/>
  <c r="BP294" i="1"/>
  <c r="BB95" i="1"/>
  <c r="BB312" i="1" s="1"/>
  <c r="BF96" i="1"/>
  <c r="BB301" i="1"/>
  <c r="BB101" i="1"/>
  <c r="BB274" i="1" s="1"/>
  <c r="BB272" i="1" s="1"/>
  <c r="BC97" i="1"/>
  <c r="BD294" i="1"/>
  <c r="BB294" i="1"/>
  <c r="BB97" i="1"/>
  <c r="BC294" i="1"/>
  <c r="BE294" i="1"/>
  <c r="BB96" i="1"/>
  <c r="AX101" i="1"/>
  <c r="AX301" i="1"/>
  <c r="AX95" i="1"/>
  <c r="AX312" i="1" s="1"/>
  <c r="AZ294" i="1"/>
  <c r="AX97" i="1"/>
  <c r="AY97" i="1"/>
  <c r="AX96" i="1"/>
  <c r="BA294" i="1"/>
  <c r="BH105" i="1"/>
  <c r="BH119" i="1"/>
  <c r="BH260" i="1"/>
  <c r="BH262" i="1" s="1"/>
  <c r="BT294" i="1"/>
  <c r="BT97" i="1"/>
  <c r="BK96" i="1"/>
  <c r="BG101" i="1"/>
  <c r="BH294" i="1"/>
  <c r="BG96" i="1"/>
  <c r="BG95" i="1"/>
  <c r="BG312" i="1" s="1"/>
  <c r="BH97" i="1"/>
  <c r="BG294" i="1"/>
  <c r="BG301" i="1"/>
  <c r="BJ294" i="1"/>
  <c r="BG97" i="1"/>
  <c r="BI294" i="1"/>
  <c r="BX294" i="1"/>
  <c r="BW301" i="1"/>
  <c r="BW97" i="1"/>
  <c r="BX97" i="1"/>
  <c r="BW101" i="1"/>
  <c r="X114" i="1"/>
  <c r="BY294" i="1"/>
  <c r="CA96" i="1"/>
  <c r="BW95" i="1"/>
  <c r="BW312" i="1" s="1"/>
  <c r="BZ294" i="1"/>
  <c r="BS260" i="1"/>
  <c r="BS262" i="1" s="1"/>
  <c r="BS105" i="1"/>
  <c r="BS172" i="1"/>
  <c r="BS173" i="1" s="1"/>
  <c r="BS119" i="1"/>
  <c r="BQ274" i="1"/>
  <c r="BQ272" i="1" s="1"/>
  <c r="BQ182" i="1"/>
  <c r="BQ108" i="1" s="1"/>
  <c r="BQ145" i="1"/>
  <c r="AW182" i="1"/>
  <c r="AW108" i="1" s="1"/>
  <c r="AW274" i="1"/>
  <c r="AW272" i="1" s="1"/>
  <c r="AW145" i="1"/>
  <c r="BA274" i="1"/>
  <c r="BA272" i="1" s="1"/>
  <c r="BA145" i="1"/>
  <c r="BA182" i="1"/>
  <c r="BA108" i="1" s="1"/>
  <c r="AC273" i="1"/>
  <c r="CA293" i="1"/>
  <c r="CB293" i="1"/>
  <c r="BU293" i="1"/>
  <c r="BK107" i="1" l="1"/>
  <c r="BM122" i="1"/>
  <c r="BI142" i="1" s="1"/>
  <c r="BK145" i="1"/>
  <c r="BL274" i="1"/>
  <c r="BL272" i="1" s="1"/>
  <c r="BK274" i="1"/>
  <c r="BK272" i="1" s="1"/>
  <c r="BK182" i="1"/>
  <c r="BK108" i="1" s="1"/>
  <c r="BV274" i="1"/>
  <c r="BV272" i="1" s="1"/>
  <c r="BU274" i="1"/>
  <c r="BU272" i="1" s="1"/>
  <c r="BU145" i="1"/>
  <c r="BU182" i="1"/>
  <c r="BU108" i="1" s="1"/>
  <c r="AU122" i="1"/>
  <c r="AY145" i="1"/>
  <c r="AY274" i="1"/>
  <c r="AY272" i="1" s="1"/>
  <c r="AY182" i="1"/>
  <c r="AY108" i="1" s="1"/>
  <c r="AZ274" i="1"/>
  <c r="AZ272" i="1" s="1"/>
  <c r="AS274" i="1"/>
  <c r="AS272" i="1" s="1"/>
  <c r="AS145" i="1"/>
  <c r="AS182" i="1"/>
  <c r="AS108" i="1" s="1"/>
  <c r="AT274" i="1"/>
  <c r="AT272" i="1" s="1"/>
  <c r="AO107" i="1"/>
  <c r="BL107" i="1"/>
  <c r="BI105" i="1"/>
  <c r="BI260" i="1"/>
  <c r="BI262" i="1" s="1"/>
  <c r="BI119" i="1"/>
  <c r="BI172" i="1"/>
  <c r="BI173" i="1" s="1"/>
  <c r="BM107" i="1"/>
  <c r="BM274" i="1"/>
  <c r="BM272" i="1" s="1"/>
  <c r="BM182" i="1"/>
  <c r="BM108" i="1" s="1"/>
  <c r="BM145" i="1"/>
  <c r="AX274" i="1"/>
  <c r="AX272" i="1" s="1"/>
  <c r="BA107" i="1"/>
  <c r="BF274" i="1"/>
  <c r="BF272" i="1" s="1"/>
  <c r="BE145" i="1"/>
  <c r="BE182" i="1"/>
  <c r="BE108" i="1" s="1"/>
  <c r="BE274" i="1"/>
  <c r="BE272" i="1" s="1"/>
  <c r="S114" i="1"/>
  <c r="BF107" i="1"/>
  <c r="BC119" i="1"/>
  <c r="BF122" i="1" s="1"/>
  <c r="BC172" i="1"/>
  <c r="BC173" i="1" s="1"/>
  <c r="BC260" i="1"/>
  <c r="BC262" i="1" s="1"/>
  <c r="BC105" i="1"/>
  <c r="BO274" i="1"/>
  <c r="BO272" i="1" s="1"/>
  <c r="BO182" i="1"/>
  <c r="BO108" i="1" s="1"/>
  <c r="BP274" i="1"/>
  <c r="BP272" i="1" s="1"/>
  <c r="BO145" i="1"/>
  <c r="AI119" i="1"/>
  <c r="AL122" i="1" s="1"/>
  <c r="AI105" i="1"/>
  <c r="AL107" i="1"/>
  <c r="N114" i="1"/>
  <c r="AI274" i="1"/>
  <c r="AI272" i="1" s="1"/>
  <c r="AI260" i="1"/>
  <c r="AI262" i="1" s="1"/>
  <c r="AI266" i="1" s="1"/>
  <c r="AI280" i="1" s="1"/>
  <c r="AU145" i="1"/>
  <c r="AU274" i="1"/>
  <c r="AU272" i="1" s="1"/>
  <c r="AU182" i="1"/>
  <c r="AU108" i="1" s="1"/>
  <c r="AU107" i="1"/>
  <c r="AP274" i="1"/>
  <c r="AP272" i="1" s="1"/>
  <c r="AO145" i="1"/>
  <c r="AO182" i="1"/>
  <c r="AO108" i="1" s="1"/>
  <c r="AO274" i="1"/>
  <c r="AO272" i="1" s="1"/>
  <c r="AV274" i="1"/>
  <c r="AV272" i="1" s="1"/>
  <c r="AY107" i="1"/>
  <c r="BT107" i="1"/>
  <c r="BR105" i="1"/>
  <c r="BR260" i="1"/>
  <c r="BR262" i="1" s="1"/>
  <c r="BR119" i="1"/>
  <c r="BR107" i="1"/>
  <c r="V114" i="1"/>
  <c r="AW107" i="1"/>
  <c r="BV107" i="1"/>
  <c r="BO107" i="1"/>
  <c r="BN274" i="1"/>
  <c r="BN272" i="1" s="1"/>
  <c r="BU107" i="1"/>
  <c r="BX107" i="1"/>
  <c r="BW172" i="1"/>
  <c r="BW173" i="1" s="1"/>
  <c r="BY107" i="1"/>
  <c r="BW260" i="1"/>
  <c r="BW262" i="1" s="1"/>
  <c r="BW105" i="1"/>
  <c r="BZ107" i="1"/>
  <c r="BW119" i="1"/>
  <c r="BN105" i="1"/>
  <c r="BN119" i="1"/>
  <c r="BN260" i="1"/>
  <c r="BN262" i="1" s="1"/>
  <c r="BN107" i="1"/>
  <c r="U114" i="1"/>
  <c r="BP107" i="1"/>
  <c r="AV260" i="1"/>
  <c r="AV262" i="1" s="1"/>
  <c r="AV105" i="1"/>
  <c r="AV119" i="1"/>
  <c r="AV107" i="1"/>
  <c r="Q114" i="1"/>
  <c r="AX107" i="1"/>
  <c r="BT260" i="1"/>
  <c r="BT262" i="1" s="1"/>
  <c r="BT105" i="1"/>
  <c r="BT119" i="1"/>
  <c r="BV122" i="1" s="1"/>
  <c r="BR142" i="1" s="1"/>
  <c r="AX105" i="1"/>
  <c r="AX119" i="1"/>
  <c r="AX260" i="1"/>
  <c r="AX262" i="1" s="1"/>
  <c r="AZ107" i="1"/>
  <c r="BB119" i="1"/>
  <c r="BB105" i="1"/>
  <c r="BB260" i="1"/>
  <c r="BB262" i="1" s="1"/>
  <c r="BB107" i="1"/>
  <c r="R114" i="1"/>
  <c r="BD107" i="1"/>
  <c r="BE107" i="1"/>
  <c r="AQ172" i="1"/>
  <c r="AQ173" i="1" s="1"/>
  <c r="AQ260" i="1"/>
  <c r="AQ262" i="1" s="1"/>
  <c r="AQ105" i="1"/>
  <c r="AQ119" i="1"/>
  <c r="AS107" i="1"/>
  <c r="AR107" i="1"/>
  <c r="AT107" i="1"/>
  <c r="P114" i="1"/>
  <c r="BG105" i="1"/>
  <c r="BG119" i="1"/>
  <c r="BG172" i="1"/>
  <c r="BG173" i="1" s="1"/>
  <c r="BJ107" i="1"/>
  <c r="BH107" i="1"/>
  <c r="BG260" i="1"/>
  <c r="BG262" i="1" s="1"/>
  <c r="T114" i="1"/>
  <c r="AN105" i="1"/>
  <c r="AP107" i="1"/>
  <c r="AN119" i="1"/>
  <c r="AN260" i="1"/>
  <c r="AN262" i="1" s="1"/>
  <c r="AN107" i="1"/>
  <c r="O114" i="1"/>
  <c r="AN274" i="1"/>
  <c r="AN272" i="1" s="1"/>
  <c r="BT274" i="1"/>
  <c r="BT272" i="1" s="1"/>
  <c r="BS145" i="1"/>
  <c r="BS182" i="1"/>
  <c r="BS108" i="1" s="1"/>
  <c r="BS274" i="1"/>
  <c r="BS272" i="1" s="1"/>
  <c r="BS107" i="1"/>
  <c r="BQ147" i="1"/>
  <c r="BQ148" i="1"/>
  <c r="BQ149" i="1"/>
  <c r="BA148" i="1"/>
  <c r="BA147" i="1"/>
  <c r="BA149" i="1"/>
  <c r="AW148" i="1"/>
  <c r="AW147" i="1"/>
  <c r="AW149" i="1"/>
  <c r="AD177" i="1"/>
  <c r="W112" i="1"/>
  <c r="BM138" i="1" l="1"/>
  <c r="BM140" i="1"/>
  <c r="BM139" i="1"/>
  <c r="BK149" i="1"/>
  <c r="BK147" i="1"/>
  <c r="BK148" i="1"/>
  <c r="BU147" i="1"/>
  <c r="BU149" i="1"/>
  <c r="BU148" i="1"/>
  <c r="AU140" i="1"/>
  <c r="AU139" i="1"/>
  <c r="AQ142" i="1"/>
  <c r="AU138" i="1"/>
  <c r="AY147" i="1"/>
  <c r="AY148" i="1"/>
  <c r="AY149" i="1"/>
  <c r="BL122" i="1"/>
  <c r="BK122" i="1"/>
  <c r="BR122" i="1"/>
  <c r="BR139" i="1" s="1"/>
  <c r="BT122" i="1"/>
  <c r="BS122" i="1"/>
  <c r="AS148" i="1"/>
  <c r="AS149" i="1"/>
  <c r="AS147" i="1"/>
  <c r="BI145" i="1"/>
  <c r="BI182" i="1"/>
  <c r="BI108" i="1" s="1"/>
  <c r="BI274" i="1"/>
  <c r="BI272" i="1" s="1"/>
  <c r="BI107" i="1"/>
  <c r="BJ274" i="1"/>
  <c r="BJ272" i="1" s="1"/>
  <c r="AI277" i="1"/>
  <c r="AI278" i="1" s="1"/>
  <c r="BM148" i="1"/>
  <c r="BM149" i="1"/>
  <c r="BM147" i="1"/>
  <c r="BU122" i="1"/>
  <c r="BU138" i="1" s="1"/>
  <c r="BE147" i="1"/>
  <c r="BE149" i="1"/>
  <c r="BE148" i="1"/>
  <c r="BC274" i="1"/>
  <c r="BC272" i="1" s="1"/>
  <c r="BC182" i="1"/>
  <c r="BC108" i="1" s="1"/>
  <c r="BC145" i="1"/>
  <c r="BC107" i="1"/>
  <c r="BD274" i="1"/>
  <c r="BD272" i="1" s="1"/>
  <c r="BB142" i="1"/>
  <c r="BF138" i="1"/>
  <c r="BF140" i="1"/>
  <c r="BF139" i="1"/>
  <c r="BO147" i="1"/>
  <c r="BO148" i="1"/>
  <c r="BO149" i="1"/>
  <c r="AL138" i="1"/>
  <c r="AL139" i="1"/>
  <c r="AL140" i="1"/>
  <c r="AU148" i="1"/>
  <c r="AU149" i="1"/>
  <c r="AU147" i="1"/>
  <c r="AO149" i="1"/>
  <c r="AO147" i="1"/>
  <c r="AO148" i="1"/>
  <c r="BA122" i="1"/>
  <c r="AZ122" i="1"/>
  <c r="AY122" i="1"/>
  <c r="AY139" i="1" s="1"/>
  <c r="AX122" i="1"/>
  <c r="AV122" i="1"/>
  <c r="AW122" i="1"/>
  <c r="AT122" i="1"/>
  <c r="AR122" i="1"/>
  <c r="AS122" i="1"/>
  <c r="BQ122" i="1"/>
  <c r="BO122" i="1"/>
  <c r="BN122" i="1"/>
  <c r="BP122" i="1"/>
  <c r="AQ122" i="1"/>
  <c r="AN122" i="1"/>
  <c r="AP122" i="1"/>
  <c r="AO122" i="1"/>
  <c r="BJ122" i="1"/>
  <c r="BF142" i="1" s="1"/>
  <c r="BG122" i="1"/>
  <c r="BH122" i="1"/>
  <c r="BI122" i="1"/>
  <c r="BE122" i="1"/>
  <c r="BE139" i="1" s="1"/>
  <c r="BD122" i="1"/>
  <c r="BB122" i="1"/>
  <c r="BC122" i="1"/>
  <c r="BZ122" i="1"/>
  <c r="BX122" i="1"/>
  <c r="BY122" i="1"/>
  <c r="BW122" i="1"/>
  <c r="BG274" i="1"/>
  <c r="BG272" i="1" s="1"/>
  <c r="BG182" i="1"/>
  <c r="BG108" i="1" s="1"/>
  <c r="BG145" i="1"/>
  <c r="BG107" i="1"/>
  <c r="BH274" i="1"/>
  <c r="BH272" i="1" s="1"/>
  <c r="AQ182" i="1"/>
  <c r="AQ108" i="1" s="1"/>
  <c r="AQ274" i="1"/>
  <c r="AQ272" i="1" s="1"/>
  <c r="AQ145" i="1"/>
  <c r="AR274" i="1"/>
  <c r="AR272" i="1" s="1"/>
  <c r="AQ107" i="1"/>
  <c r="BW274" i="1"/>
  <c r="BW272" i="1" s="1"/>
  <c r="BX274" i="1"/>
  <c r="BX272" i="1" s="1"/>
  <c r="BW182" i="1"/>
  <c r="BW108" i="1" s="1"/>
  <c r="BW107" i="1"/>
  <c r="BW145" i="1"/>
  <c r="BV140" i="1"/>
  <c r="BV139" i="1"/>
  <c r="BV138" i="1"/>
  <c r="BS147" i="1"/>
  <c r="BS148" i="1"/>
  <c r="BS149" i="1"/>
  <c r="W113" i="1"/>
  <c r="BL138" i="1" l="1"/>
  <c r="BL139" i="1"/>
  <c r="BN142" i="1"/>
  <c r="BR138" i="1"/>
  <c r="BR140" i="1"/>
  <c r="BV123" i="1"/>
  <c r="BP142" i="1"/>
  <c r="BT140" i="1"/>
  <c r="BT138" i="1"/>
  <c r="BT139" i="1"/>
  <c r="BS140" i="1"/>
  <c r="BO142" i="1"/>
  <c r="BS139" i="1"/>
  <c r="BS138" i="1"/>
  <c r="BH142" i="1"/>
  <c r="BL140" i="1"/>
  <c r="BK138" i="1"/>
  <c r="BK139" i="1"/>
  <c r="BK140" i="1"/>
  <c r="BG142" i="1"/>
  <c r="BT123" i="1"/>
  <c r="BV142" i="1"/>
  <c r="BZ123" i="1"/>
  <c r="BY123" i="1"/>
  <c r="BI148" i="1"/>
  <c r="BI149" i="1"/>
  <c r="BI147" i="1"/>
  <c r="BQ142" i="1"/>
  <c r="BU140" i="1"/>
  <c r="BU139" i="1"/>
  <c r="BW138" i="1"/>
  <c r="BW123" i="1"/>
  <c r="BC148" i="1"/>
  <c r="BC147" i="1"/>
  <c r="BC149" i="1"/>
  <c r="AW142" i="1"/>
  <c r="BE123" i="1"/>
  <c r="BQ139" i="1"/>
  <c r="BM142" i="1"/>
  <c r="AQ139" i="1"/>
  <c r="AQ138" i="1"/>
  <c r="BU123" i="1"/>
  <c r="BA140" i="1"/>
  <c r="AX123" i="1"/>
  <c r="CD123" i="1"/>
  <c r="BZ140" i="1"/>
  <c r="BX139" i="1"/>
  <c r="BT142" i="1"/>
  <c r="BX140" i="1"/>
  <c r="CB123" i="1"/>
  <c r="BX138" i="1"/>
  <c r="AN140" i="1"/>
  <c r="AR123" i="1"/>
  <c r="AN139" i="1"/>
  <c r="AN138" i="1"/>
  <c r="BO138" i="1"/>
  <c r="BK142" i="1"/>
  <c r="BO139" i="1"/>
  <c r="BO123" i="1"/>
  <c r="BO140" i="1"/>
  <c r="AP142" i="1"/>
  <c r="CA123" i="1"/>
  <c r="BS142" i="1"/>
  <c r="BW140" i="1"/>
  <c r="BE140" i="1"/>
  <c r="BI123" i="1"/>
  <c r="BE138" i="1"/>
  <c r="BJ139" i="1"/>
  <c r="BJ123" i="1"/>
  <c r="BJ138" i="1"/>
  <c r="AU123" i="1"/>
  <c r="AQ123" i="1"/>
  <c r="AQ140" i="1"/>
  <c r="BQ138" i="1"/>
  <c r="BQ123" i="1"/>
  <c r="BQ140" i="1"/>
  <c r="AW138" i="1"/>
  <c r="AW139" i="1"/>
  <c r="AS142" i="1"/>
  <c r="BA123" i="1"/>
  <c r="AW140" i="1"/>
  <c r="AV142" i="1"/>
  <c r="AZ140" i="1"/>
  <c r="AZ139" i="1"/>
  <c r="BD123" i="1"/>
  <c r="AZ138" i="1"/>
  <c r="AZ142" i="1"/>
  <c r="BD138" i="1"/>
  <c r="BH123" i="1"/>
  <c r="BD140" i="1"/>
  <c r="BD139" i="1"/>
  <c r="AY140" i="1"/>
  <c r="AU142" i="1"/>
  <c r="BC123" i="1"/>
  <c r="AY123" i="1"/>
  <c r="AT139" i="1"/>
  <c r="BJ140" i="1"/>
  <c r="BW139" i="1"/>
  <c r="AM142" i="1"/>
  <c r="BS123" i="1"/>
  <c r="BC140" i="1"/>
  <c r="AY142" i="1"/>
  <c r="BG123" i="1"/>
  <c r="BC139" i="1"/>
  <c r="BC138" i="1"/>
  <c r="BM123" i="1"/>
  <c r="BI140" i="1"/>
  <c r="BI138" i="1"/>
  <c r="BI139" i="1"/>
  <c r="BE142" i="1"/>
  <c r="AO140" i="1"/>
  <c r="AO138" i="1"/>
  <c r="AS123" i="1"/>
  <c r="AO139" i="1"/>
  <c r="BP123" i="1"/>
  <c r="BL142" i="1"/>
  <c r="BP139" i="1"/>
  <c r="BP140" i="1"/>
  <c r="BP138" i="1"/>
  <c r="AS139" i="1"/>
  <c r="AO142" i="1"/>
  <c r="AS140" i="1"/>
  <c r="AS138" i="1"/>
  <c r="AW123" i="1"/>
  <c r="AV139" i="1"/>
  <c r="AV138" i="1"/>
  <c r="AZ123" i="1"/>
  <c r="AV140" i="1"/>
  <c r="AR142" i="1"/>
  <c r="BA138" i="1"/>
  <c r="BA139" i="1"/>
  <c r="BC142" i="1"/>
  <c r="BG138" i="1"/>
  <c r="BG139" i="1"/>
  <c r="BG140" i="1"/>
  <c r="BK123" i="1"/>
  <c r="AT140" i="1"/>
  <c r="AT138" i="1"/>
  <c r="AY138" i="1"/>
  <c r="BZ139" i="1"/>
  <c r="CC143" i="1" s="1"/>
  <c r="BA142" i="1"/>
  <c r="BN123" i="1"/>
  <c r="BZ138" i="1"/>
  <c r="CC123" i="1"/>
  <c r="BY140" i="1"/>
  <c r="BU142" i="1"/>
  <c r="BY139" i="1"/>
  <c r="BY138" i="1"/>
  <c r="AX142" i="1"/>
  <c r="BF123" i="1"/>
  <c r="BB140" i="1"/>
  <c r="BB139" i="1"/>
  <c r="BB138" i="1"/>
  <c r="BH140" i="1"/>
  <c r="BH138" i="1"/>
  <c r="BD142" i="1"/>
  <c r="BL123" i="1"/>
  <c r="BH139" i="1"/>
  <c r="AT123" i="1"/>
  <c r="AP140" i="1"/>
  <c r="AP123" i="1"/>
  <c r="AL142" i="1"/>
  <c r="AP139" i="1"/>
  <c r="AP138" i="1"/>
  <c r="BR123" i="1"/>
  <c r="BJ142" i="1"/>
  <c r="BN140" i="1"/>
  <c r="BN138" i="1"/>
  <c r="BN139" i="1"/>
  <c r="AN142" i="1"/>
  <c r="AR140" i="1"/>
  <c r="AR139" i="1"/>
  <c r="AR138" i="1"/>
  <c r="AV123" i="1"/>
  <c r="AX139" i="1"/>
  <c r="BB123" i="1"/>
  <c r="AX138" i="1"/>
  <c r="AT142" i="1"/>
  <c r="AX140" i="1"/>
  <c r="BX123" i="1"/>
  <c r="BW147" i="1"/>
  <c r="BW149" i="1"/>
  <c r="BW148" i="1"/>
  <c r="BG147" i="1"/>
  <c r="BG149" i="1"/>
  <c r="BG148" i="1"/>
  <c r="AQ148" i="1"/>
  <c r="AQ149" i="1"/>
  <c r="AQ147" i="1"/>
  <c r="AD178" i="1"/>
  <c r="AD181" i="1" s="1"/>
  <c r="AD316" i="1" s="1"/>
  <c r="AR162" i="1"/>
  <c r="W114" i="1"/>
  <c r="CB143" i="1" l="1"/>
  <c r="BT143" i="1"/>
  <c r="BH143" i="1"/>
  <c r="BM143" i="1"/>
  <c r="BG143" i="1"/>
  <c r="BN143" i="1"/>
  <c r="BB143" i="1"/>
  <c r="BI143" i="1"/>
  <c r="AW143" i="1"/>
  <c r="BL143" i="1"/>
  <c r="BY143" i="1"/>
  <c r="AZ143" i="1"/>
  <c r="AR143" i="1"/>
  <c r="AV143" i="1"/>
  <c r="BJ143" i="1"/>
  <c r="BE143" i="1"/>
  <c r="AS143" i="1"/>
  <c r="AU143" i="1"/>
  <c r="BA143" i="1"/>
  <c r="AT143" i="1"/>
  <c r="AQ143" i="1"/>
  <c r="AP143" i="1"/>
  <c r="AO143" i="1"/>
  <c r="BP143" i="1"/>
  <c r="BO143" i="1"/>
  <c r="AY143" i="1"/>
  <c r="AX143" i="1"/>
  <c r="CA143" i="1"/>
  <c r="BR143" i="1"/>
  <c r="BC143" i="1"/>
  <c r="BZ143" i="1"/>
  <c r="BF143" i="1"/>
  <c r="BS143" i="1"/>
  <c r="BD143" i="1"/>
  <c r="BK143" i="1"/>
  <c r="BQ143" i="1"/>
  <c r="BX143" i="1"/>
  <c r="BW143" i="1"/>
  <c r="BV143" i="1"/>
  <c r="BU143" i="1"/>
  <c r="AD273" i="1"/>
  <c r="AR163" i="1"/>
  <c r="AR166" i="1" s="1"/>
  <c r="AR164" i="1"/>
  <c r="AR167" i="1" s="1"/>
  <c r="CA294" i="1"/>
  <c r="CB294" i="1"/>
  <c r="W260" i="1"/>
  <c r="W262" i="1" s="1"/>
  <c r="BU294" i="1"/>
  <c r="AE177" i="1" l="1"/>
  <c r="CA142" i="1"/>
  <c r="CF142" i="1" l="1"/>
  <c r="AE178" i="1" l="1"/>
  <c r="AE181" i="1" s="1"/>
  <c r="AE316" i="1" s="1"/>
  <c r="AE273" i="1" l="1"/>
  <c r="W173" i="1"/>
  <c r="W107" i="1" l="1"/>
  <c r="X274" i="1"/>
  <c r="X272" i="1" s="1"/>
  <c r="W274" i="1"/>
  <c r="W272" i="1" s="1"/>
  <c r="W182" i="1"/>
  <c r="W108" i="1" s="1"/>
  <c r="W242" i="1"/>
  <c r="W247" i="1" l="1"/>
  <c r="W250" i="1" l="1"/>
  <c r="W222" i="1"/>
  <c r="X264" i="1" s="1"/>
  <c r="W252" i="1" l="1"/>
  <c r="W251" i="1" s="1"/>
  <c r="W264" i="1"/>
  <c r="X263" i="1"/>
  <c r="X265" i="1" s="1"/>
  <c r="X266" i="1" s="1"/>
  <c r="X280" i="1" s="1"/>
  <c r="W246" i="1"/>
  <c r="W249" i="1" l="1"/>
  <c r="W223" i="1"/>
  <c r="W263" i="1"/>
  <c r="W265" i="1" s="1"/>
  <c r="W266" i="1" s="1"/>
  <c r="W248" i="1" l="1"/>
  <c r="W253" i="1"/>
  <c r="W277" i="1"/>
  <c r="W280" i="1"/>
  <c r="W256" i="1" l="1"/>
  <c r="W257" i="1" s="1"/>
  <c r="X256" i="1"/>
  <c r="X257" i="1" s="1"/>
  <c r="X276" i="1" l="1"/>
  <c r="X277" i="1" s="1"/>
  <c r="X278" i="1" s="1"/>
  <c r="W313" i="1"/>
  <c r="W315" i="1"/>
  <c r="W311" i="1"/>
  <c r="W235" i="1"/>
  <c r="W162" i="1" s="1"/>
  <c r="W232" i="1"/>
  <c r="W278" i="1"/>
  <c r="W233" i="1" l="1"/>
  <c r="AK246" i="1" l="1"/>
  <c r="AK202" i="1" s="1"/>
  <c r="C111" i="2"/>
  <c r="C112" i="2"/>
  <c r="C113" i="2"/>
  <c r="B127" i="1" l="1"/>
  <c r="B126" i="1"/>
  <c r="AM202" i="1"/>
  <c r="AO202" i="1" l="1"/>
  <c r="AQ202" i="1" l="1"/>
  <c r="AS202" i="1" l="1"/>
  <c r="AU202" i="1" l="1"/>
  <c r="AW202" i="1" l="1"/>
  <c r="AY202" i="1" l="1"/>
  <c r="BA202" i="1" l="1"/>
  <c r="BC202" i="1" l="1"/>
  <c r="BE202" i="1" l="1"/>
  <c r="BG202" i="1" l="1"/>
  <c r="BI202" i="1" l="1"/>
  <c r="BK202" i="1" l="1"/>
  <c r="BM202" i="1" l="1"/>
  <c r="BO202" i="1" l="1"/>
  <c r="BQ202" i="1" l="1"/>
  <c r="BS202" i="1" l="1"/>
  <c r="BU202" i="1" l="1"/>
  <c r="BW202" i="1" l="1"/>
  <c r="BY202" i="1" l="1"/>
  <c r="AK203" i="1" l="1"/>
  <c r="AK211" i="1" s="1"/>
  <c r="AL263" i="1" l="1"/>
  <c r="AK263" i="1"/>
  <c r="AK249" i="1"/>
  <c r="AM203" i="1"/>
  <c r="AM211" i="1" s="1"/>
  <c r="AM249" i="1" l="1"/>
  <c r="AM248" i="1" s="1"/>
  <c r="AN263" i="1"/>
  <c r="AM263" i="1"/>
  <c r="AJ248" i="1"/>
  <c r="AK248" i="1"/>
  <c r="AO203" i="1" l="1"/>
  <c r="AO211" i="1" s="1"/>
  <c r="AP263" i="1" l="1"/>
  <c r="AO249" i="1"/>
  <c r="AO248" i="1" s="1"/>
  <c r="AO263" i="1"/>
  <c r="AQ203" i="1" l="1"/>
  <c r="AQ211" i="1" s="1"/>
  <c r="AQ249" i="1" l="1"/>
  <c r="AQ248" i="1" s="1"/>
  <c r="AR263" i="1"/>
  <c r="AQ263" i="1"/>
  <c r="AS203" i="1" l="1"/>
  <c r="AS211" i="1" s="1"/>
  <c r="AT263" i="1" l="1"/>
  <c r="AS249" i="1"/>
  <c r="AS248" i="1" s="1"/>
  <c r="AS263" i="1"/>
  <c r="AU203" i="1" l="1"/>
  <c r="AU211" i="1" s="1"/>
  <c r="AU249" i="1" l="1"/>
  <c r="AU248" i="1" s="1"/>
  <c r="AV263" i="1"/>
  <c r="AU263" i="1"/>
  <c r="AW203" i="1" l="1"/>
  <c r="AW211" i="1" s="1"/>
  <c r="AW249" i="1" l="1"/>
  <c r="AW248" i="1" s="1"/>
  <c r="AX263" i="1"/>
  <c r="AW263" i="1"/>
  <c r="AY203" i="1" l="1"/>
  <c r="AY211" i="1" s="1"/>
  <c r="AY249" i="1" l="1"/>
  <c r="AY248" i="1" s="1"/>
  <c r="AZ263" i="1"/>
  <c r="AY263" i="1"/>
  <c r="BA203" i="1" l="1"/>
  <c r="BA211" i="1" s="1"/>
  <c r="BB263" i="1" l="1"/>
  <c r="BA249" i="1"/>
  <c r="BA248" i="1" s="1"/>
  <c r="BA263" i="1"/>
  <c r="BC203" i="1" l="1"/>
  <c r="BC211" i="1" s="1"/>
  <c r="BD263" i="1" l="1"/>
  <c r="BC249" i="1"/>
  <c r="BC248" i="1" s="1"/>
  <c r="BC263" i="1"/>
  <c r="BE203" i="1" l="1"/>
  <c r="BE211" i="1" s="1"/>
  <c r="BF263" i="1" l="1"/>
  <c r="BE249" i="1"/>
  <c r="BE248" i="1" s="1"/>
  <c r="BE263" i="1"/>
  <c r="BG203" i="1" l="1"/>
  <c r="BG211" i="1" s="1"/>
  <c r="BG249" i="1" l="1"/>
  <c r="BG248" i="1" s="1"/>
  <c r="BH263" i="1"/>
  <c r="BG263" i="1"/>
  <c r="BI203" i="1" l="1"/>
  <c r="BI211" i="1" s="1"/>
  <c r="BJ263" i="1" l="1"/>
  <c r="BI249" i="1"/>
  <c r="BI248" i="1" s="1"/>
  <c r="BI263" i="1"/>
  <c r="BK203" i="1" l="1"/>
  <c r="BK211" i="1" s="1"/>
  <c r="BL263" i="1" l="1"/>
  <c r="BK249" i="1"/>
  <c r="BK248" i="1" s="1"/>
  <c r="BK263" i="1"/>
  <c r="BM203" i="1" l="1"/>
  <c r="BM211" i="1" s="1"/>
  <c r="BM249" i="1" l="1"/>
  <c r="BM248" i="1" s="1"/>
  <c r="BN263" i="1"/>
  <c r="BM263" i="1"/>
  <c r="BO203" i="1" l="1"/>
  <c r="BO211" i="1" s="1"/>
  <c r="BO249" i="1" l="1"/>
  <c r="BO248" i="1" s="1"/>
  <c r="BP263" i="1"/>
  <c r="BO263" i="1"/>
  <c r="BQ203" i="1" l="1"/>
  <c r="BQ211" i="1" s="1"/>
  <c r="BR263" i="1" l="1"/>
  <c r="BQ249" i="1"/>
  <c r="BQ248" i="1" s="1"/>
  <c r="BQ263" i="1"/>
  <c r="BS203" i="1" l="1"/>
  <c r="BS211" i="1" s="1"/>
  <c r="BT263" i="1" l="1"/>
  <c r="BS249" i="1"/>
  <c r="BS248" i="1" s="1"/>
  <c r="BS263" i="1"/>
  <c r="BU203" i="1" l="1"/>
  <c r="BU211" i="1" s="1"/>
  <c r="BU249" i="1" l="1"/>
  <c r="BU248" i="1" s="1"/>
  <c r="BV263" i="1"/>
  <c r="BU263" i="1"/>
  <c r="BW203" i="1" l="1"/>
  <c r="BW211" i="1" s="1"/>
  <c r="BW249" i="1" l="1"/>
  <c r="BW248" i="1" s="1"/>
  <c r="BX263" i="1"/>
  <c r="BW263" i="1"/>
  <c r="BY203" i="1" l="1"/>
  <c r="BY211" i="1" s="1"/>
  <c r="BZ263" i="1" l="1"/>
  <c r="BY249" i="1"/>
  <c r="BY248" i="1" s="1"/>
  <c r="BY263" i="1"/>
  <c r="AK250" i="1" l="1"/>
  <c r="AK218" i="1" s="1"/>
  <c r="AK222" i="1" s="1"/>
  <c r="AK223" i="1" l="1"/>
  <c r="AK252" i="1"/>
  <c r="AL264" i="1"/>
  <c r="AL265" i="1" s="1"/>
  <c r="AL266" i="1" s="1"/>
  <c r="AL280" i="1" s="1"/>
  <c r="AK264" i="1"/>
  <c r="AK265" i="1" s="1"/>
  <c r="AK266" i="1" s="1"/>
  <c r="AM218" i="1"/>
  <c r="AM222" i="1" s="1"/>
  <c r="AK280" i="1" l="1"/>
  <c r="AK277" i="1"/>
  <c r="AK226" i="1" s="1"/>
  <c r="AK228" i="1" s="1"/>
  <c r="AK232" i="1" s="1"/>
  <c r="AK233" i="1" s="1"/>
  <c r="AN264" i="1"/>
  <c r="AN265" i="1" s="1"/>
  <c r="AN266" i="1" s="1"/>
  <c r="AN280" i="1" s="1"/>
  <c r="AM252" i="1"/>
  <c r="AM251" i="1" s="1"/>
  <c r="AM264" i="1"/>
  <c r="AM265" i="1" s="1"/>
  <c r="AM266" i="1" s="1"/>
  <c r="AM223" i="1"/>
  <c r="AJ251" i="1"/>
  <c r="AJ253" i="1"/>
  <c r="AN256" i="1" s="1"/>
  <c r="AK251" i="1"/>
  <c r="AK253" i="1"/>
  <c r="AO218" i="1"/>
  <c r="AO222" i="1" s="1"/>
  <c r="AM253" i="1" l="1"/>
  <c r="AO252" i="1"/>
  <c r="AO251" i="1" s="1"/>
  <c r="AP264" i="1"/>
  <c r="AP265" i="1" s="1"/>
  <c r="AP266" i="1" s="1"/>
  <c r="AP280" i="1" s="1"/>
  <c r="AO264" i="1"/>
  <c r="AO265" i="1" s="1"/>
  <c r="AO266" i="1" s="1"/>
  <c r="AM280" i="1"/>
  <c r="AM277" i="1"/>
  <c r="AO223" i="1"/>
  <c r="AL276" i="1" l="1"/>
  <c r="AL277" i="1" s="1"/>
  <c r="AL278" i="1" s="1"/>
  <c r="AK278" i="1"/>
  <c r="AO253" i="1"/>
  <c r="AO256" i="1" s="1"/>
  <c r="AO280" i="1"/>
  <c r="AO277" i="1"/>
  <c r="AQ218" i="1"/>
  <c r="AQ222" i="1" s="1"/>
  <c r="AK235" i="1"/>
  <c r="AL90" i="1" s="1"/>
  <c r="AM226" i="1"/>
  <c r="AM228" i="1" s="1"/>
  <c r="AM232" i="1" s="1"/>
  <c r="AN276" i="1" l="1"/>
  <c r="AN277" i="1" s="1"/>
  <c r="AN278" i="1" s="1"/>
  <c r="AM315" i="1"/>
  <c r="AM313" i="1"/>
  <c r="AM311" i="1"/>
  <c r="AQ252" i="1"/>
  <c r="AQ251" i="1" s="1"/>
  <c r="AR264" i="1"/>
  <c r="AR265" i="1" s="1"/>
  <c r="AR266" i="1" s="1"/>
  <c r="AR280" i="1" s="1"/>
  <c r="AQ264" i="1"/>
  <c r="AQ265" i="1" s="1"/>
  <c r="AQ266" i="1" s="1"/>
  <c r="AM278" i="1"/>
  <c r="AQ223" i="1"/>
  <c r="AO226" i="1"/>
  <c r="AO228" i="1" s="1"/>
  <c r="AM235" i="1"/>
  <c r="AO313" i="1" l="1"/>
  <c r="AO315" i="1"/>
  <c r="AO311" i="1"/>
  <c r="AM162" i="1"/>
  <c r="AM163" i="1" s="1"/>
  <c r="AM166" i="1" s="1"/>
  <c r="AN90" i="1"/>
  <c r="AQ253" i="1"/>
  <c r="AQ256" i="1" s="1"/>
  <c r="AQ280" i="1"/>
  <c r="AQ277" i="1"/>
  <c r="AP276" i="1"/>
  <c r="AP277" i="1" s="1"/>
  <c r="AP278" i="1" s="1"/>
  <c r="AO278" i="1"/>
  <c r="AS218" i="1"/>
  <c r="AS222" i="1" s="1"/>
  <c r="AO235" i="1"/>
  <c r="AO232" i="1"/>
  <c r="AM233" i="1"/>
  <c r="AM164" i="1" l="1"/>
  <c r="AM167" i="1" s="1"/>
  <c r="AO162" i="1"/>
  <c r="AO164" i="1" s="1"/>
  <c r="AO167" i="1" s="1"/>
  <c r="AP90" i="1"/>
  <c r="AS252" i="1"/>
  <c r="AS251" i="1" s="1"/>
  <c r="AT264" i="1"/>
  <c r="AT265" i="1" s="1"/>
  <c r="AT266" i="1" s="1"/>
  <c r="AT280" i="1" s="1"/>
  <c r="AS264" i="1"/>
  <c r="AS265" i="1" s="1"/>
  <c r="AS266" i="1" s="1"/>
  <c r="AO233" i="1"/>
  <c r="AS223" i="1"/>
  <c r="AQ226" i="1"/>
  <c r="AQ228" i="1" s="1"/>
  <c r="AQ313" i="1" l="1"/>
  <c r="AQ315" i="1"/>
  <c r="AQ311" i="1"/>
  <c r="AO163" i="1"/>
  <c r="AO166" i="1" s="1"/>
  <c r="AS253" i="1"/>
  <c r="AS256" i="1" s="1"/>
  <c r="AS280" i="1"/>
  <c r="AS277" i="1"/>
  <c r="AR276" i="1"/>
  <c r="AR277" i="1" s="1"/>
  <c r="AR278" i="1" s="1"/>
  <c r="AQ278" i="1"/>
  <c r="AQ232" i="1"/>
  <c r="AQ235" i="1"/>
  <c r="AU218" i="1"/>
  <c r="AU222" i="1" s="1"/>
  <c r="AQ162" i="1" l="1"/>
  <c r="AQ163" i="1" s="1"/>
  <c r="AQ166" i="1" s="1"/>
  <c r="AR90" i="1"/>
  <c r="AU252" i="1"/>
  <c r="AU251" i="1" s="1"/>
  <c r="AV264" i="1"/>
  <c r="AV265" i="1" s="1"/>
  <c r="AV266" i="1" s="1"/>
  <c r="AV280" i="1" s="1"/>
  <c r="AU264" i="1"/>
  <c r="AU265" i="1" s="1"/>
  <c r="AU266" i="1" s="1"/>
  <c r="AU223" i="1"/>
  <c r="AS226" i="1"/>
  <c r="AS228" i="1" s="1"/>
  <c r="AQ233" i="1"/>
  <c r="AS315" i="1" l="1"/>
  <c r="AS313" i="1"/>
  <c r="AS311" i="1"/>
  <c r="AQ164" i="1"/>
  <c r="AQ167" i="1" s="1"/>
  <c r="AU253" i="1"/>
  <c r="AU256" i="1" s="1"/>
  <c r="AU280" i="1"/>
  <c r="AU277" i="1"/>
  <c r="AT276" i="1"/>
  <c r="AT277" i="1" s="1"/>
  <c r="AT278" i="1" s="1"/>
  <c r="AS278" i="1"/>
  <c r="AS235" i="1"/>
  <c r="AS232" i="1"/>
  <c r="AW218" i="1"/>
  <c r="AW222" i="1" s="1"/>
  <c r="AS162" i="1" l="1"/>
  <c r="AS163" i="1" s="1"/>
  <c r="AS166" i="1" s="1"/>
  <c r="AT90" i="1"/>
  <c r="AW252" i="1"/>
  <c r="AW253" i="1" s="1"/>
  <c r="AW256" i="1" s="1"/>
  <c r="AX264" i="1"/>
  <c r="AX265" i="1" s="1"/>
  <c r="AX266" i="1" s="1"/>
  <c r="AX280" i="1" s="1"/>
  <c r="AW264" i="1"/>
  <c r="AW265" i="1" s="1"/>
  <c r="AW266" i="1" s="1"/>
  <c r="AU226" i="1"/>
  <c r="AU228" i="1" s="1"/>
  <c r="AS233" i="1"/>
  <c r="AW223" i="1"/>
  <c r="AU315" i="1" l="1"/>
  <c r="AU313" i="1"/>
  <c r="AU311" i="1"/>
  <c r="AS164" i="1"/>
  <c r="AS167" i="1" s="1"/>
  <c r="AW251" i="1"/>
  <c r="AW280" i="1"/>
  <c r="AW277" i="1"/>
  <c r="AV276" i="1"/>
  <c r="AV277" i="1" s="1"/>
  <c r="AV278" i="1" s="1"/>
  <c r="AU278" i="1"/>
  <c r="AU235" i="1"/>
  <c r="AU232" i="1"/>
  <c r="AY218" i="1"/>
  <c r="AY222" i="1" s="1"/>
  <c r="AU162" i="1" l="1"/>
  <c r="AU164" i="1" s="1"/>
  <c r="AU167" i="1" s="1"/>
  <c r="AV90" i="1"/>
  <c r="AY252" i="1"/>
  <c r="AY251" i="1" s="1"/>
  <c r="AZ264" i="1"/>
  <c r="AZ265" i="1" s="1"/>
  <c r="AZ266" i="1" s="1"/>
  <c r="AZ280" i="1" s="1"/>
  <c r="AY264" i="1"/>
  <c r="AY265" i="1" s="1"/>
  <c r="AY266" i="1" s="1"/>
  <c r="AW226" i="1"/>
  <c r="AW228" i="1" s="1"/>
  <c r="AY223" i="1"/>
  <c r="AU233" i="1"/>
  <c r="AW313" i="1" l="1"/>
  <c r="AW315" i="1"/>
  <c r="AW311" i="1"/>
  <c r="AU163" i="1"/>
  <c r="AU166" i="1" s="1"/>
  <c r="AY253" i="1"/>
  <c r="AY256" i="1" s="1"/>
  <c r="AY280" i="1"/>
  <c r="AY277" i="1"/>
  <c r="AX276" i="1"/>
  <c r="AX277" i="1" s="1"/>
  <c r="AX278" i="1" s="1"/>
  <c r="AW278" i="1"/>
  <c r="BA218" i="1"/>
  <c r="BA222" i="1" s="1"/>
  <c r="AW232" i="1"/>
  <c r="AW235" i="1"/>
  <c r="AW162" i="1" l="1"/>
  <c r="AW164" i="1" s="1"/>
  <c r="AW167" i="1" s="1"/>
  <c r="AX90" i="1"/>
  <c r="BB264" i="1"/>
  <c r="BB265" i="1" s="1"/>
  <c r="BB266" i="1" s="1"/>
  <c r="BB280" i="1" s="1"/>
  <c r="BA252" i="1"/>
  <c r="BA251" i="1" s="1"/>
  <c r="BA264" i="1"/>
  <c r="BA265" i="1" s="1"/>
  <c r="BA266" i="1" s="1"/>
  <c r="AW233" i="1"/>
  <c r="BA223" i="1"/>
  <c r="AY226" i="1"/>
  <c r="AY228" i="1" s="1"/>
  <c r="AY313" i="1" l="1"/>
  <c r="AY315" i="1"/>
  <c r="AY311" i="1"/>
  <c r="AW163" i="1"/>
  <c r="AW166" i="1" s="1"/>
  <c r="BA253" i="1"/>
  <c r="BA256" i="1" s="1"/>
  <c r="BA280" i="1"/>
  <c r="BA277" i="1"/>
  <c r="AZ276" i="1"/>
  <c r="AZ277" i="1" s="1"/>
  <c r="AZ278" i="1" s="1"/>
  <c r="AY278" i="1"/>
  <c r="AY232" i="1"/>
  <c r="AY235" i="1"/>
  <c r="BC218" i="1"/>
  <c r="BC222" i="1" s="1"/>
  <c r="AY162" i="1" l="1"/>
  <c r="AY164" i="1" s="1"/>
  <c r="AY167" i="1" s="1"/>
  <c r="AZ90" i="1"/>
  <c r="BC252" i="1"/>
  <c r="BC251" i="1" s="1"/>
  <c r="BD264" i="1"/>
  <c r="BD265" i="1" s="1"/>
  <c r="BD266" i="1" s="1"/>
  <c r="BD280" i="1" s="1"/>
  <c r="BC264" i="1"/>
  <c r="BC265" i="1" s="1"/>
  <c r="BC266" i="1" s="1"/>
  <c r="AY233" i="1"/>
  <c r="BC223" i="1"/>
  <c r="BA226" i="1"/>
  <c r="BA228" i="1" s="1"/>
  <c r="BA315" i="1" l="1"/>
  <c r="BA313" i="1"/>
  <c r="BA311" i="1"/>
  <c r="AY163" i="1"/>
  <c r="AY166" i="1" s="1"/>
  <c r="BC253" i="1"/>
  <c r="BC256" i="1" s="1"/>
  <c r="BC280" i="1"/>
  <c r="BC277" i="1"/>
  <c r="BB276" i="1"/>
  <c r="BB277" i="1" s="1"/>
  <c r="BB278" i="1" s="1"/>
  <c r="BA278" i="1"/>
  <c r="BE218" i="1"/>
  <c r="BE222" i="1" s="1"/>
  <c r="BA235" i="1"/>
  <c r="BA232" i="1"/>
  <c r="BA162" i="1" l="1"/>
  <c r="BA163" i="1" s="1"/>
  <c r="BA166" i="1" s="1"/>
  <c r="BB90" i="1"/>
  <c r="BE252" i="1"/>
  <c r="BE251" i="1" s="1"/>
  <c r="BF264" i="1"/>
  <c r="BF265" i="1" s="1"/>
  <c r="BF266" i="1" s="1"/>
  <c r="BF280" i="1" s="1"/>
  <c r="BE264" i="1"/>
  <c r="BE265" i="1" s="1"/>
  <c r="BE266" i="1" s="1"/>
  <c r="BC226" i="1"/>
  <c r="BC228" i="1" s="1"/>
  <c r="BA233" i="1"/>
  <c r="BE223" i="1"/>
  <c r="BC315" i="1" l="1"/>
  <c r="BC313" i="1"/>
  <c r="BC311" i="1"/>
  <c r="BA164" i="1"/>
  <c r="BA167" i="1" s="1"/>
  <c r="BE253" i="1"/>
  <c r="BE256" i="1" s="1"/>
  <c r="BE280" i="1"/>
  <c r="BE277" i="1"/>
  <c r="BD276" i="1"/>
  <c r="BD277" i="1" s="1"/>
  <c r="BD278" i="1" s="1"/>
  <c r="BC278" i="1"/>
  <c r="BG218" i="1"/>
  <c r="BG222" i="1" s="1"/>
  <c r="BC232" i="1"/>
  <c r="BC235" i="1"/>
  <c r="BC162" i="1" l="1"/>
  <c r="BC163" i="1" s="1"/>
  <c r="BC166" i="1" s="1"/>
  <c r="BD90" i="1"/>
  <c r="BG252" i="1"/>
  <c r="BG253" i="1" s="1"/>
  <c r="BG256" i="1" s="1"/>
  <c r="BH264" i="1"/>
  <c r="BH265" i="1" s="1"/>
  <c r="BH266" i="1" s="1"/>
  <c r="BH280" i="1" s="1"/>
  <c r="BG264" i="1"/>
  <c r="BG265" i="1" s="1"/>
  <c r="BG266" i="1" s="1"/>
  <c r="BC233" i="1"/>
  <c r="BE226" i="1"/>
  <c r="BE228" i="1" s="1"/>
  <c r="BG223" i="1"/>
  <c r="BE313" i="1" l="1"/>
  <c r="BE315" i="1"/>
  <c r="BE311" i="1"/>
  <c r="BC164" i="1"/>
  <c r="BC167" i="1" s="1"/>
  <c r="BG251" i="1"/>
  <c r="BG280" i="1"/>
  <c r="BG277" i="1"/>
  <c r="BF276" i="1"/>
  <c r="BF277" i="1" s="1"/>
  <c r="BF278" i="1" s="1"/>
  <c r="BE278" i="1"/>
  <c r="BE235" i="1"/>
  <c r="BE232" i="1"/>
  <c r="BI218" i="1"/>
  <c r="BI222" i="1" s="1"/>
  <c r="BE162" i="1" l="1"/>
  <c r="BE163" i="1" s="1"/>
  <c r="BE166" i="1" s="1"/>
  <c r="BF90" i="1"/>
  <c r="BI252" i="1"/>
  <c r="BI251" i="1" s="1"/>
  <c r="BJ264" i="1"/>
  <c r="BJ265" i="1" s="1"/>
  <c r="BJ266" i="1" s="1"/>
  <c r="BJ280" i="1" s="1"/>
  <c r="BI264" i="1"/>
  <c r="BI265" i="1" s="1"/>
  <c r="BI266" i="1" s="1"/>
  <c r="BE233" i="1"/>
  <c r="BG226" i="1"/>
  <c r="BG228" i="1" s="1"/>
  <c r="BI223" i="1"/>
  <c r="BG313" i="1" l="1"/>
  <c r="BG315" i="1"/>
  <c r="BG311" i="1"/>
  <c r="BE164" i="1"/>
  <c r="BE167" i="1" s="1"/>
  <c r="BI253" i="1"/>
  <c r="BI256" i="1" s="1"/>
  <c r="BI280" i="1"/>
  <c r="BI277" i="1"/>
  <c r="BH276" i="1"/>
  <c r="BH277" i="1" s="1"/>
  <c r="BH278" i="1" s="1"/>
  <c r="BG278" i="1"/>
  <c r="BG232" i="1"/>
  <c r="BG235" i="1"/>
  <c r="BK218" i="1"/>
  <c r="BK222" i="1" s="1"/>
  <c r="BG162" i="1" l="1"/>
  <c r="BG163" i="1" s="1"/>
  <c r="BG166" i="1" s="1"/>
  <c r="BH90" i="1"/>
  <c r="BL264" i="1"/>
  <c r="BL265" i="1" s="1"/>
  <c r="BL266" i="1" s="1"/>
  <c r="BL280" i="1" s="1"/>
  <c r="BK252" i="1"/>
  <c r="BK251" i="1" s="1"/>
  <c r="BK264" i="1"/>
  <c r="BK265" i="1" s="1"/>
  <c r="BK266" i="1" s="1"/>
  <c r="BK223" i="1"/>
  <c r="BG233" i="1"/>
  <c r="BI226" i="1"/>
  <c r="BI228" i="1" s="1"/>
  <c r="BI315" i="1" l="1"/>
  <c r="BI313" i="1"/>
  <c r="BI311" i="1"/>
  <c r="BG164" i="1"/>
  <c r="BG167" i="1" s="1"/>
  <c r="BK253" i="1"/>
  <c r="BK256" i="1" s="1"/>
  <c r="BK280" i="1"/>
  <c r="BK277" i="1"/>
  <c r="BJ276" i="1"/>
  <c r="BJ277" i="1" s="1"/>
  <c r="BJ278" i="1" s="1"/>
  <c r="BI278" i="1"/>
  <c r="BI235" i="1"/>
  <c r="BI232" i="1"/>
  <c r="BM218" i="1"/>
  <c r="BM222" i="1" s="1"/>
  <c r="BI162" i="1" l="1"/>
  <c r="BI164" i="1" s="1"/>
  <c r="BI167" i="1" s="1"/>
  <c r="BJ90" i="1"/>
  <c r="BM252" i="1"/>
  <c r="BM251" i="1" s="1"/>
  <c r="BN264" i="1"/>
  <c r="BN265" i="1" s="1"/>
  <c r="BN266" i="1" s="1"/>
  <c r="BN280" i="1" s="1"/>
  <c r="BM264" i="1"/>
  <c r="BM265" i="1" s="1"/>
  <c r="BM266" i="1" s="1"/>
  <c r="BM223" i="1"/>
  <c r="BI233" i="1"/>
  <c r="BK226" i="1"/>
  <c r="BK228" i="1" s="1"/>
  <c r="BK315" i="1" l="1"/>
  <c r="BK313" i="1"/>
  <c r="BK311" i="1"/>
  <c r="BI163" i="1"/>
  <c r="BI166" i="1" s="1"/>
  <c r="BM253" i="1"/>
  <c r="BM256" i="1" s="1"/>
  <c r="BM280" i="1"/>
  <c r="BM277" i="1"/>
  <c r="BL276" i="1"/>
  <c r="BL277" i="1" s="1"/>
  <c r="BL278" i="1" s="1"/>
  <c r="BK278" i="1"/>
  <c r="BK235" i="1"/>
  <c r="BK232" i="1"/>
  <c r="BO218" i="1"/>
  <c r="BO222" i="1" s="1"/>
  <c r="BK162" i="1" l="1"/>
  <c r="BK164" i="1" s="1"/>
  <c r="BK167" i="1" s="1"/>
  <c r="BL90" i="1"/>
  <c r="BO252" i="1"/>
  <c r="BO251" i="1" s="1"/>
  <c r="BP264" i="1"/>
  <c r="BP265" i="1" s="1"/>
  <c r="BP266" i="1" s="1"/>
  <c r="BP280" i="1" s="1"/>
  <c r="BO264" i="1"/>
  <c r="BO265" i="1" s="1"/>
  <c r="BO266" i="1" s="1"/>
  <c r="BM226" i="1"/>
  <c r="BM228" i="1" s="1"/>
  <c r="BK233" i="1"/>
  <c r="BO223" i="1"/>
  <c r="BM313" i="1" l="1"/>
  <c r="BM315" i="1"/>
  <c r="BM311" i="1"/>
  <c r="BK163" i="1"/>
  <c r="BK166" i="1" s="1"/>
  <c r="BO253" i="1"/>
  <c r="BO256" i="1" s="1"/>
  <c r="BO280" i="1"/>
  <c r="BO277" i="1"/>
  <c r="BN276" i="1"/>
  <c r="BN277" i="1" s="1"/>
  <c r="BN278" i="1" s="1"/>
  <c r="BM278" i="1"/>
  <c r="BM232" i="1"/>
  <c r="BM235" i="1"/>
  <c r="BQ218" i="1"/>
  <c r="BQ222" i="1" s="1"/>
  <c r="BM162" i="1" l="1"/>
  <c r="BM163" i="1" s="1"/>
  <c r="BM166" i="1" s="1"/>
  <c r="BN90" i="1"/>
  <c r="BQ252" i="1"/>
  <c r="BQ251" i="1" s="1"/>
  <c r="BR264" i="1"/>
  <c r="BR265" i="1" s="1"/>
  <c r="BR266" i="1" s="1"/>
  <c r="BR280" i="1" s="1"/>
  <c r="BQ264" i="1"/>
  <c r="BQ265" i="1" s="1"/>
  <c r="BQ266" i="1" s="1"/>
  <c r="BO226" i="1"/>
  <c r="BO228" i="1" s="1"/>
  <c r="BQ223" i="1"/>
  <c r="BM233" i="1"/>
  <c r="BO313" i="1" l="1"/>
  <c r="BO315" i="1"/>
  <c r="BO311" i="1"/>
  <c r="BM164" i="1"/>
  <c r="BM167" i="1" s="1"/>
  <c r="BQ253" i="1"/>
  <c r="BQ256" i="1" s="1"/>
  <c r="BQ280" i="1"/>
  <c r="BQ277" i="1"/>
  <c r="BP276" i="1"/>
  <c r="BP277" i="1" s="1"/>
  <c r="BP278" i="1" s="1"/>
  <c r="BO278" i="1"/>
  <c r="BS218" i="1"/>
  <c r="BS222" i="1" s="1"/>
  <c r="BO232" i="1"/>
  <c r="BO235" i="1"/>
  <c r="BO162" i="1" l="1"/>
  <c r="BO163" i="1" s="1"/>
  <c r="BO166" i="1" s="1"/>
  <c r="BP90" i="1"/>
  <c r="BS252" i="1"/>
  <c r="BS251" i="1" s="1"/>
  <c r="BT264" i="1"/>
  <c r="BT265" i="1" s="1"/>
  <c r="BT266" i="1" s="1"/>
  <c r="BT280" i="1" s="1"/>
  <c r="BS264" i="1"/>
  <c r="BS265" i="1" s="1"/>
  <c r="BS266" i="1" s="1"/>
  <c r="BO233" i="1"/>
  <c r="BS223" i="1"/>
  <c r="BQ226" i="1"/>
  <c r="BQ228" i="1" s="1"/>
  <c r="BQ315" i="1" l="1"/>
  <c r="BQ313" i="1"/>
  <c r="BQ311" i="1"/>
  <c r="BO164" i="1"/>
  <c r="BO167" i="1" s="1"/>
  <c r="BS253" i="1"/>
  <c r="BS256" i="1" s="1"/>
  <c r="BS280" i="1"/>
  <c r="BS277" i="1"/>
  <c r="BR276" i="1"/>
  <c r="BR277" i="1" s="1"/>
  <c r="BR278" i="1" s="1"/>
  <c r="BQ278" i="1"/>
  <c r="BQ232" i="1"/>
  <c r="BQ235" i="1"/>
  <c r="BU218" i="1"/>
  <c r="BU222" i="1" s="1"/>
  <c r="BQ162" i="1" l="1"/>
  <c r="BQ163" i="1" s="1"/>
  <c r="BQ166" i="1" s="1"/>
  <c r="BR90" i="1"/>
  <c r="BU252" i="1"/>
  <c r="BU251" i="1" s="1"/>
  <c r="BV264" i="1"/>
  <c r="BV265" i="1" s="1"/>
  <c r="BV266" i="1" s="1"/>
  <c r="BV280" i="1" s="1"/>
  <c r="BU264" i="1"/>
  <c r="BU265" i="1" s="1"/>
  <c r="BU266" i="1" s="1"/>
  <c r="BS226" i="1"/>
  <c r="BS228" i="1" s="1"/>
  <c r="BQ233" i="1"/>
  <c r="BU223" i="1"/>
  <c r="BS315" i="1" l="1"/>
  <c r="BS313" i="1"/>
  <c r="BS311" i="1"/>
  <c r="BQ164" i="1"/>
  <c r="BQ167" i="1" s="1"/>
  <c r="BU253" i="1"/>
  <c r="BU256" i="1" s="1"/>
  <c r="BU280" i="1"/>
  <c r="BU277" i="1"/>
  <c r="BT276" i="1"/>
  <c r="BT277" i="1" s="1"/>
  <c r="BT278" i="1" s="1"/>
  <c r="BS278" i="1"/>
  <c r="BS232" i="1"/>
  <c r="BS235" i="1"/>
  <c r="BW218" i="1"/>
  <c r="BW222" i="1" s="1"/>
  <c r="BS162" i="1" l="1"/>
  <c r="BS164" i="1" s="1"/>
  <c r="BS167" i="1" s="1"/>
  <c r="BT90" i="1"/>
  <c r="BW252" i="1"/>
  <c r="BW251" i="1" s="1"/>
  <c r="BX264" i="1"/>
  <c r="BX265" i="1" s="1"/>
  <c r="BX266" i="1" s="1"/>
  <c r="BX280" i="1" s="1"/>
  <c r="BW264" i="1"/>
  <c r="BW265" i="1" s="1"/>
  <c r="BW266" i="1" s="1"/>
  <c r="BW223" i="1"/>
  <c r="BS233" i="1"/>
  <c r="BU226" i="1"/>
  <c r="BU228" i="1" s="1"/>
  <c r="BU313" i="1" l="1"/>
  <c r="BU315" i="1"/>
  <c r="BU311" i="1"/>
  <c r="BS163" i="1"/>
  <c r="BS166" i="1" s="1"/>
  <c r="BW253" i="1"/>
  <c r="BW256" i="1" s="1"/>
  <c r="BW280" i="1"/>
  <c r="BW277" i="1"/>
  <c r="BV276" i="1"/>
  <c r="BV277" i="1" s="1"/>
  <c r="BV278" i="1" s="1"/>
  <c r="BU278" i="1"/>
  <c r="BU232" i="1"/>
  <c r="BU235" i="1"/>
  <c r="BY218" i="1"/>
  <c r="BY222" i="1" s="1"/>
  <c r="BU162" i="1" l="1"/>
  <c r="BU164" i="1" s="1"/>
  <c r="BU167" i="1" s="1"/>
  <c r="BV90" i="1"/>
  <c r="BZ264" i="1"/>
  <c r="BZ265" i="1" s="1"/>
  <c r="BZ266" i="1" s="1"/>
  <c r="BZ280" i="1" s="1"/>
  <c r="BY252" i="1"/>
  <c r="BY251" i="1" s="1"/>
  <c r="BY264" i="1"/>
  <c r="BY265" i="1" s="1"/>
  <c r="BY266" i="1" s="1"/>
  <c r="BW226" i="1"/>
  <c r="BW228" i="1" s="1"/>
  <c r="BY223" i="1"/>
  <c r="BU233" i="1"/>
  <c r="BW313" i="1" l="1"/>
  <c r="BW315" i="1"/>
  <c r="BW311" i="1"/>
  <c r="BU163" i="1"/>
  <c r="BU166" i="1" s="1"/>
  <c r="BY253" i="1"/>
  <c r="BY256" i="1" s="1"/>
  <c r="BY280" i="1"/>
  <c r="BY277" i="1"/>
  <c r="BX276" i="1"/>
  <c r="BX277" i="1" s="1"/>
  <c r="BX278" i="1" s="1"/>
  <c r="BW278" i="1"/>
  <c r="BW232" i="1"/>
  <c r="BW235" i="1"/>
  <c r="BW162" i="1" l="1"/>
  <c r="BW164" i="1" s="1"/>
  <c r="BW167" i="1" s="1"/>
  <c r="BX90" i="1"/>
  <c r="BW233" i="1"/>
  <c r="BY226" i="1"/>
  <c r="BY228" i="1" s="1"/>
  <c r="BY315" i="1" l="1"/>
  <c r="BY313" i="1"/>
  <c r="BY311" i="1"/>
  <c r="BW163" i="1"/>
  <c r="BW166" i="1" s="1"/>
  <c r="BZ276" i="1"/>
  <c r="BZ277" i="1" s="1"/>
  <c r="BZ278" i="1" s="1"/>
  <c r="BY278" i="1"/>
  <c r="BY235" i="1"/>
  <c r="BY232" i="1"/>
  <c r="BY162" i="1" l="1"/>
  <c r="BY163" i="1" s="1"/>
  <c r="BY166" i="1" s="1"/>
  <c r="BZ90" i="1"/>
  <c r="BY233" i="1"/>
  <c r="CC203" i="1"/>
  <c r="CC202" i="1"/>
  <c r="CA202" i="1"/>
  <c r="CA218" i="1"/>
  <c r="CA222" i="1" s="1"/>
  <c r="CA203" i="1"/>
  <c r="CC211" i="1" l="1"/>
  <c r="CA211" i="1"/>
  <c r="CA249" i="1" s="1"/>
  <c r="CA248" i="1" s="1"/>
  <c r="BY164" i="1"/>
  <c r="BY167" i="1" s="1"/>
  <c r="CB264" i="1"/>
  <c r="CA252" i="1"/>
  <c r="CA251" i="1" s="1"/>
  <c r="CA264" i="1"/>
  <c r="CC218" i="1"/>
  <c r="CC222" i="1" s="1"/>
  <c r="CA223" i="1" l="1"/>
  <c r="CA263" i="1"/>
  <c r="CA265" i="1" s="1"/>
  <c r="CA266" i="1" s="1"/>
  <c r="CA280" i="1" s="1"/>
  <c r="CB263" i="1"/>
  <c r="CB265" i="1" s="1"/>
  <c r="CB266" i="1" s="1"/>
  <c r="CB280" i="1" s="1"/>
  <c r="CA253" i="1"/>
  <c r="CD263" i="1"/>
  <c r="CC249" i="1"/>
  <c r="CC248" i="1" s="1"/>
  <c r="CC263" i="1"/>
  <c r="CC252" i="1"/>
  <c r="CC251" i="1" s="1"/>
  <c r="CD264" i="1"/>
  <c r="CC264" i="1"/>
  <c r="CC223" i="1"/>
  <c r="CA256" i="1" l="1"/>
  <c r="CE256" i="1"/>
  <c r="CC265" i="1"/>
  <c r="CC266" i="1" s="1"/>
  <c r="CC280" i="1" s="1"/>
  <c r="CD265" i="1"/>
  <c r="CD266" i="1" s="1"/>
  <c r="CD280" i="1" s="1"/>
  <c r="CA277" i="1"/>
  <c r="CA226" i="1" s="1"/>
  <c r="CA228" i="1" s="1"/>
  <c r="CC253" i="1"/>
  <c r="CA315" i="1" l="1"/>
  <c r="CA313" i="1"/>
  <c r="CA311" i="1"/>
  <c r="CC256" i="1"/>
  <c r="CG256" i="1"/>
  <c r="CC277" i="1"/>
  <c r="CC226" i="1" s="1"/>
  <c r="CC228" i="1" s="1"/>
  <c r="CB276" i="1"/>
  <c r="CB277" i="1" s="1"/>
  <c r="CB278" i="1" s="1"/>
  <c r="CA278" i="1"/>
  <c r="CA235" i="1"/>
  <c r="CA232" i="1"/>
  <c r="CC313" i="1" l="1"/>
  <c r="CC315" i="1"/>
  <c r="CC311" i="1"/>
  <c r="CA162" i="1"/>
  <c r="CA163" i="1" s="1"/>
  <c r="CA166" i="1" s="1"/>
  <c r="CB90" i="1"/>
  <c r="CD276" i="1"/>
  <c r="CD277" i="1" s="1"/>
  <c r="CD278" i="1" s="1"/>
  <c r="CC278" i="1"/>
  <c r="CC232" i="1"/>
  <c r="CC235" i="1"/>
  <c r="CA233" i="1"/>
  <c r="CA164" i="1" l="1"/>
  <c r="CA167" i="1" s="1"/>
  <c r="CC162" i="1"/>
  <c r="CC163" i="1" s="1"/>
  <c r="CC166" i="1" s="1"/>
  <c r="CD90" i="1"/>
  <c r="CC233" i="1"/>
  <c r="CC164" i="1" l="1"/>
  <c r="CC167" i="1" s="1"/>
  <c r="CE142" i="1"/>
  <c r="CD142" i="1"/>
  <c r="CC142" i="1"/>
  <c r="CB142" i="1"/>
  <c r="CI203" i="1" l="1"/>
  <c r="CJ235" i="1" l="1"/>
  <c r="CJ162" i="1" l="1"/>
  <c r="CK90" i="1"/>
  <c r="CN90" i="1" s="1"/>
  <c r="CO90" i="1" s="1"/>
  <c r="CP90" i="1" s="1"/>
  <c r="CR90" i="1" s="1"/>
  <c r="CS90" i="1" s="1"/>
  <c r="CT90" i="1" s="1"/>
  <c r="CV90" i="1" s="1"/>
  <c r="CW90" i="1" s="1"/>
  <c r="CX90" i="1" s="1"/>
  <c r="CY90" i="1" s="1"/>
  <c r="CZ90" i="1" s="1"/>
  <c r="DA90" i="1" s="1"/>
  <c r="DB90" i="1" s="1"/>
  <c r="CJ163" i="1" l="1"/>
  <c r="CJ166" i="1" s="1"/>
  <c r="CJ164" i="1"/>
  <c r="CJ167" i="1" s="1"/>
  <c r="CK298" i="1" l="1"/>
  <c r="CK320" i="1"/>
  <c r="CK319" i="1"/>
  <c r="CK202" i="1" l="1"/>
  <c r="CK218" i="1"/>
  <c r="CK203" i="1"/>
  <c r="CK217" i="1"/>
  <c r="CK292" i="1"/>
  <c r="CK204" i="1"/>
  <c r="CK211" i="1" l="1"/>
  <c r="CK222" i="1"/>
  <c r="CK264" i="1" s="1"/>
  <c r="CK263" i="1" l="1"/>
  <c r="CK223" i="1"/>
  <c r="CK317" i="1"/>
  <c r="CK318" i="1" s="1"/>
  <c r="CK299" i="1"/>
  <c r="CK300" i="1" s="1"/>
  <c r="CK293" i="1"/>
  <c r="CK265" i="1" l="1"/>
  <c r="CK312" i="1"/>
  <c r="CK294" i="1"/>
  <c r="CK301" i="1"/>
  <c r="CK260" i="1" l="1"/>
  <c r="CK262" i="1" s="1"/>
  <c r="CK266" i="1" s="1"/>
  <c r="CK172" i="1"/>
  <c r="CK173" i="1" l="1"/>
  <c r="CK107" i="1" l="1"/>
  <c r="CK145" i="1"/>
  <c r="CG142" i="1"/>
  <c r="CK274" i="1"/>
  <c r="CK272" i="1" s="1"/>
  <c r="CK182" i="1"/>
  <c r="CK108" i="1" s="1"/>
  <c r="CK147" i="1" l="1"/>
  <c r="CK148" i="1"/>
  <c r="CK149" i="1"/>
  <c r="AA26" i="1" l="1"/>
  <c r="CM26" i="1"/>
  <c r="CM43" i="1" s="1"/>
  <c r="CL36" i="1" l="1"/>
  <c r="CL31" i="1"/>
  <c r="AA17" i="1"/>
  <c r="AA31" i="1"/>
  <c r="CN26" i="1"/>
  <c r="CM36" i="1"/>
  <c r="CM31" i="1"/>
  <c r="CM59" i="1" s="1"/>
  <c r="CN36" i="1" l="1"/>
  <c r="CN43" i="1"/>
  <c r="CN47" i="1" s="1"/>
  <c r="CL151" i="1"/>
  <c r="CL152" i="1" s="1"/>
  <c r="CL157" i="1" s="1"/>
  <c r="CM157" i="1" s="1"/>
  <c r="CN157" i="1" s="1"/>
  <c r="CO157" i="1" s="1"/>
  <c r="CP157" i="1" s="1"/>
  <c r="CQ157" i="1" s="1"/>
  <c r="CR157" i="1" s="1"/>
  <c r="CS157" i="1" s="1"/>
  <c r="CT157" i="1" s="1"/>
  <c r="CU157" i="1" s="1"/>
  <c r="CV157" i="1" s="1"/>
  <c r="CW157" i="1" s="1"/>
  <c r="CX157" i="1" s="1"/>
  <c r="CY157" i="1" s="1"/>
  <c r="CZ157" i="1" s="1"/>
  <c r="DA157" i="1" s="1"/>
  <c r="DB157" i="1" s="1"/>
  <c r="CL298" i="1"/>
  <c r="CN31" i="1"/>
  <c r="CN59" i="1" s="1"/>
  <c r="CM61" i="1"/>
  <c r="CM151" i="1"/>
  <c r="CM152" i="1" s="1"/>
  <c r="CM155" i="1" s="1"/>
  <c r="CM298" i="1"/>
  <c r="CL155" i="1" l="1"/>
  <c r="CM292" i="1"/>
  <c r="CL32" i="1"/>
  <c r="CL292" i="1"/>
  <c r="CN151" i="1"/>
  <c r="CN152" i="1" s="1"/>
  <c r="CN155" i="1" s="1"/>
  <c r="CL156" i="1"/>
  <c r="CM156" i="1" s="1"/>
  <c r="CN156" i="1" s="1"/>
  <c r="CO156" i="1" s="1"/>
  <c r="CP156" i="1" s="1"/>
  <c r="CQ156" i="1" s="1"/>
  <c r="CR156" i="1" s="1"/>
  <c r="CS156" i="1" s="1"/>
  <c r="CT156" i="1" s="1"/>
  <c r="CU156" i="1" s="1"/>
  <c r="CV156" i="1" s="1"/>
  <c r="CW156" i="1" s="1"/>
  <c r="CX156" i="1" s="1"/>
  <c r="CY156" i="1" s="1"/>
  <c r="CZ156" i="1" s="1"/>
  <c r="DA156" i="1" s="1"/>
  <c r="DB156" i="1" s="1"/>
  <c r="CN298" i="1"/>
  <c r="CN61" i="1"/>
  <c r="CN202" i="1" s="1"/>
  <c r="CO26" i="1"/>
  <c r="CQ26" i="1"/>
  <c r="CQ43" i="1" s="1"/>
  <c r="CQ47" i="1" s="1"/>
  <c r="CM63" i="1"/>
  <c r="CM32" i="1"/>
  <c r="CM67" i="1"/>
  <c r="CM204" i="1"/>
  <c r="CM203" i="1"/>
  <c r="CM218" i="1"/>
  <c r="CM202" i="1"/>
  <c r="CM217" i="1"/>
  <c r="CP26" i="1"/>
  <c r="CP43" i="1" s="1"/>
  <c r="AA32" i="1"/>
  <c r="CP47" i="1" l="1"/>
  <c r="CO31" i="1"/>
  <c r="CO59" i="1" s="1"/>
  <c r="CO61" i="1" s="1"/>
  <c r="CO43" i="1"/>
  <c r="CO47" i="1" s="1"/>
  <c r="CM211" i="1"/>
  <c r="CN67" i="1"/>
  <c r="CN63" i="1"/>
  <c r="CO36" i="1"/>
  <c r="CN218" i="1"/>
  <c r="CN292" i="1"/>
  <c r="CN32" i="1"/>
  <c r="CN203" i="1"/>
  <c r="CN204" i="1"/>
  <c r="CN217" i="1"/>
  <c r="CS26" i="1"/>
  <c r="CS43" i="1" s="1"/>
  <c r="CS47" i="1" s="1"/>
  <c r="CL264" i="1"/>
  <c r="CP31" i="1"/>
  <c r="CP59" i="1" s="1"/>
  <c r="CP36" i="1"/>
  <c r="AB26" i="1"/>
  <c r="CM69" i="1"/>
  <c r="CM70" i="1"/>
  <c r="CQ31" i="1"/>
  <c r="CQ59" i="1" s="1"/>
  <c r="CQ36" i="1"/>
  <c r="CR26" i="1"/>
  <c r="CR43" i="1" s="1"/>
  <c r="CR47" i="1" s="1"/>
  <c r="CM222" i="1"/>
  <c r="CM66" i="1"/>
  <c r="CP151" i="1" l="1"/>
  <c r="CP152" i="1" s="1"/>
  <c r="CP155" i="1" s="1"/>
  <c r="CO151" i="1"/>
  <c r="CO152" i="1" s="1"/>
  <c r="CO155" i="1" s="1"/>
  <c r="CO298" i="1"/>
  <c r="AB43" i="1"/>
  <c r="CN66" i="1"/>
  <c r="CN75" i="1"/>
  <c r="CN79" i="1" s="1"/>
  <c r="CL263" i="1"/>
  <c r="CL265" i="1" s="1"/>
  <c r="CN211" i="1"/>
  <c r="CN69" i="1"/>
  <c r="CN222" i="1"/>
  <c r="CN264" i="1" s="1"/>
  <c r="CN70" i="1"/>
  <c r="CL293" i="1"/>
  <c r="CL317" i="1"/>
  <c r="CL318" i="1" s="1"/>
  <c r="CL299" i="1"/>
  <c r="CL300" i="1" s="1"/>
  <c r="CL165" i="1"/>
  <c r="CQ151" i="1"/>
  <c r="CQ152" i="1" s="1"/>
  <c r="CQ155" i="1" s="1"/>
  <c r="AB59" i="1"/>
  <c r="CR36" i="1"/>
  <c r="CR31" i="1"/>
  <c r="CR59" i="1" s="1"/>
  <c r="AB31" i="1"/>
  <c r="AB17" i="1"/>
  <c r="AB36" i="1"/>
  <c r="CU26" i="1"/>
  <c r="CU43" i="1" s="1"/>
  <c r="CU47" i="1" s="1"/>
  <c r="CQ61" i="1"/>
  <c r="CQ298" i="1"/>
  <c r="CO67" i="1"/>
  <c r="CO75" i="1" s="1"/>
  <c r="CO79" i="1" s="1"/>
  <c r="CO63" i="1"/>
  <c r="CO32" i="1"/>
  <c r="CO202" i="1"/>
  <c r="CO217" i="1"/>
  <c r="CO204" i="1"/>
  <c r="CO203" i="1"/>
  <c r="CO218" i="1"/>
  <c r="CO292" i="1"/>
  <c r="CM223" i="1"/>
  <c r="CP61" i="1"/>
  <c r="CP292" i="1" s="1"/>
  <c r="CP298" i="1"/>
  <c r="CM264" i="1"/>
  <c r="CV26" i="1"/>
  <c r="CV43" i="1" s="1"/>
  <c r="CV47" i="1" s="1"/>
  <c r="CT26" i="1"/>
  <c r="CT43" i="1" s="1"/>
  <c r="CM263" i="1"/>
  <c r="CS36" i="1"/>
  <c r="CS31" i="1"/>
  <c r="CS59" i="1" s="1"/>
  <c r="AC43" i="1" l="1"/>
  <c r="AC47" i="1" s="1"/>
  <c r="CT47" i="1"/>
  <c r="CO81" i="1"/>
  <c r="CO80" i="1"/>
  <c r="CN81" i="1"/>
  <c r="CN80" i="1"/>
  <c r="CO211" i="1"/>
  <c r="CN223" i="1"/>
  <c r="CN263" i="1"/>
  <c r="CN265" i="1" s="1"/>
  <c r="AB61" i="1"/>
  <c r="AB32" i="1" s="1"/>
  <c r="CO222" i="1"/>
  <c r="CO264" i="1" s="1"/>
  <c r="CM265" i="1"/>
  <c r="CW26" i="1"/>
  <c r="CW43" i="1" s="1"/>
  <c r="CW47" i="1" s="1"/>
  <c r="CS61" i="1"/>
  <c r="CS298" i="1"/>
  <c r="CU36" i="1"/>
  <c r="CU31" i="1"/>
  <c r="CU59" i="1" s="1"/>
  <c r="CS151" i="1"/>
  <c r="CS152" i="1" s="1"/>
  <c r="CS155" i="1" s="1"/>
  <c r="CO69" i="1"/>
  <c r="CO70" i="1"/>
  <c r="CT36" i="1"/>
  <c r="CT31" i="1"/>
  <c r="CT59" i="1" s="1"/>
  <c r="CP32" i="1"/>
  <c r="CP67" i="1"/>
  <c r="CP63" i="1"/>
  <c r="CP203" i="1"/>
  <c r="AB203" i="1" s="1"/>
  <c r="AB247" i="1" s="1"/>
  <c r="CP218" i="1"/>
  <c r="AB218" i="1" s="1"/>
  <c r="AB250" i="1" s="1"/>
  <c r="CP202" i="1"/>
  <c r="CP217" i="1"/>
  <c r="CP204" i="1"/>
  <c r="CQ292" i="1"/>
  <c r="CV31" i="1"/>
  <c r="CV59" i="1" s="1"/>
  <c r="CV36" i="1"/>
  <c r="CQ32" i="1"/>
  <c r="CQ67" i="1"/>
  <c r="CQ63" i="1"/>
  <c r="CQ203" i="1"/>
  <c r="CQ218" i="1"/>
  <c r="CQ202" i="1"/>
  <c r="CQ217" i="1"/>
  <c r="CQ204" i="1"/>
  <c r="CR61" i="1"/>
  <c r="CR298" i="1"/>
  <c r="CR151" i="1"/>
  <c r="CR152" i="1" s="1"/>
  <c r="CR155" i="1" s="1"/>
  <c r="AC26" i="1"/>
  <c r="CO66" i="1"/>
  <c r="CO84" i="1" l="1"/>
  <c r="CN82" i="1"/>
  <c r="CN83" i="1"/>
  <c r="CN48" i="1"/>
  <c r="CN299" i="1"/>
  <c r="CN300" i="1" s="1"/>
  <c r="CP66" i="1"/>
  <c r="AB66" i="1" s="1"/>
  <c r="AB67" i="1" s="1"/>
  <c r="CP75" i="1"/>
  <c r="CQ66" i="1"/>
  <c r="CQ75" i="1"/>
  <c r="CQ79" i="1" s="1"/>
  <c r="CO83" i="1"/>
  <c r="CO82" i="1"/>
  <c r="CO48" i="1"/>
  <c r="CQ211" i="1"/>
  <c r="CP211" i="1"/>
  <c r="CP263" i="1" s="1"/>
  <c r="AB204" i="1"/>
  <c r="AB111" i="1"/>
  <c r="AB255" i="1"/>
  <c r="AB151" i="1"/>
  <c r="CU151" i="1"/>
  <c r="CU152" i="1" s="1"/>
  <c r="CU155" i="1" s="1"/>
  <c r="AB62" i="1"/>
  <c r="CV151" i="1"/>
  <c r="CV152" i="1" s="1"/>
  <c r="CV155" i="1" s="1"/>
  <c r="CT151" i="1"/>
  <c r="CT152" i="1" s="1"/>
  <c r="CT155" i="1" s="1"/>
  <c r="CX26" i="1"/>
  <c r="CX43" i="1" s="1"/>
  <c r="CR292" i="1"/>
  <c r="CV61" i="1"/>
  <c r="CV298" i="1"/>
  <c r="CS292" i="1"/>
  <c r="CO223" i="1"/>
  <c r="CO263" i="1"/>
  <c r="CO265" i="1" s="1"/>
  <c r="CU61" i="1"/>
  <c r="CU298" i="1"/>
  <c r="CO299" i="1"/>
  <c r="CO300" i="1" s="1"/>
  <c r="CO317" i="1"/>
  <c r="CO318" i="1" s="1"/>
  <c r="AC31" i="1"/>
  <c r="AC17" i="1"/>
  <c r="AC36" i="1"/>
  <c r="CQ69" i="1"/>
  <c r="CQ70" i="1"/>
  <c r="CP69" i="1"/>
  <c r="CP70" i="1"/>
  <c r="CS63" i="1"/>
  <c r="CS32" i="1"/>
  <c r="CS67" i="1"/>
  <c r="CS75" i="1" s="1"/>
  <c r="CS79" i="1" s="1"/>
  <c r="CS204" i="1"/>
  <c r="CS203" i="1"/>
  <c r="CS218" i="1"/>
  <c r="CS202" i="1"/>
  <c r="CS217" i="1"/>
  <c r="CQ222" i="1"/>
  <c r="AB217" i="1"/>
  <c r="AB222" i="1" s="1"/>
  <c r="CP222" i="1"/>
  <c r="CY17" i="1"/>
  <c r="CY26" i="1" s="1"/>
  <c r="CY43" i="1" s="1"/>
  <c r="AB202" i="1"/>
  <c r="CT61" i="1"/>
  <c r="CT298" i="1"/>
  <c r="AC59" i="1"/>
  <c r="CW31" i="1"/>
  <c r="CW59" i="1" s="1"/>
  <c r="CW151" i="1" s="1"/>
  <c r="CW152" i="1" s="1"/>
  <c r="CW155" i="1" s="1"/>
  <c r="CW36" i="1"/>
  <c r="CR32" i="1"/>
  <c r="CR67" i="1"/>
  <c r="CR63" i="1"/>
  <c r="CR204" i="1"/>
  <c r="CR203" i="1"/>
  <c r="CR218" i="1"/>
  <c r="CR202" i="1"/>
  <c r="CR217" i="1"/>
  <c r="AD43" i="1" l="1"/>
  <c r="AD47" i="1" s="1"/>
  <c r="CX47" i="1"/>
  <c r="CY47" i="1"/>
  <c r="CS81" i="1"/>
  <c r="CS80" i="1"/>
  <c r="CR66" i="1"/>
  <c r="CR75" i="1"/>
  <c r="CR79" i="1" s="1"/>
  <c r="CQ81" i="1"/>
  <c r="CQ80" i="1"/>
  <c r="CP79" i="1"/>
  <c r="CR211" i="1"/>
  <c r="CR263" i="1" s="1"/>
  <c r="CS211" i="1"/>
  <c r="CR222" i="1"/>
  <c r="CR264" i="1" s="1"/>
  <c r="CZ17" i="1"/>
  <c r="CS222" i="1"/>
  <c r="CV63" i="1"/>
  <c r="CV32" i="1"/>
  <c r="CV67" i="1"/>
  <c r="CV202" i="1"/>
  <c r="CV217" i="1"/>
  <c r="CV204" i="1"/>
  <c r="CV203" i="1"/>
  <c r="CV218" i="1"/>
  <c r="CU63" i="1"/>
  <c r="CU32" i="1"/>
  <c r="CU67" i="1"/>
  <c r="CU204" i="1"/>
  <c r="CU203" i="1"/>
  <c r="CU218" i="1"/>
  <c r="CU202" i="1"/>
  <c r="CU217" i="1"/>
  <c r="CU292" i="1"/>
  <c r="CR69" i="1"/>
  <c r="CR70" i="1"/>
  <c r="CQ264" i="1"/>
  <c r="CP264" i="1"/>
  <c r="CP265" i="1" s="1"/>
  <c r="AB252" i="1"/>
  <c r="AB251" i="1" s="1"/>
  <c r="AB264" i="1"/>
  <c r="CQ223" i="1"/>
  <c r="CS70" i="1"/>
  <c r="CS69" i="1"/>
  <c r="CT63" i="1"/>
  <c r="CT32" i="1"/>
  <c r="CT67" i="1"/>
  <c r="CT75" i="1" s="1"/>
  <c r="CT79" i="1" s="1"/>
  <c r="CT204" i="1"/>
  <c r="CT203" i="1"/>
  <c r="AC203" i="1" s="1"/>
  <c r="AC247" i="1" s="1"/>
  <c r="CT218" i="1"/>
  <c r="AC218" i="1" s="1"/>
  <c r="AC250" i="1" s="1"/>
  <c r="CT202" i="1"/>
  <c r="CT217" i="1"/>
  <c r="CQ263" i="1"/>
  <c r="CP223" i="1"/>
  <c r="AB68" i="1"/>
  <c r="AB112" i="1"/>
  <c r="AB69" i="1"/>
  <c r="AB211" i="1"/>
  <c r="AB246" i="1"/>
  <c r="CW61" i="1"/>
  <c r="CW292" i="1" s="1"/>
  <c r="CW298" i="1"/>
  <c r="CS66" i="1"/>
  <c r="CX31" i="1"/>
  <c r="CX59" i="1" s="1"/>
  <c r="CX36" i="1"/>
  <c r="AD26" i="1"/>
  <c r="AC61" i="1"/>
  <c r="CY31" i="1"/>
  <c r="CY59" i="1" s="1"/>
  <c r="CY36" i="1"/>
  <c r="CV292" i="1"/>
  <c r="CT292" i="1"/>
  <c r="AC75" i="1" l="1"/>
  <c r="AC79" i="1" s="1"/>
  <c r="AC80" i="1" s="1"/>
  <c r="CT81" i="1"/>
  <c r="CT84" i="1" s="1"/>
  <c r="CT80" i="1"/>
  <c r="CR81" i="1"/>
  <c r="CR299" i="1" s="1"/>
  <c r="CR300" i="1" s="1"/>
  <c r="CR80" i="1"/>
  <c r="CQ82" i="1"/>
  <c r="CQ48" i="1"/>
  <c r="CP81" i="1"/>
  <c r="CQ317" i="1" s="1"/>
  <c r="CQ318" i="1" s="1"/>
  <c r="CP80" i="1"/>
  <c r="CQ299" i="1"/>
  <c r="CQ300" i="1" s="1"/>
  <c r="CU66" i="1"/>
  <c r="CU75" i="1"/>
  <c r="CU79" i="1" s="1"/>
  <c r="CV66" i="1"/>
  <c r="CV75" i="1"/>
  <c r="CV79" i="1" s="1"/>
  <c r="CS82" i="1"/>
  <c r="CS48" i="1"/>
  <c r="CS83" i="1"/>
  <c r="CV211" i="1"/>
  <c r="CU211" i="1"/>
  <c r="CT211" i="1"/>
  <c r="AC204" i="1"/>
  <c r="CU222" i="1"/>
  <c r="CS223" i="1"/>
  <c r="CS264" i="1"/>
  <c r="CR223" i="1"/>
  <c r="CS263" i="1"/>
  <c r="CX151" i="1"/>
  <c r="CX152" i="1" s="1"/>
  <c r="CX155" i="1" s="1"/>
  <c r="CV222" i="1"/>
  <c r="CZ26" i="1"/>
  <c r="CZ43" i="1" s="1"/>
  <c r="DA17" i="1"/>
  <c r="CT69" i="1"/>
  <c r="CT70" i="1"/>
  <c r="AD36" i="1"/>
  <c r="AD31" i="1"/>
  <c r="AD17" i="1"/>
  <c r="CT222" i="1"/>
  <c r="AC217" i="1"/>
  <c r="AC222" i="1" s="1"/>
  <c r="CW67" i="1"/>
  <c r="CW63" i="1"/>
  <c r="CW32" i="1"/>
  <c r="CW202" i="1"/>
  <c r="CW217" i="1"/>
  <c r="CW204" i="1"/>
  <c r="CW203" i="1"/>
  <c r="CW218" i="1"/>
  <c r="AC202" i="1"/>
  <c r="AC32" i="1"/>
  <c r="AC62" i="1"/>
  <c r="AC151" i="1"/>
  <c r="AC111" i="1"/>
  <c r="AC255" i="1"/>
  <c r="CX61" i="1"/>
  <c r="CX298" i="1"/>
  <c r="CY151" i="1"/>
  <c r="CY152" i="1" s="1"/>
  <c r="CY155" i="1" s="1"/>
  <c r="AD59" i="1"/>
  <c r="CR265" i="1"/>
  <c r="CU69" i="1"/>
  <c r="CU70" i="1"/>
  <c r="CY61" i="1"/>
  <c r="CY298" i="1"/>
  <c r="CQ265" i="1"/>
  <c r="CT66" i="1"/>
  <c r="AC66" i="1" s="1"/>
  <c r="AC67" i="1" s="1"/>
  <c r="AB223" i="1"/>
  <c r="AB249" i="1"/>
  <c r="AB263" i="1"/>
  <c r="AB265" i="1" s="1"/>
  <c r="CS299" i="1"/>
  <c r="CS300" i="1" s="1"/>
  <c r="CV69" i="1"/>
  <c r="CV70" i="1"/>
  <c r="CZ47" i="1" l="1"/>
  <c r="CR317" i="1"/>
  <c r="CR318" i="1" s="1"/>
  <c r="CS165" i="1"/>
  <c r="CR84" i="1"/>
  <c r="CR293" i="1"/>
  <c r="CR165" i="1"/>
  <c r="CV264" i="1"/>
  <c r="CW66" i="1"/>
  <c r="CW75" i="1"/>
  <c r="CW79" i="1" s="1"/>
  <c r="CR82" i="1"/>
  <c r="CS84" i="1"/>
  <c r="CR48" i="1"/>
  <c r="CR83" i="1"/>
  <c r="CU81" i="1"/>
  <c r="CU84" i="1" s="1"/>
  <c r="CU80" i="1"/>
  <c r="CP82" i="1"/>
  <c r="CT83" i="1"/>
  <c r="CQ84" i="1"/>
  <c r="CP83" i="1"/>
  <c r="CP48" i="1"/>
  <c r="CP84" i="1"/>
  <c r="CQ293" i="1"/>
  <c r="CQ165" i="1"/>
  <c r="CP317" i="1"/>
  <c r="CP318" i="1" s="1"/>
  <c r="CP299" i="1"/>
  <c r="CP300" i="1" s="1"/>
  <c r="CS317" i="1"/>
  <c r="CS318" i="1" s="1"/>
  <c r="CS293" i="1"/>
  <c r="CV81" i="1"/>
  <c r="CV83" i="1" s="1"/>
  <c r="CV80" i="1"/>
  <c r="CT82" i="1"/>
  <c r="CT48" i="1"/>
  <c r="CW211" i="1"/>
  <c r="CW263" i="1" s="1"/>
  <c r="CS265" i="1"/>
  <c r="CV223" i="1"/>
  <c r="DA26" i="1"/>
  <c r="DA43" i="1" s="1"/>
  <c r="DA47" i="1" s="1"/>
  <c r="DB17" i="1"/>
  <c r="DB26" i="1" s="1"/>
  <c r="DB43" i="1" s="1"/>
  <c r="DB47" i="1" s="1"/>
  <c r="CW222" i="1"/>
  <c r="CW264" i="1" s="1"/>
  <c r="CZ31" i="1"/>
  <c r="CZ59" i="1" s="1"/>
  <c r="CZ36" i="1"/>
  <c r="AC68" i="1"/>
  <c r="AC81" i="1"/>
  <c r="AC48" i="1" s="1"/>
  <c r="AC112" i="1"/>
  <c r="AC69" i="1"/>
  <c r="AC252" i="1"/>
  <c r="AC251" i="1" s="1"/>
  <c r="AC264" i="1"/>
  <c r="CY32" i="1"/>
  <c r="CY67" i="1"/>
  <c r="CY63" i="1"/>
  <c r="CY203" i="1"/>
  <c r="CY218" i="1"/>
  <c r="CY202" i="1"/>
  <c r="CY217" i="1"/>
  <c r="CY204" i="1"/>
  <c r="AC211" i="1"/>
  <c r="AC246" i="1"/>
  <c r="CT299" i="1"/>
  <c r="CT300" i="1" s="1"/>
  <c r="CT317" i="1"/>
  <c r="CT318" i="1" s="1"/>
  <c r="CT165" i="1"/>
  <c r="CT293" i="1"/>
  <c r="AB253" i="1"/>
  <c r="AB256" i="1" s="1"/>
  <c r="AB257" i="1" s="1"/>
  <c r="AB248" i="1"/>
  <c r="AD61" i="1"/>
  <c r="CT223" i="1"/>
  <c r="CU263" i="1"/>
  <c r="CT263" i="1"/>
  <c r="CW69" i="1"/>
  <c r="CW70" i="1"/>
  <c r="CU264" i="1"/>
  <c r="CT264" i="1"/>
  <c r="CU223" i="1"/>
  <c r="CV263" i="1"/>
  <c r="CX32" i="1"/>
  <c r="CX67" i="1"/>
  <c r="CX63" i="1"/>
  <c r="CX203" i="1"/>
  <c r="AD203" i="1" s="1"/>
  <c r="AD247" i="1" s="1"/>
  <c r="CX218" i="1"/>
  <c r="AD218" i="1" s="1"/>
  <c r="AD250" i="1" s="1"/>
  <c r="CX202" i="1"/>
  <c r="CX217" i="1"/>
  <c r="CX204" i="1"/>
  <c r="CX292" i="1"/>
  <c r="CY292" i="1"/>
  <c r="AE43" i="1" l="1"/>
  <c r="AE47" i="1" s="1"/>
  <c r="CV265" i="1"/>
  <c r="CY211" i="1"/>
  <c r="CV299" i="1"/>
  <c r="CV300" i="1" s="1"/>
  <c r="CV317" i="1"/>
  <c r="CV318" i="1" s="1"/>
  <c r="CV293" i="1"/>
  <c r="CU165" i="1"/>
  <c r="CU293" i="1"/>
  <c r="CU317" i="1"/>
  <c r="CU318" i="1" s="1"/>
  <c r="CV165" i="1"/>
  <c r="CV82" i="1"/>
  <c r="CV48" i="1"/>
  <c r="CU82" i="1"/>
  <c r="CV84" i="1"/>
  <c r="CU48" i="1"/>
  <c r="CU83" i="1"/>
  <c r="CW81" i="1"/>
  <c r="CW293" i="1" s="1"/>
  <c r="CW80" i="1"/>
  <c r="CY66" i="1"/>
  <c r="CY75" i="1"/>
  <c r="CY79" i="1" s="1"/>
  <c r="CX66" i="1"/>
  <c r="AD66" i="1" s="1"/>
  <c r="AD67" i="1" s="1"/>
  <c r="CX75" i="1"/>
  <c r="CU299" i="1"/>
  <c r="CU300" i="1" s="1"/>
  <c r="CX211" i="1"/>
  <c r="AD204" i="1"/>
  <c r="AE26" i="1"/>
  <c r="AE17" i="1" s="1"/>
  <c r="CY222" i="1"/>
  <c r="CZ298" i="1"/>
  <c r="CZ61" i="1"/>
  <c r="CZ151" i="1"/>
  <c r="CZ152" i="1" s="1"/>
  <c r="CZ155" i="1" s="1"/>
  <c r="CW265" i="1"/>
  <c r="CW223" i="1"/>
  <c r="DB36" i="1"/>
  <c r="DB31" i="1"/>
  <c r="DB59" i="1" s="1"/>
  <c r="DA31" i="1"/>
  <c r="DA59" i="1" s="1"/>
  <c r="DA151" i="1" s="1"/>
  <c r="DA152" i="1" s="1"/>
  <c r="DA155" i="1" s="1"/>
  <c r="DA36" i="1"/>
  <c r="CX69" i="1"/>
  <c r="CX70" i="1"/>
  <c r="CY69" i="1"/>
  <c r="CY70" i="1"/>
  <c r="AD202" i="1"/>
  <c r="AD32" i="1"/>
  <c r="AD62" i="1"/>
  <c r="AD111" i="1"/>
  <c r="AD151" i="1"/>
  <c r="AD255" i="1"/>
  <c r="AD217" i="1"/>
  <c r="AD222" i="1" s="1"/>
  <c r="CX222" i="1"/>
  <c r="CT265" i="1"/>
  <c r="CU265" i="1"/>
  <c r="AC113" i="1"/>
  <c r="AC82" i="1"/>
  <c r="AC165" i="1"/>
  <c r="AC223" i="1"/>
  <c r="AC249" i="1"/>
  <c r="AC263" i="1"/>
  <c r="AC265" i="1" s="1"/>
  <c r="AE36" i="1" l="1"/>
  <c r="CW317" i="1"/>
  <c r="CW318" i="1" s="1"/>
  <c r="CW299" i="1"/>
  <c r="CW300" i="1" s="1"/>
  <c r="CX79" i="1"/>
  <c r="AD75" i="1"/>
  <c r="AD79" i="1" s="1"/>
  <c r="AD80" i="1" s="1"/>
  <c r="CY81" i="1"/>
  <c r="CY80" i="1"/>
  <c r="CW82" i="1"/>
  <c r="CW48" i="1"/>
  <c r="CW83" i="1"/>
  <c r="CW165" i="1"/>
  <c r="CW84" i="1"/>
  <c r="AE31" i="1"/>
  <c r="AE59" i="1"/>
  <c r="AE61" i="1" s="1"/>
  <c r="DA298" i="1"/>
  <c r="DA61" i="1"/>
  <c r="DA292" i="1" s="1"/>
  <c r="DB151" i="1"/>
  <c r="DB152" i="1" s="1"/>
  <c r="DB155" i="1" s="1"/>
  <c r="CZ203" i="1"/>
  <c r="CZ292" i="1"/>
  <c r="CZ218" i="1"/>
  <c r="CZ204" i="1"/>
  <c r="CZ32" i="1"/>
  <c r="CZ202" i="1"/>
  <c r="CZ63" i="1"/>
  <c r="CZ67" i="1"/>
  <c r="CZ217" i="1"/>
  <c r="DB298" i="1"/>
  <c r="DB61" i="1"/>
  <c r="CY223" i="1"/>
  <c r="AC248" i="1"/>
  <c r="AC253" i="1"/>
  <c r="AC256" i="1" s="1"/>
  <c r="AC257" i="1" s="1"/>
  <c r="AD68" i="1"/>
  <c r="AD112" i="1"/>
  <c r="AD69" i="1"/>
  <c r="CY263" i="1"/>
  <c r="CX223" i="1"/>
  <c r="CX263" i="1"/>
  <c r="CY264" i="1"/>
  <c r="CX264" i="1"/>
  <c r="AD211" i="1"/>
  <c r="AD246" i="1"/>
  <c r="AD252" i="1"/>
  <c r="AD251" i="1" s="1"/>
  <c r="AD264" i="1"/>
  <c r="AD81" i="1" l="1"/>
  <c r="AD48" i="1" s="1"/>
  <c r="CY82" i="1"/>
  <c r="CY48" i="1"/>
  <c r="CY83" i="1"/>
  <c r="CY299" i="1"/>
  <c r="CY300" i="1" s="1"/>
  <c r="CZ75" i="1"/>
  <c r="CZ79" i="1" s="1"/>
  <c r="CZ80" i="1" s="1"/>
  <c r="CX81" i="1"/>
  <c r="CX80" i="1"/>
  <c r="CZ211" i="1"/>
  <c r="DB292" i="1"/>
  <c r="DA202" i="1"/>
  <c r="DA217" i="1"/>
  <c r="DA63" i="1"/>
  <c r="DA218" i="1"/>
  <c r="DA32" i="1"/>
  <c r="DA67" i="1"/>
  <c r="DA75" i="1" s="1"/>
  <c r="DA79" i="1" s="1"/>
  <c r="DA204" i="1"/>
  <c r="DA203" i="1"/>
  <c r="CZ69" i="1"/>
  <c r="CZ70" i="1"/>
  <c r="DB63" i="1"/>
  <c r="DB202" i="1"/>
  <c r="DB32" i="1"/>
  <c r="DB217" i="1"/>
  <c r="DB67" i="1"/>
  <c r="DB218" i="1"/>
  <c r="AE218" i="1" s="1"/>
  <c r="AE250" i="1" s="1"/>
  <c r="DB204" i="1"/>
  <c r="DB203" i="1"/>
  <c r="AE203" i="1" s="1"/>
  <c r="AE247" i="1" s="1"/>
  <c r="CZ66" i="1"/>
  <c r="CZ222" i="1"/>
  <c r="AE62" i="1"/>
  <c r="AE111" i="1"/>
  <c r="AE255" i="1"/>
  <c r="AE32" i="1"/>
  <c r="AE151" i="1"/>
  <c r="AD223" i="1"/>
  <c r="AD249" i="1"/>
  <c r="AD263" i="1"/>
  <c r="AD265" i="1" s="1"/>
  <c r="CX265" i="1"/>
  <c r="CY265" i="1"/>
  <c r="AD83" i="1" l="1"/>
  <c r="AD317" i="1"/>
  <c r="AD318" i="1" s="1"/>
  <c r="AD165" i="1"/>
  <c r="AD82" i="1"/>
  <c r="CZ81" i="1"/>
  <c r="CZ82" i="1" s="1"/>
  <c r="CY84" i="1"/>
  <c r="CX82" i="1"/>
  <c r="CX48" i="1"/>
  <c r="CX83" i="1"/>
  <c r="CX165" i="1"/>
  <c r="CY317" i="1"/>
  <c r="CY318" i="1" s="1"/>
  <c r="CY293" i="1"/>
  <c r="CX84" i="1"/>
  <c r="CX317" i="1"/>
  <c r="CX318" i="1" s="1"/>
  <c r="CX293" i="1"/>
  <c r="CX299" i="1"/>
  <c r="CX300" i="1" s="1"/>
  <c r="CY165" i="1"/>
  <c r="DB66" i="1"/>
  <c r="DB75" i="1"/>
  <c r="DB79" i="1" s="1"/>
  <c r="AD113" i="1"/>
  <c r="DA81" i="1"/>
  <c r="DA80" i="1"/>
  <c r="DB211" i="1"/>
  <c r="DA211" i="1"/>
  <c r="AE204" i="1"/>
  <c r="CZ223" i="1"/>
  <c r="CZ263" i="1"/>
  <c r="DA70" i="1"/>
  <c r="DA69" i="1"/>
  <c r="DB70" i="1"/>
  <c r="DB69" i="1"/>
  <c r="AE202" i="1"/>
  <c r="CZ264" i="1"/>
  <c r="DB222" i="1"/>
  <c r="AE217" i="1"/>
  <c r="AE222" i="1" s="1"/>
  <c r="DA66" i="1"/>
  <c r="DA222" i="1"/>
  <c r="DA264" i="1" s="1"/>
  <c r="AD248" i="1"/>
  <c r="AD253" i="1"/>
  <c r="AD256" i="1" s="1"/>
  <c r="AD257" i="1" s="1"/>
  <c r="CZ165" i="1" l="1"/>
  <c r="AE66" i="1"/>
  <c r="AE67" i="1" s="1"/>
  <c r="AE69" i="1" s="1"/>
  <c r="CZ299" i="1"/>
  <c r="CZ300" i="1" s="1"/>
  <c r="DA165" i="1"/>
  <c r="CZ84" i="1"/>
  <c r="CZ83" i="1"/>
  <c r="CZ317" i="1"/>
  <c r="CZ318" i="1" s="1"/>
  <c r="CZ48" i="1"/>
  <c r="CZ293" i="1"/>
  <c r="AE75" i="1"/>
  <c r="AE79" i="1" s="1"/>
  <c r="AE80" i="1" s="1"/>
  <c r="DA82" i="1"/>
  <c r="DA48" i="1"/>
  <c r="DA83" i="1"/>
  <c r="DA84" i="1"/>
  <c r="DB81" i="1"/>
  <c r="DB299" i="1" s="1"/>
  <c r="DB300" i="1" s="1"/>
  <c r="DB80" i="1"/>
  <c r="CZ265" i="1"/>
  <c r="DB264" i="1"/>
  <c r="AE252" i="1"/>
  <c r="AE251" i="1" s="1"/>
  <c r="AE264" i="1"/>
  <c r="DA299" i="1"/>
  <c r="DA300" i="1" s="1"/>
  <c r="DA317" i="1"/>
  <c r="DA318" i="1" s="1"/>
  <c r="AE246" i="1"/>
  <c r="AE211" i="1"/>
  <c r="DA223" i="1"/>
  <c r="DB263" i="1"/>
  <c r="DB223" i="1"/>
  <c r="DA263" i="1"/>
  <c r="DA265" i="1" s="1"/>
  <c r="DA293" i="1"/>
  <c r="AE112" i="1" l="1"/>
  <c r="AE68" i="1"/>
  <c r="DB165" i="1"/>
  <c r="DB317" i="1"/>
  <c r="DB318" i="1" s="1"/>
  <c r="AE81" i="1"/>
  <c r="AE48" i="1" s="1"/>
  <c r="DB82" i="1"/>
  <c r="DB48" i="1"/>
  <c r="DB83" i="1"/>
  <c r="DB293" i="1"/>
  <c r="DB84" i="1"/>
  <c r="DB265" i="1"/>
  <c r="AE223" i="1"/>
  <c r="AE249" i="1"/>
  <c r="AE263" i="1"/>
  <c r="AE265" i="1" s="1"/>
  <c r="AE317" i="1" l="1"/>
  <c r="AE318" i="1" s="1"/>
  <c r="AE165" i="1"/>
  <c r="AE113" i="1"/>
  <c r="AE82" i="1"/>
  <c r="AE83" i="1"/>
  <c r="AE248" i="1"/>
  <c r="AE253" i="1"/>
  <c r="AE256" i="1" s="1"/>
  <c r="AE257" i="1" s="1"/>
  <c r="CH185" i="1"/>
  <c r="CI185" i="1" s="1"/>
  <c r="CJ185" i="1" s="1"/>
  <c r="CH170" i="1"/>
  <c r="CI170" i="1" s="1"/>
  <c r="Z37" i="1"/>
  <c r="CH171" i="1"/>
  <c r="CI171" i="1" s="1"/>
  <c r="CH193" i="1"/>
  <c r="CH269" i="1" s="1"/>
  <c r="Z7" i="1"/>
  <c r="AA12" i="1" s="1"/>
  <c r="Z90" i="1"/>
  <c r="CH186" i="1"/>
  <c r="CI186" i="1" s="1"/>
  <c r="CH202" i="1"/>
  <c r="CH204" i="1"/>
  <c r="Z8" i="1"/>
  <c r="Z269" i="1"/>
  <c r="CH215" i="1"/>
  <c r="CH218" i="1"/>
  <c r="CH250" i="1" s="1"/>
  <c r="CI250" i="1" s="1"/>
  <c r="CI218" i="1" s="1"/>
  <c r="Z219" i="1"/>
  <c r="CH219" i="1" s="1"/>
  <c r="Z249" i="1"/>
  <c r="Z248" i="1" s="1"/>
  <c r="CH178" i="1"/>
  <c r="CH180" i="1"/>
  <c r="CI180" i="1" s="1"/>
  <c r="CH179" i="1"/>
  <c r="CI179" i="1" s="1"/>
  <c r="Z35" i="1"/>
  <c r="Z17" i="1"/>
  <c r="Z38" i="1"/>
  <c r="Z184" i="1"/>
  <c r="Z187" i="1" s="1"/>
  <c r="Z31" i="1"/>
  <c r="Z61" i="1"/>
  <c r="Z173" i="1"/>
  <c r="AA274" i="1" s="1"/>
  <c r="AA272" i="1" s="1"/>
  <c r="AA36" i="1"/>
  <c r="AA38" i="1"/>
  <c r="Z79" i="1"/>
  <c r="Z36" i="1"/>
  <c r="CH221" i="1"/>
  <c r="AA255" i="1" l="1"/>
  <c r="AA62" i="1"/>
  <c r="Z67" i="1"/>
  <c r="AA69" i="1" s="1"/>
  <c r="Z242" i="1"/>
  <c r="CH211" i="1"/>
  <c r="CI193" i="1"/>
  <c r="CJ269" i="1" s="1"/>
  <c r="Z315" i="1"/>
  <c r="Z12" i="1"/>
  <c r="Z80" i="1"/>
  <c r="CK185" i="1"/>
  <c r="CL185" i="1" s="1"/>
  <c r="CL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DB184" i="1" s="1"/>
  <c r="CJ184" i="1"/>
  <c r="CK184" i="1" s="1"/>
  <c r="Z222" i="1"/>
  <c r="AA264" i="1" s="1"/>
  <c r="AA265" i="1" s="1"/>
  <c r="AA266" i="1" s="1"/>
  <c r="CH181" i="1"/>
  <c r="CI178" i="1"/>
  <c r="CI181" i="1" s="1"/>
  <c r="CI173" i="1"/>
  <c r="Z255" i="1"/>
  <c r="Z62" i="1"/>
  <c r="Z32" i="1"/>
  <c r="CH173" i="1"/>
  <c r="Z86" i="1"/>
  <c r="CH190" i="1" s="1"/>
  <c r="CI190" i="1" s="1"/>
  <c r="Z191" i="1"/>
  <c r="AA270" i="1" s="1"/>
  <c r="AA268" i="1" s="1"/>
  <c r="CH246" i="1"/>
  <c r="CI246" i="1" s="1"/>
  <c r="CH184" i="1"/>
  <c r="Z182" i="1"/>
  <c r="AA277" i="1" l="1"/>
  <c r="AA278" i="1" s="1"/>
  <c r="AA280" i="1"/>
  <c r="Z69" i="1"/>
  <c r="Z112" i="1"/>
  <c r="Z81" i="1"/>
  <c r="Z68" i="1"/>
  <c r="Z48" i="1"/>
  <c r="CI269" i="1"/>
  <c r="Z264" i="1"/>
  <c r="Z252" i="1"/>
  <c r="Z251" i="1" s="1"/>
  <c r="Z223" i="1"/>
  <c r="Z232" i="1" s="1"/>
  <c r="Z233" i="1" s="1"/>
  <c r="Z240" i="1" s="1"/>
  <c r="CH212" i="1" s="1"/>
  <c r="CH222" i="1" s="1"/>
  <c r="CH223" i="1" s="1"/>
  <c r="CK187" i="1"/>
  <c r="CL86" i="1" s="1"/>
  <c r="CM86" i="1" s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I202" i="1"/>
  <c r="CH263" i="1"/>
  <c r="CH249" i="1"/>
  <c r="Z270" i="1"/>
  <c r="Z268" i="1" s="1"/>
  <c r="Z313" i="1"/>
  <c r="CH145" i="1"/>
  <c r="CH315" i="1"/>
  <c r="CH107" i="1"/>
  <c r="CH274" i="1"/>
  <c r="Z311" i="1"/>
  <c r="CI184" i="1"/>
  <c r="CI187" i="1" s="1"/>
  <c r="CH187" i="1"/>
  <c r="CJ316" i="1"/>
  <c r="CJ318" i="1" s="1"/>
  <c r="CI316" i="1"/>
  <c r="CI318" i="1" s="1"/>
  <c r="CI273" i="1"/>
  <c r="CJ273" i="1"/>
  <c r="CI182" i="1"/>
  <c r="CI108" i="1" s="1"/>
  <c r="CJ274" i="1"/>
  <c r="CI274" i="1"/>
  <c r="CI107" i="1"/>
  <c r="CI145" i="1"/>
  <c r="CH235" i="1"/>
  <c r="CH316" i="1"/>
  <c r="CH318" i="1" s="1"/>
  <c r="CH273" i="1"/>
  <c r="CH182" i="1"/>
  <c r="CH108" i="1" s="1"/>
  <c r="AA317" i="1" l="1"/>
  <c r="AA318" i="1" s="1"/>
  <c r="AA83" i="1"/>
  <c r="Z83" i="1"/>
  <c r="Z87" i="1"/>
  <c r="Z299" i="1"/>
  <c r="Z300" i="1" s="1"/>
  <c r="Z317" i="1"/>
  <c r="Z318" i="1" s="1"/>
  <c r="Z165" i="1"/>
  <c r="Z113" i="1"/>
  <c r="Z82" i="1"/>
  <c r="Z253" i="1"/>
  <c r="AA256" i="1" s="1"/>
  <c r="AA257" i="1" s="1"/>
  <c r="CK191" i="1"/>
  <c r="CK270" i="1" s="1"/>
  <c r="CK268" i="1" s="1"/>
  <c r="CH272" i="1"/>
  <c r="CI86" i="1"/>
  <c r="CH191" i="1"/>
  <c r="CH232" i="1" s="1"/>
  <c r="CH233" i="1" s="1"/>
  <c r="CH162" i="1"/>
  <c r="CI90" i="1"/>
  <c r="CJ86" i="1"/>
  <c r="CI191" i="1"/>
  <c r="CJ270" i="1" s="1"/>
  <c r="CJ268" i="1" s="1"/>
  <c r="CH149" i="1"/>
  <c r="CH148" i="1"/>
  <c r="CH147" i="1"/>
  <c r="CI149" i="1"/>
  <c r="CI147" i="1"/>
  <c r="CI148" i="1"/>
  <c r="CJ272" i="1"/>
  <c r="CI272" i="1"/>
  <c r="CH264" i="1"/>
  <c r="CH265" i="1" s="1"/>
  <c r="CH266" i="1" s="1"/>
  <c r="CH252" i="1"/>
  <c r="CH251" i="1" s="1"/>
  <c r="CI251" i="1" s="1"/>
  <c r="CH248" i="1"/>
  <c r="CI248" i="1" s="1"/>
  <c r="Z91" i="1" l="1"/>
  <c r="Z108" i="1"/>
  <c r="Z256" i="1"/>
  <c r="Z257" i="1" s="1"/>
  <c r="CK277" i="1"/>
  <c r="CK280" i="1"/>
  <c r="CL261" i="1"/>
  <c r="CL320" i="1"/>
  <c r="CI270" i="1"/>
  <c r="CI268" i="1" s="1"/>
  <c r="CH270" i="1"/>
  <c r="CH268" i="1" s="1"/>
  <c r="CH277" i="1" s="1"/>
  <c r="CH278" i="1" s="1"/>
  <c r="CH313" i="1"/>
  <c r="CH311" i="1"/>
  <c r="CI204" i="1"/>
  <c r="CI211" i="1" s="1"/>
  <c r="CI249" i="1"/>
  <c r="CI217" i="1"/>
  <c r="CI222" i="1" s="1"/>
  <c r="CI252" i="1"/>
  <c r="CH253" i="1"/>
  <c r="CH256" i="1" s="1"/>
  <c r="Z151" i="1"/>
  <c r="CH163" i="1"/>
  <c r="CH166" i="1" s="1"/>
  <c r="CH164" i="1"/>
  <c r="CH167" i="1" s="1"/>
  <c r="Z94" i="1" l="1"/>
  <c r="AA96" i="1" s="1"/>
  <c r="Z93" i="1"/>
  <c r="CH280" i="1"/>
  <c r="CK226" i="1"/>
  <c r="CK228" i="1" s="1"/>
  <c r="CK278" i="1" s="1"/>
  <c r="CJ263" i="1"/>
  <c r="CI223" i="1"/>
  <c r="CI263" i="1"/>
  <c r="Z111" i="1"/>
  <c r="CJ264" i="1"/>
  <c r="CI264" i="1"/>
  <c r="AB184" i="1"/>
  <c r="CI253" i="1"/>
  <c r="CI256" i="1" s="1"/>
  <c r="Z96" i="1" l="1"/>
  <c r="Z101" i="1"/>
  <c r="Z301" i="1"/>
  <c r="Z114" i="1"/>
  <c r="Z95" i="1"/>
  <c r="Z312" i="1" s="1"/>
  <c r="CJ265" i="1"/>
  <c r="CJ266" i="1" s="1"/>
  <c r="CJ280" i="1" s="1"/>
  <c r="CM85" i="1"/>
  <c r="CI265" i="1"/>
  <c r="CI266" i="1" s="1"/>
  <c r="CI280" i="1" s="1"/>
  <c r="CK232" i="1"/>
  <c r="CK233" i="1" s="1"/>
  <c r="CK313" i="1"/>
  <c r="CK235" i="1"/>
  <c r="CL90" i="1" s="1"/>
  <c r="CK311" i="1"/>
  <c r="CK315" i="1"/>
  <c r="CL276" i="1"/>
  <c r="Z105" i="1" l="1"/>
  <c r="Z260" i="1"/>
  <c r="Z262" i="1" s="1"/>
  <c r="Z107" i="1"/>
  <c r="Z274" i="1"/>
  <c r="Z272" i="1" s="1"/>
  <c r="CI277" i="1"/>
  <c r="CL270" i="1"/>
  <c r="CL268" i="1" s="1"/>
  <c r="CK162" i="1"/>
  <c r="CM320" i="1"/>
  <c r="CM261" i="1"/>
  <c r="CM185" i="1"/>
  <c r="CI226" i="1" l="1"/>
  <c r="CI228" i="1" s="1"/>
  <c r="CM187" i="1"/>
  <c r="CL319" i="1"/>
  <c r="CK164" i="1"/>
  <c r="CK167" i="1" s="1"/>
  <c r="CK163" i="1"/>
  <c r="CK166" i="1" s="1"/>
  <c r="CJ276" i="1" l="1"/>
  <c r="CJ277" i="1" s="1"/>
  <c r="CJ278" i="1" s="1"/>
  <c r="CI315" i="1"/>
  <c r="CI232" i="1"/>
  <c r="CI233" i="1" s="1"/>
  <c r="CI311" i="1"/>
  <c r="CI313" i="1"/>
  <c r="CI235" i="1"/>
  <c r="CI278" i="1"/>
  <c r="CN85" i="1"/>
  <c r="CM191" i="1"/>
  <c r="AC184" i="1"/>
  <c r="CI162" i="1" l="1"/>
  <c r="CJ90" i="1"/>
  <c r="CM270" i="1"/>
  <c r="CM268" i="1" s="1"/>
  <c r="CN261" i="1"/>
  <c r="CN87" i="1"/>
  <c r="CN320" i="1"/>
  <c r="CN185" i="1"/>
  <c r="CI163" i="1" l="1"/>
  <c r="CI166" i="1" s="1"/>
  <c r="CI164" i="1"/>
  <c r="CI167" i="1" s="1"/>
  <c r="CL294" i="1"/>
  <c r="CL301" i="1"/>
  <c r="CL312" i="1"/>
  <c r="CN187" i="1"/>
  <c r="CL260" i="1" l="1"/>
  <c r="CL262" i="1" s="1"/>
  <c r="CL266" i="1" s="1"/>
  <c r="CL280" i="1" s="1"/>
  <c r="CO85" i="1"/>
  <c r="CN191" i="1"/>
  <c r="CN270" i="1" l="1"/>
  <c r="CN268" i="1" s="1"/>
  <c r="CO261" i="1"/>
  <c r="CO87" i="1"/>
  <c r="CO320" i="1"/>
  <c r="CO185" i="1"/>
  <c r="CL107" i="1"/>
  <c r="CL140" i="1"/>
  <c r="CM140" i="1" s="1"/>
  <c r="CN140" i="1" s="1"/>
  <c r="CO140" i="1" s="1"/>
  <c r="CP140" i="1" s="1"/>
  <c r="CQ140" i="1" s="1"/>
  <c r="CR140" i="1" s="1"/>
  <c r="CS140" i="1" s="1"/>
  <c r="CT140" i="1" s="1"/>
  <c r="CU140" i="1" s="1"/>
  <c r="CV140" i="1" s="1"/>
  <c r="CW140" i="1" s="1"/>
  <c r="CX140" i="1" s="1"/>
  <c r="CY140" i="1" s="1"/>
  <c r="CZ140" i="1" s="1"/>
  <c r="DA140" i="1" s="1"/>
  <c r="DB140" i="1" s="1"/>
  <c r="CH142" i="1"/>
  <c r="CL138" i="1"/>
  <c r="CL139" i="1"/>
  <c r="CM139" i="1" s="1"/>
  <c r="CN139" i="1" s="1"/>
  <c r="CO139" i="1" s="1"/>
  <c r="CP139" i="1" s="1"/>
  <c r="CQ139" i="1" s="1"/>
  <c r="CR139" i="1" s="1"/>
  <c r="CS139" i="1" s="1"/>
  <c r="CT139" i="1" s="1"/>
  <c r="CU139" i="1" s="1"/>
  <c r="CV139" i="1" s="1"/>
  <c r="CW139" i="1" s="1"/>
  <c r="CX139" i="1" s="1"/>
  <c r="CY139" i="1" s="1"/>
  <c r="CZ139" i="1" s="1"/>
  <c r="DA139" i="1" s="1"/>
  <c r="DB139" i="1" s="1"/>
  <c r="AD184" i="1"/>
  <c r="CL143" i="1" l="1"/>
  <c r="CO187" i="1"/>
  <c r="CL108" i="1"/>
  <c r="CL274" i="1"/>
  <c r="CL272" i="1" s="1"/>
  <c r="CL277" i="1" s="1"/>
  <c r="CL145" i="1"/>
  <c r="CL149" i="1" l="1"/>
  <c r="CN149" i="1" s="1"/>
  <c r="CO149" i="1" s="1"/>
  <c r="CP149" i="1" s="1"/>
  <c r="CQ149" i="1" s="1"/>
  <c r="CL148" i="1"/>
  <c r="CN148" i="1" s="1"/>
  <c r="CO148" i="1" s="1"/>
  <c r="CP148" i="1" s="1"/>
  <c r="CQ148" i="1" s="1"/>
  <c r="CL147" i="1"/>
  <c r="CP85" i="1"/>
  <c r="CO191" i="1"/>
  <c r="CO270" i="1" l="1"/>
  <c r="CO268" i="1" s="1"/>
  <c r="CP87" i="1"/>
  <c r="CP261" i="1"/>
  <c r="CP320" i="1"/>
  <c r="AB85" i="1"/>
  <c r="CP185" i="1"/>
  <c r="CR148" i="1"/>
  <c r="CR149" i="1"/>
  <c r="AB320" i="1" l="1"/>
  <c r="AB261" i="1"/>
  <c r="AB276" i="1"/>
  <c r="CP187" i="1"/>
  <c r="AB185" i="1"/>
  <c r="AB187" i="1" s="1"/>
  <c r="AB191" i="1" s="1"/>
  <c r="AB270" i="1" s="1"/>
  <c r="AB268" i="1" s="1"/>
  <c r="CL311" i="1"/>
  <c r="CL235" i="1"/>
  <c r="CL315" i="1"/>
  <c r="CL313" i="1"/>
  <c r="CL233" i="1"/>
  <c r="CM276" i="1"/>
  <c r="CL278" i="1"/>
  <c r="AE184" i="1"/>
  <c r="CS148" i="1"/>
  <c r="CS149" i="1"/>
  <c r="CP191" i="1" l="1"/>
  <c r="CQ85" i="1"/>
  <c r="CM89" i="1"/>
  <c r="CL162" i="1"/>
  <c r="AB86" i="1"/>
  <c r="CT149" i="1"/>
  <c r="CT148" i="1"/>
  <c r="CP270" i="1" l="1"/>
  <c r="CP268" i="1" s="1"/>
  <c r="CL163" i="1"/>
  <c r="CL166" i="1" s="1"/>
  <c r="CL164" i="1"/>
  <c r="CL167" i="1" s="1"/>
  <c r="CM319" i="1"/>
  <c r="CQ87" i="1"/>
  <c r="CQ261" i="1"/>
  <c r="CQ320" i="1"/>
  <c r="CQ185" i="1"/>
  <c r="CU149" i="1"/>
  <c r="CU148" i="1"/>
  <c r="CQ187" i="1" l="1"/>
  <c r="CV149" i="1"/>
  <c r="CV148" i="1"/>
  <c r="CQ191" i="1" l="1"/>
  <c r="CR85" i="1"/>
  <c r="CW148" i="1"/>
  <c r="CW149" i="1"/>
  <c r="CR261" i="1" l="1"/>
  <c r="CR320" i="1"/>
  <c r="CR87" i="1"/>
  <c r="CR185" i="1"/>
  <c r="CQ270" i="1"/>
  <c r="CQ268" i="1" s="1"/>
  <c r="CX149" i="1"/>
  <c r="CX148" i="1"/>
  <c r="CR187" i="1" l="1"/>
  <c r="CY149" i="1"/>
  <c r="CY148" i="1"/>
  <c r="CR191" i="1" l="1"/>
  <c r="CS85" i="1"/>
  <c r="CZ148" i="1"/>
  <c r="CZ149" i="1"/>
  <c r="CS261" i="1" l="1"/>
  <c r="CS87" i="1"/>
  <c r="CS320" i="1"/>
  <c r="CS185" i="1"/>
  <c r="CR270" i="1"/>
  <c r="CR268" i="1" s="1"/>
  <c r="DA149" i="1"/>
  <c r="DA148" i="1"/>
  <c r="CS187" i="1" l="1"/>
  <c r="DB148" i="1"/>
  <c r="DB149" i="1"/>
  <c r="CS191" i="1" l="1"/>
  <c r="CT85" i="1"/>
  <c r="CT87" i="1" l="1"/>
  <c r="CT261" i="1"/>
  <c r="CT320" i="1"/>
  <c r="AC85" i="1"/>
  <c r="CT185" i="1"/>
  <c r="CS270" i="1"/>
  <c r="CS268" i="1" s="1"/>
  <c r="CT187" i="1" l="1"/>
  <c r="AC185" i="1"/>
  <c r="AC187" i="1" s="1"/>
  <c r="AC191" i="1" s="1"/>
  <c r="AC270" i="1" s="1"/>
  <c r="AC268" i="1" s="1"/>
  <c r="AC87" i="1"/>
  <c r="AC320" i="1"/>
  <c r="AC261" i="1"/>
  <c r="AC86" i="1" l="1"/>
  <c r="CU85" i="1"/>
  <c r="CT191" i="1"/>
  <c r="CU87" i="1" l="1"/>
  <c r="CU320" i="1"/>
  <c r="CU261" i="1"/>
  <c r="CU185" i="1"/>
  <c r="CT270" i="1"/>
  <c r="CT268" i="1" s="1"/>
  <c r="CU187" i="1" l="1"/>
  <c r="CU191" i="1" l="1"/>
  <c r="CV85" i="1"/>
  <c r="CV320" i="1" l="1"/>
  <c r="CV261" i="1"/>
  <c r="CV87" i="1"/>
  <c r="CV185" i="1"/>
  <c r="CU270" i="1"/>
  <c r="CU268" i="1" s="1"/>
  <c r="CV187" i="1" l="1"/>
  <c r="CV191" i="1" l="1"/>
  <c r="CW85" i="1"/>
  <c r="CW261" i="1" l="1"/>
  <c r="CW320" i="1"/>
  <c r="CW87" i="1"/>
  <c r="CW185" i="1"/>
  <c r="CV270" i="1"/>
  <c r="CV268" i="1" s="1"/>
  <c r="CW187" i="1" l="1"/>
  <c r="CW191" i="1" l="1"/>
  <c r="CX85" i="1"/>
  <c r="CW270" i="1" l="1"/>
  <c r="CW268" i="1" s="1"/>
  <c r="CX261" i="1"/>
  <c r="CX320" i="1"/>
  <c r="CX87" i="1"/>
  <c r="AD85" i="1"/>
  <c r="CX185" i="1"/>
  <c r="AD185" i="1" l="1"/>
  <c r="AD187" i="1" s="1"/>
  <c r="AD191" i="1" s="1"/>
  <c r="AD270" i="1" s="1"/>
  <c r="AD268" i="1" s="1"/>
  <c r="CX187" i="1"/>
  <c r="AD87" i="1"/>
  <c r="AD261" i="1"/>
  <c r="AD320" i="1"/>
  <c r="AD86" i="1" l="1"/>
  <c r="CX191" i="1"/>
  <c r="CY85" i="1"/>
  <c r="CY87" i="1" l="1"/>
  <c r="CY261" i="1"/>
  <c r="CY320" i="1"/>
  <c r="CY185" i="1"/>
  <c r="CX270" i="1"/>
  <c r="CX268" i="1" s="1"/>
  <c r="CY187" i="1" l="1"/>
  <c r="CY191" i="1" l="1"/>
  <c r="CZ85" i="1"/>
  <c r="CZ261" i="1" l="1"/>
  <c r="CZ87" i="1"/>
  <c r="CZ320" i="1"/>
  <c r="CZ185" i="1"/>
  <c r="CY270" i="1"/>
  <c r="CY268" i="1" s="1"/>
  <c r="CZ187" i="1" l="1"/>
  <c r="DA85" i="1" l="1"/>
  <c r="CZ191" i="1"/>
  <c r="CZ270" i="1" l="1"/>
  <c r="CZ268" i="1" s="1"/>
  <c r="DA87" i="1"/>
  <c r="DA320" i="1"/>
  <c r="DA261" i="1"/>
  <c r="DA185" i="1"/>
  <c r="DA187" i="1" l="1"/>
  <c r="DA191" i="1" l="1"/>
  <c r="DA270" i="1" s="1"/>
  <c r="DA268" i="1" s="1"/>
  <c r="DB85" i="1"/>
  <c r="DB320" i="1" l="1"/>
  <c r="DB261" i="1"/>
  <c r="DB87" i="1"/>
  <c r="AE85" i="1"/>
  <c r="DB185" i="1"/>
  <c r="AE185" i="1" l="1"/>
  <c r="AE187" i="1" s="1"/>
  <c r="AE191" i="1" s="1"/>
  <c r="AE270" i="1" s="1"/>
  <c r="AE268" i="1" s="1"/>
  <c r="DB187" i="1"/>
  <c r="DB191" i="1" s="1"/>
  <c r="DB270" i="1" s="1"/>
  <c r="DB268" i="1" s="1"/>
  <c r="AE261" i="1"/>
  <c r="AE87" i="1"/>
  <c r="AE320" i="1"/>
  <c r="AE86" i="1" l="1"/>
  <c r="Z263" i="1" l="1"/>
  <c r="Z265" i="1" s="1"/>
  <c r="Z266" i="1" s="1"/>
  <c r="Z277" i="1" l="1"/>
  <c r="Z278" i="1" s="1"/>
  <c r="Z280" i="1"/>
  <c r="CM46" i="1" l="1"/>
  <c r="AB46" i="1" l="1"/>
  <c r="AB47" i="1" s="1"/>
  <c r="CM47" i="1"/>
  <c r="CM75" i="1" l="1"/>
  <c r="CM79" i="1" l="1"/>
  <c r="AB75" i="1"/>
  <c r="AB79" i="1" s="1"/>
  <c r="AB80" i="1" l="1"/>
  <c r="AB81" i="1"/>
  <c r="CM80" i="1"/>
  <c r="CM81" i="1"/>
  <c r="CM299" i="1" l="1"/>
  <c r="CM300" i="1" s="1"/>
  <c r="CM293" i="1"/>
  <c r="CM84" i="1"/>
  <c r="CM165" i="1"/>
  <c r="CM83" i="1"/>
  <c r="CM82" i="1"/>
  <c r="CM317" i="1"/>
  <c r="CM318" i="1" s="1"/>
  <c r="CN317" i="1"/>
  <c r="CN318" i="1" s="1"/>
  <c r="CN293" i="1"/>
  <c r="CN165" i="1"/>
  <c r="CO165" i="1"/>
  <c r="CN84" i="1"/>
  <c r="CO293" i="1"/>
  <c r="CQ83" i="1"/>
  <c r="CP293" i="1"/>
  <c r="CP165" i="1"/>
  <c r="CM87" i="1"/>
  <c r="CM91" i="1" s="1"/>
  <c r="CM92" i="1" s="1"/>
  <c r="CM94" i="1" s="1"/>
  <c r="CM48" i="1"/>
  <c r="AB82" i="1"/>
  <c r="AB83" i="1"/>
  <c r="AB317" i="1"/>
  <c r="AB318" i="1" s="1"/>
  <c r="AB113" i="1"/>
  <c r="AB165" i="1"/>
  <c r="AC317" i="1"/>
  <c r="AC318" i="1" s="1"/>
  <c r="AC83" i="1"/>
  <c r="AB87" i="1"/>
  <c r="AB48" i="1"/>
  <c r="CM301" i="1" l="1"/>
  <c r="CM96" i="1"/>
  <c r="CM101" i="1"/>
  <c r="CM97" i="1"/>
  <c r="CM95" i="1"/>
  <c r="CM312" i="1" s="1"/>
  <c r="CM294" i="1"/>
  <c r="CM172" i="1" l="1"/>
  <c r="CM260" i="1"/>
  <c r="CM262" i="1" s="1"/>
  <c r="CM266" i="1" s="1"/>
  <c r="CM280" i="1" s="1"/>
  <c r="CM119" i="1"/>
  <c r="CM122" i="1" l="1"/>
  <c r="CM173" i="1"/>
  <c r="CM107" i="1" l="1"/>
  <c r="CM274" i="1"/>
  <c r="CM272" i="1" s="1"/>
  <c r="CM277" i="1" s="1"/>
  <c r="CM226" i="1" s="1"/>
  <c r="CM228" i="1" s="1"/>
  <c r="CM182" i="1"/>
  <c r="CM108" i="1" s="1"/>
  <c r="CM145" i="1"/>
  <c r="CM123" i="1"/>
  <c r="CI142" i="1"/>
  <c r="CM138" i="1"/>
  <c r="CM147" i="1" l="1"/>
  <c r="CM131" i="1"/>
  <c r="CM132" i="1"/>
  <c r="CM278" i="1"/>
  <c r="CM315" i="1"/>
  <c r="CM232" i="1"/>
  <c r="CM233" i="1" s="1"/>
  <c r="CN276" i="1"/>
  <c r="CM235" i="1"/>
  <c r="CM311" i="1"/>
  <c r="CM313" i="1"/>
  <c r="CN89" i="1" l="1"/>
  <c r="CM162" i="1"/>
  <c r="CM135" i="1"/>
  <c r="CM161" i="1"/>
  <c r="CM160" i="1"/>
  <c r="CM134" i="1"/>
  <c r="CM164" i="1" l="1"/>
  <c r="CM167" i="1" s="1"/>
  <c r="CM163" i="1"/>
  <c r="CM166" i="1" s="1"/>
  <c r="CN91" i="1"/>
  <c r="CN92" i="1" s="1"/>
  <c r="CN94" i="1" s="1"/>
  <c r="CN319" i="1"/>
  <c r="CN97" i="1" l="1"/>
  <c r="CN101" i="1"/>
  <c r="CN95" i="1"/>
  <c r="CN312" i="1" s="1"/>
  <c r="CN301" i="1"/>
  <c r="CN96" i="1"/>
  <c r="CN294" i="1"/>
  <c r="CN119" i="1" l="1"/>
  <c r="CN260" i="1"/>
  <c r="CN262" i="1" s="1"/>
  <c r="CN266" i="1" s="1"/>
  <c r="CN280" i="1" s="1"/>
  <c r="CN172" i="1"/>
  <c r="CN173" i="1" l="1"/>
  <c r="CN122" i="1"/>
  <c r="CJ142" i="1" l="1"/>
  <c r="CN123" i="1"/>
  <c r="CN138" i="1"/>
  <c r="CN107" i="1"/>
  <c r="CN182" i="1"/>
  <c r="CN108" i="1" s="1"/>
  <c r="CN145" i="1"/>
  <c r="CN274" i="1"/>
  <c r="CN272" i="1" s="1"/>
  <c r="CN277" i="1" s="1"/>
  <c r="CN226" i="1" s="1"/>
  <c r="CN228" i="1" s="1"/>
  <c r="CN278" i="1" l="1"/>
  <c r="CN313" i="1"/>
  <c r="CN315" i="1"/>
  <c r="CN232" i="1"/>
  <c r="CN233" i="1" s="1"/>
  <c r="CO276" i="1"/>
  <c r="CN311" i="1"/>
  <c r="CN235" i="1"/>
  <c r="CN132" i="1"/>
  <c r="CN131" i="1"/>
  <c r="CN147" i="1"/>
  <c r="CN135" i="1" l="1"/>
  <c r="CN161" i="1"/>
  <c r="CN162" i="1"/>
  <c r="CO89" i="1"/>
  <c r="CN160" i="1"/>
  <c r="CN134" i="1"/>
  <c r="CN164" i="1" l="1"/>
  <c r="CN167" i="1" s="1"/>
  <c r="CN163" i="1"/>
  <c r="CN166" i="1" s="1"/>
  <c r="CO319" i="1"/>
  <c r="CO91" i="1"/>
  <c r="CO92" i="1" l="1"/>
  <c r="CO94" i="1" s="1"/>
  <c r="CO101" i="1" l="1"/>
  <c r="CO96" i="1"/>
  <c r="CO97" i="1"/>
  <c r="CO301" i="1"/>
  <c r="CO95" i="1"/>
  <c r="CO312" i="1" s="1"/>
  <c r="CO294" i="1"/>
  <c r="CO260" i="1" l="1"/>
  <c r="CO262" i="1" s="1"/>
  <c r="CO266" i="1" s="1"/>
  <c r="CO280" i="1" s="1"/>
  <c r="CO119" i="1"/>
  <c r="CO172" i="1"/>
  <c r="CO173" i="1" l="1"/>
  <c r="CO122" i="1"/>
  <c r="CO138" i="1" l="1"/>
  <c r="CO123" i="1"/>
  <c r="CK142" i="1"/>
  <c r="CO274" i="1"/>
  <c r="CO272" i="1" s="1"/>
  <c r="CO277" i="1" s="1"/>
  <c r="CO145" i="1"/>
  <c r="CO182" i="1"/>
  <c r="CO108" i="1" s="1"/>
  <c r="CO107" i="1"/>
  <c r="CO131" i="1" l="1"/>
  <c r="CO147" i="1"/>
  <c r="CO132" i="1"/>
  <c r="CO226" i="1"/>
  <c r="CO228" i="1" s="1"/>
  <c r="CO278" i="1" s="1"/>
  <c r="CO311" i="1" l="1"/>
  <c r="CO315" i="1"/>
  <c r="CO235" i="1"/>
  <c r="CP276" i="1"/>
  <c r="CO313" i="1"/>
  <c r="CO232" i="1"/>
  <c r="CO233" i="1" s="1"/>
  <c r="CO161" i="1"/>
  <c r="CO135" i="1"/>
  <c r="CO134" i="1"/>
  <c r="CO160" i="1"/>
  <c r="CP89" i="1" l="1"/>
  <c r="CO162" i="1"/>
  <c r="CO163" i="1" s="1"/>
  <c r="CO166" i="1" s="1"/>
  <c r="CP319" i="1" l="1"/>
  <c r="CP91" i="1"/>
  <c r="AB89" i="1"/>
  <c r="CO164" i="1"/>
  <c r="CO167" i="1" s="1"/>
  <c r="AB319" i="1" l="1"/>
  <c r="AB90" i="1"/>
  <c r="AB91" i="1"/>
  <c r="CP92" i="1"/>
  <c r="AB92" i="1" s="1"/>
  <c r="CP94" i="1" l="1"/>
  <c r="CP101" i="1" s="1"/>
  <c r="AB93" i="1"/>
  <c r="AB94" i="1"/>
  <c r="CP97" i="1" l="1"/>
  <c r="CP294" i="1"/>
  <c r="CP96" i="1"/>
  <c r="CP95" i="1"/>
  <c r="CP312" i="1" s="1"/>
  <c r="CP301" i="1"/>
  <c r="AB114" i="1"/>
  <c r="AB95" i="1"/>
  <c r="AB312" i="1" s="1"/>
  <c r="AB101" i="1"/>
  <c r="AB96" i="1"/>
  <c r="CP260" i="1"/>
  <c r="CP262" i="1" s="1"/>
  <c r="CP266" i="1" s="1"/>
  <c r="CP280" i="1" s="1"/>
  <c r="CP119" i="1"/>
  <c r="CP172" i="1"/>
  <c r="CP122" i="1" l="1"/>
  <c r="AB172" i="1"/>
  <c r="AB173" i="1" s="1"/>
  <c r="CP173" i="1"/>
  <c r="AB260" i="1"/>
  <c r="AB262" i="1" s="1"/>
  <c r="AB266" i="1" s="1"/>
  <c r="AB280" i="1" s="1"/>
  <c r="AB104" i="1"/>
  <c r="AB105" i="1" s="1"/>
  <c r="CP274" i="1" l="1"/>
  <c r="CP272" i="1" s="1"/>
  <c r="CP277" i="1" s="1"/>
  <c r="CP145" i="1"/>
  <c r="CP182" i="1"/>
  <c r="CP108" i="1" s="1"/>
  <c r="CP107" i="1"/>
  <c r="AB107" i="1"/>
  <c r="AB274" i="1"/>
  <c r="AB272" i="1" s="1"/>
  <c r="AB277" i="1" s="1"/>
  <c r="AB242" i="1"/>
  <c r="AB182" i="1"/>
  <c r="AB108" i="1" s="1"/>
  <c r="CL142" i="1"/>
  <c r="CP138" i="1"/>
  <c r="CP125" i="1"/>
  <c r="CP123" i="1"/>
  <c r="CP147" i="1" l="1"/>
  <c r="CP132" i="1"/>
  <c r="CP131" i="1"/>
  <c r="CP226" i="1"/>
  <c r="CP228" i="1" l="1"/>
  <c r="AB226" i="1"/>
  <c r="AB228" i="1" s="1"/>
  <c r="CP134" i="1"/>
  <c r="CP160" i="1"/>
  <c r="AB131" i="1"/>
  <c r="CP135" i="1"/>
  <c r="CP161" i="1"/>
  <c r="AB132" i="1"/>
  <c r="AB135" i="1" l="1"/>
  <c r="AB134" i="1"/>
  <c r="AC276" i="1"/>
  <c r="AB311" i="1"/>
  <c r="AB313" i="1"/>
  <c r="AB235" i="1"/>
  <c r="AB162" i="1" s="1"/>
  <c r="AB315" i="1"/>
  <c r="AB232" i="1"/>
  <c r="AB233" i="1" s="1"/>
  <c r="AB278" i="1"/>
  <c r="CP315" i="1"/>
  <c r="CP313" i="1"/>
  <c r="CP311" i="1"/>
  <c r="CQ276" i="1"/>
  <c r="CP235" i="1"/>
  <c r="CP232" i="1"/>
  <c r="CP233" i="1" s="1"/>
  <c r="CP278" i="1"/>
  <c r="CP162" i="1" l="1"/>
  <c r="CQ89" i="1"/>
  <c r="CQ91" i="1" l="1"/>
  <c r="CQ319" i="1"/>
  <c r="CP163" i="1"/>
  <c r="CP166" i="1" s="1"/>
  <c r="CP164" i="1"/>
  <c r="CP167" i="1" s="1"/>
  <c r="CQ92" i="1" l="1"/>
  <c r="CQ94" i="1" s="1"/>
  <c r="CQ301" i="1" l="1"/>
  <c r="CQ101" i="1"/>
  <c r="CQ96" i="1"/>
  <c r="CQ95" i="1"/>
  <c r="CQ312" i="1" s="1"/>
  <c r="CQ97" i="1"/>
  <c r="CQ294" i="1"/>
  <c r="CQ119" i="1" l="1"/>
  <c r="CQ260" i="1"/>
  <c r="CQ262" i="1" s="1"/>
  <c r="CQ266" i="1" s="1"/>
  <c r="CQ280" i="1" s="1"/>
  <c r="CQ172" i="1"/>
  <c r="CQ173" i="1" l="1"/>
  <c r="CQ122" i="1"/>
  <c r="CQ138" i="1" l="1"/>
  <c r="CQ123" i="1"/>
  <c r="CQ182" i="1"/>
  <c r="CQ108" i="1" s="1"/>
  <c r="CQ274" i="1"/>
  <c r="CQ272" i="1" s="1"/>
  <c r="CQ277" i="1" s="1"/>
  <c r="CQ226" i="1" s="1"/>
  <c r="CQ228" i="1" s="1"/>
  <c r="CQ145" i="1"/>
  <c r="CQ107" i="1"/>
  <c r="CQ147" i="1" l="1"/>
  <c r="CQ132" i="1"/>
  <c r="CQ131" i="1"/>
  <c r="CQ278" i="1"/>
  <c r="CQ315" i="1"/>
  <c r="CR276" i="1"/>
  <c r="CQ235" i="1"/>
  <c r="CQ311" i="1"/>
  <c r="CQ232" i="1"/>
  <c r="CQ233" i="1" s="1"/>
  <c r="CQ313" i="1"/>
  <c r="CQ162" i="1" l="1"/>
  <c r="CR89" i="1"/>
  <c r="CQ134" i="1"/>
  <c r="CQ160" i="1"/>
  <c r="CQ135" i="1"/>
  <c r="CQ161" i="1"/>
  <c r="CQ164" i="1" l="1"/>
  <c r="CQ167" i="1" s="1"/>
  <c r="CR319" i="1"/>
  <c r="CR91" i="1"/>
  <c r="CQ163" i="1"/>
  <c r="CQ166" i="1" s="1"/>
  <c r="CR92" i="1" l="1"/>
  <c r="CR94" i="1" s="1"/>
  <c r="CR101" i="1" l="1"/>
  <c r="CR301" i="1"/>
  <c r="CR95" i="1"/>
  <c r="CR312" i="1" s="1"/>
  <c r="CR97" i="1"/>
  <c r="CR96" i="1"/>
  <c r="CR294" i="1"/>
  <c r="CR119" i="1" l="1"/>
  <c r="CR260" i="1"/>
  <c r="CR262" i="1" s="1"/>
  <c r="CR266" i="1" s="1"/>
  <c r="CR280" i="1" s="1"/>
  <c r="CR172" i="1"/>
  <c r="CR173" i="1" l="1"/>
  <c r="CR122" i="1"/>
  <c r="CR138" i="1" l="1"/>
  <c r="CR123" i="1"/>
  <c r="CR274" i="1"/>
  <c r="CR272" i="1" s="1"/>
  <c r="CR277" i="1" s="1"/>
  <c r="CR226" i="1" s="1"/>
  <c r="CR228" i="1" s="1"/>
  <c r="CR182" i="1"/>
  <c r="CR108" i="1" s="1"/>
  <c r="CR145" i="1"/>
  <c r="CR107" i="1"/>
  <c r="CR147" i="1" l="1"/>
  <c r="CR131" i="1"/>
  <c r="CR132" i="1"/>
  <c r="CR278" i="1"/>
  <c r="CS276" i="1"/>
  <c r="CR235" i="1"/>
  <c r="CR315" i="1"/>
  <c r="CR232" i="1"/>
  <c r="CR233" i="1" s="1"/>
  <c r="CR311" i="1"/>
  <c r="CR313" i="1"/>
  <c r="CS89" i="1" l="1"/>
  <c r="CR162" i="1"/>
  <c r="CR135" i="1"/>
  <c r="CR161" i="1"/>
  <c r="CR134" i="1"/>
  <c r="CR160" i="1"/>
  <c r="CR163" i="1" l="1"/>
  <c r="CR166" i="1" s="1"/>
  <c r="CR164" i="1"/>
  <c r="CR167" i="1" s="1"/>
  <c r="CS319" i="1"/>
  <c r="CS91" i="1"/>
  <c r="CS92" i="1" l="1"/>
  <c r="CS94" i="1" s="1"/>
  <c r="CS101" i="1" l="1"/>
  <c r="CS301" i="1"/>
  <c r="CS96" i="1"/>
  <c r="CS97" i="1"/>
  <c r="CS95" i="1"/>
  <c r="CS312" i="1" s="1"/>
  <c r="CS294" i="1"/>
  <c r="CS119" i="1" l="1"/>
  <c r="CS260" i="1"/>
  <c r="CS262" i="1" s="1"/>
  <c r="CS266" i="1" s="1"/>
  <c r="CS280" i="1" s="1"/>
  <c r="CS172" i="1"/>
  <c r="CS173" i="1" l="1"/>
  <c r="CS122" i="1"/>
  <c r="CS138" i="1" l="1"/>
  <c r="CS123" i="1"/>
  <c r="CS145" i="1"/>
  <c r="CS274" i="1"/>
  <c r="CS272" i="1" s="1"/>
  <c r="CS277" i="1" s="1"/>
  <c r="CS226" i="1" s="1"/>
  <c r="CS228" i="1" s="1"/>
  <c r="CS182" i="1"/>
  <c r="CS108" i="1" s="1"/>
  <c r="CS107" i="1"/>
  <c r="CS147" i="1" l="1"/>
  <c r="CS131" i="1"/>
  <c r="CS132" i="1"/>
  <c r="CS278" i="1"/>
  <c r="CS235" i="1"/>
  <c r="CS311" i="1"/>
  <c r="CS232" i="1"/>
  <c r="CS233" i="1" s="1"/>
  <c r="CT276" i="1"/>
  <c r="CS313" i="1"/>
  <c r="CS315" i="1"/>
  <c r="CT89" i="1" l="1"/>
  <c r="CS162" i="1"/>
  <c r="CS161" i="1"/>
  <c r="CS135" i="1"/>
  <c r="CS134" i="1"/>
  <c r="CS160" i="1"/>
  <c r="CT319" i="1" l="1"/>
  <c r="CT91" i="1"/>
  <c r="AC89" i="1"/>
  <c r="CS163" i="1"/>
  <c r="CS166" i="1" s="1"/>
  <c r="CS164" i="1"/>
  <c r="CS167" i="1" s="1"/>
  <c r="AC319" i="1" l="1"/>
  <c r="AC90" i="1"/>
  <c r="AC91" i="1"/>
  <c r="CT92" i="1"/>
  <c r="AC92" i="1" s="1"/>
  <c r="AC93" i="1" l="1"/>
  <c r="AC94" i="1"/>
  <c r="CT94" i="1"/>
  <c r="CT96" i="1" l="1"/>
  <c r="CT101" i="1"/>
  <c r="CT301" i="1"/>
  <c r="CT95" i="1"/>
  <c r="CT312" i="1" s="1"/>
  <c r="CT97" i="1"/>
  <c r="CT294" i="1"/>
  <c r="AC114" i="1"/>
  <c r="AC101" i="1"/>
  <c r="AC95" i="1"/>
  <c r="AC312" i="1" s="1"/>
  <c r="AC96" i="1"/>
  <c r="AC104" i="1" l="1"/>
  <c r="AC105" i="1" s="1"/>
  <c r="AC260" i="1"/>
  <c r="AC262" i="1" s="1"/>
  <c r="AC266" i="1" s="1"/>
  <c r="AC280" i="1" s="1"/>
  <c r="CT260" i="1"/>
  <c r="CT262" i="1" s="1"/>
  <c r="CT266" i="1" s="1"/>
  <c r="CT280" i="1" s="1"/>
  <c r="CT119" i="1"/>
  <c r="CT172" i="1"/>
  <c r="CT173" i="1" l="1"/>
  <c r="AC172" i="1"/>
  <c r="AC173" i="1" s="1"/>
  <c r="CT122" i="1"/>
  <c r="CT274" i="1" l="1"/>
  <c r="CT272" i="1" s="1"/>
  <c r="CT277" i="1" s="1"/>
  <c r="CT145" i="1"/>
  <c r="CT182" i="1"/>
  <c r="CT108" i="1" s="1"/>
  <c r="CT107" i="1"/>
  <c r="CT138" i="1"/>
  <c r="CT125" i="1"/>
  <c r="CT123" i="1"/>
  <c r="AC107" i="1"/>
  <c r="AC242" i="1"/>
  <c r="AC182" i="1"/>
  <c r="AC108" i="1" s="1"/>
  <c r="AC274" i="1"/>
  <c r="AC272" i="1" s="1"/>
  <c r="AC277" i="1" s="1"/>
  <c r="CT226" i="1" l="1"/>
  <c r="CT147" i="1"/>
  <c r="CT131" i="1"/>
  <c r="CT132" i="1"/>
  <c r="CT228" i="1" l="1"/>
  <c r="AC226" i="1"/>
  <c r="AC228" i="1" s="1"/>
  <c r="CT135" i="1"/>
  <c r="CT161" i="1"/>
  <c r="AC132" i="1"/>
  <c r="CT134" i="1"/>
  <c r="CT160" i="1"/>
  <c r="AC131" i="1"/>
  <c r="CT235" i="1" l="1"/>
  <c r="CU276" i="1"/>
  <c r="CT311" i="1"/>
  <c r="CT313" i="1"/>
  <c r="CT315" i="1"/>
  <c r="CT232" i="1"/>
  <c r="CT233" i="1" s="1"/>
  <c r="CT278" i="1"/>
  <c r="AC134" i="1"/>
  <c r="AC135" i="1"/>
  <c r="AC311" i="1"/>
  <c r="AC313" i="1"/>
  <c r="AC315" i="1"/>
  <c r="AC232" i="1"/>
  <c r="AC233" i="1" s="1"/>
  <c r="AC235" i="1"/>
  <c r="AC162" i="1" s="1"/>
  <c r="AD276" i="1"/>
  <c r="AC278" i="1"/>
  <c r="CU89" i="1" l="1"/>
  <c r="CT162" i="1"/>
  <c r="CU319" i="1" l="1"/>
  <c r="CU91" i="1"/>
  <c r="CU92" i="1" s="1"/>
  <c r="CU94" i="1" s="1"/>
  <c r="CT164" i="1"/>
  <c r="CT167" i="1" s="1"/>
  <c r="CT163" i="1"/>
  <c r="CT166" i="1" s="1"/>
  <c r="CU101" i="1" l="1"/>
  <c r="CU95" i="1"/>
  <c r="CU312" i="1" s="1"/>
  <c r="CU97" i="1"/>
  <c r="CU301" i="1"/>
  <c r="CU96" i="1"/>
  <c r="CU294" i="1"/>
  <c r="CU260" i="1" l="1"/>
  <c r="CU262" i="1" s="1"/>
  <c r="CU266" i="1" s="1"/>
  <c r="CU280" i="1" s="1"/>
  <c r="CU119" i="1"/>
  <c r="CU172" i="1"/>
  <c r="CU173" i="1" l="1"/>
  <c r="CU122" i="1"/>
  <c r="CU274" i="1" l="1"/>
  <c r="CU272" i="1" s="1"/>
  <c r="CU277" i="1" s="1"/>
  <c r="CU226" i="1" s="1"/>
  <c r="CU228" i="1" s="1"/>
  <c r="CU145" i="1"/>
  <c r="CU182" i="1"/>
  <c r="CU108" i="1" s="1"/>
  <c r="CU107" i="1"/>
  <c r="CU138" i="1"/>
  <c r="CU123" i="1"/>
  <c r="CU278" i="1" l="1"/>
  <c r="CU313" i="1"/>
  <c r="CU311" i="1"/>
  <c r="CV276" i="1"/>
  <c r="CU315" i="1"/>
  <c r="CU232" i="1"/>
  <c r="CU233" i="1" s="1"/>
  <c r="CU235" i="1"/>
  <c r="CU147" i="1"/>
  <c r="CU132" i="1"/>
  <c r="CU131" i="1"/>
  <c r="CU160" i="1" l="1"/>
  <c r="CU134" i="1"/>
  <c r="CU135" i="1"/>
  <c r="CU161" i="1"/>
  <c r="CU162" i="1"/>
  <c r="CV89" i="1"/>
  <c r="CV319" i="1" l="1"/>
  <c r="CV91" i="1"/>
  <c r="CU163" i="1"/>
  <c r="CU166" i="1" s="1"/>
  <c r="CU164" i="1"/>
  <c r="CU167" i="1" s="1"/>
  <c r="CV92" i="1" l="1"/>
  <c r="CV94" i="1" s="1"/>
  <c r="CV97" i="1" l="1"/>
  <c r="CV101" i="1"/>
  <c r="CV95" i="1"/>
  <c r="CV312" i="1" s="1"/>
  <c r="CV96" i="1"/>
  <c r="CV301" i="1"/>
  <c r="CV294" i="1"/>
  <c r="CV260" i="1" l="1"/>
  <c r="CV262" i="1" s="1"/>
  <c r="CV266" i="1" s="1"/>
  <c r="CV280" i="1" s="1"/>
  <c r="CV119" i="1"/>
  <c r="CV172" i="1"/>
  <c r="CV173" i="1" l="1"/>
  <c r="CV122" i="1"/>
  <c r="CV274" i="1" l="1"/>
  <c r="CV272" i="1" s="1"/>
  <c r="CV277" i="1" s="1"/>
  <c r="CV226" i="1" s="1"/>
  <c r="CV228" i="1" s="1"/>
  <c r="CV145" i="1"/>
  <c r="CV182" i="1"/>
  <c r="CV108" i="1" s="1"/>
  <c r="CV107" i="1"/>
  <c r="CV138" i="1"/>
  <c r="CV123" i="1"/>
  <c r="CV278" i="1" l="1"/>
  <c r="CW276" i="1"/>
  <c r="CV311" i="1"/>
  <c r="CV315" i="1"/>
  <c r="CV232" i="1"/>
  <c r="CV233" i="1" s="1"/>
  <c r="CV235" i="1"/>
  <c r="CV313" i="1"/>
  <c r="CV147" i="1"/>
  <c r="CV131" i="1"/>
  <c r="CV132" i="1"/>
  <c r="CV160" i="1" l="1"/>
  <c r="CV134" i="1"/>
  <c r="CV162" i="1"/>
  <c r="CW89" i="1"/>
  <c r="CV161" i="1"/>
  <c r="CV135" i="1"/>
  <c r="CV164" i="1" l="1"/>
  <c r="CV167" i="1" s="1"/>
  <c r="CV163" i="1"/>
  <c r="CV166" i="1" s="1"/>
  <c r="CW319" i="1"/>
  <c r="CW91" i="1"/>
  <c r="CW92" i="1" l="1"/>
  <c r="CW94" i="1" s="1"/>
  <c r="CW101" i="1" l="1"/>
  <c r="CW301" i="1"/>
  <c r="CW96" i="1"/>
  <c r="CW95" i="1"/>
  <c r="CW312" i="1" s="1"/>
  <c r="CW97" i="1"/>
  <c r="CW294" i="1"/>
  <c r="CW119" i="1" l="1"/>
  <c r="CW260" i="1"/>
  <c r="CW262" i="1" s="1"/>
  <c r="CW266" i="1" s="1"/>
  <c r="CW280" i="1" s="1"/>
  <c r="CW172" i="1"/>
  <c r="CW173" i="1" l="1"/>
  <c r="CW122" i="1"/>
  <c r="CW138" i="1" l="1"/>
  <c r="CW123" i="1"/>
  <c r="CW274" i="1"/>
  <c r="CW272" i="1" s="1"/>
  <c r="CW277" i="1" s="1"/>
  <c r="CW226" i="1" s="1"/>
  <c r="CW228" i="1" s="1"/>
  <c r="CW182" i="1"/>
  <c r="CW108" i="1" s="1"/>
  <c r="CW145" i="1"/>
  <c r="CW107" i="1"/>
  <c r="CW147" i="1" l="1"/>
  <c r="CW131" i="1"/>
  <c r="CW132" i="1"/>
  <c r="CW278" i="1"/>
  <c r="CX276" i="1"/>
  <c r="CW311" i="1"/>
  <c r="CW315" i="1"/>
  <c r="CW313" i="1"/>
  <c r="CW235" i="1"/>
  <c r="CW232" i="1"/>
  <c r="CW233" i="1" s="1"/>
  <c r="CW160" i="1" l="1"/>
  <c r="CW134" i="1"/>
  <c r="CW135" i="1"/>
  <c r="CW161" i="1"/>
  <c r="CX89" i="1"/>
  <c r="CW162" i="1"/>
  <c r="CW164" i="1" l="1"/>
  <c r="CW167" i="1" s="1"/>
  <c r="CW163" i="1"/>
  <c r="CW166" i="1" s="1"/>
  <c r="CX319" i="1"/>
  <c r="CX91" i="1"/>
  <c r="AD89" i="1"/>
  <c r="AD319" i="1" l="1"/>
  <c r="AD90" i="1"/>
  <c r="AD91" i="1"/>
  <c r="CX92" i="1"/>
  <c r="AD92" i="1" s="1"/>
  <c r="AD93" i="1" l="1"/>
  <c r="AD94" i="1"/>
  <c r="CX94" i="1"/>
  <c r="AD101" i="1" l="1"/>
  <c r="AD114" i="1"/>
  <c r="AD95" i="1"/>
  <c r="AD312" i="1" s="1"/>
  <c r="AD96" i="1"/>
  <c r="CX97" i="1"/>
  <c r="CX96" i="1"/>
  <c r="CX95" i="1"/>
  <c r="CX312" i="1" s="1"/>
  <c r="CX101" i="1"/>
  <c r="CX301" i="1"/>
  <c r="CX294" i="1"/>
  <c r="CX260" i="1" l="1"/>
  <c r="CX262" i="1" s="1"/>
  <c r="CX266" i="1" s="1"/>
  <c r="CX280" i="1" s="1"/>
  <c r="CX119" i="1"/>
  <c r="CX172" i="1"/>
  <c r="AD260" i="1"/>
  <c r="AD262" i="1" s="1"/>
  <c r="AD266" i="1" s="1"/>
  <c r="AD280" i="1" s="1"/>
  <c r="AD104" i="1"/>
  <c r="AD105" i="1" s="1"/>
  <c r="AD172" i="1" l="1"/>
  <c r="AD173" i="1" s="1"/>
  <c r="CX173" i="1"/>
  <c r="CX122" i="1"/>
  <c r="CX125" i="1" s="1"/>
  <c r="CX138" i="1" l="1"/>
  <c r="CX123" i="1"/>
  <c r="CX107" i="1"/>
  <c r="CX145" i="1"/>
  <c r="CX182" i="1"/>
  <c r="CX108" i="1" s="1"/>
  <c r="CX274" i="1"/>
  <c r="CX272" i="1" s="1"/>
  <c r="CX277" i="1" s="1"/>
  <c r="AD242" i="1"/>
  <c r="AD182" i="1"/>
  <c r="AD108" i="1" s="1"/>
  <c r="AD274" i="1"/>
  <c r="AD272" i="1" s="1"/>
  <c r="AD277" i="1" s="1"/>
  <c r="AD107" i="1"/>
  <c r="CX226" i="1" l="1"/>
  <c r="CX147" i="1"/>
  <c r="CX131" i="1"/>
  <c r="CX132" i="1"/>
  <c r="CX161" i="1" l="1"/>
  <c r="CX135" i="1"/>
  <c r="AD132" i="1"/>
  <c r="CX160" i="1"/>
  <c r="CX134" i="1"/>
  <c r="AD131" i="1"/>
  <c r="CX228" i="1"/>
  <c r="AD226" i="1"/>
  <c r="AD228" i="1" s="1"/>
  <c r="AD313" i="1" l="1"/>
  <c r="AD315" i="1"/>
  <c r="AE276" i="1"/>
  <c r="AD235" i="1"/>
  <c r="AD162" i="1" s="1"/>
  <c r="AD232" i="1"/>
  <c r="AD233" i="1" s="1"/>
  <c r="AD311" i="1"/>
  <c r="AD278" i="1"/>
  <c r="CX313" i="1"/>
  <c r="CX235" i="1"/>
  <c r="CX311" i="1"/>
  <c r="CY276" i="1"/>
  <c r="CX315" i="1"/>
  <c r="CX232" i="1"/>
  <c r="CX233" i="1" s="1"/>
  <c r="CX278" i="1"/>
  <c r="AD134" i="1"/>
  <c r="AD135" i="1"/>
  <c r="CY89" i="1" l="1"/>
  <c r="CX162" i="1"/>
  <c r="CX164" i="1" l="1"/>
  <c r="CX167" i="1" s="1"/>
  <c r="CX163" i="1"/>
  <c r="CX166" i="1" s="1"/>
  <c r="CY319" i="1"/>
  <c r="CY91" i="1"/>
  <c r="CY92" i="1" l="1"/>
  <c r="CY94" i="1" s="1"/>
  <c r="CY101" i="1" l="1"/>
  <c r="CY97" i="1"/>
  <c r="CY96" i="1"/>
  <c r="CY95" i="1"/>
  <c r="CY312" i="1" s="1"/>
  <c r="CY301" i="1"/>
  <c r="CY294" i="1"/>
  <c r="CY260" i="1" l="1"/>
  <c r="CY262" i="1" s="1"/>
  <c r="CY266" i="1" s="1"/>
  <c r="CY280" i="1" s="1"/>
  <c r="CY119" i="1"/>
  <c r="CY172" i="1"/>
  <c r="CY173" i="1" l="1"/>
  <c r="CY122" i="1"/>
  <c r="CY138" i="1" l="1"/>
  <c r="CY123" i="1"/>
  <c r="CY145" i="1"/>
  <c r="CY274" i="1"/>
  <c r="CY272" i="1" s="1"/>
  <c r="CY277" i="1" s="1"/>
  <c r="CY226" i="1" s="1"/>
  <c r="CY228" i="1" s="1"/>
  <c r="CY182" i="1"/>
  <c r="CY108" i="1" s="1"/>
  <c r="CY107" i="1"/>
  <c r="CY278" i="1" l="1"/>
  <c r="CY313" i="1"/>
  <c r="CY315" i="1"/>
  <c r="CY311" i="1"/>
  <c r="CZ276" i="1"/>
  <c r="CY232" i="1"/>
  <c r="CY233" i="1" s="1"/>
  <c r="CY235" i="1"/>
  <c r="CY147" i="1"/>
  <c r="CY132" i="1"/>
  <c r="CY131" i="1"/>
  <c r="CZ89" i="1" l="1"/>
  <c r="CY162" i="1"/>
  <c r="CY134" i="1"/>
  <c r="CY160" i="1"/>
  <c r="CY161" i="1"/>
  <c r="CY135" i="1"/>
  <c r="CY163" i="1" l="1"/>
  <c r="CY166" i="1" s="1"/>
  <c r="CY164" i="1"/>
  <c r="CY167" i="1" s="1"/>
  <c r="CZ319" i="1"/>
  <c r="CZ91" i="1"/>
  <c r="CZ92" i="1" s="1"/>
  <c r="CZ94" i="1" s="1"/>
  <c r="CZ101" i="1" l="1"/>
  <c r="CZ301" i="1"/>
  <c r="CZ95" i="1"/>
  <c r="CZ312" i="1" s="1"/>
  <c r="CZ97" i="1"/>
  <c r="CZ96" i="1"/>
  <c r="CZ294" i="1"/>
  <c r="CZ119" i="1" l="1"/>
  <c r="CZ260" i="1"/>
  <c r="CZ262" i="1" s="1"/>
  <c r="CZ266" i="1" s="1"/>
  <c r="CZ280" i="1" s="1"/>
  <c r="CZ172" i="1"/>
  <c r="CZ173" i="1" l="1"/>
  <c r="CZ122" i="1"/>
  <c r="CZ138" i="1" l="1"/>
  <c r="CZ123" i="1"/>
  <c r="CZ145" i="1"/>
  <c r="CZ274" i="1"/>
  <c r="CZ272" i="1" s="1"/>
  <c r="CZ277" i="1" s="1"/>
  <c r="CZ182" i="1"/>
  <c r="CZ108" i="1" s="1"/>
  <c r="CZ107" i="1"/>
  <c r="CZ226" i="1" l="1"/>
  <c r="CZ228" i="1" s="1"/>
  <c r="CZ278" i="1" s="1"/>
  <c r="CZ147" i="1"/>
  <c r="CZ132" i="1"/>
  <c r="CZ131" i="1"/>
  <c r="CZ160" i="1" l="1"/>
  <c r="CZ134" i="1"/>
  <c r="CZ135" i="1"/>
  <c r="CZ161" i="1"/>
  <c r="CZ232" i="1"/>
  <c r="CZ233" i="1" s="1"/>
  <c r="CZ311" i="1"/>
  <c r="CZ315" i="1"/>
  <c r="CZ235" i="1"/>
  <c r="DA276" i="1"/>
  <c r="CZ313" i="1"/>
  <c r="DA89" i="1" l="1"/>
  <c r="CZ162" i="1"/>
  <c r="CZ164" i="1" s="1"/>
  <c r="CZ167" i="1" s="1"/>
  <c r="CZ163" i="1" l="1"/>
  <c r="CZ166" i="1" s="1"/>
  <c r="DA319" i="1"/>
  <c r="DA91" i="1"/>
  <c r="DA92" i="1" s="1"/>
  <c r="DA94" i="1" s="1"/>
  <c r="DA95" i="1" l="1"/>
  <c r="DA312" i="1" s="1"/>
  <c r="DA96" i="1"/>
  <c r="DA101" i="1"/>
  <c r="DA301" i="1"/>
  <c r="DA97" i="1"/>
  <c r="DA294" i="1"/>
  <c r="DA260" i="1" l="1"/>
  <c r="DA262" i="1" s="1"/>
  <c r="DA266" i="1" s="1"/>
  <c r="DA280" i="1" s="1"/>
  <c r="DA119" i="1"/>
  <c r="DA122" i="1" s="1"/>
  <c r="DA172" i="1"/>
  <c r="DA173" i="1" l="1"/>
  <c r="DA138" i="1"/>
  <c r="DA123" i="1"/>
  <c r="DA274" i="1" l="1"/>
  <c r="DA272" i="1" s="1"/>
  <c r="DA277" i="1" s="1"/>
  <c r="DA226" i="1" s="1"/>
  <c r="DA228" i="1" s="1"/>
  <c r="DA182" i="1"/>
  <c r="DA108" i="1" s="1"/>
  <c r="DA145" i="1"/>
  <c r="DA107" i="1"/>
  <c r="DA147" i="1" l="1"/>
  <c r="DA131" i="1"/>
  <c r="DA132" i="1"/>
  <c r="DA278" i="1"/>
  <c r="DB276" i="1"/>
  <c r="DA232" i="1"/>
  <c r="DA233" i="1" s="1"/>
  <c r="DA315" i="1"/>
  <c r="DA313" i="1"/>
  <c r="DA235" i="1"/>
  <c r="DA311" i="1"/>
  <c r="DA160" i="1" l="1"/>
  <c r="DA134" i="1"/>
  <c r="DA162" i="1"/>
  <c r="DB89" i="1"/>
  <c r="DA161" i="1"/>
  <c r="DA135" i="1"/>
  <c r="DB319" i="1" l="1"/>
  <c r="DB91" i="1"/>
  <c r="AE89" i="1"/>
  <c r="DA164" i="1"/>
  <c r="DA167" i="1" s="1"/>
  <c r="DA163" i="1"/>
  <c r="DA166" i="1" s="1"/>
  <c r="AE319" i="1" l="1"/>
  <c r="AE90" i="1"/>
  <c r="AE91" i="1"/>
  <c r="DB92" i="1"/>
  <c r="AE92" i="1" s="1"/>
  <c r="AE93" i="1" s="1"/>
  <c r="DB94" i="1" l="1"/>
  <c r="DB95" i="1" s="1"/>
  <c r="DB312" i="1" s="1"/>
  <c r="AE94" i="1"/>
  <c r="DB97" i="1" l="1"/>
  <c r="DB294" i="1"/>
  <c r="DB301" i="1"/>
  <c r="DB96" i="1"/>
  <c r="DB101" i="1"/>
  <c r="DB260" i="1" s="1"/>
  <c r="DB262" i="1" s="1"/>
  <c r="DB266" i="1" s="1"/>
  <c r="DB280" i="1" s="1"/>
  <c r="AE101" i="1"/>
  <c r="AE114" i="1"/>
  <c r="AE95" i="1"/>
  <c r="AE312" i="1" s="1"/>
  <c r="AE96" i="1"/>
  <c r="DB172" i="1" l="1"/>
  <c r="AE172" i="1" s="1"/>
  <c r="AE173" i="1" s="1"/>
  <c r="AE107" i="1" s="1"/>
  <c r="DB119" i="1"/>
  <c r="DB122" i="1" s="1"/>
  <c r="DB138" i="1" s="1"/>
  <c r="AE104" i="1"/>
  <c r="AE105" i="1" s="1"/>
  <c r="AE260" i="1"/>
  <c r="AE262" i="1" s="1"/>
  <c r="AE266" i="1" s="1"/>
  <c r="AE280" i="1" s="1"/>
  <c r="DB123" i="1" l="1"/>
  <c r="DB173" i="1"/>
  <c r="DB182" i="1" s="1"/>
  <c r="DB108" i="1" s="1"/>
  <c r="AE242" i="1"/>
  <c r="AE182" i="1"/>
  <c r="AE108" i="1" s="1"/>
  <c r="AE274" i="1"/>
  <c r="AE272" i="1" s="1"/>
  <c r="AE277" i="1" s="1"/>
  <c r="DB107" i="1" l="1"/>
  <c r="DB145" i="1"/>
  <c r="DB147" i="1" s="1"/>
  <c r="DB274" i="1"/>
  <c r="DB272" i="1" s="1"/>
  <c r="DB277" i="1" s="1"/>
  <c r="DB226" i="1" s="1"/>
  <c r="DB131" i="1" l="1"/>
  <c r="AE131" i="1" s="1"/>
  <c r="DB132" i="1"/>
  <c r="DB135" i="1" s="1"/>
  <c r="AE226" i="1"/>
  <c r="AE228" i="1" s="1"/>
  <c r="DB228" i="1"/>
  <c r="DB160" i="1" l="1"/>
  <c r="DB134" i="1"/>
  <c r="DB161" i="1"/>
  <c r="AE132" i="1"/>
  <c r="AE135" i="1" s="1"/>
  <c r="AE134" i="1"/>
  <c r="DB232" i="1"/>
  <c r="DB233" i="1" s="1"/>
  <c r="DB315" i="1"/>
  <c r="DB235" i="1"/>
  <c r="DB162" i="1" s="1"/>
  <c r="DB311" i="1"/>
  <c r="DB313" i="1"/>
  <c r="DB278" i="1"/>
  <c r="AE232" i="1"/>
  <c r="AE233" i="1" s="1"/>
  <c r="AE311" i="1"/>
  <c r="AE313" i="1"/>
  <c r="AE315" i="1"/>
  <c r="AE235" i="1"/>
  <c r="AE162" i="1" s="1"/>
  <c r="AE278" i="1"/>
  <c r="DB163" i="1" l="1"/>
  <c r="DB166" i="1" s="1"/>
  <c r="DB164" i="1"/>
  <c r="DB167" i="1" s="1"/>
  <c r="AB116" i="1" l="1"/>
  <c r="AA116" i="1"/>
  <c r="AA118" i="1"/>
  <c r="AA119" i="1"/>
  <c r="AA122" i="1"/>
  <c r="AA123" i="1"/>
  <c r="AA161" i="1"/>
  <c r="AA164" i="1"/>
  <c r="AA167" i="1"/>
  <c r="AA140" i="1"/>
  <c r="AA160" i="1"/>
  <c r="AA163" i="1"/>
  <c r="AA166" i="1"/>
  <c r="AA139" i="1"/>
  <c r="AA138" i="1"/>
  <c r="AA145" i="1"/>
  <c r="AA152" i="1"/>
  <c r="AA147" i="1"/>
  <c r="AA149" i="1"/>
  <c r="AA148" i="1"/>
  <c r="AA155" i="1"/>
  <c r="AA157" i="1"/>
  <c r="AA156" i="1"/>
  <c r="AA121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J118" i="1"/>
  <c r="J145" i="1"/>
  <c r="J119" i="1"/>
  <c r="Y118" i="1"/>
  <c r="Y145" i="1"/>
  <c r="Y147" i="1"/>
  <c r="I116" i="1"/>
  <c r="I118" i="1"/>
  <c r="I161" i="1"/>
  <c r="I164" i="1"/>
  <c r="I167" i="1"/>
  <c r="H116" i="1"/>
  <c r="G116" i="1"/>
  <c r="F116" i="1"/>
  <c r="F118" i="1"/>
  <c r="F145" i="1"/>
  <c r="F148" i="1"/>
  <c r="J161" i="1"/>
  <c r="J164" i="1"/>
  <c r="O118" i="1"/>
  <c r="K118" i="1"/>
  <c r="O152" i="1"/>
  <c r="Z118" i="1"/>
  <c r="Z142" i="1"/>
  <c r="I152" i="1"/>
  <c r="Z161" i="1"/>
  <c r="Z164" i="1"/>
  <c r="Z167" i="1"/>
  <c r="AC116" i="1"/>
  <c r="AC118" i="1"/>
  <c r="AC145" i="1"/>
  <c r="AC149" i="1"/>
  <c r="AC152" i="1"/>
  <c r="AC156" i="1"/>
  <c r="AC160" i="1"/>
  <c r="AC163" i="1"/>
  <c r="AC166" i="1"/>
  <c r="AC161" i="1"/>
  <c r="AC164" i="1"/>
  <c r="AC167" i="1"/>
  <c r="AD116" i="1"/>
  <c r="AD118" i="1"/>
  <c r="AD119" i="1"/>
  <c r="AD121" i="1"/>
  <c r="AD145" i="1"/>
  <c r="AD147" i="1"/>
  <c r="AD160" i="1"/>
  <c r="AD161" i="1"/>
  <c r="AE116" i="1"/>
  <c r="AE118" i="1"/>
  <c r="AE145" i="1"/>
  <c r="AE149" i="1"/>
  <c r="Y148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R118" i="1"/>
  <c r="Y160" i="1"/>
  <c r="V118" i="1"/>
  <c r="V119" i="1"/>
  <c r="V122" i="1"/>
  <c r="T118" i="1"/>
  <c r="AE147" i="1"/>
  <c r="X118" i="1"/>
  <c r="X119" i="1"/>
  <c r="X121" i="1"/>
  <c r="AE160" i="1"/>
  <c r="L118" i="1"/>
  <c r="L119" i="1"/>
  <c r="L122" i="1"/>
  <c r="L140" i="1"/>
  <c r="H118" i="1"/>
  <c r="H119" i="1"/>
  <c r="H122" i="1"/>
  <c r="H123" i="1"/>
  <c r="J160" i="1"/>
  <c r="L139" i="1"/>
  <c r="N118" i="1"/>
  <c r="N161" i="1"/>
  <c r="N164" i="1"/>
  <c r="I145" i="1"/>
  <c r="AE152" i="1"/>
  <c r="AC117" i="1"/>
  <c r="AE148" i="1"/>
  <c r="S118" i="1"/>
  <c r="S119" i="1"/>
  <c r="S121" i="1"/>
  <c r="R152" i="1"/>
  <c r="R155" i="1"/>
  <c r="V161" i="1"/>
  <c r="O161" i="1"/>
  <c r="W118" i="1"/>
  <c r="W119" i="1"/>
  <c r="W122" i="1"/>
  <c r="W138" i="1"/>
  <c r="G118" i="1"/>
  <c r="G160" i="1"/>
  <c r="G163" i="1"/>
  <c r="G166" i="1"/>
  <c r="W140" i="1"/>
  <c r="W161" i="1"/>
  <c r="W164" i="1"/>
  <c r="V121" i="1"/>
  <c r="AE156" i="1"/>
  <c r="Z119" i="1"/>
  <c r="Z122" i="1"/>
  <c r="Y142" i="1"/>
  <c r="S152" i="1"/>
  <c r="S155" i="1"/>
  <c r="Z140" i="1"/>
  <c r="V138" i="1"/>
  <c r="F119" i="1"/>
  <c r="AD149" i="1"/>
  <c r="N152" i="1"/>
  <c r="N155" i="1"/>
  <c r="I119" i="1"/>
  <c r="V145" i="1"/>
  <c r="V148" i="1"/>
  <c r="X145" i="1"/>
  <c r="X148" i="1"/>
  <c r="X149" i="1"/>
  <c r="J122" i="1"/>
  <c r="F152" i="1"/>
  <c r="O117" i="1"/>
  <c r="N117" i="1"/>
  <c r="M117" i="1"/>
  <c r="L117" i="1"/>
  <c r="K117" i="1"/>
  <c r="J117" i="1"/>
  <c r="I117" i="1"/>
  <c r="H117" i="1"/>
  <c r="G117" i="1"/>
  <c r="F117" i="1"/>
  <c r="E117" i="1"/>
  <c r="E116" i="1"/>
  <c r="E118" i="1"/>
  <c r="E119" i="1"/>
  <c r="E122" i="1"/>
  <c r="E140" i="1"/>
  <c r="P118" i="1"/>
  <c r="P145" i="1"/>
  <c r="P148" i="1"/>
  <c r="L161" i="1"/>
  <c r="L164" i="1"/>
  <c r="L167" i="1"/>
  <c r="M118" i="1"/>
  <c r="M161" i="1"/>
  <c r="M164" i="1"/>
  <c r="M167" i="1"/>
  <c r="M160" i="1"/>
  <c r="M163" i="1"/>
  <c r="M166" i="1"/>
  <c r="G145" i="1"/>
  <c r="G147" i="1"/>
  <c r="J149" i="1"/>
  <c r="F147" i="1"/>
  <c r="J167" i="1"/>
  <c r="S145" i="1"/>
  <c r="S148" i="1"/>
  <c r="W160" i="1"/>
  <c r="W163" i="1"/>
  <c r="W166" i="1"/>
  <c r="Z160" i="1"/>
  <c r="Z163" i="1"/>
  <c r="Z166" i="1"/>
  <c r="AC119" i="1"/>
  <c r="AC121" i="1"/>
  <c r="L152" i="1"/>
  <c r="E145" i="1"/>
  <c r="E149" i="1"/>
  <c r="K161" i="1"/>
  <c r="K164" i="1"/>
  <c r="K167" i="1"/>
  <c r="E123" i="1"/>
  <c r="AD122" i="1"/>
  <c r="AB118" i="1"/>
  <c r="AB119" i="1"/>
  <c r="AB122" i="1"/>
  <c r="M152" i="1"/>
  <c r="U118" i="1"/>
  <c r="U145" i="1"/>
  <c r="U147" i="1"/>
  <c r="J148" i="1"/>
  <c r="O156" i="1"/>
  <c r="L145" i="1"/>
  <c r="F160" i="1"/>
  <c r="AD140" i="1"/>
  <c r="F163" i="1"/>
  <c r="AB123" i="1"/>
  <c r="Q118" i="1"/>
  <c r="Q152" i="1"/>
  <c r="Q157" i="1"/>
  <c r="D142" i="1"/>
  <c r="U119" i="1"/>
  <c r="U122" i="1"/>
  <c r="U140" i="1"/>
  <c r="AC122" i="1"/>
  <c r="V152" i="1"/>
  <c r="V155" i="1"/>
  <c r="H160" i="1"/>
  <c r="H163" i="1"/>
  <c r="H166" i="1"/>
  <c r="R119" i="1"/>
  <c r="Y119" i="1"/>
  <c r="H161" i="1"/>
  <c r="F122" i="1"/>
  <c r="H152" i="1"/>
  <c r="I160" i="1"/>
  <c r="U121" i="1"/>
  <c r="F123" i="1"/>
  <c r="M145" i="1"/>
  <c r="AB140" i="1"/>
  <c r="AB145" i="1"/>
  <c r="I122" i="1"/>
  <c r="W152" i="1"/>
  <c r="K160" i="1"/>
  <c r="AD164" i="1"/>
  <c r="I142" i="1"/>
  <c r="N156" i="1"/>
  <c r="I138" i="1"/>
  <c r="H142" i="1"/>
  <c r="Y161" i="1"/>
  <c r="H138" i="1"/>
  <c r="M119" i="1"/>
  <c r="Y149" i="1"/>
  <c r="N119" i="1"/>
  <c r="E152" i="1"/>
  <c r="G119" i="1"/>
  <c r="S161" i="1"/>
  <c r="J163" i="1"/>
  <c r="S147" i="1"/>
  <c r="AD152" i="1"/>
  <c r="E160" i="1"/>
  <c r="T160" i="1"/>
  <c r="AD138" i="1"/>
  <c r="U142" i="1"/>
  <c r="Q119" i="1"/>
  <c r="K142" i="1"/>
  <c r="I149" i="1"/>
  <c r="T145" i="1"/>
  <c r="J166" i="1"/>
  <c r="T163" i="1"/>
  <c r="AD155" i="1"/>
  <c r="AE157" i="1"/>
  <c r="N122" i="1"/>
  <c r="M142" i="1"/>
  <c r="N123" i="1"/>
  <c r="AB160" i="1"/>
  <c r="AC147" i="1"/>
  <c r="I157" i="1"/>
  <c r="AE161" i="1"/>
  <c r="R157" i="1"/>
  <c r="R156" i="1"/>
  <c r="F155" i="1"/>
  <c r="S164" i="1"/>
  <c r="E157" i="1"/>
  <c r="T161" i="1"/>
  <c r="V164" i="1"/>
  <c r="O164" i="1"/>
  <c r="G161" i="1"/>
  <c r="G164" i="1"/>
  <c r="E138" i="1"/>
  <c r="E121" i="1"/>
  <c r="W139" i="1"/>
  <c r="W123" i="1"/>
  <c r="Q121" i="1"/>
  <c r="AD117" i="1"/>
  <c r="Q160" i="1"/>
  <c r="Q163" i="1"/>
  <c r="Q166" i="1"/>
  <c r="R122" i="1"/>
  <c r="R139" i="1"/>
  <c r="R145" i="1"/>
  <c r="Z139" i="1"/>
  <c r="W167" i="1"/>
  <c r="L157" i="1"/>
  <c r="L160" i="1"/>
  <c r="L163" i="1"/>
  <c r="N139" i="1"/>
  <c r="Z138" i="1"/>
  <c r="F166" i="1"/>
  <c r="AD156" i="1"/>
  <c r="M148" i="1"/>
  <c r="F149" i="1"/>
  <c r="J123" i="1"/>
  <c r="AD163" i="1"/>
  <c r="Y163" i="1"/>
  <c r="R121" i="1"/>
  <c r="H157" i="1"/>
  <c r="R149" i="1"/>
  <c r="AC139" i="1"/>
  <c r="AD167" i="1"/>
  <c r="Y166" i="1"/>
  <c r="R138" i="1"/>
  <c r="I148" i="1"/>
  <c r="S157" i="1"/>
  <c r="V142" i="1"/>
  <c r="T119" i="1"/>
  <c r="T122" i="1"/>
  <c r="T140" i="1"/>
  <c r="G167" i="1"/>
  <c r="X161" i="1"/>
  <c r="X164" i="1"/>
  <c r="X167" i="1"/>
  <c r="AE119" i="1"/>
  <c r="AE122" i="1"/>
  <c r="AE138" i="1"/>
  <c r="N157" i="1"/>
  <c r="F121" i="1"/>
  <c r="I163" i="1"/>
  <c r="I166" i="1"/>
  <c r="R160" i="1"/>
  <c r="R163" i="1"/>
  <c r="N145" i="1"/>
  <c r="N149" i="1"/>
  <c r="O145" i="1"/>
  <c r="O147" i="1"/>
  <c r="O119" i="1"/>
  <c r="O122" i="1"/>
  <c r="O123" i="1"/>
  <c r="Q145" i="1"/>
  <c r="Q147" i="1"/>
  <c r="P149" i="1"/>
  <c r="V149" i="1"/>
  <c r="P147" i="1"/>
  <c r="S122" i="1"/>
  <c r="S138" i="1"/>
  <c r="L138" i="1"/>
  <c r="T152" i="1"/>
  <c r="T156" i="1"/>
  <c r="V160" i="1"/>
  <c r="V163" i="1"/>
  <c r="V166" i="1"/>
  <c r="N147" i="1"/>
  <c r="Q149" i="1"/>
  <c r="V147" i="1"/>
  <c r="E148" i="1"/>
  <c r="F161" i="1"/>
  <c r="F164" i="1"/>
  <c r="F167" i="1"/>
  <c r="K119" i="1"/>
  <c r="K122" i="1"/>
  <c r="J142" i="1"/>
  <c r="U149" i="1"/>
  <c r="L121" i="1"/>
  <c r="I155" i="1"/>
  <c r="AC148" i="1"/>
  <c r="U160" i="1"/>
  <c r="U163" i="1"/>
  <c r="G149" i="1"/>
  <c r="H145" i="1"/>
  <c r="I156" i="1"/>
  <c r="Q156" i="1"/>
  <c r="N148" i="1"/>
  <c r="U161" i="1"/>
  <c r="U164" i="1"/>
  <c r="S123" i="1"/>
  <c r="S160" i="1"/>
  <c r="Y122" i="1"/>
  <c r="O155" i="1"/>
  <c r="N142" i="1"/>
  <c r="P160" i="1"/>
  <c r="P163" i="1"/>
  <c r="J147" i="1"/>
  <c r="J121" i="1"/>
  <c r="AC140" i="1"/>
  <c r="F138" i="1"/>
  <c r="E142" i="1"/>
  <c r="F140" i="1"/>
  <c r="H155" i="1"/>
  <c r="Q148" i="1"/>
  <c r="S140" i="1"/>
  <c r="AB161" i="1"/>
  <c r="P119" i="1"/>
  <c r="AB152" i="1"/>
  <c r="AC157" i="1"/>
  <c r="AC142" i="1"/>
  <c r="Y152" i="1"/>
  <c r="K145" i="1"/>
  <c r="K152" i="1"/>
  <c r="E147" i="1"/>
  <c r="Z152" i="1"/>
  <c r="AB155" i="1"/>
  <c r="S149" i="1"/>
  <c r="O160" i="1"/>
  <c r="AD139" i="1"/>
  <c r="L148" i="1"/>
  <c r="O163" i="1"/>
  <c r="W145" i="1"/>
  <c r="L123" i="1"/>
  <c r="AB138" i="1"/>
  <c r="F156" i="1"/>
  <c r="Z155" i="1"/>
  <c r="V139" i="1"/>
  <c r="AB149" i="1"/>
  <c r="W148" i="1"/>
  <c r="I139" i="1"/>
  <c r="P122" i="1"/>
  <c r="P121" i="1"/>
  <c r="K163" i="1"/>
  <c r="AE140" i="1"/>
  <c r="H164" i="1"/>
  <c r="I123" i="1"/>
  <c r="Y164" i="1"/>
  <c r="Y167" i="1"/>
  <c r="H140" i="1"/>
  <c r="H139" i="1"/>
  <c r="G142" i="1"/>
  <c r="M122" i="1"/>
  <c r="U123" i="1"/>
  <c r="L156" i="1"/>
  <c r="O157" i="1"/>
  <c r="G122" i="1"/>
  <c r="Z145" i="1"/>
  <c r="Z148" i="1"/>
  <c r="V140" i="1"/>
  <c r="G148" i="1"/>
  <c r="V123" i="1"/>
  <c r="E161" i="1"/>
  <c r="E164" i="1"/>
  <c r="P161" i="1"/>
  <c r="P164" i="1"/>
  <c r="AD123" i="1"/>
  <c r="J152" i="1"/>
  <c r="X160" i="1"/>
  <c r="X163" i="1"/>
  <c r="S163" i="1"/>
  <c r="R161" i="1"/>
  <c r="P152" i="1"/>
  <c r="K139" i="1"/>
  <c r="X122" i="1"/>
  <c r="M149" i="1"/>
  <c r="M123" i="1"/>
  <c r="G138" i="1"/>
  <c r="M157" i="1"/>
  <c r="AE155" i="1"/>
  <c r="N138" i="1"/>
  <c r="J156" i="1"/>
  <c r="Q161" i="1"/>
  <c r="Q164" i="1"/>
  <c r="T166" i="1"/>
  <c r="L147" i="1"/>
  <c r="N140" i="1"/>
  <c r="R164" i="1"/>
  <c r="R167" i="1"/>
  <c r="P139" i="1"/>
  <c r="X140" i="1"/>
  <c r="AB163" i="1"/>
  <c r="N160" i="1"/>
  <c r="N163" i="1"/>
  <c r="AE164" i="1"/>
  <c r="G123" i="1"/>
  <c r="AC155" i="1"/>
  <c r="AD148" i="1"/>
  <c r="L155" i="1"/>
  <c r="AE167" i="1"/>
  <c r="AB166" i="1"/>
  <c r="X152" i="1"/>
  <c r="H149" i="1"/>
  <c r="X156" i="1"/>
  <c r="Y138" i="1"/>
  <c r="U152" i="1"/>
  <c r="V156" i="1"/>
  <c r="S139" i="1"/>
  <c r="M155" i="1"/>
  <c r="T164" i="1"/>
  <c r="J157" i="1"/>
  <c r="J155" i="1"/>
  <c r="O167" i="1"/>
  <c r="H121" i="1"/>
  <c r="Y123" i="1"/>
  <c r="L142" i="1"/>
  <c r="Q122" i="1"/>
  <c r="Z121" i="1"/>
  <c r="T155" i="1"/>
  <c r="T139" i="1"/>
  <c r="Z123" i="1"/>
  <c r="AC138" i="1"/>
  <c r="E163" i="1"/>
  <c r="R147" i="1"/>
  <c r="U167" i="1"/>
  <c r="X139" i="1"/>
  <c r="G152" i="1"/>
  <c r="V157" i="1"/>
  <c r="Z156" i="1"/>
  <c r="AE139" i="1"/>
  <c r="K121" i="1"/>
  <c r="S156" i="1"/>
  <c r="L149" i="1"/>
  <c r="W156" i="1"/>
  <c r="W157" i="1"/>
  <c r="G156" i="1"/>
  <c r="T142" i="1"/>
  <c r="AE163" i="1"/>
  <c r="AD166" i="1"/>
  <c r="I147" i="1"/>
  <c r="Y157" i="1"/>
  <c r="G140" i="1"/>
  <c r="M138" i="1"/>
  <c r="G121" i="1"/>
  <c r="AE117" i="1"/>
  <c r="T148" i="1"/>
  <c r="N167" i="1"/>
  <c r="P142" i="1"/>
  <c r="Y121" i="1"/>
  <c r="F139" i="1"/>
  <c r="M156" i="1"/>
  <c r="E139" i="1"/>
  <c r="M147" i="1"/>
  <c r="AB139" i="1"/>
  <c r="AB148" i="1"/>
  <c r="AB147" i="1"/>
  <c r="U139" i="1"/>
  <c r="U138" i="1"/>
  <c r="K155" i="1"/>
  <c r="AA142" i="1"/>
  <c r="Y140" i="1"/>
  <c r="AB156" i="1"/>
  <c r="K166" i="1"/>
  <c r="H167" i="1"/>
  <c r="I140" i="1"/>
  <c r="Q155" i="1"/>
  <c r="T121" i="1"/>
  <c r="N121" i="1"/>
  <c r="J138" i="1"/>
  <c r="G139" i="1"/>
  <c r="Z147" i="1"/>
  <c r="K140" i="1"/>
  <c r="Z149" i="1"/>
  <c r="AC123" i="1"/>
  <c r="M121" i="1"/>
  <c r="AE121" i="1"/>
  <c r="K123" i="1"/>
  <c r="AB142" i="1"/>
  <c r="J139" i="1"/>
  <c r="T138" i="1"/>
  <c r="T149" i="1"/>
  <c r="Q167" i="1"/>
  <c r="T147" i="1"/>
  <c r="X142" i="1"/>
  <c r="T123" i="1"/>
  <c r="H148" i="1"/>
  <c r="O139" i="1"/>
  <c r="X155" i="1"/>
  <c r="N166" i="1"/>
  <c r="AB121" i="1"/>
  <c r="S142" i="1"/>
  <c r="I121" i="1"/>
  <c r="Y139" i="1"/>
  <c r="S167" i="1"/>
  <c r="E155" i="1"/>
  <c r="AB164" i="1"/>
  <c r="AB167" i="1"/>
  <c r="P123" i="1"/>
  <c r="U148" i="1"/>
  <c r="K157" i="1"/>
  <c r="E156" i="1"/>
  <c r="Q123" i="1"/>
  <c r="Q139" i="1"/>
  <c r="T167" i="1"/>
  <c r="R123" i="1"/>
  <c r="P157" i="1"/>
  <c r="X123" i="1"/>
  <c r="L166" i="1"/>
  <c r="H156" i="1"/>
  <c r="Y156" i="1"/>
  <c r="F142" i="1"/>
  <c r="X147" i="1"/>
  <c r="E166" i="1"/>
  <c r="J140" i="1"/>
  <c r="O142" i="1"/>
  <c r="R140" i="1"/>
  <c r="AE123" i="1"/>
  <c r="Q140" i="1"/>
  <c r="F157" i="1"/>
  <c r="W155" i="1"/>
  <c r="R148" i="1"/>
  <c r="P166" i="1"/>
  <c r="O140" i="1"/>
  <c r="AE166" i="1"/>
  <c r="U156" i="1"/>
  <c r="V167" i="1"/>
  <c r="Y155" i="1"/>
  <c r="Q142" i="1"/>
  <c r="AD157" i="1"/>
  <c r="G155" i="1"/>
  <c r="W121" i="1"/>
  <c r="W142" i="1"/>
  <c r="O166" i="1"/>
  <c r="W149" i="1"/>
  <c r="Z157" i="1"/>
  <c r="R166" i="1"/>
  <c r="K156" i="1"/>
  <c r="T157" i="1"/>
  <c r="W147" i="1"/>
  <c r="P138" i="1"/>
  <c r="AD142" i="1"/>
  <c r="K148" i="1"/>
  <c r="K138" i="1"/>
  <c r="E167" i="1"/>
  <c r="P167" i="1"/>
  <c r="X166" i="1"/>
  <c r="O138" i="1"/>
  <c r="AB157" i="1"/>
  <c r="P155" i="1"/>
  <c r="X138" i="1"/>
  <c r="O148" i="1"/>
  <c r="H147" i="1"/>
  <c r="X157" i="1"/>
  <c r="O149" i="1"/>
  <c r="U155" i="1"/>
  <c r="U166" i="1"/>
  <c r="P140" i="1"/>
  <c r="P156" i="1"/>
  <c r="Q138" i="1"/>
  <c r="O121" i="1"/>
  <c r="M140" i="1"/>
  <c r="U157" i="1"/>
  <c r="M139" i="1"/>
  <c r="G157" i="1"/>
  <c r="R142" i="1"/>
  <c r="K147" i="1"/>
  <c r="K149" i="1"/>
  <c r="S1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Rucheeta Kadge</author>
  </authors>
  <commentList>
    <comment ref="A26" authorId="0" shapeId="0" xr:uid="{E710FB32-1F95-4BA3-8DAF-97B523F14610}">
      <text>
        <r>
          <rPr>
            <b/>
            <sz val="9"/>
            <color indexed="81"/>
            <rFont val="Tahoma"/>
            <family val="2"/>
          </rPr>
          <t>operating revenue and Revenue under Service
Concession Arrangement</t>
        </r>
      </text>
    </comment>
    <comment ref="A36" authorId="0" shapeId="0" xr:uid="{F51E947C-304D-432C-A38D-6E19245EC507}">
      <text>
        <r>
          <rPr>
            <b/>
            <sz val="9"/>
            <color indexed="81"/>
            <rFont val="Tahoma"/>
            <family val="2"/>
          </rPr>
          <t>operating revenue and Revenue under Service
Concession Arrangement</t>
        </r>
      </text>
    </comment>
    <comment ref="A43" authorId="0" shapeId="0" xr:uid="{421B8522-6E92-4E53-8289-9AE0D5AA5265}">
      <text>
        <r>
          <rPr>
            <b/>
            <sz val="9"/>
            <color indexed="81"/>
            <rFont val="Tahoma"/>
            <family val="2"/>
          </rPr>
          <t>operating revenue and Revenue under Service
Concession Arrangement</t>
        </r>
      </text>
    </comment>
    <comment ref="A52" authorId="0" shapeId="0" xr:uid="{C77A0ED7-2931-4420-9382-2865C8F60515}">
      <text>
        <r>
          <rPr>
            <b/>
            <sz val="9"/>
            <color indexed="81"/>
            <rFont val="Tahoma"/>
            <family val="2"/>
          </rPr>
          <t>operating revenue and Revenue under Service
Concession Arrangement</t>
        </r>
      </text>
    </comment>
    <comment ref="Z75" authorId="0" shapeId="0" xr:uid="{D1C14605-AFDA-47D6-AD9A-381BDB565225}">
      <text>
        <r>
          <rPr>
            <b/>
            <sz val="9"/>
            <color indexed="81"/>
            <rFont val="Tahoma"/>
            <family val="2"/>
          </rPr>
          <t>Construction expenses relating to service Concession Arrangements (SCA) - 4739.7 cr</t>
        </r>
      </text>
    </comment>
    <comment ref="AA75" authorId="0" shapeId="0" xr:uid="{C939061A-6669-4F4F-8386-0275D50E29CC}">
      <text>
        <r>
          <rPr>
            <b/>
            <sz val="9"/>
            <color indexed="81"/>
            <rFont val="Tahoma"/>
            <family val="2"/>
          </rPr>
          <t>Construction expenses relating to service Concession Arrangements (SCA) - 4739.7 cr</t>
        </r>
      </text>
    </comment>
    <comment ref="CM184" authorId="0" shapeId="0" xr:uid="{A627721A-9D08-46FC-8E5C-D3459FF30302}">
      <text>
        <r>
          <rPr>
            <b/>
            <sz val="9"/>
            <color indexed="81"/>
            <rFont val="Tahoma"/>
            <family val="2"/>
          </rPr>
          <t>Capex for Fy27 - 22,000 crore and in total of 53,000- 54,000 crore</t>
        </r>
      </text>
    </comment>
    <comment ref="CQ184" authorId="0" shapeId="0" xr:uid="{CC166F5A-83FE-4C8B-80B4-8ABE21BC5A6C}">
      <text>
        <r>
          <rPr>
            <b/>
            <sz val="9"/>
            <color indexed="81"/>
            <rFont val="Tahoma"/>
            <family val="2"/>
          </rPr>
          <t>Capex for FY27 - approx 23,000 crore</t>
        </r>
      </text>
    </comment>
    <comment ref="Z204" authorId="0" shapeId="0" xr:uid="{17B7C2B6-A027-4A57-B476-7BAF32456035}">
      <text>
        <r>
          <rPr>
            <b/>
            <sz val="9"/>
            <color indexed="81"/>
            <rFont val="Tahoma"/>
            <family val="2"/>
          </rPr>
          <t>95.83 accured gains on forward contracts</t>
        </r>
      </text>
    </comment>
    <comment ref="AA204" authorId="0" shapeId="0" xr:uid="{9DE3CB5B-519C-46A5-A705-FF59153B5851}">
      <text>
        <r>
          <rPr>
            <b/>
            <sz val="9"/>
            <color indexed="81"/>
            <rFont val="Tahoma"/>
            <family val="2"/>
          </rPr>
          <t>95.83 accured gains on forward contracts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<sst xmlns="http://schemas.openxmlformats.org/spreadsheetml/2006/main" count="720" uniqueCount="580">
  <si>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</si>
  <si>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</si>
  <si>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</si>
  <si>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</si>
  <si>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</si>
  <si>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</si>
  <si>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</si>
  <si>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</si>
  <si>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</si>
  <si>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</si>
  <si>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</si>
  <si>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</si>
  <si>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</si>
  <si>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</si>
  <si>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</si>
  <si>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</si>
  <si>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</si>
  <si>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</si>
  <si>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</si>
  <si>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</si>
  <si>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</si>
  <si>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</si>
  <si>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</si>
  <si>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</si>
  <si>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</si>
  <si>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</si>
  <si>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</si>
  <si>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</si>
  <si>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</si>
  <si>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</si>
  <si>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</si>
  <si>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</si>
  <si>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</si>
  <si>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</si>
  <si>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</si>
  <si>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</si>
  <si>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</si>
  <si>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</si>
  <si>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</si>
  <si>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</si>
  <si>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</si>
  <si>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</si>
  <si>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</si>
  <si>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</si>
  <si>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</si>
  <si>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</si>
  <si>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</si>
  <si>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</si>
  <si>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</si>
  <si>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</si>
  <si>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</si>
  <si>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</si>
  <si>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</si>
  <si>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</si>
  <si>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</si>
  <si>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</si>
  <si>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</si>
  <si>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</si>
  <si>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</si>
  <si>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</si>
  <si>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</si>
  <si>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</si>
  <si>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</si>
  <si>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</si>
  <si>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</si>
  <si>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</si>
  <si>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</si>
  <si>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</si>
  <si>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</si>
  <si>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</si>
  <si>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</si>
  <si>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</si>
  <si>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</si>
  <si>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</si>
  <si>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</si>
  <si>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</si>
  <si>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</si>
  <si>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</si>
  <si>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</si>
  <si>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</si>
  <si>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</si>
  <si>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</si>
  <si>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</si>
  <si>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</si>
  <si>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</si>
  <si>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</si>
  <si>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</si>
  <si>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</si>
  <si>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</si>
  <si>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</si>
  <si>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</si>
  <si>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</si>
  <si>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</si>
  <si>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</si>
  <si>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</si>
  <si>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</si>
  <si>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</si>
  <si>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</si>
  <si>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</si>
  <si>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</si>
  <si>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</si>
  <si>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</si>
  <si>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</si>
  <si>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</si>
  <si>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</si>
  <si>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</si>
  <si>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</si>
  <si>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</si>
  <si>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</si>
  <si>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</si>
  <si>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</si>
  <si>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</si>
  <si>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</si>
  <si>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</si>
  <si>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</si>
  <si>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</si>
  <si>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</si>
  <si>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</si>
  <si>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</si>
  <si>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</si>
  <si>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</si>
  <si>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</si>
  <si>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</si>
  <si>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</si>
  <si>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</si>
  <si>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</si>
  <si>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</si>
  <si>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</si>
  <si>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</si>
  <si>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</si>
  <si>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</si>
  <si>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</si>
  <si>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</si>
  <si>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</si>
  <si>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</si>
  <si>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</si>
  <si>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</si>
  <si>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</si>
  <si>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</si>
  <si>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</si>
  <si>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</si>
  <si>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</si>
  <si>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</si>
  <si>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</si>
  <si>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</si>
  <si>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</si>
  <si>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</si>
  <si>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</si>
  <si>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</si>
  <si>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</si>
  <si>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</si>
  <si>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</si>
  <si>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</si>
  <si>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</si>
  <si>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</si>
  <si>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</si>
  <si>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</si>
  <si>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</si>
  <si>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</si>
  <si>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</si>
  <si>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</si>
  <si>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</si>
  <si>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</si>
  <si>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</si>
  <si>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</si>
  <si>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</si>
  <si>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</si>
  <si>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</si>
  <si>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</si>
  <si>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</si>
  <si>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</si>
  <si>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</si>
  <si>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</si>
  <si>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</si>
  <si>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</si>
  <si>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</si>
  <si>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</si>
  <si>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</si>
  <si>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</si>
  <si>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</si>
  <si>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</si>
  <si>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</si>
  <si>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</si>
  <si>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</si>
  <si>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</si>
  <si>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</si>
  <si>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</si>
  <si>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</si>
  <si>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</si>
  <si>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</si>
  <si>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</si>
  <si>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</si>
  <si>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</si>
  <si>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</si>
  <si>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</si>
  <si>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</si>
  <si>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</si>
  <si>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</si>
  <si>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</si>
  <si>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</si>
  <si>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</si>
  <si>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</si>
  <si>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</si>
  <si>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</si>
  <si>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</si>
  <si>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</si>
  <si>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</si>
  <si>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</si>
  <si>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</si>
  <si>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</si>
  <si>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</si>
  <si>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</si>
  <si>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</si>
  <si>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</si>
  <si>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</si>
  <si>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</si>
  <si>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</si>
  <si>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</si>
  <si>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</si>
  <si>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</si>
  <si>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</si>
  <si>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</si>
  <si>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</si>
  <si>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</si>
  <si>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</si>
  <si>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</si>
  <si>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</si>
  <si>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</si>
  <si>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</si>
  <si>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</si>
  <si>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</si>
  <si>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</si>
  <si>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</si>
  <si>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</si>
  <si>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</si>
  <si>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</si>
  <si>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</si>
  <si>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</si>
  <si>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</si>
  <si>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</si>
  <si>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</si>
  <si>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</si>
  <si>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</si>
  <si>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</si>
  <si>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</si>
  <si>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</si>
  <si>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</si>
  <si>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</si>
  <si>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</si>
  <si>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</si>
  <si>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</si>
  <si>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</si>
  <si>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</si>
  <si>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</si>
  <si>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</si>
  <si>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</si>
  <si>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</si>
  <si>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</si>
  <si>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</si>
  <si>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</si>
  <si>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</si>
  <si>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</si>
  <si>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</si>
  <si>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</si>
  <si>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</si>
  <si>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</si>
  <si>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</si>
  <si>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</si>
  <si>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</si>
  <si>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</si>
  <si>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</si>
  <si>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</si>
  <si>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</si>
  <si>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</si>
  <si>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</si>
  <si>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</si>
  <si>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</si>
  <si>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</si>
  <si>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</si>
  <si>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</si>
  <si>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</si>
  <si>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</si>
  <si>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</si>
  <si>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</si>
  <si>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</si>
  <si>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</si>
  <si>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</si>
  <si>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</si>
  <si>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</si>
  <si>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</si>
  <si>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</si>
  <si>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</si>
  <si>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</si>
  <si>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</si>
  <si>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</si>
  <si>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</si>
  <si>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</si>
  <si>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</si>
  <si>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</si>
  <si>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</si>
  <si>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</si>
  <si>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</si>
  <si>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</si>
  <si>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</si>
  <si>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</si>
  <si>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</si>
  <si>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</si>
  <si>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</si>
  <si>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</si>
  <si>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</si>
  <si>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</si>
  <si>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</si>
  <si>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</si>
  <si>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</si>
  <si>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</si>
  <si>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</si>
  <si>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</si>
  <si>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</si>
  <si>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</si>
  <si>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</si>
  <si>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</si>
  <si>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</si>
  <si>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</si>
  <si>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</si>
  <si>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</si>
  <si>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</si>
  <si>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</si>
  <si>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</si>
  <si>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</si>
  <si>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</si>
  <si>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</si>
  <si>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</si>
  <si>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</si>
  <si>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</si>
  <si>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</si>
  <si>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</si>
  <si>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</si>
  <si>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</si>
  <si>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</si>
  <si>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</si>
  <si>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</si>
  <si>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</si>
  <si>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</si>
  <si>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</si>
  <si>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</si>
  <si>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</si>
  <si>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</si>
  <si>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</si>
  <si>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</si>
  <si>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</si>
  <si>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</si>
  <si>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</si>
  <si>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</si>
  <si>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</si>
  <si>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</si>
  <si>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</si>
  <si>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</si>
  <si>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</si>
  <si>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</si>
  <si>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</si>
  <si>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</si>
  <si>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</si>
  <si>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</si>
  <si>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</si>
  <si>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</si>
  <si>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</si>
  <si>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</si>
  <si>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</si>
  <si>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</si>
  <si>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</si>
  <si>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</si>
  <si>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</si>
  <si>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</si>
  <si>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</si>
  <si>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</si>
  <si>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</si>
  <si>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</si>
  <si>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</si>
  <si>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</si>
  <si>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</si>
  <si>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</si>
  <si>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</si>
  <si>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</si>
  <si>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</si>
  <si>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</si>
  <si>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</si>
  <si>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</si>
  <si>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</si>
  <si>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</si>
  <si>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</si>
  <si>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</si>
  <si>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</si>
  <si>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</si>
  <si>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</si>
  <si>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</si>
  <si>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</si>
  <si>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</si>
  <si>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</si>
  <si>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</si>
  <si>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</si>
  <si>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</si>
  <si>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</si>
  <si>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</si>
  <si>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</si>
  <si>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</si>
  <si>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</si>
  <si>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</si>
  <si>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</si>
  <si>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</si>
  <si>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</si>
  <si>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</si>
  <si>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</si>
  <si>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</si>
  <si>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</si>
  <si>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</si>
  <si>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</si>
  <si>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</si>
  <si>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</si>
  <si>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</si>
  <si>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</si>
  <si>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</si>
  <si>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</si>
  <si>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</si>
  <si>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</si>
  <si>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</si>
  <si>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</si>
  <si>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</si>
  <si>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</si>
  <si>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</si>
  <si>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</si>
  <si>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</si>
  <si>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</si>
  <si>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</si>
  <si>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</si>
  <si>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</si>
  <si>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</si>
  <si>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</si>
  <si>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</si>
  <si>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</si>
  <si>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</si>
  <si>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</si>
  <si>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</si>
  <si>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</si>
  <si>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</si>
  <si>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</si>
  <si>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</si>
  <si>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</si>
  <si>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</si>
  <si>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</si>
  <si>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</si>
  <si>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</si>
  <si>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</si>
  <si>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</si>
  <si>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</si>
  <si>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</si>
  <si>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</si>
  <si>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</si>
  <si>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</si>
  <si>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</si>
  <si>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</si>
  <si>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</si>
  <si>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</si>
  <si>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</si>
  <si>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</si>
  <si>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</si>
  <si>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</si>
  <si>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</si>
  <si>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</si>
  <si>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</si>
  <si>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</si>
  <si>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</si>
  <si>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</si>
  <si>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</si>
  <si>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</si>
  <si>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</si>
  <si>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</si>
  <si>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</si>
  <si>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</si>
  <si>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</si>
  <si>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</si>
  <si>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</si>
  <si>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</si>
  <si>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</si>
  <si>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</si>
  <si>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</si>
  <si>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</si>
  <si>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</si>
  <si>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</si>
  <si>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</si>
  <si>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</si>
  <si>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</si>
  <si>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</si>
  <si>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</si>
  <si>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</si>
  <si>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</si>
  <si>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</si>
  <si>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</si>
  <si>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</si>
  <si>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</si>
  <si>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</si>
  <si>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</si>
  <si>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</si>
  <si>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</si>
  <si>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</si>
  <si>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</si>
  <si>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</si>
  <si>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</si>
  <si>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</si>
  <si>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</si>
  <si>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</si>
  <si>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</si>
  <si>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</si>
  <si>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</si>
  <si>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</si>
  <si>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</si>
  <si>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Adani Energy Solutions Ltd.</t>
  </si>
  <si>
    <t>DATE</t>
  </si>
  <si>
    <t>ADJCLOSE</t>
  </si>
  <si>
    <t>ADJHIGH</t>
  </si>
  <si>
    <t>ADJLOW</t>
  </si>
  <si>
    <t>ADJOPEN</t>
  </si>
  <si>
    <t>CLOSE</t>
  </si>
  <si>
    <t>VOLUME</t>
  </si>
  <si>
    <t>Revenue Breakup - Segment wise</t>
  </si>
  <si>
    <t xml:space="preserve">Distribution </t>
  </si>
  <si>
    <t>Transmission</t>
  </si>
  <si>
    <t xml:space="preserve">Smart Meter </t>
  </si>
  <si>
    <t>Total</t>
  </si>
  <si>
    <t>Checksum</t>
  </si>
  <si>
    <t>Trading</t>
  </si>
  <si>
    <t>Others (b/f)</t>
  </si>
  <si>
    <t>Distribution unit metrics</t>
  </si>
  <si>
    <t>Unit metrics</t>
  </si>
  <si>
    <t>Transmission availability</t>
  </si>
  <si>
    <t>Transmission unit Metrics</t>
  </si>
  <si>
    <t>Transmission network length (CKM)</t>
  </si>
  <si>
    <t>Power transmission capacity (MVA)</t>
  </si>
  <si>
    <t>Revenue Per MVA (in cr)</t>
  </si>
  <si>
    <t xml:space="preserve">Growth % Y-o-Y </t>
  </si>
  <si>
    <t>Average System Availibity</t>
  </si>
  <si>
    <t>Distribution %</t>
  </si>
  <si>
    <t>Revenue Growth % Y-o-Y</t>
  </si>
  <si>
    <t>Transmission %</t>
  </si>
  <si>
    <t>Trading %</t>
  </si>
  <si>
    <t>Smart Meter  %</t>
  </si>
  <si>
    <t>Others %</t>
  </si>
  <si>
    <t>Meter unit metrics</t>
  </si>
  <si>
    <t>Revenue per meter (in cr)</t>
  </si>
  <si>
    <t>cumlative meters Installed (in mn)</t>
  </si>
  <si>
    <t>MU solds</t>
  </si>
  <si>
    <t>Revenue per MU sold (in cr)</t>
  </si>
  <si>
    <t>MU solds %</t>
  </si>
  <si>
    <t>Revenue per MU sold %</t>
  </si>
  <si>
    <t> Future &amp; Options contract(ONCA)</t>
  </si>
  <si>
    <t>Regulatory assets (OCA)</t>
  </si>
  <si>
    <t>Prepaid Expenses (OCA)</t>
  </si>
  <si>
    <t>Receivables Under services Concession Arrangement (ONCA)</t>
  </si>
  <si>
    <t>Contract assets (ONCA)</t>
  </si>
  <si>
    <t>Deferred assets (ONCA)</t>
  </si>
  <si>
    <t>Payable on purchase of property, plant and equipments</t>
  </si>
  <si>
    <t>Deferred Revenue - service line contribution from consumer</t>
  </si>
  <si>
    <t>Capital advances</t>
  </si>
  <si>
    <t>Advances to suppliers (STL&amp;A)</t>
  </si>
  <si>
    <t>Contract assets (STL&amp;A)</t>
  </si>
  <si>
    <t>Unbillied Revenue (STL&amp;A)</t>
  </si>
  <si>
    <t>Payable on purchase of property, plant and equipments (OCL)</t>
  </si>
  <si>
    <t xml:space="preserve">     Repairs and Maintenance</t>
  </si>
  <si>
    <t>Professional fees (G&amp;A)</t>
  </si>
  <si>
    <t xml:space="preserve">EBITDA - Segment Wise </t>
  </si>
  <si>
    <t>Distribution - EBITDA</t>
  </si>
  <si>
    <t>Transmission - EBITDA</t>
  </si>
  <si>
    <t>Trading - EBITDA</t>
  </si>
  <si>
    <t>Smart Meter - EBITDA</t>
  </si>
  <si>
    <t>EBITDA -Margin</t>
  </si>
  <si>
    <t>Distribution - EBITDA Margin</t>
  </si>
  <si>
    <t>Transmission - EBITDA Margin</t>
  </si>
  <si>
    <t>Trading - EBITDA Margin</t>
  </si>
  <si>
    <t>Smart Meter - EBITDA Margin</t>
  </si>
  <si>
    <t>Other - EBITDA Margin</t>
  </si>
  <si>
    <t>Other (b/f) -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</si>
</sst>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indexed="81"/>
      <name val="Tahoma"/>
      <family val="2"/>
    </font>
    <font>
      <i/>
      <sz val="9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1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43" fontId="18" fillId="10" borderId="0" xfId="2" applyFont="1" applyFill="1" applyAlignment="1">
      <alignment horizontal="left"/>
    </xf>
    <xf numFmtId="43" fontId="20" fillId="10" borderId="0" xfId="2" applyFont="1" applyFill="1" applyAlignment="1">
      <alignment horizontal="center"/>
    </xf>
    <xf numFmtId="43" fontId="7" fillId="10" borderId="0" xfId="2" applyFont="1" applyFill="1" applyAlignment="1">
      <alignment horizontal="center"/>
    </xf>
    <xf numFmtId="10" fontId="20" fillId="2" borderId="0" xfId="5" applyNumberFormat="1" applyFont="1" applyFill="1" applyBorder="1"/>
    <xf numFmtId="10" fontId="20" fillId="2" borderId="0" xfId="5" applyNumberFormat="1" applyFont="1" applyFill="1"/>
    <xf numFmtId="2" fontId="20" fillId="2" borderId="0" xfId="6" applyNumberFormat="1" applyFont="1" applyFill="1"/>
    <xf numFmtId="2" fontId="22" fillId="11" borderId="0" xfId="6" applyNumberFormat="1" applyFont="1" applyFill="1"/>
    <xf numFmtId="43" fontId="20" fillId="2" borderId="0" xfId="7" applyFont="1" applyFill="1" applyBorder="1"/>
    <xf numFmtId="10" fontId="20" fillId="7" borderId="0" xfId="1" applyNumberFormat="1" applyFont="1" applyFill="1" applyAlignment="1">
      <alignment horizontal="right"/>
    </xf>
    <xf numFmtId="43" fontId="20" fillId="7" borderId="0" xfId="2" applyFont="1" applyFill="1" applyAlignment="1">
      <alignment horizontal="right"/>
    </xf>
    <xf numFmtId="43" fontId="20" fillId="12" borderId="0" xfId="2" applyFont="1" applyFill="1" applyAlignment="1">
      <alignment horizontal="left"/>
    </xf>
    <xf numFmtId="43" fontId="20" fillId="12" borderId="0" xfId="2" applyFont="1" applyFill="1" applyAlignment="1">
      <alignment horizontal="center"/>
    </xf>
    <xf numFmtId="43" fontId="7" fillId="12" borderId="0" xfId="2" applyFont="1" applyFill="1" applyAlignment="1">
      <alignment horizontal="center"/>
    </xf>
    <xf numFmtId="10" fontId="20" fillId="12" borderId="0" xfId="5" applyNumberFormat="1" applyFont="1" applyFill="1" applyBorder="1"/>
    <xf numFmtId="10" fontId="20" fillId="12" borderId="0" xfId="5" applyNumberFormat="1" applyFont="1" applyFill="1"/>
    <xf numFmtId="10" fontId="20" fillId="12" borderId="0" xfId="1" applyNumberFormat="1" applyFont="1" applyFill="1" applyAlignment="1">
      <alignment horizontal="right"/>
    </xf>
    <xf numFmtId="10" fontId="20" fillId="2" borderId="0" xfId="6" applyNumberFormat="1" applyFont="1" applyFill="1"/>
    <xf numFmtId="0" fontId="20" fillId="2" borderId="0" xfId="6" applyFont="1" applyFill="1"/>
    <xf numFmtId="43" fontId="20" fillId="2" borderId="0" xfId="2" applyFont="1" applyFill="1" applyBorder="1"/>
    <xf numFmtId="9" fontId="20" fillId="2" borderId="0" xfId="1" applyFont="1" applyFill="1" applyAlignment="1">
      <alignment horizontal="right"/>
    </xf>
    <xf numFmtId="43" fontId="18" fillId="2" borderId="0" xfId="2" applyFont="1" applyFill="1" applyAlignment="1">
      <alignment horizontal="left"/>
    </xf>
    <xf numFmtId="10" fontId="20" fillId="2" borderId="0" xfId="1" applyNumberFormat="1" applyFont="1" applyFill="1" applyAlignment="1">
      <alignment horizontal="right"/>
    </xf>
    <xf numFmtId="43" fontId="20" fillId="2" borderId="0" xfId="2" applyFont="1" applyFill="1" applyAlignment="1">
      <alignment horizontal="right"/>
    </xf>
    <xf numFmtId="10" fontId="20" fillId="2" borderId="0" xfId="1" applyNumberFormat="1" applyFont="1" applyFill="1" applyBorder="1"/>
    <xf numFmtId="10" fontId="9" fillId="2" borderId="0" xfId="5" applyNumberFormat="1" applyFont="1" applyFill="1"/>
    <xf numFmtId="10" fontId="9" fillId="7" borderId="0" xfId="1" applyNumberFormat="1" applyFont="1" applyFill="1" applyAlignment="1">
      <alignment horizontal="right"/>
    </xf>
    <xf numFmtId="9" fontId="3" fillId="2" borderId="0" xfId="1" applyFont="1" applyFill="1" applyAlignment="1">
      <alignment horizontal="right"/>
    </xf>
    <xf numFmtId="9" fontId="3" fillId="7" borderId="0" xfId="1" applyFont="1" applyFill="1" applyAlignment="1">
      <alignment horizontal="right"/>
    </xf>
    <xf numFmtId="9" fontId="9" fillId="2" borderId="0" xfId="1" applyFont="1" applyFill="1" applyAlignment="1">
      <alignment horizontal="right"/>
    </xf>
    <xf numFmtId="9" fontId="9" fillId="7" borderId="0" xfId="1" applyFont="1" applyFill="1" applyAlignment="1">
      <alignment horizontal="right"/>
    </xf>
    <xf numFmtId="43" fontId="20" fillId="2" borderId="0" xfId="2" applyFont="1" applyFill="1" applyBorder="1" applyAlignment="1">
      <alignment horizontal="center"/>
    </xf>
    <xf numFmtId="43" fontId="18" fillId="9" borderId="0" xfId="2" applyFont="1" applyFill="1" applyBorder="1" applyAlignment="1">
      <alignment horizontal="left"/>
    </xf>
    <xf numFmtId="9" fontId="20" fillId="7" borderId="0" xfId="1" applyFont="1" applyFill="1" applyAlignment="1">
      <alignment horizontal="right"/>
    </xf>
    <xf numFmtId="14" fontId="5" fillId="0" borderId="0" xfId="0" applyNumberFormat="1" applyFont="1" applyAlignment="1">
      <alignment horizontal="center"/>
    </xf>
  </cellXfs>
  <cellStyles count="8">
    <cellStyle name="Comma" xfId="2" builtinId="3"/>
    <cellStyle name="Comma 6" xfId="7" xr:uid="{80DFD129-ED49-48CC-B46E-A94F38A3CF25}"/>
    <cellStyle name="Normal" xfId="0" builtinId="0"/>
    <cellStyle name="Normal 2" xfId="3" xr:uid="{00000000-0005-0000-0000-000002000000}"/>
    <cellStyle name="Normal 23" xfId="4" xr:uid="{96E2C96E-37F9-4700-815B-A62CFE08C09E}"/>
    <cellStyle name="Normal 6" xfId="6" xr:uid="{03FC9720-4981-46C4-9841-7A58BCE78CD6}"/>
    <cellStyle name="Percent" xfId="1" builtinId="5"/>
    <cellStyle name="Percent 6" xfId="5" xr:uid="{6BE4CB49-7AC5-404B-854D-F45049F11F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G321"/>
  <sheetViews>
    <sheetView tabSelected="1" zoomScaleNormal="100" workbookViewId="0">
      <pane xSplit="1" ySplit="1" topLeftCell="CJ2" activePane="bottomRight" state="frozen"/>
      <selection pane="topRight" activeCell="B1" sqref="B1"/>
      <selection pane="bottomLeft" activeCell="A2" sqref="A2"/>
      <selection pane="bottomRight" activeCell="DF58" sqref="DF58:DF321"/>
    </sheetView>
  </sheetViews>
  <sheetFormatPr defaultColWidth="11.140625" defaultRowHeight="12" outlineLevelRow="1" x14ac:dyDescent="0.2"/>
  <cols>
    <col min="1" max="1" width="49.5703125" style="2" bestFit="1" customWidth="1"/>
    <col min="2" max="15" width="0" style="2" hidden="1" customWidth="1"/>
    <col min="16" max="26" width="11.140625" style="2"/>
    <col min="27" max="29" width="11.140625" style="19"/>
    <col min="30" max="31" width="12.140625" style="19" bestFit="1" customWidth="1"/>
    <col min="32" max="34" width="11.140625" style="2"/>
    <col min="35" max="51" width="0" style="2" hidden="1" customWidth="1"/>
    <col min="52" max="90" width="11.140625" style="2"/>
    <col min="91" max="106" width="11.140625" style="24"/>
    <col min="107" max="108" width="11.140625" style="2"/>
    <col min="109" max="109" width="11.140625" style="123"/>
    <col min="110" max="16384" width="11.140625" style="2"/>
  </cols>
  <sheetData>
    <row r="1" spans="1:111" s="81" customFormat="1" x14ac:dyDescent="0.2">
      <c r="A1" s="78" t="str">
        <f>+'Annual Raw'!C4</f>
        <v>Adani Energy Solutions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218">
        <v>46112</v>
      </c>
      <c r="DG1" s="81">
        <v>46112</v>
      </c>
    </row>
    <row r="2" spans="1:111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1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6"/>
      <c r="CL3" s="156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1" s="151" customFormat="1" x14ac:dyDescent="0.2">
      <c r="A4" s="151" t="s">
        <v>532</v>
      </c>
      <c r="Z4" s="216"/>
    </row>
    <row r="5" spans="1:111" s="187" customFormat="1" x14ac:dyDescent="0.2">
      <c r="A5" s="185" t="s">
        <v>531</v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6"/>
      <c r="AC5" s="186"/>
      <c r="AD5" s="186"/>
      <c r="AE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  <c r="AV5" s="186"/>
      <c r="AW5" s="186"/>
      <c r="AX5" s="186"/>
      <c r="AY5" s="186"/>
      <c r="AZ5" s="186"/>
      <c r="BA5" s="186"/>
      <c r="BB5" s="186"/>
      <c r="BC5" s="186"/>
      <c r="BD5" s="186"/>
      <c r="BE5" s="186"/>
      <c r="BF5" s="186"/>
      <c r="BG5" s="186"/>
      <c r="BH5" s="186"/>
      <c r="BI5" s="186"/>
      <c r="BJ5" s="186"/>
      <c r="BK5" s="186"/>
      <c r="BL5" s="186"/>
      <c r="BM5" s="186"/>
      <c r="BN5" s="186"/>
      <c r="BO5" s="186"/>
      <c r="BP5" s="186"/>
      <c r="BQ5" s="186"/>
      <c r="BR5" s="186"/>
      <c r="BS5" s="186"/>
      <c r="BT5" s="186"/>
      <c r="BU5" s="186"/>
      <c r="BV5" s="186"/>
      <c r="BW5" s="186"/>
      <c r="BX5" s="186"/>
      <c r="BY5" s="186"/>
      <c r="BZ5" s="186"/>
      <c r="CA5" s="186"/>
      <c r="CB5" s="186"/>
      <c r="CC5" s="186"/>
      <c r="CD5" s="186"/>
      <c r="CE5" s="186"/>
      <c r="CF5" s="186"/>
      <c r="CG5" s="186"/>
      <c r="CH5" s="186"/>
      <c r="CI5" s="186"/>
      <c r="CJ5" s="186"/>
      <c r="CK5" s="186"/>
      <c r="CL5" s="186"/>
      <c r="CM5" s="186"/>
      <c r="CN5" s="186"/>
      <c r="CO5" s="186"/>
      <c r="CP5" s="186"/>
      <c r="CQ5" s="186"/>
      <c r="CR5" s="186"/>
      <c r="CS5" s="186"/>
      <c r="CT5" s="186"/>
      <c r="CU5" s="186"/>
      <c r="CV5" s="186"/>
      <c r="CW5" s="186"/>
      <c r="CX5" s="186"/>
      <c r="CY5" s="186"/>
      <c r="CZ5" s="186"/>
      <c r="DA5" s="186"/>
      <c r="DB5" s="186"/>
      <c r="DE5" s="186"/>
    </row>
    <row r="6" spans="1:111" s="158" customFormat="1" x14ac:dyDescent="0.2">
      <c r="A6" s="155" t="s">
        <v>549</v>
      </c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>
        <f>SUM(BS6:BV6)</f>
        <v>7955</v>
      </c>
      <c r="X6" s="156">
        <f>SUM(BW6:BZ6)</f>
        <v>9051</v>
      </c>
      <c r="Y6" s="156">
        <f>SUM(CA6:CD6)</f>
        <v>9916</v>
      </c>
      <c r="Z6" s="156">
        <f>SUM(CE6:CH6)</f>
        <v>10558</v>
      </c>
      <c r="AA6" s="157">
        <f>CL6</f>
        <v>2508</v>
      </c>
      <c r="AB6" s="157">
        <f>CP6</f>
        <v>2583.2400000000002</v>
      </c>
      <c r="AC6" s="157">
        <f>CT6</f>
        <v>2673.6534000000001</v>
      </c>
      <c r="AD6" s="157">
        <f>CX6</f>
        <v>2774.9450948698668</v>
      </c>
      <c r="AE6" s="157">
        <f>DB6</f>
        <v>2888.7402606958344</v>
      </c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207">
        <v>1873</v>
      </c>
      <c r="BS6" s="207">
        <v>2036</v>
      </c>
      <c r="BT6" s="207">
        <v>1975</v>
      </c>
      <c r="BU6" s="207">
        <v>2060</v>
      </c>
      <c r="BV6" s="207">
        <v>1884</v>
      </c>
      <c r="BW6" s="207">
        <v>2560</v>
      </c>
      <c r="BX6" s="207">
        <v>2233</v>
      </c>
      <c r="BY6" s="207">
        <v>2169</v>
      </c>
      <c r="BZ6" s="207">
        <v>2089</v>
      </c>
      <c r="CA6" s="156">
        <v>2754</v>
      </c>
      <c r="CB6" s="156">
        <v>2446</v>
      </c>
      <c r="CC6" s="156">
        <v>2489</v>
      </c>
      <c r="CD6" s="156">
        <f>9916-SUM(CA6:CC6)</f>
        <v>2227</v>
      </c>
      <c r="CE6" s="156">
        <v>2962</v>
      </c>
      <c r="CF6" s="156">
        <v>2609</v>
      </c>
      <c r="CG6" s="156">
        <v>2574</v>
      </c>
      <c r="CH6" s="156">
        <f>10558-SUM(CE6:CG6)</f>
        <v>2413</v>
      </c>
      <c r="CI6" s="156">
        <v>2939</v>
      </c>
      <c r="CJ6" s="156">
        <v>2650</v>
      </c>
      <c r="CK6" s="156">
        <f>8076-SUM(CI6:CJ6)</f>
        <v>2487</v>
      </c>
      <c r="CL6" s="156">
        <v>2508</v>
      </c>
      <c r="CM6" s="157">
        <f t="shared" ref="CM6:CU7" si="33">CI6*(1+CM11)</f>
        <v>3027.17</v>
      </c>
      <c r="CN6" s="157">
        <f t="shared" si="33"/>
        <v>2729.5</v>
      </c>
      <c r="CO6" s="157">
        <f t="shared" si="33"/>
        <v>2561.61</v>
      </c>
      <c r="CP6" s="157">
        <f t="shared" si="33"/>
        <v>2583.2400000000002</v>
      </c>
      <c r="CQ6" s="157">
        <f t="shared" si="33"/>
        <v>3133.12095</v>
      </c>
      <c r="CR6" s="157">
        <f t="shared" si="33"/>
        <v>2825.0324999999998</v>
      </c>
      <c r="CS6" s="157">
        <f t="shared" si="33"/>
        <v>2651.2663499999999</v>
      </c>
      <c r="CT6" s="157">
        <f t="shared" si="33"/>
        <v>2673.6534000000001</v>
      </c>
      <c r="CU6" s="157">
        <f t="shared" si="33"/>
        <v>3244.9733679150004</v>
      </c>
      <c r="CV6" s="157">
        <f t="shared" ref="CV6:DB7" si="34">CR6*(1+CV11)</f>
        <v>2927.9032334549997</v>
      </c>
      <c r="CW6" s="157">
        <f t="shared" si="34"/>
        <v>2749.7404271262781</v>
      </c>
      <c r="CX6" s="157">
        <f t="shared" si="34"/>
        <v>2774.9450948698668</v>
      </c>
      <c r="CY6" s="157">
        <f t="shared" si="34"/>
        <v>3370.368315999357</v>
      </c>
      <c r="CZ6" s="157">
        <f t="shared" si="34"/>
        <v>3043.3085440615496</v>
      </c>
      <c r="DA6" s="157">
        <f t="shared" si="34"/>
        <v>2860.2909867701296</v>
      </c>
      <c r="DB6" s="157">
        <f t="shared" si="34"/>
        <v>2888.7402606958344</v>
      </c>
      <c r="DE6" s="159"/>
      <c r="DG6" s="158">
        <v>2508</v>
      </c>
    </row>
    <row r="7" spans="1:111" s="158" customFormat="1" x14ac:dyDescent="0.2">
      <c r="A7" s="155" t="s">
        <v>550</v>
      </c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>
        <f t="shared" ref="W7:AE7" si="35">W25*10/W6</f>
        <v>8.7571087366436213</v>
      </c>
      <c r="X7" s="156">
        <f t="shared" si="35"/>
        <v>9.4927742790851841</v>
      </c>
      <c r="Y7" s="156">
        <f t="shared" si="35"/>
        <v>10.25894513916902</v>
      </c>
      <c r="Z7" s="156">
        <f t="shared" si="35"/>
        <v>11.618185262360294</v>
      </c>
      <c r="AA7" s="157">
        <f t="shared" si="35"/>
        <v>49.644138755980862</v>
      </c>
      <c r="AB7" s="157">
        <f t="shared" si="35"/>
        <v>49.997060019214899</v>
      </c>
      <c r="AC7" s="157">
        <f t="shared" si="35"/>
        <v>50.560001016986888</v>
      </c>
      <c r="AD7" s="157">
        <f t="shared" si="35"/>
        <v>51.071509269949452</v>
      </c>
      <c r="AE7" s="157">
        <f t="shared" si="35"/>
        <v>51.604369546551517</v>
      </c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6"/>
      <c r="AX7" s="156"/>
      <c r="AY7" s="156"/>
      <c r="AZ7" s="156"/>
      <c r="BA7" s="156"/>
      <c r="BB7" s="156"/>
      <c r="BC7" s="156"/>
      <c r="BD7" s="156"/>
      <c r="BE7" s="156"/>
      <c r="BF7" s="156"/>
      <c r="BG7" s="156"/>
      <c r="BH7" s="156"/>
      <c r="BI7" s="156"/>
      <c r="BJ7" s="156"/>
      <c r="BK7" s="156"/>
      <c r="BL7" s="156"/>
      <c r="BM7" s="156"/>
      <c r="BN7" s="156"/>
      <c r="BO7" s="156"/>
      <c r="BP7" s="156"/>
      <c r="BQ7" s="156"/>
      <c r="BR7" s="156">
        <f t="shared" ref="BR7:CL7" si="36">BR25*10/BR6</f>
        <v>8.3054991991457552</v>
      </c>
      <c r="BS7" s="156">
        <f t="shared" si="36"/>
        <v>8.5555009823182715</v>
      </c>
      <c r="BT7" s="156">
        <f t="shared" si="36"/>
        <v>8.5590379746835445</v>
      </c>
      <c r="BU7" s="156">
        <f t="shared" si="36"/>
        <v>8.7246601941747564</v>
      </c>
      <c r="BV7" s="156">
        <f t="shared" si="36"/>
        <v>9.2180997876857749</v>
      </c>
      <c r="BW7" s="156">
        <f t="shared" si="36"/>
        <v>8.6435156249999991</v>
      </c>
      <c r="BX7" s="156">
        <f t="shared" si="36"/>
        <v>9.6904164800716508</v>
      </c>
      <c r="BY7" s="156">
        <f t="shared" si="36"/>
        <v>9.699631166436145</v>
      </c>
      <c r="BZ7" s="156">
        <f t="shared" si="36"/>
        <v>10.107467687888942</v>
      </c>
      <c r="CA7" s="156">
        <f t="shared" si="36"/>
        <v>9.9408496732026137</v>
      </c>
      <c r="CB7" s="156">
        <f t="shared" si="36"/>
        <v>10.137571545380213</v>
      </c>
      <c r="CC7" s="156">
        <f t="shared" si="36"/>
        <v>10.284813177983125</v>
      </c>
      <c r="CD7" s="156">
        <f t="shared" si="36"/>
        <v>10.756713066906151</v>
      </c>
      <c r="CE7" s="156">
        <f t="shared" si="36"/>
        <v>11.387373396353816</v>
      </c>
      <c r="CF7" s="156">
        <f t="shared" si="36"/>
        <v>11.552127251820622</v>
      </c>
      <c r="CG7" s="156">
        <f t="shared" si="36"/>
        <v>11.547863247863248</v>
      </c>
      <c r="CH7" s="156">
        <f t="shared" si="36"/>
        <v>12.047948611686698</v>
      </c>
      <c r="CI7" s="156">
        <f t="shared" si="36"/>
        <v>11.431915617556992</v>
      </c>
      <c r="CJ7" s="156">
        <f t="shared" si="36"/>
        <v>11.765698113207547</v>
      </c>
      <c r="CK7" s="156">
        <f t="shared" si="36"/>
        <v>12.480900683554482</v>
      </c>
      <c r="CL7" s="156">
        <f t="shared" si="36"/>
        <v>11.439393939393939</v>
      </c>
      <c r="CM7" s="194">
        <f t="shared" si="33"/>
        <v>11.600558459777325</v>
      </c>
      <c r="CN7" s="194">
        <f t="shared" si="33"/>
        <v>11.974977414734107</v>
      </c>
      <c r="CO7" s="194">
        <f t="shared" si="33"/>
        <v>12.700454026715741</v>
      </c>
      <c r="CP7" s="194">
        <f t="shared" si="33"/>
        <v>11.438174407510694</v>
      </c>
      <c r="CQ7" s="194">
        <f t="shared" si="33"/>
        <v>11.748535718205176</v>
      </c>
      <c r="CR7" s="194">
        <f t="shared" si="33"/>
        <v>12.121636102897627</v>
      </c>
      <c r="CS7" s="194">
        <f t="shared" si="33"/>
        <v>12.838055294081121</v>
      </c>
      <c r="CT7" s="194">
        <f t="shared" si="33"/>
        <v>11.542391930006639</v>
      </c>
      <c r="CU7" s="194">
        <f t="shared" si="33"/>
        <v>11.884517215155489</v>
      </c>
      <c r="CV7" s="194">
        <f t="shared" si="34"/>
        <v>12.258247491299274</v>
      </c>
      <c r="CW7" s="194">
        <f t="shared" si="34"/>
        <v>12.979510828612462</v>
      </c>
      <c r="CX7" s="194">
        <f t="shared" si="34"/>
        <v>11.670118422501139</v>
      </c>
      <c r="CY7" s="194">
        <f t="shared" si="34"/>
        <v>12.022010849450631</v>
      </c>
      <c r="CZ7" s="194">
        <f t="shared" si="34"/>
        <v>12.400048460376654</v>
      </c>
      <c r="DA7" s="194">
        <f t="shared" si="34"/>
        <v>13.130650395082695</v>
      </c>
      <c r="DB7" s="194">
        <f t="shared" si="34"/>
        <v>11.80789202368689</v>
      </c>
      <c r="DE7" s="159"/>
      <c r="DG7" s="158">
        <v>12.480900683554482</v>
      </c>
    </row>
    <row r="8" spans="1:111" s="158" customFormat="1" x14ac:dyDescent="0.2">
      <c r="A8" s="155" t="s">
        <v>533</v>
      </c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206"/>
      <c r="V8" s="206"/>
      <c r="W8" s="206">
        <f>AVERAGE(BS8:BV8)</f>
        <v>0.99990000000000001</v>
      </c>
      <c r="X8" s="206">
        <f>AVERAGE(BW8:BZ8)</f>
        <v>0.99990000000000001</v>
      </c>
      <c r="Y8" s="206">
        <f>AVERAGE(CA8:CD8)</f>
        <v>0.99652499999999999</v>
      </c>
      <c r="Z8" s="206">
        <f>AVERAGE(CE8:CH8)</f>
        <v>0.99307500000000004</v>
      </c>
      <c r="AA8" s="193">
        <f>AVERAGE(CI8:CL8)</f>
        <v>0.99470000000000014</v>
      </c>
      <c r="AB8" s="193">
        <f>AVERAGE(CM8:CP8)</f>
        <v>0.99437773437499999</v>
      </c>
      <c r="AC8" s="193">
        <f>AVERAGE(CQ8:CT8)</f>
        <v>0.99432689056396484</v>
      </c>
      <c r="AD8" s="193">
        <f>AVERAGE(CQ8:CT8)</f>
        <v>0.99432689056396484</v>
      </c>
      <c r="AE8" s="193">
        <f>AVERAGE(CY8:DB8)</f>
        <v>0.99431994693258308</v>
      </c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6"/>
      <c r="AX8" s="156"/>
      <c r="AY8" s="156"/>
      <c r="AZ8" s="156"/>
      <c r="BA8" s="156"/>
      <c r="BB8" s="156"/>
      <c r="BC8" s="156"/>
      <c r="BD8" s="156"/>
      <c r="BE8" s="156"/>
      <c r="BF8" s="156"/>
      <c r="BG8" s="156"/>
      <c r="BH8" s="156"/>
      <c r="BI8" s="156"/>
      <c r="BJ8" s="156"/>
      <c r="BK8" s="156"/>
      <c r="BL8" s="188"/>
      <c r="BM8" s="188"/>
      <c r="BN8" s="188"/>
      <c r="BO8" s="188"/>
      <c r="BP8" s="188"/>
      <c r="BQ8" s="188"/>
      <c r="BR8" s="208">
        <v>0.99990000000000001</v>
      </c>
      <c r="BS8" s="208">
        <v>0.99990000000000001</v>
      </c>
      <c r="BT8" s="208">
        <v>0.99990000000000001</v>
      </c>
      <c r="BU8" s="208">
        <v>0.99990000000000001</v>
      </c>
      <c r="BV8" s="208">
        <v>0.99990000000000001</v>
      </c>
      <c r="BW8" s="208">
        <v>0.99990000000000001</v>
      </c>
      <c r="BX8" s="208">
        <v>0.99990000000000001</v>
      </c>
      <c r="BY8" s="208">
        <v>0.99990000000000001</v>
      </c>
      <c r="BZ8" s="208">
        <v>0.99990000000000001</v>
      </c>
      <c r="CA8" s="188">
        <v>0.99660000000000004</v>
      </c>
      <c r="CB8" s="188">
        <v>0.99470000000000003</v>
      </c>
      <c r="CC8" s="188">
        <v>0.99690000000000001</v>
      </c>
      <c r="CD8" s="188">
        <v>0.99790000000000001</v>
      </c>
      <c r="CE8" s="188">
        <v>0.997</v>
      </c>
      <c r="CF8" s="188">
        <v>0.98909999999999998</v>
      </c>
      <c r="CG8" s="188">
        <v>0.99099999999999999</v>
      </c>
      <c r="CH8" s="188">
        <v>0.99519999999999997</v>
      </c>
      <c r="CI8" s="188">
        <v>0.99639999999999995</v>
      </c>
      <c r="CJ8" s="189">
        <v>0.99460000000000004</v>
      </c>
      <c r="CK8" s="189">
        <v>0.99360000000000004</v>
      </c>
      <c r="CL8" s="189">
        <v>0.99419999999999997</v>
      </c>
      <c r="CM8" s="193">
        <f t="shared" ref="CM8:DB8" si="37">AVERAGE(CI8:CL8)</f>
        <v>0.99470000000000014</v>
      </c>
      <c r="CN8" s="193">
        <f t="shared" si="37"/>
        <v>0.99427500000000002</v>
      </c>
      <c r="CO8" s="193">
        <f t="shared" si="37"/>
        <v>0.99419374999999999</v>
      </c>
      <c r="CP8" s="193">
        <f t="shared" si="37"/>
        <v>0.99434218750000003</v>
      </c>
      <c r="CQ8" s="193">
        <f t="shared" si="37"/>
        <v>0.99437773437499999</v>
      </c>
      <c r="CR8" s="193">
        <f t="shared" si="37"/>
        <v>0.99429716796875001</v>
      </c>
      <c r="CS8" s="193">
        <f t="shared" si="37"/>
        <v>0.9943027099609375</v>
      </c>
      <c r="CT8" s="193">
        <f t="shared" si="37"/>
        <v>0.99432994995117185</v>
      </c>
      <c r="CU8" s="193">
        <f t="shared" si="37"/>
        <v>0.99432689056396484</v>
      </c>
      <c r="CV8" s="193">
        <f t="shared" si="37"/>
        <v>0.99431417961120605</v>
      </c>
      <c r="CW8" s="193">
        <f t="shared" si="37"/>
        <v>0.99431843252182006</v>
      </c>
      <c r="CX8" s="193">
        <f t="shared" si="37"/>
        <v>0.9943223631620407</v>
      </c>
      <c r="CY8" s="193">
        <f t="shared" si="37"/>
        <v>0.99432046646475791</v>
      </c>
      <c r="CZ8" s="193">
        <f t="shared" si="37"/>
        <v>0.99431886043995621</v>
      </c>
      <c r="DA8" s="193">
        <f t="shared" si="37"/>
        <v>0.9943200306471438</v>
      </c>
      <c r="DB8" s="193">
        <f t="shared" si="37"/>
        <v>0.99432043017847471</v>
      </c>
      <c r="DE8" s="159"/>
      <c r="DG8" s="158">
        <v>0.99419999999999997</v>
      </c>
    </row>
    <row r="9" spans="1:111" s="158" customFormat="1" x14ac:dyDescent="0.2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7"/>
      <c r="AB9" s="157"/>
      <c r="AC9" s="157"/>
      <c r="AD9" s="157"/>
      <c r="AE9" s="157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6"/>
      <c r="BD9" s="156"/>
      <c r="BE9" s="156"/>
      <c r="BF9" s="156"/>
      <c r="BG9" s="156"/>
      <c r="BH9" s="156"/>
      <c r="BI9" s="156"/>
      <c r="BJ9" s="156"/>
      <c r="BK9" s="156"/>
      <c r="BL9" s="188"/>
      <c r="BM9" s="188"/>
      <c r="BN9" s="188"/>
      <c r="BO9" s="188"/>
      <c r="BP9" s="188"/>
      <c r="BQ9" s="188"/>
      <c r="BR9" s="188"/>
      <c r="BS9" s="188"/>
      <c r="BT9" s="188"/>
      <c r="BU9" s="188"/>
      <c r="BV9" s="188"/>
      <c r="BW9" s="188"/>
      <c r="BX9" s="188"/>
      <c r="BY9" s="188"/>
      <c r="BZ9" s="188"/>
      <c r="CA9" s="188"/>
      <c r="CB9" s="188"/>
      <c r="CC9" s="188"/>
      <c r="CD9" s="188"/>
      <c r="CE9" s="188"/>
      <c r="CF9" s="188"/>
      <c r="CG9" s="188"/>
      <c r="CH9" s="188"/>
      <c r="CI9" s="203"/>
      <c r="CJ9" s="203"/>
      <c r="CK9" s="203"/>
      <c r="CL9" s="203"/>
      <c r="CM9" s="193"/>
      <c r="CN9" s="193"/>
      <c r="CO9" s="193"/>
      <c r="CP9" s="193"/>
      <c r="CQ9" s="193"/>
      <c r="CR9" s="193"/>
      <c r="CS9" s="193"/>
      <c r="CT9" s="193"/>
      <c r="CU9" s="193"/>
      <c r="CV9" s="193"/>
      <c r="CW9" s="193"/>
      <c r="CX9" s="193"/>
      <c r="CY9" s="193"/>
      <c r="CZ9" s="193"/>
      <c r="DA9" s="193"/>
      <c r="DB9" s="193"/>
      <c r="DE9" s="159"/>
    </row>
    <row r="10" spans="1:111" s="197" customFormat="1" x14ac:dyDescent="0.2">
      <c r="A10" s="195" t="s">
        <v>538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I10" s="196"/>
      <c r="AJ10" s="196"/>
      <c r="AK10" s="196"/>
      <c r="AL10" s="196"/>
      <c r="AM10" s="196"/>
      <c r="AN10" s="196"/>
      <c r="AO10" s="196"/>
      <c r="AP10" s="196"/>
      <c r="AQ10" s="196"/>
      <c r="AR10" s="196"/>
      <c r="AS10" s="196"/>
      <c r="AT10" s="196"/>
      <c r="AU10" s="196"/>
      <c r="AV10" s="196"/>
      <c r="AW10" s="196"/>
      <c r="AX10" s="196"/>
      <c r="AY10" s="196"/>
      <c r="AZ10" s="196"/>
      <c r="BA10" s="196"/>
      <c r="BB10" s="196"/>
      <c r="BC10" s="196"/>
      <c r="BD10" s="196"/>
      <c r="BE10" s="196"/>
      <c r="BF10" s="196"/>
      <c r="BG10" s="196"/>
      <c r="BH10" s="196"/>
      <c r="BI10" s="196"/>
      <c r="BJ10" s="196"/>
      <c r="BK10" s="196"/>
      <c r="BL10" s="198"/>
      <c r="BM10" s="198"/>
      <c r="BN10" s="198"/>
      <c r="BO10" s="198"/>
      <c r="BP10" s="198"/>
      <c r="BQ10" s="198"/>
      <c r="BR10" s="198"/>
      <c r="BS10" s="198"/>
      <c r="BT10" s="198"/>
      <c r="BU10" s="198"/>
      <c r="BV10" s="198"/>
      <c r="BW10" s="198"/>
      <c r="BX10" s="198"/>
      <c r="BY10" s="198"/>
      <c r="BZ10" s="198"/>
      <c r="CA10" s="198"/>
      <c r="CB10" s="198"/>
      <c r="CC10" s="198"/>
      <c r="CD10" s="198"/>
      <c r="CE10" s="198"/>
      <c r="CF10" s="198"/>
      <c r="CG10" s="198"/>
      <c r="CH10" s="198"/>
      <c r="CI10" s="198"/>
      <c r="CK10" s="199"/>
      <c r="CL10" s="199"/>
      <c r="CM10" s="200"/>
      <c r="CN10" s="200"/>
      <c r="CO10" s="200"/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0"/>
      <c r="DA10" s="200"/>
      <c r="DB10" s="200"/>
      <c r="DE10" s="196"/>
    </row>
    <row r="11" spans="1:111" s="158" customFormat="1" x14ac:dyDescent="0.2">
      <c r="A11" s="155" t="s">
        <v>551</v>
      </c>
      <c r="B11" s="156"/>
      <c r="C11" s="156"/>
      <c r="D11" s="156"/>
      <c r="E11" s="156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213"/>
      <c r="X11" s="213">
        <f t="shared" ref="X11:Y11" si="38">X6/W6-1</f>
        <v>0.13777498428661228</v>
      </c>
      <c r="Y11" s="213">
        <f t="shared" si="38"/>
        <v>9.5569550325930841E-2</v>
      </c>
      <c r="Z11" s="213">
        <f>Z6/Y6-1</f>
        <v>6.4743848325937936E-2</v>
      </c>
      <c r="AA11" s="214">
        <f t="shared" ref="AA11:AE11" si="39">AA6/Z6-1</f>
        <v>-0.76245501041863983</v>
      </c>
      <c r="AB11" s="214">
        <f t="shared" si="39"/>
        <v>3.0000000000000027E-2</v>
      </c>
      <c r="AC11" s="214">
        <f t="shared" si="39"/>
        <v>3.499999999999992E-2</v>
      </c>
      <c r="AD11" s="214">
        <f t="shared" si="39"/>
        <v>3.7885125599999903E-2</v>
      </c>
      <c r="AE11" s="214">
        <f t="shared" si="39"/>
        <v>4.1008078335079245E-2</v>
      </c>
      <c r="AI11" s="156"/>
      <c r="AJ11" s="156"/>
      <c r="AK11" s="156"/>
      <c r="AL11" s="156"/>
      <c r="AM11" s="156"/>
      <c r="AN11" s="156"/>
      <c r="AO11" s="156"/>
      <c r="AP11" s="156"/>
      <c r="AQ11" s="156"/>
      <c r="AR11" s="156"/>
      <c r="AS11" s="156"/>
      <c r="AT11" s="156"/>
      <c r="AU11" s="156"/>
      <c r="AV11" s="156"/>
      <c r="AW11" s="156"/>
      <c r="AX11" s="156"/>
      <c r="AY11" s="156"/>
      <c r="AZ11" s="156"/>
      <c r="BA11" s="156"/>
      <c r="BB11" s="156"/>
      <c r="BC11" s="156"/>
      <c r="BD11" s="156"/>
      <c r="BE11" s="156"/>
      <c r="BF11" s="156"/>
      <c r="BG11" s="156"/>
      <c r="BH11" s="156"/>
      <c r="BI11" s="156"/>
      <c r="BJ11" s="156"/>
      <c r="BK11" s="156"/>
      <c r="BL11" s="188"/>
      <c r="BM11" s="188"/>
      <c r="BN11" s="188"/>
      <c r="BO11" s="188"/>
      <c r="BP11" s="189"/>
      <c r="BQ11" s="189"/>
      <c r="BR11" s="189"/>
      <c r="BS11" s="189"/>
      <c r="BT11" s="189"/>
      <c r="BU11" s="189"/>
      <c r="BV11" s="209">
        <f t="shared" ref="BV11:BV12" si="40">BV6/BR6-1</f>
        <v>5.8729311265348638E-3</v>
      </c>
      <c r="BW11" s="209">
        <f t="shared" ref="BW11:BW12" si="41">BW6/BS6-1</f>
        <v>0.25736738703339879</v>
      </c>
      <c r="BX11" s="209">
        <f t="shared" ref="BX11:BX12" si="42">BX6/BT6-1</f>
        <v>0.13063291139240496</v>
      </c>
      <c r="BY11" s="209">
        <f t="shared" ref="BY11:BY12" si="43">BY6/BU6-1</f>
        <v>5.2912621359223255E-2</v>
      </c>
      <c r="BZ11" s="209">
        <f t="shared" ref="BZ11:BZ12" si="44">BZ6/BV6-1</f>
        <v>0.10881104033970268</v>
      </c>
      <c r="CA11" s="209">
        <f t="shared" ref="CA11:CA12" si="45">CA6/BW6-1</f>
        <v>7.5781249999999911E-2</v>
      </c>
      <c r="CB11" s="209">
        <f t="shared" ref="CB11:CB12" si="46">CB6/BX6-1</f>
        <v>9.5387371249440189E-2</v>
      </c>
      <c r="CC11" s="209">
        <f t="shared" ref="CC11:CC12" si="47">CC6/BY6-1</f>
        <v>0.14753342554172422</v>
      </c>
      <c r="CD11" s="209">
        <f t="shared" ref="CD11:CD12" si="48">CD6/BZ6-1</f>
        <v>6.6060315940641434E-2</v>
      </c>
      <c r="CE11" s="209">
        <f t="shared" ref="CE11:CI12" si="49">CE6/CA6-1</f>
        <v>7.5526506899055823E-2</v>
      </c>
      <c r="CF11" s="209">
        <f t="shared" si="49"/>
        <v>6.6639411283728522E-2</v>
      </c>
      <c r="CG11" s="209">
        <f t="shared" si="49"/>
        <v>3.4150261149055838E-2</v>
      </c>
      <c r="CH11" s="209">
        <f t="shared" si="49"/>
        <v>8.3520431073192736E-2</v>
      </c>
      <c r="CI11" s="209">
        <f t="shared" si="49"/>
        <v>-7.7650236326806121E-3</v>
      </c>
      <c r="CJ11" s="209">
        <f t="shared" ref="CJ11:CL12" si="50">CJ6/CF6-1</f>
        <v>1.5714833269451889E-2</v>
      </c>
      <c r="CK11" s="209">
        <f t="shared" si="50"/>
        <v>-3.3799533799533821E-2</v>
      </c>
      <c r="CL11" s="209">
        <f t="shared" si="50"/>
        <v>3.937007874015741E-2</v>
      </c>
      <c r="CM11" s="210">
        <v>0.03</v>
      </c>
      <c r="CN11" s="210">
        <v>0.03</v>
      </c>
      <c r="CO11" s="210">
        <v>0.03</v>
      </c>
      <c r="CP11" s="210">
        <v>0.03</v>
      </c>
      <c r="CQ11" s="210">
        <v>3.5000000000000003E-2</v>
      </c>
      <c r="CR11" s="210">
        <f>+CQ11</f>
        <v>3.5000000000000003E-2</v>
      </c>
      <c r="CS11" s="210">
        <f t="shared" ref="CS11:CT11" si="51">+CR11</f>
        <v>3.5000000000000003E-2</v>
      </c>
      <c r="CT11" s="210">
        <f t="shared" si="51"/>
        <v>3.5000000000000003E-2</v>
      </c>
      <c r="CU11" s="210">
        <f>+CT11*1.02</f>
        <v>3.5700000000000003E-2</v>
      </c>
      <c r="CV11" s="210">
        <f t="shared" ref="CV11:DB11" si="52">+CU11*1.02</f>
        <v>3.6414000000000002E-2</v>
      </c>
      <c r="CW11" s="210">
        <f t="shared" si="52"/>
        <v>3.714228E-2</v>
      </c>
      <c r="CX11" s="210">
        <f t="shared" si="52"/>
        <v>3.78851256E-2</v>
      </c>
      <c r="CY11" s="210">
        <f t="shared" si="52"/>
        <v>3.8642828112000004E-2</v>
      </c>
      <c r="CZ11" s="210">
        <f t="shared" si="52"/>
        <v>3.9415684674240004E-2</v>
      </c>
      <c r="DA11" s="210">
        <f t="shared" si="52"/>
        <v>4.0203998367724807E-2</v>
      </c>
      <c r="DB11" s="210">
        <f t="shared" si="52"/>
        <v>4.1008078335079301E-2</v>
      </c>
      <c r="DE11" s="159"/>
      <c r="DG11" s="158">
        <v>3.937007874015741E-2</v>
      </c>
    </row>
    <row r="12" spans="1:111" s="158" customFormat="1" x14ac:dyDescent="0.2">
      <c r="A12" s="155" t="s">
        <v>552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213"/>
      <c r="X12" s="213">
        <f t="shared" ref="X12:Y12" si="53">X7/W7-1</f>
        <v>8.4007811775045349E-2</v>
      </c>
      <c r="Y12" s="213">
        <f t="shared" si="53"/>
        <v>8.0710953148005471E-2</v>
      </c>
      <c r="Z12" s="213">
        <f>Z7/Y7-1</f>
        <v>0.13249316618349449</v>
      </c>
      <c r="AA12" s="214">
        <f t="shared" ref="AA12:AE12" si="54">AA7/Z7-1</f>
        <v>3.2729684227720259</v>
      </c>
      <c r="AB12" s="214">
        <f t="shared" si="54"/>
        <v>7.1090217713065673E-3</v>
      </c>
      <c r="AC12" s="214">
        <f t="shared" si="54"/>
        <v>1.1259482008654897E-2</v>
      </c>
      <c r="AD12" s="214">
        <f t="shared" si="54"/>
        <v>1.0116856065542912E-2</v>
      </c>
      <c r="AE12" s="214">
        <f t="shared" si="54"/>
        <v>1.0433611307343993E-2</v>
      </c>
      <c r="AI12" s="156"/>
      <c r="AJ12" s="156"/>
      <c r="AK12" s="156"/>
      <c r="AL12" s="156"/>
      <c r="AM12" s="156"/>
      <c r="AN12" s="156"/>
      <c r="AO12" s="156"/>
      <c r="AP12" s="156"/>
      <c r="AQ12" s="156"/>
      <c r="AR12" s="156"/>
      <c r="AS12" s="156"/>
      <c r="AT12" s="156"/>
      <c r="AU12" s="156"/>
      <c r="AV12" s="156"/>
      <c r="AW12" s="156"/>
      <c r="AX12" s="156"/>
      <c r="AY12" s="156"/>
      <c r="AZ12" s="156"/>
      <c r="BA12" s="156"/>
      <c r="BB12" s="156"/>
      <c r="BC12" s="156"/>
      <c r="BD12" s="156"/>
      <c r="BE12" s="156"/>
      <c r="BF12" s="156"/>
      <c r="BG12" s="156"/>
      <c r="BH12" s="156"/>
      <c r="BI12" s="156"/>
      <c r="BJ12" s="156"/>
      <c r="BK12" s="156"/>
      <c r="BL12" s="188"/>
      <c r="BM12" s="188"/>
      <c r="BN12" s="188"/>
      <c r="BO12" s="189"/>
      <c r="BP12" s="189"/>
      <c r="BQ12" s="189"/>
      <c r="BR12" s="189"/>
      <c r="BS12" s="189"/>
      <c r="BT12" s="189"/>
      <c r="BU12" s="189"/>
      <c r="BV12" s="209">
        <f t="shared" si="40"/>
        <v>0.10987907730264834</v>
      </c>
      <c r="BW12" s="209">
        <f t="shared" si="41"/>
        <v>1.0287491388713432E-2</v>
      </c>
      <c r="BX12" s="209">
        <f t="shared" si="42"/>
        <v>0.13218524193192827</v>
      </c>
      <c r="BY12" s="209">
        <f t="shared" si="43"/>
        <v>0.11174887623845264</v>
      </c>
      <c r="BZ12" s="209">
        <f t="shared" si="44"/>
        <v>9.6480611046459996E-2</v>
      </c>
      <c r="CA12" s="209">
        <f t="shared" si="45"/>
        <v>0.1500933305945884</v>
      </c>
      <c r="CB12" s="209">
        <f t="shared" si="46"/>
        <v>4.6144050281857085E-2</v>
      </c>
      <c r="CC12" s="209">
        <f t="shared" si="47"/>
        <v>6.033033643298702E-2</v>
      </c>
      <c r="CD12" s="209">
        <f t="shared" si="48"/>
        <v>6.423422751033403E-2</v>
      </c>
      <c r="CE12" s="209">
        <f t="shared" si="49"/>
        <v>0.14551308697993615</v>
      </c>
      <c r="CF12" s="209">
        <f t="shared" si="49"/>
        <v>0.13953595297534882</v>
      </c>
      <c r="CG12" s="209">
        <f t="shared" si="49"/>
        <v>0.12280729343571894</v>
      </c>
      <c r="CH12" s="209">
        <f t="shared" si="49"/>
        <v>0.12003997287546242</v>
      </c>
      <c r="CI12" s="209">
        <f t="shared" si="49"/>
        <v>3.9115448007913667E-3</v>
      </c>
      <c r="CJ12" s="209">
        <f t="shared" si="50"/>
        <v>1.8487578671128935E-2</v>
      </c>
      <c r="CK12" s="209">
        <f t="shared" si="50"/>
        <v>8.079740950031411E-2</v>
      </c>
      <c r="CL12" s="209">
        <f t="shared" si="50"/>
        <v>-5.0511061418576308E-2</v>
      </c>
      <c r="CM12" s="210">
        <f>AVERAGE(CI12:CL12)*1.12</f>
        <v>1.4751932035024271E-2</v>
      </c>
      <c r="CN12" s="210">
        <f t="shared" ref="CN12:CP12" si="55">AVERAGE(CJ12:CM12)*1.12</f>
        <v>1.7787240460609484E-2</v>
      </c>
      <c r="CO12" s="210">
        <f t="shared" si="55"/>
        <v>1.759114576166404E-2</v>
      </c>
      <c r="CP12" s="210">
        <f t="shared" si="55"/>
        <v>-1.0660808515798398E-4</v>
      </c>
      <c r="CQ12" s="210">
        <f>AVERAGE(CM12:CP12)*1.02</f>
        <v>1.2756046093895652E-2</v>
      </c>
      <c r="CR12" s="210">
        <f t="shared" ref="CR12:CT12" si="56">AVERAGE(CN12:CQ12)*1.02</f>
        <v>1.2247095178907855E-2</v>
      </c>
      <c r="CS12" s="210">
        <f t="shared" si="56"/>
        <v>1.0834358132073939E-2</v>
      </c>
      <c r="CT12" s="210">
        <f t="shared" si="56"/>
        <v>9.1113772865284628E-3</v>
      </c>
      <c r="CU12" s="210">
        <f>AVERAGE(CQ12:CT12)*1.03</f>
        <v>1.1574335748037023E-2</v>
      </c>
      <c r="CV12" s="210">
        <f t="shared" ref="CV12:DB12" si="57">AVERAGE(CR12:CU12)*1.03</f>
        <v>1.1270045333978426E-2</v>
      </c>
      <c r="CW12" s="210">
        <f t="shared" si="57"/>
        <v>1.1018454998909097E-2</v>
      </c>
      <c r="CX12" s="210">
        <f t="shared" si="57"/>
        <v>1.1065859942119151E-2</v>
      </c>
      <c r="CY12" s="210">
        <f t="shared" si="57"/>
        <v>1.1569139225933752E-2</v>
      </c>
      <c r="CZ12" s="210">
        <f t="shared" si="57"/>
        <v>1.1567801121492159E-2</v>
      </c>
      <c r="DA12" s="210">
        <f t="shared" si="57"/>
        <v>1.1644473236776946E-2</v>
      </c>
      <c r="DB12" s="210">
        <f t="shared" si="57"/>
        <v>1.1805672933027917E-2</v>
      </c>
      <c r="DE12" s="159"/>
      <c r="DG12" s="158">
        <v>3.5935750211269601E-2</v>
      </c>
    </row>
    <row r="13" spans="1:111" s="158" customFormat="1" x14ac:dyDescent="0.2">
      <c r="A13" s="155"/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7"/>
      <c r="AB13" s="157"/>
      <c r="AC13" s="157"/>
      <c r="AD13" s="157"/>
      <c r="AE13" s="157"/>
      <c r="AI13" s="156"/>
      <c r="AJ13" s="156"/>
      <c r="AK13" s="156"/>
      <c r="AL13" s="156"/>
      <c r="AM13" s="156"/>
      <c r="AN13" s="156"/>
      <c r="AO13" s="156"/>
      <c r="AP13" s="156"/>
      <c r="AQ13" s="156"/>
      <c r="AR13" s="156"/>
      <c r="AS13" s="156"/>
      <c r="AT13" s="156"/>
      <c r="AU13" s="156"/>
      <c r="AV13" s="156"/>
      <c r="AW13" s="156"/>
      <c r="AX13" s="156"/>
      <c r="AY13" s="156"/>
      <c r="AZ13" s="156"/>
      <c r="BA13" s="156"/>
      <c r="BB13" s="156"/>
      <c r="BC13" s="156"/>
      <c r="BD13" s="156"/>
      <c r="BE13" s="156"/>
      <c r="BF13" s="156"/>
      <c r="BG13" s="156"/>
      <c r="BH13" s="156"/>
      <c r="BI13" s="156"/>
      <c r="BJ13" s="156"/>
      <c r="BK13" s="156"/>
      <c r="BL13" s="156"/>
      <c r="BM13" s="156"/>
      <c r="BN13" s="156"/>
      <c r="BO13" s="156"/>
      <c r="BP13" s="156"/>
      <c r="BQ13" s="156"/>
      <c r="BR13" s="156"/>
      <c r="BS13" s="156"/>
      <c r="BT13" s="156"/>
      <c r="BU13" s="156"/>
      <c r="BV13" s="156"/>
      <c r="BW13" s="156"/>
      <c r="BX13" s="156"/>
      <c r="BY13" s="156"/>
      <c r="BZ13" s="156"/>
      <c r="CA13" s="156"/>
      <c r="CB13" s="156"/>
      <c r="CC13" s="156"/>
      <c r="CD13" s="156"/>
      <c r="CE13" s="156"/>
      <c r="CF13" s="156"/>
      <c r="CG13" s="156"/>
      <c r="CH13" s="156"/>
      <c r="CI13" s="156"/>
      <c r="CJ13" s="156"/>
      <c r="CK13" s="156"/>
      <c r="CL13" s="156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E13" s="159"/>
    </row>
    <row r="14" spans="1:111" s="187" customFormat="1" x14ac:dyDescent="0.2">
      <c r="A14" s="185" t="s">
        <v>534</v>
      </c>
      <c r="B14" s="186"/>
      <c r="C14" s="186"/>
      <c r="D14" s="186"/>
      <c r="E14" s="186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  <c r="Z14" s="186"/>
      <c r="AA14" s="186"/>
      <c r="AB14" s="186"/>
      <c r="AC14" s="186"/>
      <c r="AD14" s="186"/>
      <c r="AE14" s="186"/>
      <c r="AI14" s="186"/>
      <c r="AJ14" s="186"/>
      <c r="AK14" s="186"/>
      <c r="AL14" s="186"/>
      <c r="AM14" s="186"/>
      <c r="AN14" s="186"/>
      <c r="AO14" s="186"/>
      <c r="AP14" s="186"/>
      <c r="AQ14" s="186"/>
      <c r="AR14" s="186"/>
      <c r="AS14" s="186"/>
      <c r="AT14" s="186"/>
      <c r="AU14" s="186"/>
      <c r="AV14" s="186"/>
      <c r="AW14" s="186"/>
      <c r="AX14" s="186"/>
      <c r="AY14" s="186"/>
      <c r="AZ14" s="186"/>
      <c r="BA14" s="186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6"/>
      <c r="BM14" s="186"/>
      <c r="BN14" s="186"/>
      <c r="BO14" s="186"/>
      <c r="BP14" s="186"/>
      <c r="BQ14" s="186"/>
      <c r="BR14" s="186"/>
      <c r="BS14" s="186"/>
      <c r="BT14" s="186"/>
      <c r="BU14" s="186"/>
      <c r="BV14" s="186"/>
      <c r="BW14" s="186"/>
      <c r="BX14" s="186"/>
      <c r="BY14" s="186"/>
      <c r="BZ14" s="186"/>
      <c r="CA14" s="186"/>
      <c r="CB14" s="186"/>
      <c r="CC14" s="186"/>
      <c r="CD14" s="186"/>
      <c r="CE14" s="186"/>
      <c r="CF14" s="186"/>
      <c r="CG14" s="186"/>
      <c r="CH14" s="186"/>
      <c r="CI14" s="186"/>
      <c r="CJ14" s="186"/>
      <c r="CK14" s="186"/>
      <c r="CL14" s="186"/>
      <c r="CM14" s="186"/>
      <c r="CN14" s="186"/>
      <c r="CO14" s="186"/>
      <c r="CP14" s="186"/>
      <c r="CQ14" s="186"/>
      <c r="CR14" s="186"/>
      <c r="CS14" s="186"/>
      <c r="CT14" s="186"/>
      <c r="CU14" s="186"/>
      <c r="CV14" s="186"/>
      <c r="CW14" s="186"/>
      <c r="CX14" s="186"/>
      <c r="CY14" s="186"/>
      <c r="CZ14" s="186"/>
      <c r="DA14" s="186"/>
      <c r="DB14" s="186"/>
      <c r="DE14" s="186"/>
    </row>
    <row r="15" spans="1:111" s="158" customFormat="1" x14ac:dyDescent="0.2">
      <c r="A15" s="155" t="s">
        <v>535</v>
      </c>
      <c r="B15" s="156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>
        <f>BN15</f>
        <v>14740</v>
      </c>
      <c r="V15" s="156">
        <f>BR15</f>
        <v>17276</v>
      </c>
      <c r="W15" s="156">
        <f>BV15</f>
        <v>18795</v>
      </c>
      <c r="X15" s="156">
        <f>BZ15</f>
        <v>19779</v>
      </c>
      <c r="Y15" s="156">
        <f>CD15</f>
        <v>20509</v>
      </c>
      <c r="Z15" s="156">
        <f>CH15</f>
        <v>26696</v>
      </c>
      <c r="AA15" s="157">
        <f>CL15</f>
        <v>27949</v>
      </c>
      <c r="AB15" s="157">
        <f>CP15</f>
        <v>29511</v>
      </c>
      <c r="AC15" s="157">
        <f>CT15</f>
        <v>30401</v>
      </c>
      <c r="AD15" s="157">
        <f>CX15</f>
        <v>32801</v>
      </c>
      <c r="AE15" s="157">
        <f>DB15</f>
        <v>34001</v>
      </c>
      <c r="AI15" s="156"/>
      <c r="AJ15" s="156"/>
      <c r="AK15" s="156"/>
      <c r="AL15" s="156"/>
      <c r="AM15" s="156"/>
      <c r="AN15" s="156"/>
      <c r="AO15" s="156"/>
      <c r="AP15" s="156"/>
      <c r="AQ15" s="156"/>
      <c r="AR15" s="156"/>
      <c r="AS15" s="156"/>
      <c r="AT15" s="156"/>
      <c r="AU15" s="156"/>
      <c r="AV15" s="156"/>
      <c r="AW15" s="156"/>
      <c r="AX15" s="156"/>
      <c r="AY15" s="156"/>
      <c r="AZ15" s="156"/>
      <c r="BA15" s="156"/>
      <c r="BB15" s="156"/>
      <c r="BC15" s="156"/>
      <c r="BD15" s="156"/>
      <c r="BE15" s="156"/>
      <c r="BF15" s="156"/>
      <c r="BG15" s="156"/>
      <c r="BH15" s="156"/>
      <c r="BI15" s="156"/>
      <c r="BJ15" s="156"/>
      <c r="BK15" s="156"/>
      <c r="BL15" s="192">
        <v>14738</v>
      </c>
      <c r="BM15" s="192">
        <v>14738</v>
      </c>
      <c r="BN15" s="192">
        <v>14740</v>
      </c>
      <c r="BO15" s="192">
        <v>14814</v>
      </c>
      <c r="BP15" s="192">
        <v>14837</v>
      </c>
      <c r="BQ15" s="192">
        <v>15487</v>
      </c>
      <c r="BR15" s="192">
        <v>17276</v>
      </c>
      <c r="BS15" s="192">
        <v>18801</v>
      </c>
      <c r="BT15" s="192">
        <v>18336</v>
      </c>
      <c r="BU15" s="192">
        <v>18567</v>
      </c>
      <c r="BV15" s="192">
        <v>18795</v>
      </c>
      <c r="BW15" s="192">
        <v>18795</v>
      </c>
      <c r="BX15" s="192">
        <v>18795</v>
      </c>
      <c r="BY15" s="192">
        <v>18795</v>
      </c>
      <c r="BZ15" s="192">
        <v>19779</v>
      </c>
      <c r="CA15" s="192">
        <v>19778</v>
      </c>
      <c r="CB15" s="192">
        <v>19862</v>
      </c>
      <c r="CC15" s="192">
        <v>20422</v>
      </c>
      <c r="CD15" s="192">
        <v>20509</v>
      </c>
      <c r="CE15" s="192">
        <v>21187</v>
      </c>
      <c r="CF15" s="192">
        <v>23269</v>
      </c>
      <c r="CG15" s="192">
        <v>25778</v>
      </c>
      <c r="CH15" s="192">
        <v>26696</v>
      </c>
      <c r="CI15" s="192">
        <v>26696</v>
      </c>
      <c r="CJ15" s="156">
        <v>26705</v>
      </c>
      <c r="CK15" s="156">
        <v>27901</v>
      </c>
      <c r="CL15" s="156">
        <v>27949</v>
      </c>
      <c r="CM15" s="157">
        <f>+CL15</f>
        <v>27949</v>
      </c>
      <c r="CN15" s="157">
        <f>+CM15+260</f>
        <v>28209</v>
      </c>
      <c r="CO15" s="157">
        <f>+CN15+658+644</f>
        <v>29511</v>
      </c>
      <c r="CP15" s="157">
        <f>+CO15</f>
        <v>29511</v>
      </c>
      <c r="CQ15" s="157">
        <f>+CP15+740</f>
        <v>30251</v>
      </c>
      <c r="CR15" s="157">
        <f>+CQ15</f>
        <v>30251</v>
      </c>
      <c r="CS15" s="157">
        <f>+CR15</f>
        <v>30251</v>
      </c>
      <c r="CT15" s="157">
        <f>+CS15+150</f>
        <v>30401</v>
      </c>
      <c r="CU15" s="157">
        <f>+CT15</f>
        <v>30401</v>
      </c>
      <c r="CV15" s="157">
        <f>+CU15</f>
        <v>30401</v>
      </c>
      <c r="CW15" s="157">
        <f>+CV15+2400</f>
        <v>32801</v>
      </c>
      <c r="CX15" s="157">
        <f t="shared" ref="CX15:CZ16" si="58">+CW15</f>
        <v>32801</v>
      </c>
      <c r="CY15" s="157">
        <f t="shared" si="58"/>
        <v>32801</v>
      </c>
      <c r="CZ15" s="157">
        <f t="shared" si="58"/>
        <v>32801</v>
      </c>
      <c r="DA15" s="157">
        <f>CZ15+1200</f>
        <v>34001</v>
      </c>
      <c r="DB15" s="157">
        <f>DA15</f>
        <v>34001</v>
      </c>
      <c r="DE15" s="159"/>
      <c r="DG15" s="158">
        <v>27949</v>
      </c>
    </row>
    <row r="16" spans="1:111" s="158" customFormat="1" x14ac:dyDescent="0.2">
      <c r="A16" s="155" t="s">
        <v>536</v>
      </c>
      <c r="B16" s="156"/>
      <c r="C16" s="156"/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>
        <f>BN16</f>
        <v>27280</v>
      </c>
      <c r="V16" s="156">
        <f>BR16</f>
        <v>30905</v>
      </c>
      <c r="W16" s="156">
        <f>BV16</f>
        <v>40001</v>
      </c>
      <c r="X16" s="156">
        <f>BZ16</f>
        <v>46001</v>
      </c>
      <c r="Y16" s="156">
        <f>CD16</f>
        <v>57011</v>
      </c>
      <c r="Z16" s="215">
        <f>CH16</f>
        <v>90236</v>
      </c>
      <c r="AA16" s="157">
        <f>CL16</f>
        <v>123175</v>
      </c>
      <c r="AB16" s="157">
        <f>CP16</f>
        <v>138675</v>
      </c>
      <c r="AC16" s="157">
        <f>CT16</f>
        <v>147475</v>
      </c>
      <c r="AD16" s="157">
        <f>CX16</f>
        <v>169375</v>
      </c>
      <c r="AE16" s="157">
        <f>DB16</f>
        <v>186950</v>
      </c>
      <c r="AI16" s="156"/>
      <c r="AJ16" s="156"/>
      <c r="AK16" s="156"/>
      <c r="AL16" s="156"/>
      <c r="AM16" s="156"/>
      <c r="AN16" s="156"/>
      <c r="AO16" s="156"/>
      <c r="AP16" s="156"/>
      <c r="AQ16" s="156"/>
      <c r="AR16" s="156"/>
      <c r="AS16" s="156"/>
      <c r="AT16" s="156"/>
      <c r="AU16" s="156"/>
      <c r="AV16" s="156"/>
      <c r="AW16" s="156"/>
      <c r="AX16" s="156"/>
      <c r="AY16" s="156"/>
      <c r="AZ16" s="156"/>
      <c r="BA16" s="156"/>
      <c r="BB16" s="156"/>
      <c r="BC16" s="156"/>
      <c r="BD16" s="156"/>
      <c r="BE16" s="156"/>
      <c r="BF16" s="156"/>
      <c r="BG16" s="156"/>
      <c r="BH16" s="156"/>
      <c r="BI16" s="156"/>
      <c r="BJ16" s="156"/>
      <c r="BK16" s="156"/>
      <c r="BL16" s="192">
        <v>27280</v>
      </c>
      <c r="BM16" s="192">
        <v>27280</v>
      </c>
      <c r="BN16" s="192">
        <v>27280</v>
      </c>
      <c r="BO16" s="192">
        <v>27280</v>
      </c>
      <c r="BP16" s="192">
        <v>30905</v>
      </c>
      <c r="BQ16" s="192">
        <v>36766</v>
      </c>
      <c r="BR16" s="192">
        <v>30905</v>
      </c>
      <c r="BS16" s="192">
        <v>36766</v>
      </c>
      <c r="BT16" s="192">
        <v>36766</v>
      </c>
      <c r="BU16" s="192">
        <v>38641</v>
      </c>
      <c r="BV16" s="192">
        <v>40001</v>
      </c>
      <c r="BW16" s="192">
        <v>40001</v>
      </c>
      <c r="BX16" s="192">
        <v>40001</v>
      </c>
      <c r="BY16" s="192">
        <v>40001</v>
      </c>
      <c r="BZ16" s="192">
        <v>46001</v>
      </c>
      <c r="CA16" s="192">
        <v>46001</v>
      </c>
      <c r="CB16" s="192">
        <v>53161</v>
      </c>
      <c r="CC16" s="192">
        <v>54661</v>
      </c>
      <c r="CD16" s="192">
        <v>57011</v>
      </c>
      <c r="CE16" s="192">
        <v>57186</v>
      </c>
      <c r="CF16" s="192">
        <v>70686</v>
      </c>
      <c r="CG16" s="192">
        <v>84186</v>
      </c>
      <c r="CH16" s="192">
        <v>90236</v>
      </c>
      <c r="CI16" s="192">
        <v>93236</v>
      </c>
      <c r="CJ16" s="156">
        <v>97236</v>
      </c>
      <c r="CK16" s="156">
        <v>118175</v>
      </c>
      <c r="CL16" s="156">
        <v>123175</v>
      </c>
      <c r="CM16" s="157">
        <f>+CL16</f>
        <v>123175</v>
      </c>
      <c r="CN16" s="157">
        <f>+CM16+6000</f>
        <v>129175</v>
      </c>
      <c r="CO16" s="157">
        <f>+CN16+9500</f>
        <v>138675</v>
      </c>
      <c r="CP16" s="157">
        <f>CO16</f>
        <v>138675</v>
      </c>
      <c r="CQ16" s="157">
        <f>+CP16+2800</f>
        <v>141475</v>
      </c>
      <c r="CR16" s="157">
        <f>+CQ16</f>
        <v>141475</v>
      </c>
      <c r="CS16" s="157">
        <f>+CR16</f>
        <v>141475</v>
      </c>
      <c r="CT16" s="157">
        <f>+CS16+6000</f>
        <v>147475</v>
      </c>
      <c r="CU16" s="157">
        <f>+CT16</f>
        <v>147475</v>
      </c>
      <c r="CV16" s="157">
        <f>+CU16</f>
        <v>147475</v>
      </c>
      <c r="CW16" s="157">
        <f>+CV16+21900</f>
        <v>169375</v>
      </c>
      <c r="CX16" s="157">
        <f t="shared" si="58"/>
        <v>169375</v>
      </c>
      <c r="CY16" s="157">
        <f t="shared" si="58"/>
        <v>169375</v>
      </c>
      <c r="CZ16" s="157">
        <f t="shared" si="58"/>
        <v>169375</v>
      </c>
      <c r="DA16" s="157">
        <f>CZ16+5400</f>
        <v>174775</v>
      </c>
      <c r="DB16" s="157">
        <f>DA16+9175+3000</f>
        <v>186950</v>
      </c>
      <c r="DE16" s="159"/>
      <c r="DG16" s="158">
        <v>123175</v>
      </c>
    </row>
    <row r="17" spans="1:111" s="158" customFormat="1" x14ac:dyDescent="0.2">
      <c r="A17" s="155" t="s">
        <v>537</v>
      </c>
      <c r="B17" s="156"/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>
        <f t="shared" ref="U17:AE17" si="59">U26/U16</f>
        <v>0.10318914956011731</v>
      </c>
      <c r="V17" s="156">
        <f t="shared" si="59"/>
        <v>0.10102119398155639</v>
      </c>
      <c r="W17" s="156">
        <f t="shared" si="59"/>
        <v>8.6731081722956918E-2</v>
      </c>
      <c r="X17" s="156">
        <f t="shared" si="59"/>
        <v>8.5762483424273381E-2</v>
      </c>
      <c r="Y17" s="156">
        <f t="shared" si="59"/>
        <v>8.970444300222763E-2</v>
      </c>
      <c r="Z17" s="215">
        <f t="shared" si="59"/>
        <v>9.2320027483487749E-2</v>
      </c>
      <c r="AA17" s="157">
        <f t="shared" si="59"/>
        <v>7.9755469859955352E-2</v>
      </c>
      <c r="AB17" s="157">
        <f t="shared" si="59"/>
        <v>8.7480109901860864E-2</v>
      </c>
      <c r="AC17" s="157">
        <f t="shared" si="59"/>
        <v>9.2687275084514825E-2</v>
      </c>
      <c r="AD17" s="157">
        <f t="shared" si="59"/>
        <v>9.2407040296597076E-2</v>
      </c>
      <c r="AE17" s="157">
        <f t="shared" si="59"/>
        <v>9.0123050665199503E-2</v>
      </c>
      <c r="AI17" s="156"/>
      <c r="AJ17" s="156"/>
      <c r="AK17" s="156"/>
      <c r="AL17" s="156"/>
      <c r="AM17" s="156"/>
      <c r="AN17" s="156"/>
      <c r="AO17" s="156"/>
      <c r="AP17" s="156"/>
      <c r="AQ17" s="156"/>
      <c r="AR17" s="156"/>
      <c r="AS17" s="156"/>
      <c r="AT17" s="156"/>
      <c r="AU17" s="156"/>
      <c r="AV17" s="156"/>
      <c r="AW17" s="156"/>
      <c r="AX17" s="156"/>
      <c r="AY17" s="156"/>
      <c r="AZ17" s="156"/>
      <c r="BA17" s="156"/>
      <c r="BB17" s="156"/>
      <c r="BC17" s="156"/>
      <c r="BD17" s="156"/>
      <c r="BE17" s="156"/>
      <c r="BF17" s="156"/>
      <c r="BG17" s="156"/>
      <c r="BH17" s="156"/>
      <c r="BI17" s="156"/>
      <c r="BJ17" s="156"/>
      <c r="BK17" s="156"/>
      <c r="BL17" s="156">
        <f t="shared" ref="BL17:CL17" si="60">BL26/BL16</f>
        <v>2.4719574780058651E-2</v>
      </c>
      <c r="BM17" s="156">
        <f t="shared" si="60"/>
        <v>2.4880865102639295E-2</v>
      </c>
      <c r="BN17" s="156">
        <f t="shared" si="60"/>
        <v>2.9094574780058651E-2</v>
      </c>
      <c r="BO17" s="156">
        <f t="shared" si="60"/>
        <v>3.6991935483870968E-2</v>
      </c>
      <c r="BP17" s="156">
        <f t="shared" si="60"/>
        <v>2.2275683546351722E-2</v>
      </c>
      <c r="BQ17" s="156">
        <f t="shared" si="60"/>
        <v>1.9155197737039657E-2</v>
      </c>
      <c r="BR17" s="156">
        <f t="shared" si="60"/>
        <v>2.3304643261608155E-2</v>
      </c>
      <c r="BS17" s="156">
        <f t="shared" si="60"/>
        <v>2.8424359462546917E-2</v>
      </c>
      <c r="BT17" s="156">
        <f t="shared" si="60"/>
        <v>2.145487678833705E-2</v>
      </c>
      <c r="BU17" s="156">
        <f t="shared" si="60"/>
        <v>2.1119277451411716E-2</v>
      </c>
      <c r="BV17" s="156">
        <f t="shared" si="60"/>
        <v>2.0484487887802803E-2</v>
      </c>
      <c r="BW17" s="156">
        <f t="shared" si="60"/>
        <v>2.0897977550561237E-2</v>
      </c>
      <c r="BX17" s="156">
        <f t="shared" si="60"/>
        <v>2.1704457388565288E-2</v>
      </c>
      <c r="BY17" s="156">
        <f t="shared" si="60"/>
        <v>2.9328766780830479E-2</v>
      </c>
      <c r="BZ17" s="156">
        <f t="shared" si="60"/>
        <v>2.3213408404165126E-2</v>
      </c>
      <c r="CA17" s="156">
        <f t="shared" si="60"/>
        <v>2.0134127518966979E-2</v>
      </c>
      <c r="CB17" s="156">
        <f t="shared" si="60"/>
        <v>1.9137149414044131E-2</v>
      </c>
      <c r="CC17" s="156">
        <f t="shared" si="60"/>
        <v>2.3134227328442582E-2</v>
      </c>
      <c r="CD17" s="156">
        <f t="shared" si="60"/>
        <v>3.3433197102313586E-2</v>
      </c>
      <c r="CE17" s="156">
        <f t="shared" si="60"/>
        <v>3.0535096002518101E-2</v>
      </c>
      <c r="CF17" s="156">
        <f t="shared" si="60"/>
        <v>3.2580001697648756E-2</v>
      </c>
      <c r="CG17" s="156">
        <f t="shared" si="60"/>
        <v>2.4169814458461027E-2</v>
      </c>
      <c r="CH17" s="156">
        <f t="shared" si="60"/>
        <v>2.4898045126113745E-2</v>
      </c>
      <c r="CI17" s="156">
        <f t="shared" si="60"/>
        <v>2.3469368055257626E-2</v>
      </c>
      <c r="CJ17" s="156">
        <f t="shared" si="60"/>
        <v>2.4391069151343123E-2</v>
      </c>
      <c r="CK17" s="156">
        <f t="shared" si="60"/>
        <v>2.0537338692616883E-2</v>
      </c>
      <c r="CL17" s="156">
        <f t="shared" si="60"/>
        <v>2.3032271158920235E-2</v>
      </c>
      <c r="CM17" s="157">
        <f>AVERAGE(CI17:CL17)*1.01</f>
        <v>2.3086086882179814E-2</v>
      </c>
      <c r="CN17" s="157">
        <f t="shared" ref="CN17:CP17" si="61">AVERAGE(CJ17:CM17)*1.01</f>
        <v>2.2989308385977663E-2</v>
      </c>
      <c r="CO17" s="157">
        <f t="shared" si="61"/>
        <v>2.2635363792722886E-2</v>
      </c>
      <c r="CP17" s="157">
        <f t="shared" si="61"/>
        <v>2.3165115130499653E-2</v>
      </c>
      <c r="CQ17" s="157">
        <f>AVERAGE(CM17:CP17)*1.03</f>
        <v>2.3658037604280355E-2</v>
      </c>
      <c r="CR17" s="157">
        <f t="shared" ref="CR17:CT17" si="62">AVERAGE(CN17:CQ17)*1.03</f>
        <v>2.3805314915221244E-2</v>
      </c>
      <c r="CS17" s="157">
        <f t="shared" si="62"/>
        <v>2.4015436596501467E-2</v>
      </c>
      <c r="CT17" s="157">
        <f t="shared" si="62"/>
        <v>2.4370805343474449E-2</v>
      </c>
      <c r="CU17" s="157">
        <f t="shared" ref="CU17:CX17" si="63">AVERAGE(CQ17:CT17)*1.02</f>
        <v>2.4441646587166764E-2</v>
      </c>
      <c r="CV17" s="157">
        <f t="shared" si="63"/>
        <v>2.46414668778028E-2</v>
      </c>
      <c r="CW17" s="157">
        <f t="shared" si="63"/>
        <v>2.4854685628261097E-2</v>
      </c>
      <c r="CX17" s="157">
        <f t="shared" si="63"/>
        <v>2.5068694131359804E-2</v>
      </c>
      <c r="CY17" s="157">
        <f t="shared" ref="CY17:DB17" si="64">AVERAGE(CU17:CX17)*0.98</f>
        <v>2.4256590840024662E-2</v>
      </c>
      <c r="CZ17" s="157">
        <f t="shared" si="64"/>
        <v>2.4211252181974851E-2</v>
      </c>
      <c r="DA17" s="157">
        <f t="shared" si="64"/>
        <v>2.4105849581497002E-2</v>
      </c>
      <c r="DB17" s="157">
        <f t="shared" si="64"/>
        <v>2.3922384750039799E-2</v>
      </c>
      <c r="DE17" s="159"/>
      <c r="DG17" s="158">
        <v>2.0537338692616883E-2</v>
      </c>
    </row>
    <row r="18" spans="1:111" s="158" customFormat="1" x14ac:dyDescent="0.2">
      <c r="A18" s="202" t="s">
        <v>539</v>
      </c>
      <c r="B18" s="156"/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206">
        <f>AVERAGE(BO18:BR18)</f>
        <v>0.99855000000000005</v>
      </c>
      <c r="W18" s="206">
        <f>AVERAGE(BS18:BV18)</f>
        <v>0.99650000000000005</v>
      </c>
      <c r="X18" s="206">
        <f>AVERAGE(BW18:BZ18)</f>
        <v>0.99597500000000005</v>
      </c>
      <c r="Y18" s="206">
        <f>AVERAGE(CA18:CD18)</f>
        <v>0.997</v>
      </c>
      <c r="Z18" s="206">
        <f>AVERAGE(CE18:CH18)</f>
        <v>0.99697499999999994</v>
      </c>
      <c r="AA18" s="193">
        <f>AVERAGE(CI18:CL18)</f>
        <v>0.99732500000000002</v>
      </c>
      <c r="AB18" s="193">
        <f>AVERAGE(CM18:CP18)</f>
        <v>0.99725712890624996</v>
      </c>
      <c r="AC18" s="193">
        <f>AVERAGE(CQ18:CT18)</f>
        <v>0.99726447486877445</v>
      </c>
      <c r="AD18" s="193">
        <f>AVERAGE(CQ18:CT18)</f>
        <v>0.99726447486877445</v>
      </c>
      <c r="AE18" s="193">
        <f>AVERAGE(CY18:DB18)</f>
        <v>0.99726975599988954</v>
      </c>
      <c r="AI18" s="156"/>
      <c r="AJ18" s="156"/>
      <c r="AK18" s="156"/>
      <c r="AL18" s="156"/>
      <c r="AM18" s="156"/>
      <c r="AN18" s="156"/>
      <c r="AO18" s="156"/>
      <c r="AP18" s="156"/>
      <c r="AQ18" s="156"/>
      <c r="AR18" s="156"/>
      <c r="AS18" s="156"/>
      <c r="AT18" s="156"/>
      <c r="AU18" s="156"/>
      <c r="AV18" s="156"/>
      <c r="AW18" s="156"/>
      <c r="AX18" s="156"/>
      <c r="AY18" s="156"/>
      <c r="AZ18" s="156"/>
      <c r="BA18" s="156"/>
      <c r="BB18" s="156"/>
      <c r="BC18" s="156"/>
      <c r="BD18" s="156"/>
      <c r="BE18" s="156"/>
      <c r="BF18" s="156"/>
      <c r="BG18" s="156"/>
      <c r="BH18" s="156"/>
      <c r="BI18" s="156"/>
      <c r="BJ18" s="156"/>
      <c r="BK18" s="156"/>
      <c r="BL18" s="190">
        <v>99.8</v>
      </c>
      <c r="BM18" s="201">
        <v>0.99590000000000001</v>
      </c>
      <c r="BN18" s="201">
        <v>0.99609999999999999</v>
      </c>
      <c r="BO18" s="201">
        <v>0.99870000000000003</v>
      </c>
      <c r="BP18" s="201">
        <v>0.999</v>
      </c>
      <c r="BQ18" s="201">
        <v>0.99829999999999997</v>
      </c>
      <c r="BR18" s="201">
        <v>0.99819999999999998</v>
      </c>
      <c r="BS18" s="201">
        <v>0.99850000000000005</v>
      </c>
      <c r="BT18" s="201">
        <v>0.99360000000000004</v>
      </c>
      <c r="BU18" s="201">
        <v>0.99690000000000001</v>
      </c>
      <c r="BV18" s="201">
        <v>0.997</v>
      </c>
      <c r="BW18" s="201">
        <v>0.99180000000000001</v>
      </c>
      <c r="BX18" s="201">
        <v>0.99760000000000004</v>
      </c>
      <c r="BY18" s="201">
        <v>0.99750000000000005</v>
      </c>
      <c r="BZ18" s="201">
        <v>0.997</v>
      </c>
      <c r="CA18" s="201">
        <v>0.99770000000000003</v>
      </c>
      <c r="CB18" s="201">
        <v>0.99739999999999995</v>
      </c>
      <c r="CC18" s="201">
        <v>0.99670000000000003</v>
      </c>
      <c r="CD18" s="201">
        <v>0.99619999999999997</v>
      </c>
      <c r="CE18" s="201">
        <v>0.997</v>
      </c>
      <c r="CF18" s="201">
        <v>0.997</v>
      </c>
      <c r="CG18" s="201">
        <v>0.99709999999999999</v>
      </c>
      <c r="CH18" s="201">
        <v>0.99680000000000002</v>
      </c>
      <c r="CI18" s="201">
        <v>0.99829999999999997</v>
      </c>
      <c r="CJ18" s="201">
        <v>0.99629999999999996</v>
      </c>
      <c r="CK18" s="201">
        <v>0.997</v>
      </c>
      <c r="CL18" s="201">
        <v>0.99770000000000003</v>
      </c>
      <c r="CM18" s="193">
        <f t="shared" ref="CM18:DB18" si="65">AVERAGE(CI18:CL18)</f>
        <v>0.99732500000000002</v>
      </c>
      <c r="CN18" s="193">
        <f t="shared" si="65"/>
        <v>0.99708125000000003</v>
      </c>
      <c r="CO18" s="193">
        <f t="shared" si="65"/>
        <v>0.99727656249999996</v>
      </c>
      <c r="CP18" s="193">
        <f t="shared" si="65"/>
        <v>0.99734570312499993</v>
      </c>
      <c r="CQ18" s="193">
        <f t="shared" si="65"/>
        <v>0.99725712890624996</v>
      </c>
      <c r="CR18" s="193">
        <f t="shared" si="65"/>
        <v>0.99724016113281244</v>
      </c>
      <c r="CS18" s="193">
        <f t="shared" si="65"/>
        <v>0.9972798889160156</v>
      </c>
      <c r="CT18" s="193">
        <f t="shared" si="65"/>
        <v>0.99728072052001948</v>
      </c>
      <c r="CU18" s="193">
        <f t="shared" si="65"/>
        <v>0.99726447486877445</v>
      </c>
      <c r="CV18" s="193">
        <f t="shared" si="65"/>
        <v>0.99726631135940547</v>
      </c>
      <c r="CW18" s="193">
        <f t="shared" si="65"/>
        <v>0.99727284891605383</v>
      </c>
      <c r="CX18" s="193">
        <f t="shared" si="65"/>
        <v>0.99727108891606342</v>
      </c>
      <c r="CY18" s="193">
        <f t="shared" si="65"/>
        <v>0.99726868101507438</v>
      </c>
      <c r="CZ18" s="193">
        <f t="shared" si="65"/>
        <v>0.9972697325516493</v>
      </c>
      <c r="DA18" s="193">
        <f t="shared" si="65"/>
        <v>0.99727058784971023</v>
      </c>
      <c r="DB18" s="193">
        <f t="shared" si="65"/>
        <v>0.99727002258312425</v>
      </c>
      <c r="DE18" s="159"/>
      <c r="DG18" s="158">
        <v>0.99770000000000003</v>
      </c>
    </row>
    <row r="19" spans="1:111" s="158" customFormat="1" x14ac:dyDescent="0.2">
      <c r="A19" s="155"/>
      <c r="B19" s="156"/>
      <c r="C19" s="156"/>
      <c r="D19" s="156"/>
      <c r="E19" s="156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  <c r="AA19" s="157"/>
      <c r="AB19" s="157"/>
      <c r="AC19" s="157"/>
      <c r="AD19" s="157"/>
      <c r="AE19" s="157"/>
      <c r="AI19" s="156"/>
      <c r="AJ19" s="156"/>
      <c r="AK19" s="156"/>
      <c r="AL19" s="156"/>
      <c r="AM19" s="156"/>
      <c r="AN19" s="156"/>
      <c r="AO19" s="156"/>
      <c r="AP19" s="156"/>
      <c r="AQ19" s="156"/>
      <c r="AR19" s="156"/>
      <c r="AS19" s="156"/>
      <c r="AT19" s="156"/>
      <c r="AU19" s="156"/>
      <c r="AV19" s="156"/>
      <c r="AW19" s="156"/>
      <c r="AX19" s="156"/>
      <c r="AY19" s="156"/>
      <c r="AZ19" s="156"/>
      <c r="BA19" s="156"/>
      <c r="BB19" s="156"/>
      <c r="BC19" s="156"/>
      <c r="BD19" s="156"/>
      <c r="BE19" s="156"/>
      <c r="BF19" s="156"/>
      <c r="BG19" s="156"/>
      <c r="BH19" s="156"/>
      <c r="BI19" s="156"/>
      <c r="BJ19" s="156"/>
      <c r="BK19" s="156"/>
      <c r="BL19" s="156"/>
      <c r="BM19" s="156"/>
      <c r="BN19" s="156"/>
      <c r="BO19" s="156"/>
      <c r="BP19" s="156"/>
      <c r="BQ19" s="156"/>
      <c r="BR19" s="156"/>
      <c r="BS19" s="156"/>
      <c r="BT19" s="156"/>
      <c r="BU19" s="156"/>
      <c r="BV19" s="156"/>
      <c r="BW19" s="156"/>
      <c r="BX19" s="156"/>
      <c r="BY19" s="156"/>
      <c r="BZ19" s="156"/>
      <c r="CA19" s="156"/>
      <c r="CB19" s="156"/>
      <c r="CC19" s="156"/>
      <c r="CD19" s="156"/>
      <c r="CE19" s="156"/>
      <c r="CF19" s="156"/>
      <c r="CG19" s="156"/>
      <c r="CH19" s="156"/>
      <c r="CI19" s="156"/>
      <c r="CJ19" s="156"/>
      <c r="CK19" s="156"/>
      <c r="CL19" s="156"/>
      <c r="CM19" s="157"/>
      <c r="CN19" s="157"/>
      <c r="CO19" s="157"/>
      <c r="CP19" s="157"/>
      <c r="CQ19" s="157"/>
      <c r="CR19" s="157"/>
      <c r="CS19" s="157"/>
      <c r="CT19" s="157"/>
      <c r="CU19" s="157"/>
      <c r="CV19" s="157"/>
      <c r="CW19" s="157"/>
      <c r="CX19" s="157"/>
      <c r="CY19" s="157"/>
      <c r="CZ19" s="157"/>
      <c r="DA19" s="157"/>
      <c r="DB19" s="157"/>
      <c r="DE19" s="159"/>
    </row>
    <row r="20" spans="1:111" s="185" customFormat="1" x14ac:dyDescent="0.2">
      <c r="A20" s="185" t="s">
        <v>546</v>
      </c>
    </row>
    <row r="21" spans="1:111" s="158" customFormat="1" x14ac:dyDescent="0.2">
      <c r="A21" s="155" t="s">
        <v>548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>
        <f>CD21</f>
        <v>0</v>
      </c>
      <c r="Z21" s="156">
        <f>CH21</f>
        <v>3.13</v>
      </c>
      <c r="AA21" s="157">
        <f>CL21</f>
        <v>10.130000000000001</v>
      </c>
      <c r="AB21" s="157">
        <f>CP21</f>
        <v>17.73</v>
      </c>
      <c r="AC21" s="157">
        <f>CT21</f>
        <v>29.01</v>
      </c>
      <c r="AD21" s="157">
        <f>CX21</f>
        <v>34.450000000000003</v>
      </c>
      <c r="AE21" s="157">
        <f>DB21</f>
        <v>42.61</v>
      </c>
      <c r="AI21" s="156"/>
      <c r="AJ21" s="156"/>
      <c r="AK21" s="156"/>
      <c r="AL21" s="156"/>
      <c r="AM21" s="156"/>
      <c r="AN21" s="156"/>
      <c r="AO21" s="156"/>
      <c r="AP21" s="156"/>
      <c r="AQ21" s="156"/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6"/>
      <c r="BK21" s="156"/>
      <c r="BL21" s="156"/>
      <c r="BM21" s="156"/>
      <c r="BN21" s="156"/>
      <c r="BO21" s="156"/>
      <c r="BP21" s="156"/>
      <c r="BQ21" s="156"/>
      <c r="BR21" s="156"/>
      <c r="BS21" s="156"/>
      <c r="BT21" s="156"/>
      <c r="BU21" s="156"/>
      <c r="BV21" s="156"/>
      <c r="BW21" s="156"/>
      <c r="BX21" s="156"/>
      <c r="BY21" s="156"/>
      <c r="BZ21" s="156"/>
      <c r="CA21" s="156"/>
      <c r="CB21" s="156"/>
      <c r="CC21" s="156"/>
      <c r="CD21" s="156"/>
      <c r="CE21" s="156"/>
      <c r="CF21" s="156">
        <v>0.68</v>
      </c>
      <c r="CG21" s="156">
        <v>1</v>
      </c>
      <c r="CH21" s="156">
        <v>3.13</v>
      </c>
      <c r="CI21" s="156">
        <v>5.54</v>
      </c>
      <c r="CJ21" s="156">
        <v>7.37</v>
      </c>
      <c r="CK21" s="156">
        <v>9.25</v>
      </c>
      <c r="CL21" s="156">
        <v>10.130000000000001</v>
      </c>
      <c r="CM21" s="157">
        <f>CL21+1.9</f>
        <v>12.030000000000001</v>
      </c>
      <c r="CN21" s="157">
        <f t="shared" ref="CN21:CP21" si="66">CM21+1.9</f>
        <v>13.930000000000001</v>
      </c>
      <c r="CO21" s="157">
        <f t="shared" si="66"/>
        <v>15.830000000000002</v>
      </c>
      <c r="CP21" s="157">
        <f t="shared" si="66"/>
        <v>17.73</v>
      </c>
      <c r="CQ21" s="157">
        <f>CP21+2.82</f>
        <v>20.55</v>
      </c>
      <c r="CR21" s="157">
        <f t="shared" ref="CR21:CT21" si="67">CQ21+2.82</f>
        <v>23.37</v>
      </c>
      <c r="CS21" s="157">
        <f t="shared" si="67"/>
        <v>26.19</v>
      </c>
      <c r="CT21" s="157">
        <f t="shared" si="67"/>
        <v>29.01</v>
      </c>
      <c r="CU21" s="157">
        <f>CT21+1.36</f>
        <v>30.37</v>
      </c>
      <c r="CV21" s="157">
        <f t="shared" ref="CV21:CX21" si="68">CU21+1.36</f>
        <v>31.73</v>
      </c>
      <c r="CW21" s="157">
        <f t="shared" si="68"/>
        <v>33.090000000000003</v>
      </c>
      <c r="CX21" s="157">
        <f t="shared" si="68"/>
        <v>34.450000000000003</v>
      </c>
      <c r="CY21" s="157">
        <f>CX21+2.04</f>
        <v>36.49</v>
      </c>
      <c r="CZ21" s="157">
        <f t="shared" ref="CZ21:DB21" si="69">CY21+2.04</f>
        <v>38.53</v>
      </c>
      <c r="DA21" s="157">
        <f t="shared" si="69"/>
        <v>40.57</v>
      </c>
      <c r="DB21" s="157">
        <f t="shared" si="69"/>
        <v>42.61</v>
      </c>
      <c r="DE21" s="159"/>
      <c r="DG21" s="158">
        <v>10.130000000000001</v>
      </c>
    </row>
    <row r="22" spans="1:111" s="158" customFormat="1" x14ac:dyDescent="0.2">
      <c r="A22" s="155" t="s">
        <v>547</v>
      </c>
      <c r="B22" s="156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  <c r="Z22" s="156">
        <f>Z28*10/Z21</f>
        <v>5291.5015974440894</v>
      </c>
      <c r="AA22" s="157">
        <f>0+(AA28*10/AA21)</f>
        <v>3528.8153998025664</v>
      </c>
      <c r="AB22" s="157">
        <f>0+(AB28*10/AB21)</f>
        <v>3554.3064052993332</v>
      </c>
      <c r="AC22" s="157">
        <f>0+(AC28*10/AC21)</f>
        <v>3683.46789899344</v>
      </c>
      <c r="AD22" s="157">
        <f>0+(AD28*10/AD21)</f>
        <v>4236.4792749807029</v>
      </c>
      <c r="AE22" s="157">
        <f>0+(AE28*10/AE21)</f>
        <v>4380.8084906583153</v>
      </c>
      <c r="AI22" s="156"/>
      <c r="AJ22" s="156"/>
      <c r="AK22" s="156"/>
      <c r="AL22" s="156"/>
      <c r="AM22" s="156"/>
      <c r="AN22" s="156"/>
      <c r="AO22" s="156"/>
      <c r="AP22" s="156"/>
      <c r="AQ22" s="156"/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6"/>
      <c r="BK22" s="156"/>
      <c r="BL22" s="156"/>
      <c r="BM22" s="156"/>
      <c r="BN22" s="156"/>
      <c r="BO22" s="156"/>
      <c r="BP22" s="156"/>
      <c r="BQ22" s="156"/>
      <c r="BR22" s="156"/>
      <c r="BS22" s="156"/>
      <c r="BT22" s="156"/>
      <c r="BU22" s="156"/>
      <c r="BV22" s="156"/>
      <c r="BW22" s="156"/>
      <c r="BX22" s="156"/>
      <c r="BY22" s="156"/>
      <c r="BZ22" s="156"/>
      <c r="CA22" s="156"/>
      <c r="CB22" s="156"/>
      <c r="CC22" s="156"/>
      <c r="CD22" s="156"/>
      <c r="CE22" s="156"/>
      <c r="CF22" s="156">
        <f t="shared" ref="CF22:CL22" si="70">CF28*10/CF21</f>
        <v>3576.0294117647054</v>
      </c>
      <c r="CG22" s="156">
        <f t="shared" si="70"/>
        <v>4784.8</v>
      </c>
      <c r="CH22" s="156">
        <f t="shared" si="70"/>
        <v>2691.4696485623003</v>
      </c>
      <c r="CI22" s="156">
        <f t="shared" si="70"/>
        <v>1760.9386281588445</v>
      </c>
      <c r="CJ22" s="156">
        <f t="shared" si="70"/>
        <v>1106.010854816825</v>
      </c>
      <c r="CK22" s="156">
        <f t="shared" si="70"/>
        <v>873.51351351351354</v>
      </c>
      <c r="CL22" s="156">
        <f t="shared" si="70"/>
        <v>963.47482724580448</v>
      </c>
      <c r="CM22" s="157">
        <f>AVERAGE(CI22:CL22)</f>
        <v>1175.9844559337469</v>
      </c>
      <c r="CN22" s="157">
        <f t="shared" ref="CN22" si="71">AVERAGE(CJ22:CM22)</f>
        <v>1029.7459128774724</v>
      </c>
      <c r="CO22" s="157">
        <f>AVERAGE(CK22:CN22)</f>
        <v>1010.6796773926344</v>
      </c>
      <c r="CP22" s="157">
        <f>AVERAGE(CL22:CO22)</f>
        <v>1044.9712183624144</v>
      </c>
      <c r="CQ22" s="157">
        <f>AVERAGE(CM22:CP22)*1.02</f>
        <v>1086.6522224643984</v>
      </c>
      <c r="CR22" s="157">
        <f t="shared" ref="CR22:CT22" si="72">AVERAGE(CN22:CQ22)*1.02</f>
        <v>1063.8725029297145</v>
      </c>
      <c r="CS22" s="157">
        <f t="shared" si="72"/>
        <v>1072.5747833930363</v>
      </c>
      <c r="CT22" s="157">
        <f t="shared" si="72"/>
        <v>1088.3580354231387</v>
      </c>
      <c r="CU22" s="157">
        <f>AVERAGE(CQ22:CT22)*1.03</f>
        <v>1110.2003176341491</v>
      </c>
      <c r="CV22" s="157">
        <f t="shared" ref="CV22:DB22" si="73">AVERAGE(CR22:CU22)*1.03</f>
        <v>1116.2639521403601</v>
      </c>
      <c r="CW22" s="157">
        <f t="shared" si="73"/>
        <v>1129.7547503121014</v>
      </c>
      <c r="CX22" s="157">
        <f t="shared" si="73"/>
        <v>1144.4785917937604</v>
      </c>
      <c r="CY22" s="157">
        <f t="shared" si="73"/>
        <v>1158.9296350591956</v>
      </c>
      <c r="CZ22" s="157">
        <f t="shared" si="73"/>
        <v>1171.477434296145</v>
      </c>
      <c r="DA22" s="157">
        <f t="shared" si="73"/>
        <v>1185.6949059512599</v>
      </c>
      <c r="DB22" s="157">
        <f t="shared" si="73"/>
        <v>1200.0994960283429</v>
      </c>
      <c r="DE22" s="159"/>
      <c r="DG22" s="158">
        <v>1045.1890548208662</v>
      </c>
    </row>
    <row r="23" spans="1:111" s="158" customFormat="1" x14ac:dyDescent="0.2">
      <c r="A23" s="155"/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7"/>
      <c r="AB23" s="157"/>
      <c r="AC23" s="157"/>
      <c r="AD23" s="157"/>
      <c r="AE23" s="157"/>
      <c r="AI23" s="156"/>
      <c r="AJ23" s="156"/>
      <c r="AK23" s="156"/>
      <c r="AL23" s="156"/>
      <c r="AM23" s="156"/>
      <c r="AN23" s="156"/>
      <c r="AO23" s="156"/>
      <c r="AP23" s="156"/>
      <c r="AQ23" s="156"/>
      <c r="AR23" s="156"/>
      <c r="AS23" s="156"/>
      <c r="AT23" s="156"/>
      <c r="AU23" s="156"/>
      <c r="AV23" s="156"/>
      <c r="AW23" s="156"/>
      <c r="AX23" s="156"/>
      <c r="AY23" s="156"/>
      <c r="AZ23" s="156"/>
      <c r="BA23" s="156"/>
      <c r="BB23" s="156"/>
      <c r="BC23" s="156"/>
      <c r="BD23" s="156"/>
      <c r="BE23" s="156"/>
      <c r="BF23" s="156"/>
      <c r="BG23" s="156"/>
      <c r="BH23" s="156"/>
      <c r="BI23" s="156"/>
      <c r="BJ23" s="156"/>
      <c r="BK23" s="156"/>
      <c r="BL23" s="156"/>
      <c r="BM23" s="156"/>
      <c r="BN23" s="156"/>
      <c r="BO23" s="156"/>
      <c r="BP23" s="156"/>
      <c r="BQ23" s="156"/>
      <c r="BR23" s="156"/>
      <c r="BS23" s="156"/>
      <c r="BT23" s="156"/>
      <c r="BU23" s="156"/>
      <c r="BV23" s="156"/>
      <c r="BW23" s="156"/>
      <c r="BX23" s="156"/>
      <c r="BY23" s="156"/>
      <c r="BZ23" s="156"/>
      <c r="CA23" s="156"/>
      <c r="CB23" s="156"/>
      <c r="CC23" s="156"/>
      <c r="CD23" s="156"/>
      <c r="CE23" s="156"/>
      <c r="CF23" s="156"/>
      <c r="CG23" s="156"/>
      <c r="CH23" s="156"/>
      <c r="CI23" s="156"/>
      <c r="CJ23" s="156"/>
      <c r="CK23" s="156"/>
      <c r="CL23" s="156"/>
      <c r="CM23" s="157"/>
      <c r="CN23" s="157"/>
      <c r="CO23" s="157"/>
      <c r="CP23" s="157"/>
      <c r="CQ23" s="157"/>
      <c r="CR23" s="157"/>
      <c r="CS23" s="157"/>
      <c r="CT23" s="157"/>
      <c r="CU23" s="157"/>
      <c r="CV23" s="157"/>
      <c r="CW23" s="157"/>
      <c r="CX23" s="157"/>
      <c r="CY23" s="157"/>
      <c r="CZ23" s="157"/>
      <c r="DA23" s="157"/>
      <c r="DB23" s="157"/>
      <c r="DE23" s="159"/>
    </row>
    <row r="24" spans="1:111" s="151" customFormat="1" x14ac:dyDescent="0.2">
      <c r="A24" s="151" t="s">
        <v>523</v>
      </c>
    </row>
    <row r="25" spans="1:111" s="158" customFormat="1" x14ac:dyDescent="0.2">
      <c r="A25" s="155" t="s">
        <v>524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>
        <f>SUM(BC25:BF25)</f>
        <v>0</v>
      </c>
      <c r="T25" s="156">
        <f>SUM(BG25:BJ25)</f>
        <v>4351.75</v>
      </c>
      <c r="U25" s="156">
        <f>SUM(BK25:BN25)</f>
        <v>7676.35</v>
      </c>
      <c r="V25" s="156">
        <f>SUM(BO25:BR25)</f>
        <v>6047.64</v>
      </c>
      <c r="W25" s="156">
        <f>SUM(BS25:BV25)</f>
        <v>6966.2800000000007</v>
      </c>
      <c r="X25" s="156">
        <f>SUM(BW25:BZ25)</f>
        <v>8591.91</v>
      </c>
      <c r="Y25" s="156">
        <f>SUM(CA25:CD25)</f>
        <v>10172.77</v>
      </c>
      <c r="Z25" s="156">
        <f t="shared" ref="Z25:Z30" si="74">SUM(CE25:CH25)</f>
        <v>12266.48</v>
      </c>
      <c r="AA25" s="157">
        <f>SUM(CI25:CL25)</f>
        <v>12450.75</v>
      </c>
      <c r="AB25" s="157">
        <f>SUM(CM25:CP25)</f>
        <v>12915.440532403671</v>
      </c>
      <c r="AC25" s="157">
        <f>SUM(CQ25:CT25)</f>
        <v>13517.991862307048</v>
      </c>
      <c r="AD25" s="157">
        <f>SUM(CU25:CX25)</f>
        <v>14172.063413624717</v>
      </c>
      <c r="AE25" s="157">
        <f>SUM(CY25:DB25)</f>
        <v>14907.161993694941</v>
      </c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6"/>
      <c r="BF25" s="156"/>
      <c r="BG25" s="156"/>
      <c r="BH25" s="190">
        <v>649.92999999999995</v>
      </c>
      <c r="BI25" s="190">
        <v>2005.94</v>
      </c>
      <c r="BJ25" s="190">
        <v>1695.88</v>
      </c>
      <c r="BK25" s="190">
        <v>2189.42</v>
      </c>
      <c r="BL25" s="190">
        <v>1913.6</v>
      </c>
      <c r="BM25" s="190">
        <v>1892.91</v>
      </c>
      <c r="BN25" s="190">
        <v>1680.42</v>
      </c>
      <c r="BO25" s="190">
        <v>1437.02</v>
      </c>
      <c r="BP25" s="190">
        <v>1467.16</v>
      </c>
      <c r="BQ25" s="190">
        <v>1587.84</v>
      </c>
      <c r="BR25" s="190">
        <v>1555.62</v>
      </c>
      <c r="BS25" s="190">
        <v>1741.9</v>
      </c>
      <c r="BT25" s="190">
        <v>1690.41</v>
      </c>
      <c r="BU25" s="190">
        <v>1797.28</v>
      </c>
      <c r="BV25" s="190">
        <v>1736.69</v>
      </c>
      <c r="BW25" s="190">
        <v>2212.7399999999998</v>
      </c>
      <c r="BX25" s="190">
        <v>2163.87</v>
      </c>
      <c r="BY25" s="190">
        <v>2103.85</v>
      </c>
      <c r="BZ25" s="190">
        <v>2111.4499999999998</v>
      </c>
      <c r="CA25" s="190">
        <v>2737.71</v>
      </c>
      <c r="CB25" s="190">
        <v>2479.65</v>
      </c>
      <c r="CC25" s="190">
        <v>2559.89</v>
      </c>
      <c r="CD25" s="190">
        <v>2395.52</v>
      </c>
      <c r="CE25" s="191">
        <v>3372.94</v>
      </c>
      <c r="CF25" s="191">
        <v>3013.95</v>
      </c>
      <c r="CG25" s="191">
        <v>2972.42</v>
      </c>
      <c r="CH25" s="191">
        <v>2907.17</v>
      </c>
      <c r="CI25" s="191">
        <v>3359.84</v>
      </c>
      <c r="CJ25" s="191">
        <v>3117.91</v>
      </c>
      <c r="CK25" s="156">
        <v>3104</v>
      </c>
      <c r="CL25" s="156">
        <v>2869</v>
      </c>
      <c r="CM25" s="157">
        <f t="shared" ref="CM25:DB25" si="75">CM7*CM6*CM8/10</f>
        <v>3493.0743181154912</v>
      </c>
      <c r="CN25" s="157">
        <f t="shared" si="75"/>
        <v>3249.8575216130366</v>
      </c>
      <c r="CO25" s="157">
        <f t="shared" si="75"/>
        <v>3234.4711766084188</v>
      </c>
      <c r="CP25" s="157">
        <f t="shared" si="75"/>
        <v>2938.0375160667249</v>
      </c>
      <c r="CQ25" s="157">
        <f t="shared" si="75"/>
        <v>3660.2630135164773</v>
      </c>
      <c r="CR25" s="157">
        <f t="shared" si="75"/>
        <v>3404.8728072855861</v>
      </c>
      <c r="CS25" s="157">
        <f t="shared" si="75"/>
        <v>3384.3184747055266</v>
      </c>
      <c r="CT25" s="157">
        <f t="shared" si="75"/>
        <v>3068.537566799459</v>
      </c>
      <c r="CU25" s="157">
        <f t="shared" si="75"/>
        <v>3834.6158718176493</v>
      </c>
      <c r="CV25" s="157">
        <f t="shared" si="75"/>
        <v>3568.6892900102648</v>
      </c>
      <c r="CW25" s="157">
        <f t="shared" si="75"/>
        <v>3548.750888352436</v>
      </c>
      <c r="CX25" s="157">
        <f t="shared" si="75"/>
        <v>3220.0073634443675</v>
      </c>
      <c r="CY25" s="157">
        <f t="shared" si="75"/>
        <v>4028.8477688748112</v>
      </c>
      <c r="CZ25" s="157">
        <f t="shared" si="75"/>
        <v>3752.2783277405479</v>
      </c>
      <c r="DA25" s="157">
        <f t="shared" si="75"/>
        <v>3734.4155634573444</v>
      </c>
      <c r="DB25" s="157">
        <f t="shared" si="75"/>
        <v>3391.6203336222366</v>
      </c>
      <c r="DE25" s="159"/>
      <c r="DG25" s="158">
        <v>3112.0546740651384</v>
      </c>
    </row>
    <row r="26" spans="1:111" s="158" customFormat="1" x14ac:dyDescent="0.2">
      <c r="A26" s="155" t="s">
        <v>525</v>
      </c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>
        <f t="shared" ref="S26:S30" si="76">SUM(BC26:BF26)</f>
        <v>3131.7999999999997</v>
      </c>
      <c r="T26" s="156">
        <f t="shared" ref="T26:T30" si="77">SUM(BG26:BJ26)</f>
        <v>2192.88</v>
      </c>
      <c r="U26" s="156">
        <f t="shared" ref="U26:U30" si="78">SUM(BK26:BN26)</f>
        <v>2815</v>
      </c>
      <c r="V26" s="156">
        <f t="shared" ref="V26:V30" si="79">SUM(BO26:BR26)</f>
        <v>3122.06</v>
      </c>
      <c r="W26" s="156">
        <f t="shared" ref="W26:W30" si="80">SUM(BS26:BV26)</f>
        <v>3469.33</v>
      </c>
      <c r="X26" s="156">
        <f t="shared" ref="X26:X30" si="81">SUM(BW26:BZ26)</f>
        <v>3945.16</v>
      </c>
      <c r="Y26" s="156">
        <f t="shared" ref="Y26:Y30" si="82">SUM(CA26:CD26)</f>
        <v>5114.1399999999994</v>
      </c>
      <c r="Z26" s="156">
        <f t="shared" si="74"/>
        <v>8330.59</v>
      </c>
      <c r="AA26" s="157">
        <f t="shared" ref="AA26:AA30" si="83">SUM(CI26:CL26)</f>
        <v>9823.880000000001</v>
      </c>
      <c r="AB26" s="157">
        <f t="shared" ref="AB26:AB30" si="84">SUM(CM26:CP26)</f>
        <v>12131.304240640555</v>
      </c>
      <c r="AC26" s="157">
        <f t="shared" ref="AC26:AC30" si="85">SUM(CQ26:CT26)</f>
        <v>13669.055893088824</v>
      </c>
      <c r="AD26" s="157">
        <f t="shared" ref="AD26:AD30" si="86">SUM(CU26:CX26)</f>
        <v>15651.442450236129</v>
      </c>
      <c r="AE26" s="157">
        <f t="shared" ref="AE26:AE30" si="87">SUM(CY26:DB26)</f>
        <v>16848.504321859047</v>
      </c>
      <c r="AI26" s="156"/>
      <c r="AJ26" s="156"/>
      <c r="AK26" s="156"/>
      <c r="AL26" s="156"/>
      <c r="AM26" s="156"/>
      <c r="AN26" s="156"/>
      <c r="AO26" s="156"/>
      <c r="AP26" s="156"/>
      <c r="AQ26" s="156"/>
      <c r="AR26" s="156"/>
      <c r="AS26" s="156"/>
      <c r="AT26" s="156"/>
      <c r="AU26" s="156"/>
      <c r="AV26" s="156"/>
      <c r="AW26" s="156"/>
      <c r="AX26" s="156"/>
      <c r="AY26" s="156"/>
      <c r="AZ26" s="190">
        <v>498.37</v>
      </c>
      <c r="BA26" s="190">
        <v>508.03</v>
      </c>
      <c r="BB26" s="190">
        <v>508.99</v>
      </c>
      <c r="BC26" s="190">
        <v>497.09</v>
      </c>
      <c r="BD26" s="190">
        <v>506.71</v>
      </c>
      <c r="BE26" s="190">
        <v>1540.48</v>
      </c>
      <c r="BF26" s="190">
        <v>587.52</v>
      </c>
      <c r="BG26" s="190">
        <v>552.76</v>
      </c>
      <c r="BH26" s="190">
        <v>476.56</v>
      </c>
      <c r="BI26" s="190">
        <v>577.73</v>
      </c>
      <c r="BJ26" s="190">
        <v>585.83000000000004</v>
      </c>
      <c r="BK26" s="190">
        <v>668.2</v>
      </c>
      <c r="BL26" s="190">
        <v>674.35</v>
      </c>
      <c r="BM26" s="190">
        <v>678.75</v>
      </c>
      <c r="BN26" s="190">
        <v>793.7</v>
      </c>
      <c r="BO26" s="190">
        <v>1009.14</v>
      </c>
      <c r="BP26" s="190">
        <v>688.43</v>
      </c>
      <c r="BQ26" s="190">
        <v>704.26</v>
      </c>
      <c r="BR26" s="190">
        <v>720.23</v>
      </c>
      <c r="BS26" s="190">
        <v>1045.05</v>
      </c>
      <c r="BT26" s="190">
        <v>788.81</v>
      </c>
      <c r="BU26" s="190">
        <v>816.07</v>
      </c>
      <c r="BV26" s="190">
        <v>819.4</v>
      </c>
      <c r="BW26" s="190">
        <v>835.94</v>
      </c>
      <c r="BX26" s="190">
        <v>868.2</v>
      </c>
      <c r="BY26" s="190">
        <v>1173.18</v>
      </c>
      <c r="BZ26" s="190">
        <v>1067.8399999999999</v>
      </c>
      <c r="CA26" s="190">
        <v>926.19</v>
      </c>
      <c r="CB26" s="190">
        <v>1017.35</v>
      </c>
      <c r="CC26" s="190">
        <v>1264.54</v>
      </c>
      <c r="CD26" s="190">
        <v>1906.06</v>
      </c>
      <c r="CE26" s="191">
        <v>1746.18</v>
      </c>
      <c r="CF26" s="191">
        <v>2302.9499999999998</v>
      </c>
      <c r="CG26" s="191">
        <v>2034.76</v>
      </c>
      <c r="CH26" s="191">
        <v>2246.6999999999998</v>
      </c>
      <c r="CI26" s="191">
        <v>2188.19</v>
      </c>
      <c r="CJ26" s="191">
        <v>2371.69</v>
      </c>
      <c r="CK26" s="156">
        <v>2427</v>
      </c>
      <c r="CL26" s="156">
        <v>2837</v>
      </c>
      <c r="CM26" s="157">
        <f t="shared" ref="CM26:DB26" si="88">CM16*CM17*CM18</f>
        <v>2836.022044801668</v>
      </c>
      <c r="CN26" s="157">
        <f t="shared" si="88"/>
        <v>2960.976262594138</v>
      </c>
      <c r="CO26" s="157">
        <f t="shared" si="88"/>
        <v>3130.4103151028694</v>
      </c>
      <c r="CP26" s="157">
        <f t="shared" si="88"/>
        <v>3203.8956181418803</v>
      </c>
      <c r="CQ26" s="157">
        <f t="shared" si="88"/>
        <v>3337.8404232708822</v>
      </c>
      <c r="CR26" s="157">
        <f t="shared" si="88"/>
        <v>3358.5621851829228</v>
      </c>
      <c r="CS26" s="157">
        <f t="shared" si="88"/>
        <v>3388.3420868853159</v>
      </c>
      <c r="CT26" s="157">
        <f t="shared" si="88"/>
        <v>3584.3111977497028</v>
      </c>
      <c r="CU26" s="157">
        <f t="shared" si="88"/>
        <v>3594.6715430339409</v>
      </c>
      <c r="CV26" s="157">
        <f t="shared" si="88"/>
        <v>3624.0661023879334</v>
      </c>
      <c r="CW26" s="157">
        <f t="shared" si="88"/>
        <v>4198.2817202536226</v>
      </c>
      <c r="CX26" s="157">
        <f t="shared" si="88"/>
        <v>4234.4230845606335</v>
      </c>
      <c r="CY26" s="157">
        <f t="shared" si="88"/>
        <v>4097.2385585315378</v>
      </c>
      <c r="CZ26" s="157">
        <f t="shared" si="88"/>
        <v>4089.5846098862999</v>
      </c>
      <c r="DA26" s="157">
        <f t="shared" si="88"/>
        <v>4201.6005746562159</v>
      </c>
      <c r="DB26" s="157">
        <f t="shared" si="88"/>
        <v>4460.0805787849922</v>
      </c>
      <c r="DE26" s="159"/>
      <c r="DG26" s="158">
        <v>2523.8684140681194</v>
      </c>
    </row>
    <row r="27" spans="1:111" s="158" customFormat="1" x14ac:dyDescent="0.2">
      <c r="A27" s="155" t="s">
        <v>529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>
        <f t="shared" si="76"/>
        <v>815.78</v>
      </c>
      <c r="T27" s="156">
        <f t="shared" si="77"/>
        <v>755.43000000000006</v>
      </c>
      <c r="U27" s="156">
        <f t="shared" si="78"/>
        <v>924.61</v>
      </c>
      <c r="V27" s="156">
        <f t="shared" si="79"/>
        <v>756.63</v>
      </c>
      <c r="W27" s="156">
        <f t="shared" si="80"/>
        <v>821.91000000000008</v>
      </c>
      <c r="X27" s="156">
        <f t="shared" si="81"/>
        <v>755.65</v>
      </c>
      <c r="Y27" s="156">
        <f t="shared" si="82"/>
        <v>1029.5899999999999</v>
      </c>
      <c r="Z27" s="156">
        <f t="shared" si="74"/>
        <v>1380.44</v>
      </c>
      <c r="AA27" s="157">
        <f t="shared" si="83"/>
        <v>1091.0709999999999</v>
      </c>
      <c r="AB27" s="157">
        <f t="shared" si="84"/>
        <v>1145.62455</v>
      </c>
      <c r="AC27" s="157">
        <f t="shared" si="85"/>
        <v>1191.4495320000001</v>
      </c>
      <c r="AD27" s="157">
        <f t="shared" si="86"/>
        <v>1239.1075132800001</v>
      </c>
      <c r="AE27" s="157">
        <f t="shared" si="87"/>
        <v>1288.6718138112001</v>
      </c>
      <c r="AI27" s="156"/>
      <c r="AJ27" s="156"/>
      <c r="AK27" s="156"/>
      <c r="AL27" s="156"/>
      <c r="AM27" s="156"/>
      <c r="AN27" s="156"/>
      <c r="AO27" s="156"/>
      <c r="AP27" s="156"/>
      <c r="AQ27" s="156"/>
      <c r="AR27" s="156"/>
      <c r="AS27" s="156"/>
      <c r="AT27" s="156"/>
      <c r="AU27" s="156"/>
      <c r="AV27" s="156"/>
      <c r="AW27" s="156"/>
      <c r="AX27" s="156"/>
      <c r="AY27" s="156"/>
      <c r="AZ27" s="190">
        <v>184.33</v>
      </c>
      <c r="BA27" s="190">
        <v>221.19</v>
      </c>
      <c r="BB27" s="190">
        <v>326.52999999999997</v>
      </c>
      <c r="BC27" s="190">
        <v>112.23</v>
      </c>
      <c r="BD27" s="190">
        <v>239.32</v>
      </c>
      <c r="BE27" s="190">
        <v>241.81</v>
      </c>
      <c r="BF27" s="190">
        <v>222.42</v>
      </c>
      <c r="BG27" s="190">
        <v>67.94</v>
      </c>
      <c r="BH27" s="190">
        <v>264.24</v>
      </c>
      <c r="BI27" s="190">
        <f>246.3-86.9</f>
        <v>159.4</v>
      </c>
      <c r="BJ27" s="190">
        <v>263.85000000000002</v>
      </c>
      <c r="BK27" s="190">
        <v>0.46</v>
      </c>
      <c r="BL27" s="190">
        <v>5.45</v>
      </c>
      <c r="BM27" s="190">
        <v>205.86</v>
      </c>
      <c r="BN27" s="190">
        <v>712.84</v>
      </c>
      <c r="BO27" s="190">
        <v>0.35</v>
      </c>
      <c r="BP27" s="190">
        <v>0.6</v>
      </c>
      <c r="BQ27" s="190">
        <v>304.92</v>
      </c>
      <c r="BR27" s="190">
        <v>450.76</v>
      </c>
      <c r="BS27" s="190">
        <v>42.7</v>
      </c>
      <c r="BT27" s="190">
        <v>62.22</v>
      </c>
      <c r="BU27" s="190">
        <v>298.35000000000002</v>
      </c>
      <c r="BV27" s="190">
        <v>418.64</v>
      </c>
      <c r="BW27" s="190">
        <v>83.2</v>
      </c>
      <c r="BX27" s="190">
        <v>219.41</v>
      </c>
      <c r="BY27" s="190">
        <v>274.67</v>
      </c>
      <c r="BZ27" s="190">
        <v>178.37</v>
      </c>
      <c r="CA27" s="190">
        <v>0.01</v>
      </c>
      <c r="CB27" s="190">
        <v>176.87</v>
      </c>
      <c r="CC27" s="190">
        <v>738.3</v>
      </c>
      <c r="CD27" s="190">
        <v>114.41</v>
      </c>
      <c r="CE27" s="191">
        <v>167.27</v>
      </c>
      <c r="CF27" s="191">
        <v>490.29</v>
      </c>
      <c r="CG27" s="191">
        <v>344.6</v>
      </c>
      <c r="CH27" s="191">
        <v>378.28</v>
      </c>
      <c r="CI27" s="191">
        <v>209.71</v>
      </c>
      <c r="CJ27" s="191">
        <v>200.36099999999999</v>
      </c>
      <c r="CK27" s="156">
        <v>255</v>
      </c>
      <c r="CL27" s="156">
        <v>426</v>
      </c>
      <c r="CM27" s="157">
        <f t="shared" ref="CM27:DB27" si="89">CI27*(1+CM37)</f>
        <v>220.19550000000001</v>
      </c>
      <c r="CN27" s="157">
        <f t="shared" si="89"/>
        <v>210.37905000000001</v>
      </c>
      <c r="CO27" s="157">
        <f t="shared" si="89"/>
        <v>267.75</v>
      </c>
      <c r="CP27" s="157">
        <f t="shared" si="89"/>
        <v>447.3</v>
      </c>
      <c r="CQ27" s="157">
        <f t="shared" si="89"/>
        <v>229.00332000000003</v>
      </c>
      <c r="CR27" s="157">
        <f t="shared" si="89"/>
        <v>218.79421200000002</v>
      </c>
      <c r="CS27" s="157">
        <f t="shared" si="89"/>
        <v>278.46000000000004</v>
      </c>
      <c r="CT27" s="157">
        <f t="shared" si="89"/>
        <v>465.19200000000001</v>
      </c>
      <c r="CU27" s="157">
        <f t="shared" si="89"/>
        <v>238.16345280000004</v>
      </c>
      <c r="CV27" s="157">
        <f t="shared" si="89"/>
        <v>227.54598048000003</v>
      </c>
      <c r="CW27" s="157">
        <f t="shared" si="89"/>
        <v>289.59840000000003</v>
      </c>
      <c r="CX27" s="157">
        <f t="shared" si="89"/>
        <v>483.79968000000002</v>
      </c>
      <c r="CY27" s="157">
        <f t="shared" si="89"/>
        <v>247.68999091200004</v>
      </c>
      <c r="CZ27" s="157">
        <f t="shared" si="89"/>
        <v>236.64781969920003</v>
      </c>
      <c r="DA27" s="157">
        <f t="shared" si="89"/>
        <v>301.18233600000002</v>
      </c>
      <c r="DB27" s="157">
        <f t="shared" si="89"/>
        <v>503.15166720000002</v>
      </c>
      <c r="DE27" s="159"/>
      <c r="DG27" s="158">
        <v>397.19399999999996</v>
      </c>
    </row>
    <row r="28" spans="1:111" s="158" customFormat="1" x14ac:dyDescent="0.2">
      <c r="A28" s="155" t="s">
        <v>526</v>
      </c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>
        <f t="shared" si="76"/>
        <v>0</v>
      </c>
      <c r="T28" s="156">
        <f t="shared" si="77"/>
        <v>0</v>
      </c>
      <c r="U28" s="156">
        <f t="shared" si="78"/>
        <v>0</v>
      </c>
      <c r="V28" s="156">
        <f t="shared" si="79"/>
        <v>0</v>
      </c>
      <c r="W28" s="156">
        <f t="shared" si="80"/>
        <v>0</v>
      </c>
      <c r="X28" s="156">
        <f t="shared" si="81"/>
        <v>0</v>
      </c>
      <c r="Y28" s="156">
        <f t="shared" si="82"/>
        <v>290.86</v>
      </c>
      <c r="Z28" s="156">
        <f t="shared" si="74"/>
        <v>1656.2399999999998</v>
      </c>
      <c r="AA28" s="157">
        <f t="shared" si="83"/>
        <v>3574.69</v>
      </c>
      <c r="AB28" s="157">
        <f t="shared" si="84"/>
        <v>6301.7852565957173</v>
      </c>
      <c r="AC28" s="157">
        <f t="shared" si="85"/>
        <v>10685.740374979971</v>
      </c>
      <c r="AD28" s="157">
        <f t="shared" si="86"/>
        <v>14594.671102308523</v>
      </c>
      <c r="AE28" s="157">
        <f t="shared" si="87"/>
        <v>18666.624978695083</v>
      </c>
      <c r="AI28" s="156"/>
      <c r="AJ28" s="156"/>
      <c r="AK28" s="156"/>
      <c r="AL28" s="156"/>
      <c r="AM28" s="156"/>
      <c r="AN28" s="156"/>
      <c r="AO28" s="156"/>
      <c r="AP28" s="156"/>
      <c r="AQ28" s="156"/>
      <c r="AR28" s="156"/>
      <c r="AS28" s="156"/>
      <c r="AT28" s="156"/>
      <c r="AU28" s="156"/>
      <c r="AV28" s="156"/>
      <c r="AW28" s="156"/>
      <c r="AX28" s="156"/>
      <c r="AY28" s="156"/>
      <c r="AZ28" s="156"/>
      <c r="BA28" s="156"/>
      <c r="BB28" s="156"/>
      <c r="BC28" s="156"/>
      <c r="BD28" s="156"/>
      <c r="BE28" s="156"/>
      <c r="BF28" s="156"/>
      <c r="BG28" s="156"/>
      <c r="BH28" s="156"/>
      <c r="BI28" s="156"/>
      <c r="BJ28" s="156"/>
      <c r="BK28" s="156"/>
      <c r="BL28" s="156"/>
      <c r="BM28" s="156"/>
      <c r="BN28" s="156"/>
      <c r="BO28" s="156"/>
      <c r="BP28" s="156"/>
      <c r="BQ28" s="156"/>
      <c r="BR28" s="156"/>
      <c r="BS28" s="156"/>
      <c r="BT28" s="156"/>
      <c r="BU28" s="156"/>
      <c r="BV28" s="156"/>
      <c r="BW28" s="156"/>
      <c r="BX28" s="156"/>
      <c r="BY28" s="156"/>
      <c r="BZ28" s="156"/>
      <c r="CA28" s="156"/>
      <c r="CB28" s="156"/>
      <c r="CC28" s="156"/>
      <c r="CD28" s="190">
        <v>290.86</v>
      </c>
      <c r="CE28" s="191">
        <v>92.16</v>
      </c>
      <c r="CF28" s="191">
        <v>243.17</v>
      </c>
      <c r="CG28" s="191">
        <v>478.48</v>
      </c>
      <c r="CH28" s="191">
        <v>842.43</v>
      </c>
      <c r="CI28" s="191">
        <v>975.56</v>
      </c>
      <c r="CJ28" s="191">
        <f>181.64+633.49</f>
        <v>815.13</v>
      </c>
      <c r="CK28" s="156">
        <v>808</v>
      </c>
      <c r="CL28" s="156">
        <v>976</v>
      </c>
      <c r="CM28" s="157">
        <f>CM22*CM21/10</f>
        <v>1414.7093004882977</v>
      </c>
      <c r="CN28" s="157">
        <f t="shared" ref="CN28:DB28" si="90">CN22*CN21/10</f>
        <v>1434.4360566383191</v>
      </c>
      <c r="CO28" s="157">
        <f t="shared" si="90"/>
        <v>1599.9059293125406</v>
      </c>
      <c r="CP28" s="157">
        <f>CP22*CP21/10</f>
        <v>1852.7339701565609</v>
      </c>
      <c r="CQ28" s="157">
        <f t="shared" si="90"/>
        <v>2233.070317164339</v>
      </c>
      <c r="CR28" s="157">
        <f t="shared" si="90"/>
        <v>2486.270039346743</v>
      </c>
      <c r="CS28" s="157">
        <f t="shared" si="90"/>
        <v>2809.0733577063625</v>
      </c>
      <c r="CT28" s="157">
        <f t="shared" si="90"/>
        <v>3157.3266607625255</v>
      </c>
      <c r="CU28" s="157">
        <f t="shared" si="90"/>
        <v>3371.6783646549106</v>
      </c>
      <c r="CV28" s="157">
        <f t="shared" si="90"/>
        <v>3541.9055201413626</v>
      </c>
      <c r="CW28" s="157">
        <f t="shared" si="90"/>
        <v>3738.3584687827438</v>
      </c>
      <c r="CX28" s="157">
        <f t="shared" si="90"/>
        <v>3942.7287487295048</v>
      </c>
      <c r="CY28" s="157">
        <f t="shared" si="90"/>
        <v>4228.934238331005</v>
      </c>
      <c r="CZ28" s="157">
        <f t="shared" si="90"/>
        <v>4513.7025543430473</v>
      </c>
      <c r="DA28" s="157">
        <f t="shared" si="90"/>
        <v>4810.3642334442611</v>
      </c>
      <c r="DB28" s="157">
        <f t="shared" si="90"/>
        <v>5113.6239525767687</v>
      </c>
      <c r="DE28" s="159"/>
      <c r="DG28" s="158">
        <v>1058.7765125335377</v>
      </c>
    </row>
    <row r="29" spans="1:111" s="158" customFormat="1" x14ac:dyDescent="0.2">
      <c r="A29" s="155" t="s">
        <v>84</v>
      </c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>
        <f t="shared" si="76"/>
        <v>0</v>
      </c>
      <c r="T29" s="156">
        <f t="shared" si="77"/>
        <v>0</v>
      </c>
      <c r="U29" s="156">
        <f t="shared" si="78"/>
        <v>0</v>
      </c>
      <c r="V29" s="156">
        <f t="shared" si="79"/>
        <v>0</v>
      </c>
      <c r="W29" s="156">
        <f t="shared" si="80"/>
        <v>0</v>
      </c>
      <c r="X29" s="156">
        <f t="shared" si="81"/>
        <v>0</v>
      </c>
      <c r="Y29" s="156">
        <f t="shared" si="82"/>
        <v>0</v>
      </c>
      <c r="Z29" s="156">
        <f t="shared" si="74"/>
        <v>133.34</v>
      </c>
      <c r="AA29" s="157">
        <f t="shared" si="83"/>
        <v>648.20000000000005</v>
      </c>
      <c r="AB29" s="157">
        <f t="shared" si="84"/>
        <v>648.20000000000005</v>
      </c>
      <c r="AC29" s="157">
        <f t="shared" si="85"/>
        <v>648.20000000000005</v>
      </c>
      <c r="AD29" s="157">
        <f t="shared" si="86"/>
        <v>648.20000000000005</v>
      </c>
      <c r="AE29" s="157">
        <f t="shared" si="87"/>
        <v>648.20000000000005</v>
      </c>
      <c r="AI29" s="156"/>
      <c r="AJ29" s="156"/>
      <c r="AK29" s="156"/>
      <c r="AL29" s="156"/>
      <c r="AM29" s="156"/>
      <c r="AN29" s="156"/>
      <c r="AO29" s="156"/>
      <c r="AP29" s="156"/>
      <c r="AQ29" s="156"/>
      <c r="AR29" s="156"/>
      <c r="AS29" s="156"/>
      <c r="AT29" s="156"/>
      <c r="AU29" s="156"/>
      <c r="AV29" s="156"/>
      <c r="AW29" s="156"/>
      <c r="AX29" s="156"/>
      <c r="AY29" s="156"/>
      <c r="AZ29" s="156"/>
      <c r="BA29" s="156"/>
      <c r="BB29" s="156"/>
      <c r="BC29" s="156"/>
      <c r="BD29" s="156"/>
      <c r="BE29" s="156"/>
      <c r="BF29" s="156"/>
      <c r="BG29" s="156"/>
      <c r="BH29" s="156"/>
      <c r="BI29" s="156"/>
      <c r="BJ29" s="156"/>
      <c r="BK29" s="156"/>
      <c r="BL29" s="156"/>
      <c r="BM29" s="156"/>
      <c r="BN29" s="156"/>
      <c r="BO29" s="156"/>
      <c r="BP29" s="156"/>
      <c r="BQ29" s="156"/>
      <c r="BR29" s="156"/>
      <c r="BS29" s="156"/>
      <c r="BT29" s="156"/>
      <c r="BU29" s="156"/>
      <c r="BV29" s="156"/>
      <c r="BW29" s="156"/>
      <c r="BX29" s="156"/>
      <c r="BY29" s="156"/>
      <c r="BZ29" s="156"/>
      <c r="CA29" s="156"/>
      <c r="CB29" s="156"/>
      <c r="CC29" s="156"/>
      <c r="CD29" s="156"/>
      <c r="CE29" s="156"/>
      <c r="CF29" s="191">
        <v>133.34</v>
      </c>
      <c r="CG29" s="191"/>
      <c r="CH29" s="191"/>
      <c r="CI29" s="191">
        <v>85.98</v>
      </c>
      <c r="CJ29" s="191">
        <v>90.22</v>
      </c>
      <c r="CK29" s="156">
        <v>137</v>
      </c>
      <c r="CL29" s="156">
        <v>335</v>
      </c>
      <c r="CM29" s="157">
        <f t="shared" ref="CM29:DB29" si="91">CI29*(1+CM39)</f>
        <v>85.98</v>
      </c>
      <c r="CN29" s="157">
        <f t="shared" si="91"/>
        <v>90.22</v>
      </c>
      <c r="CO29" s="157">
        <f t="shared" si="91"/>
        <v>137</v>
      </c>
      <c r="CP29" s="157">
        <f t="shared" si="91"/>
        <v>335</v>
      </c>
      <c r="CQ29" s="157">
        <f t="shared" si="91"/>
        <v>85.98</v>
      </c>
      <c r="CR29" s="157">
        <f t="shared" si="91"/>
        <v>90.22</v>
      </c>
      <c r="CS29" s="157">
        <f t="shared" si="91"/>
        <v>137</v>
      </c>
      <c r="CT29" s="157">
        <f t="shared" si="91"/>
        <v>335</v>
      </c>
      <c r="CU29" s="157">
        <f t="shared" si="91"/>
        <v>85.98</v>
      </c>
      <c r="CV29" s="157">
        <f t="shared" si="91"/>
        <v>90.22</v>
      </c>
      <c r="CW29" s="157">
        <f t="shared" si="91"/>
        <v>137</v>
      </c>
      <c r="CX29" s="157">
        <f t="shared" si="91"/>
        <v>335</v>
      </c>
      <c r="CY29" s="157">
        <f t="shared" si="91"/>
        <v>85.98</v>
      </c>
      <c r="CZ29" s="157">
        <f t="shared" si="91"/>
        <v>90.22</v>
      </c>
      <c r="DA29" s="157">
        <f t="shared" si="91"/>
        <v>137</v>
      </c>
      <c r="DB29" s="157">
        <f t="shared" si="91"/>
        <v>335</v>
      </c>
      <c r="DE29" s="159"/>
      <c r="DG29" s="158">
        <v>50</v>
      </c>
    </row>
    <row r="30" spans="1:111" s="158" customFormat="1" x14ac:dyDescent="0.2">
      <c r="A30" s="155" t="s">
        <v>530</v>
      </c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>
        <f t="shared" si="76"/>
        <v>0</v>
      </c>
      <c r="T30" s="156">
        <f t="shared" si="77"/>
        <v>0</v>
      </c>
      <c r="U30" s="156">
        <f t="shared" si="78"/>
        <v>0</v>
      </c>
      <c r="V30" s="156">
        <f t="shared" si="79"/>
        <v>0</v>
      </c>
      <c r="W30" s="156">
        <f t="shared" si="80"/>
        <v>0</v>
      </c>
      <c r="X30" s="156">
        <f t="shared" si="81"/>
        <v>0</v>
      </c>
      <c r="Y30" s="156">
        <f t="shared" si="82"/>
        <v>0</v>
      </c>
      <c r="Z30" s="156">
        <f t="shared" si="74"/>
        <v>0</v>
      </c>
      <c r="AA30" s="157">
        <f t="shared" si="83"/>
        <v>-1.08</v>
      </c>
      <c r="AB30" s="157">
        <f t="shared" si="84"/>
        <v>0</v>
      </c>
      <c r="AC30" s="157">
        <f t="shared" si="85"/>
        <v>0</v>
      </c>
      <c r="AD30" s="157">
        <f t="shared" si="86"/>
        <v>0</v>
      </c>
      <c r="AE30" s="157">
        <f t="shared" si="87"/>
        <v>0</v>
      </c>
      <c r="AI30" s="156"/>
      <c r="AJ30" s="156"/>
      <c r="AK30" s="156"/>
      <c r="AL30" s="156"/>
      <c r="AM30" s="156"/>
      <c r="AN30" s="156"/>
      <c r="AO30" s="156"/>
      <c r="AP30" s="156"/>
      <c r="AQ30" s="156"/>
      <c r="AR30" s="156"/>
      <c r="AS30" s="156"/>
      <c r="AT30" s="156"/>
      <c r="AU30" s="156"/>
      <c r="AV30" s="156"/>
      <c r="AW30" s="156"/>
      <c r="AX30" s="156"/>
      <c r="AY30" s="156"/>
      <c r="AZ30" s="156"/>
      <c r="BA30" s="156"/>
      <c r="BB30" s="156"/>
      <c r="BC30" s="156"/>
      <c r="BD30" s="156"/>
      <c r="BE30" s="156"/>
      <c r="BF30" s="156"/>
      <c r="BG30" s="156"/>
      <c r="BH30" s="156"/>
      <c r="BI30" s="156"/>
      <c r="BJ30" s="156"/>
      <c r="BK30" s="156"/>
      <c r="BL30" s="156"/>
      <c r="BM30" s="156"/>
      <c r="BN30" s="156"/>
      <c r="BO30" s="156"/>
      <c r="BP30" s="156"/>
      <c r="BQ30" s="156"/>
      <c r="BR30" s="156"/>
      <c r="BS30" s="156"/>
      <c r="BT30" s="156"/>
      <c r="BU30" s="156"/>
      <c r="BV30" s="156"/>
      <c r="BW30" s="156"/>
      <c r="BX30" s="156"/>
      <c r="BY30" s="156"/>
      <c r="BZ30" s="156"/>
      <c r="CA30" s="156"/>
      <c r="CB30" s="156"/>
      <c r="CC30" s="156"/>
      <c r="CD30" s="156"/>
      <c r="CE30" s="156"/>
      <c r="CF30" s="156"/>
      <c r="CG30" s="156"/>
      <c r="CH30" s="156"/>
      <c r="CI30" s="156"/>
      <c r="CJ30" s="156"/>
      <c r="CK30" s="156">
        <v>-1.35</v>
      </c>
      <c r="CL30" s="156">
        <v>0.27</v>
      </c>
      <c r="CM30" s="157">
        <v>0</v>
      </c>
      <c r="CN30" s="157">
        <v>0</v>
      </c>
      <c r="CO30" s="157">
        <v>0</v>
      </c>
      <c r="CP30" s="157">
        <v>0</v>
      </c>
      <c r="CQ30" s="157">
        <v>0</v>
      </c>
      <c r="CR30" s="157">
        <v>0</v>
      </c>
      <c r="CS30" s="157">
        <v>0</v>
      </c>
      <c r="CT30" s="157">
        <v>0</v>
      </c>
      <c r="CU30" s="157">
        <v>0</v>
      </c>
      <c r="CV30" s="157">
        <v>0</v>
      </c>
      <c r="CW30" s="157">
        <v>0</v>
      </c>
      <c r="CX30" s="157">
        <v>0</v>
      </c>
      <c r="CY30" s="157">
        <v>0</v>
      </c>
      <c r="CZ30" s="157">
        <v>0</v>
      </c>
      <c r="DA30" s="157">
        <v>0</v>
      </c>
      <c r="DB30" s="157">
        <v>0</v>
      </c>
      <c r="DE30" s="159"/>
      <c r="DG30" s="158">
        <v>0</v>
      </c>
    </row>
    <row r="31" spans="1:111" s="109" customFormat="1" x14ac:dyDescent="0.2">
      <c r="A31" s="205" t="s">
        <v>527</v>
      </c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>
        <f t="shared" ref="S31:AE31" si="92">SUM(S25:S30)</f>
        <v>3947.58</v>
      </c>
      <c r="T31" s="107">
        <f t="shared" si="92"/>
        <v>7300.06</v>
      </c>
      <c r="U31" s="107">
        <f t="shared" si="92"/>
        <v>11415.960000000001</v>
      </c>
      <c r="V31" s="107">
        <f t="shared" si="92"/>
        <v>9926.33</v>
      </c>
      <c r="W31" s="107">
        <f t="shared" si="92"/>
        <v>11257.52</v>
      </c>
      <c r="X31" s="107">
        <f t="shared" si="92"/>
        <v>13292.72</v>
      </c>
      <c r="Y31" s="107">
        <f t="shared" si="92"/>
        <v>16607.36</v>
      </c>
      <c r="Z31" s="107">
        <f>SUM(Z25:Z30)</f>
        <v>23767.09</v>
      </c>
      <c r="AA31" s="108">
        <f t="shared" si="92"/>
        <v>27587.510999999999</v>
      </c>
      <c r="AB31" s="108">
        <f t="shared" si="92"/>
        <v>33142.354579639941</v>
      </c>
      <c r="AC31" s="108">
        <f t="shared" si="92"/>
        <v>39712.437662375836</v>
      </c>
      <c r="AD31" s="108">
        <f t="shared" si="92"/>
        <v>46305.484479449369</v>
      </c>
      <c r="AE31" s="108">
        <f t="shared" si="92"/>
        <v>52359.163108060267</v>
      </c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>
        <f t="shared" ref="AZ31" si="93">SUM(AZ25:AZ30)</f>
        <v>682.7</v>
      </c>
      <c r="BA31" s="107">
        <f t="shared" ref="BA31" si="94">SUM(BA25:BA30)</f>
        <v>729.22</v>
      </c>
      <c r="BB31" s="107">
        <f t="shared" ref="BB31" si="95">SUM(BB25:BB30)</f>
        <v>835.52</v>
      </c>
      <c r="BC31" s="107">
        <f t="shared" ref="BC31" si="96">SUM(BC25:BC30)</f>
        <v>609.31999999999994</v>
      </c>
      <c r="BD31" s="107">
        <f t="shared" ref="BD31" si="97">SUM(BD25:BD30)</f>
        <v>746.03</v>
      </c>
      <c r="BE31" s="107">
        <f t="shared" ref="BE31" si="98">SUM(BE25:BE30)</f>
        <v>1782.29</v>
      </c>
      <c r="BF31" s="107">
        <f t="shared" ref="BF31" si="99">SUM(BF25:BF30)</f>
        <v>809.93999999999994</v>
      </c>
      <c r="BG31" s="107">
        <f t="shared" ref="BG31" si="100">SUM(BG25:BG30)</f>
        <v>620.70000000000005</v>
      </c>
      <c r="BH31" s="107">
        <f t="shared" ref="BH31" si="101">SUM(BH25:BH30)</f>
        <v>1390.73</v>
      </c>
      <c r="BI31" s="107">
        <f t="shared" ref="BI31" si="102">SUM(BI25:BI30)</f>
        <v>2743.07</v>
      </c>
      <c r="BJ31" s="107">
        <f t="shared" ref="BJ31" si="103">SUM(BJ25:BJ30)</f>
        <v>2545.56</v>
      </c>
      <c r="BK31" s="107">
        <f t="shared" ref="BK31" si="104">SUM(BK25:BK30)</f>
        <v>2858.08</v>
      </c>
      <c r="BL31" s="107">
        <f t="shared" ref="BL31" si="105">SUM(BL25:BL30)</f>
        <v>2593.3999999999996</v>
      </c>
      <c r="BM31" s="107">
        <f t="shared" ref="BM31" si="106">SUM(BM25:BM30)</f>
        <v>2777.52</v>
      </c>
      <c r="BN31" s="107">
        <f t="shared" ref="BN31" si="107">SUM(BN25:BN30)</f>
        <v>3186.96</v>
      </c>
      <c r="BO31" s="107">
        <f t="shared" ref="BO31" si="108">SUM(BO25:BO30)</f>
        <v>2446.5099999999998</v>
      </c>
      <c r="BP31" s="107">
        <f t="shared" ref="BP31" si="109">SUM(BP25:BP30)</f>
        <v>2156.19</v>
      </c>
      <c r="BQ31" s="107">
        <f t="shared" ref="BQ31" si="110">SUM(BQ25:BQ30)</f>
        <v>2597.02</v>
      </c>
      <c r="BR31" s="107">
        <f t="shared" ref="BR31" si="111">SUM(BR25:BR30)</f>
        <v>2726.6099999999997</v>
      </c>
      <c r="BS31" s="107">
        <f t="shared" ref="BS31" si="112">SUM(BS25:BS30)</f>
        <v>2829.6499999999996</v>
      </c>
      <c r="BT31" s="107">
        <f t="shared" ref="BT31" si="113">SUM(BT25:BT30)</f>
        <v>2541.44</v>
      </c>
      <c r="BU31" s="107">
        <f t="shared" ref="BU31" si="114">SUM(BU25:BU30)</f>
        <v>2911.7</v>
      </c>
      <c r="BV31" s="107">
        <f t="shared" ref="BV31" si="115">SUM(BV25:BV30)</f>
        <v>2974.73</v>
      </c>
      <c r="BW31" s="107">
        <f t="shared" ref="BW31" si="116">SUM(BW25:BW30)</f>
        <v>3131.8799999999997</v>
      </c>
      <c r="BX31" s="107">
        <f t="shared" ref="BX31" si="117">SUM(BX25:BX30)</f>
        <v>3251.4799999999996</v>
      </c>
      <c r="BY31" s="107">
        <f t="shared" ref="BY31" si="118">SUM(BY25:BY30)</f>
        <v>3551.7</v>
      </c>
      <c r="BZ31" s="107">
        <f t="shared" ref="BZ31" si="119">SUM(BZ25:BZ30)</f>
        <v>3357.66</v>
      </c>
      <c r="CA31" s="107">
        <f t="shared" ref="CA31" si="120">SUM(CA25:CA30)</f>
        <v>3663.9100000000003</v>
      </c>
      <c r="CB31" s="107">
        <f t="shared" ref="CB31:CJ31" si="121">SUM(CB25:CB30)</f>
        <v>3673.87</v>
      </c>
      <c r="CC31" s="107">
        <f t="shared" si="121"/>
        <v>4562.7299999999996</v>
      </c>
      <c r="CD31" s="107">
        <f t="shared" si="121"/>
        <v>4706.8499999999995</v>
      </c>
      <c r="CE31" s="107">
        <f t="shared" si="121"/>
        <v>5378.55</v>
      </c>
      <c r="CF31" s="107">
        <f t="shared" si="121"/>
        <v>6183.7</v>
      </c>
      <c r="CG31" s="107">
        <f t="shared" si="121"/>
        <v>5830.26</v>
      </c>
      <c r="CH31" s="107">
        <f t="shared" si="121"/>
        <v>6374.58</v>
      </c>
      <c r="CI31" s="107">
        <f t="shared" si="121"/>
        <v>6819.2800000000007</v>
      </c>
      <c r="CJ31" s="107">
        <f t="shared" si="121"/>
        <v>6595.3110000000006</v>
      </c>
      <c r="CK31" s="107">
        <f>SUM(CK25:CK30)</f>
        <v>6729.65</v>
      </c>
      <c r="CL31" s="107">
        <f t="shared" ref="CL31:DB31" si="122">SUM(CL25:CL30)</f>
        <v>7443.27</v>
      </c>
      <c r="CM31" s="108">
        <f t="shared" si="122"/>
        <v>8049.9811634054568</v>
      </c>
      <c r="CN31" s="108">
        <f t="shared" si="122"/>
        <v>7945.8688908454933</v>
      </c>
      <c r="CO31" s="108">
        <f t="shared" si="122"/>
        <v>8369.5374210238297</v>
      </c>
      <c r="CP31" s="108">
        <f t="shared" si="122"/>
        <v>8776.967104365167</v>
      </c>
      <c r="CQ31" s="108">
        <f t="shared" si="122"/>
        <v>9546.1570739516974</v>
      </c>
      <c r="CR31" s="108">
        <f t="shared" si="122"/>
        <v>9558.7192438152506</v>
      </c>
      <c r="CS31" s="108">
        <f t="shared" si="122"/>
        <v>9997.1939192972059</v>
      </c>
      <c r="CT31" s="108">
        <f t="shared" si="122"/>
        <v>10610.367425311688</v>
      </c>
      <c r="CU31" s="108">
        <f t="shared" si="122"/>
        <v>11125.1092323065</v>
      </c>
      <c r="CV31" s="108">
        <f t="shared" si="122"/>
        <v>11052.426893019559</v>
      </c>
      <c r="CW31" s="108">
        <f t="shared" si="122"/>
        <v>11911.989477388803</v>
      </c>
      <c r="CX31" s="108">
        <f t="shared" si="122"/>
        <v>12215.958876734507</v>
      </c>
      <c r="CY31" s="108">
        <f t="shared" si="122"/>
        <v>12688.690556649353</v>
      </c>
      <c r="CZ31" s="108">
        <f t="shared" si="122"/>
        <v>12682.433311669094</v>
      </c>
      <c r="DA31" s="108">
        <f t="shared" si="122"/>
        <v>13184.562707557821</v>
      </c>
      <c r="DB31" s="108">
        <f t="shared" si="122"/>
        <v>13803.476532183997</v>
      </c>
      <c r="DE31" s="117"/>
      <c r="DG31" s="109">
        <v>7141.8936006667955</v>
      </c>
    </row>
    <row r="32" spans="1:111" s="158" customFormat="1" x14ac:dyDescent="0.2">
      <c r="A32" s="155" t="s">
        <v>528</v>
      </c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>
        <f t="shared" ref="S32:AE32" si="123">S61-S31</f>
        <v>-3.0999999999999091</v>
      </c>
      <c r="T32" s="156">
        <f t="shared" si="123"/>
        <v>5.3899999999994179</v>
      </c>
      <c r="U32" s="156">
        <f t="shared" si="123"/>
        <v>0</v>
      </c>
      <c r="V32" s="156">
        <f t="shared" si="123"/>
        <v>0</v>
      </c>
      <c r="W32" s="156">
        <f t="shared" si="123"/>
        <v>0</v>
      </c>
      <c r="X32" s="156">
        <f t="shared" si="123"/>
        <v>0</v>
      </c>
      <c r="Y32" s="156">
        <f t="shared" si="123"/>
        <v>0</v>
      </c>
      <c r="Z32" s="156">
        <f t="shared" si="123"/>
        <v>0</v>
      </c>
      <c r="AA32" s="157">
        <f t="shared" si="123"/>
        <v>0.51900000000023283</v>
      </c>
      <c r="AB32" s="157">
        <f t="shared" si="123"/>
        <v>0</v>
      </c>
      <c r="AC32" s="157">
        <f t="shared" si="123"/>
        <v>0</v>
      </c>
      <c r="AD32" s="157">
        <f t="shared" si="123"/>
        <v>0</v>
      </c>
      <c r="AE32" s="157">
        <f t="shared" si="123"/>
        <v>0</v>
      </c>
      <c r="AI32" s="156"/>
      <c r="AJ32" s="156"/>
      <c r="AK32" s="156"/>
      <c r="AL32" s="156"/>
      <c r="AM32" s="156"/>
      <c r="AN32" s="156"/>
      <c r="AO32" s="156"/>
      <c r="AP32" s="156"/>
      <c r="AQ32" s="156"/>
      <c r="AR32" s="156"/>
      <c r="AS32" s="156"/>
      <c r="AT32" s="156"/>
      <c r="AU32" s="156"/>
      <c r="AV32" s="156"/>
      <c r="AW32" s="156"/>
      <c r="AX32" s="156"/>
      <c r="AY32" s="156"/>
      <c r="AZ32" s="156">
        <f t="shared" ref="AZ32:CE32" si="124">AZ61-AZ31</f>
        <v>0</v>
      </c>
      <c r="BA32" s="156">
        <f t="shared" si="124"/>
        <v>0</v>
      </c>
      <c r="BB32" s="156">
        <f t="shared" si="124"/>
        <v>-0.89999999999997726</v>
      </c>
      <c r="BC32" s="156">
        <f t="shared" si="124"/>
        <v>-0.83999999999991815</v>
      </c>
      <c r="BD32" s="156">
        <f t="shared" si="124"/>
        <v>-0.94999999999993179</v>
      </c>
      <c r="BE32" s="156">
        <f t="shared" si="124"/>
        <v>-1.3099999999999454</v>
      </c>
      <c r="BF32" s="156">
        <f t="shared" si="124"/>
        <v>0</v>
      </c>
      <c r="BG32" s="156">
        <f t="shared" si="124"/>
        <v>0</v>
      </c>
      <c r="BH32" s="156">
        <f t="shared" si="124"/>
        <v>-11.779999999999973</v>
      </c>
      <c r="BI32" s="156">
        <f t="shared" si="124"/>
        <v>-1.999999999998181E-2</v>
      </c>
      <c r="BJ32" s="156">
        <f t="shared" si="124"/>
        <v>0</v>
      </c>
      <c r="BK32" s="156">
        <f t="shared" si="124"/>
        <v>0</v>
      </c>
      <c r="BL32" s="156">
        <f t="shared" si="124"/>
        <v>0</v>
      </c>
      <c r="BM32" s="156">
        <f t="shared" si="124"/>
        <v>0</v>
      </c>
      <c r="BN32" s="156">
        <f t="shared" si="124"/>
        <v>0</v>
      </c>
      <c r="BO32" s="156">
        <f t="shared" si="124"/>
        <v>0</v>
      </c>
      <c r="BP32" s="156">
        <f t="shared" si="124"/>
        <v>0</v>
      </c>
      <c r="BQ32" s="156">
        <f t="shared" si="124"/>
        <v>0</v>
      </c>
      <c r="BR32" s="156">
        <f t="shared" si="124"/>
        <v>0</v>
      </c>
      <c r="BS32" s="156">
        <f t="shared" si="124"/>
        <v>0</v>
      </c>
      <c r="BT32" s="156">
        <f t="shared" si="124"/>
        <v>0</v>
      </c>
      <c r="BU32" s="156">
        <f t="shared" si="124"/>
        <v>0</v>
      </c>
      <c r="BV32" s="156">
        <f t="shared" si="124"/>
        <v>0</v>
      </c>
      <c r="BW32" s="156">
        <f t="shared" si="124"/>
        <v>0</v>
      </c>
      <c r="BX32" s="156">
        <f t="shared" si="124"/>
        <v>0</v>
      </c>
      <c r="BY32" s="156">
        <f t="shared" si="124"/>
        <v>0</v>
      </c>
      <c r="BZ32" s="156">
        <f t="shared" si="124"/>
        <v>0</v>
      </c>
      <c r="CA32" s="156">
        <f t="shared" si="124"/>
        <v>0</v>
      </c>
      <c r="CB32" s="156">
        <f t="shared" si="124"/>
        <v>0</v>
      </c>
      <c r="CC32" s="156">
        <f t="shared" si="124"/>
        <v>0</v>
      </c>
      <c r="CD32" s="156">
        <f t="shared" si="124"/>
        <v>0</v>
      </c>
      <c r="CE32" s="156">
        <f t="shared" si="124"/>
        <v>0</v>
      </c>
      <c r="CF32" s="156">
        <f t="shared" ref="CF32:DB32" si="125">CF61-CF31</f>
        <v>0</v>
      </c>
      <c r="CG32" s="156">
        <f t="shared" si="125"/>
        <v>0</v>
      </c>
      <c r="CH32" s="156">
        <f t="shared" si="125"/>
        <v>0</v>
      </c>
      <c r="CI32" s="156">
        <f t="shared" si="125"/>
        <v>0</v>
      </c>
      <c r="CJ32" s="156">
        <f t="shared" si="125"/>
        <v>0.51899999999932334</v>
      </c>
      <c r="CK32" s="156">
        <f t="shared" si="125"/>
        <v>0</v>
      </c>
      <c r="CL32" s="156">
        <f t="shared" si="125"/>
        <v>0</v>
      </c>
      <c r="CM32" s="157">
        <f t="shared" si="125"/>
        <v>0</v>
      </c>
      <c r="CN32" s="157">
        <f t="shared" si="125"/>
        <v>0</v>
      </c>
      <c r="CO32" s="157">
        <f t="shared" si="125"/>
        <v>0</v>
      </c>
      <c r="CP32" s="157">
        <f t="shared" si="125"/>
        <v>0</v>
      </c>
      <c r="CQ32" s="157">
        <f t="shared" si="125"/>
        <v>0</v>
      </c>
      <c r="CR32" s="157">
        <f t="shared" si="125"/>
        <v>0</v>
      </c>
      <c r="CS32" s="157">
        <f t="shared" si="125"/>
        <v>0</v>
      </c>
      <c r="CT32" s="157">
        <f t="shared" si="125"/>
        <v>0</v>
      </c>
      <c r="CU32" s="157">
        <f t="shared" si="125"/>
        <v>0</v>
      </c>
      <c r="CV32" s="157">
        <f t="shared" si="125"/>
        <v>0</v>
      </c>
      <c r="CW32" s="157">
        <f t="shared" si="125"/>
        <v>0</v>
      </c>
      <c r="CX32" s="157">
        <f t="shared" si="125"/>
        <v>0</v>
      </c>
      <c r="CY32" s="157">
        <f t="shared" si="125"/>
        <v>0</v>
      </c>
      <c r="CZ32" s="157">
        <f t="shared" si="125"/>
        <v>0</v>
      </c>
      <c r="DA32" s="157">
        <f t="shared" si="125"/>
        <v>0</v>
      </c>
      <c r="DB32" s="157">
        <f t="shared" si="125"/>
        <v>0</v>
      </c>
      <c r="DE32" s="159"/>
      <c r="DG32" s="158">
        <v>0</v>
      </c>
    </row>
    <row r="33" spans="1:111" s="158" customFormat="1" x14ac:dyDescent="0.2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  <c r="AA33" s="157"/>
      <c r="AB33" s="157"/>
      <c r="AC33" s="157"/>
      <c r="AD33" s="157"/>
      <c r="AE33" s="157"/>
      <c r="AI33" s="156"/>
      <c r="AJ33" s="156"/>
      <c r="AK33" s="156"/>
      <c r="AL33" s="156"/>
      <c r="AM33" s="156"/>
      <c r="AN33" s="156"/>
      <c r="AO33" s="156"/>
      <c r="AP33" s="156"/>
      <c r="AQ33" s="156"/>
      <c r="AR33" s="156"/>
      <c r="AS33" s="156"/>
      <c r="AT33" s="156"/>
      <c r="AU33" s="156"/>
      <c r="AV33" s="156"/>
      <c r="AW33" s="156"/>
      <c r="AX33" s="156"/>
      <c r="AY33" s="156"/>
      <c r="AZ33" s="156"/>
      <c r="BA33" s="156"/>
      <c r="BB33" s="156"/>
      <c r="BC33" s="156"/>
      <c r="BD33" s="156"/>
      <c r="BE33" s="156"/>
      <c r="BF33" s="156"/>
      <c r="BG33" s="156"/>
      <c r="BH33" s="156"/>
      <c r="BI33" s="156"/>
      <c r="BJ33" s="156"/>
      <c r="BK33" s="156"/>
      <c r="BL33" s="156"/>
      <c r="BM33" s="156"/>
      <c r="BN33" s="156"/>
      <c r="BO33" s="156"/>
      <c r="BP33" s="156"/>
      <c r="BQ33" s="156"/>
      <c r="BR33" s="156"/>
      <c r="BS33" s="156"/>
      <c r="BT33" s="156"/>
      <c r="BU33" s="156"/>
      <c r="BV33" s="156"/>
      <c r="BW33" s="156"/>
      <c r="BX33" s="156"/>
      <c r="BY33" s="156"/>
      <c r="BZ33" s="156"/>
      <c r="CA33" s="156"/>
      <c r="CB33" s="156"/>
      <c r="CC33" s="156"/>
      <c r="CD33" s="156"/>
      <c r="CE33" s="156"/>
      <c r="CF33" s="156"/>
      <c r="CG33" s="156"/>
      <c r="CH33" s="156"/>
      <c r="CI33" s="156"/>
      <c r="CJ33" s="156"/>
      <c r="CK33" s="156"/>
      <c r="CL33" s="156"/>
      <c r="CM33" s="157"/>
      <c r="CN33" s="157"/>
      <c r="CO33" s="157"/>
      <c r="CP33" s="157"/>
      <c r="CQ33" s="157"/>
      <c r="CR33" s="157"/>
      <c r="CS33" s="157"/>
      <c r="CT33" s="157"/>
      <c r="CU33" s="157"/>
      <c r="CV33" s="157"/>
      <c r="CW33" s="157"/>
      <c r="CX33" s="157"/>
      <c r="CY33" s="157"/>
      <c r="CZ33" s="157"/>
      <c r="DA33" s="157"/>
      <c r="DB33" s="157"/>
      <c r="DE33" s="159"/>
    </row>
    <row r="34" spans="1:111" s="151" customFormat="1" x14ac:dyDescent="0.2">
      <c r="A34" s="151" t="s">
        <v>541</v>
      </c>
    </row>
    <row r="35" spans="1:111" s="158" customFormat="1" x14ac:dyDescent="0.2">
      <c r="A35" s="155" t="s">
        <v>540</v>
      </c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204"/>
      <c r="T35" s="211"/>
      <c r="U35" s="211">
        <f t="shared" ref="U35:Y35" si="126">U25/T25-1</f>
        <v>0.7639685184121332</v>
      </c>
      <c r="V35" s="211">
        <f t="shared" si="126"/>
        <v>-0.21217245175115773</v>
      </c>
      <c r="W35" s="211">
        <f t="shared" si="126"/>
        <v>0.1519005760924923</v>
      </c>
      <c r="X35" s="211">
        <f t="shared" si="126"/>
        <v>0.23335697100891717</v>
      </c>
      <c r="Y35" s="211">
        <f t="shared" si="126"/>
        <v>0.18399401297266849</v>
      </c>
      <c r="Z35" s="211">
        <f>Z25/Y25-1</f>
        <v>0.20581513196503987</v>
      </c>
      <c r="AA35" s="212">
        <f t="shared" ref="AA35:AE35" si="127">AA25/Z25-1</f>
        <v>1.5022239468861498E-2</v>
      </c>
      <c r="AB35" s="212">
        <f t="shared" si="127"/>
        <v>3.7322292424446069E-2</v>
      </c>
      <c r="AC35" s="212">
        <f t="shared" si="127"/>
        <v>4.6653563878958026E-2</v>
      </c>
      <c r="AD35" s="212">
        <f t="shared" si="127"/>
        <v>4.8385260028263044E-2</v>
      </c>
      <c r="AE35" s="212">
        <f t="shared" si="127"/>
        <v>5.1869551992232532E-2</v>
      </c>
      <c r="AI35" s="156"/>
      <c r="AJ35" s="156"/>
      <c r="AK35" s="156"/>
      <c r="AL35" s="156"/>
      <c r="AM35" s="156"/>
      <c r="AN35" s="156"/>
      <c r="AO35" s="156"/>
      <c r="AP35" s="156"/>
      <c r="AQ35" s="156"/>
      <c r="AR35" s="156"/>
      <c r="AS35" s="156"/>
      <c r="AT35" s="156"/>
      <c r="AU35" s="156"/>
      <c r="AV35" s="156"/>
      <c r="AW35" s="156"/>
      <c r="AX35" s="156"/>
      <c r="AY35" s="156"/>
      <c r="AZ35" s="156"/>
      <c r="BA35" s="156"/>
      <c r="BB35" s="156"/>
      <c r="BC35" s="156"/>
      <c r="BD35" s="213"/>
      <c r="BE35" s="213"/>
      <c r="BF35" s="213"/>
      <c r="BG35" s="213"/>
      <c r="BH35" s="213"/>
      <c r="BI35" s="213"/>
      <c r="BJ35" s="213"/>
      <c r="BK35" s="213"/>
      <c r="BL35" s="213"/>
      <c r="BM35" s="213">
        <f t="shared" ref="BM35:BM37" si="128">BM25/BI25-1</f>
        <v>-5.6347647486963748E-2</v>
      </c>
      <c r="BN35" s="213">
        <f t="shared" ref="BN35:BN37" si="129">BN25/BJ25-1</f>
        <v>-9.1162110526687989E-3</v>
      </c>
      <c r="BO35" s="213">
        <f t="shared" ref="BO35:BO37" si="130">BO25/BK25-1</f>
        <v>-0.34365265686802904</v>
      </c>
      <c r="BP35" s="213">
        <f t="shared" ref="BP35:BP37" si="131">BP25/BL25-1</f>
        <v>-0.23329849498327748</v>
      </c>
      <c r="BQ35" s="213">
        <f t="shared" ref="BQ35:BQ37" si="132">BQ25/BM25-1</f>
        <v>-0.16116455615956393</v>
      </c>
      <c r="BR35" s="213">
        <f t="shared" ref="BR35:BR37" si="133">BR25/BN25-1</f>
        <v>-7.426714749883967E-2</v>
      </c>
      <c r="BS35" s="213">
        <f t="shared" ref="BS35:BS37" si="134">BS25/BO25-1</f>
        <v>0.21216127820072095</v>
      </c>
      <c r="BT35" s="213">
        <f t="shared" ref="BT35:BT37" si="135">BT25/BP25-1</f>
        <v>0.15216472641020751</v>
      </c>
      <c r="BU35" s="213">
        <f t="shared" ref="BU35:BU37" si="136">BU25/BQ25-1</f>
        <v>0.1319024586860138</v>
      </c>
      <c r="BV35" s="213">
        <f t="shared" ref="BV35:BV37" si="137">BV25/BR25-1</f>
        <v>0.11639732068242892</v>
      </c>
      <c r="BW35" s="213">
        <f t="shared" ref="BW35:BW37" si="138">BW25/BS25-1</f>
        <v>0.27030254319995395</v>
      </c>
      <c r="BX35" s="213">
        <f t="shared" ref="BX35:BX37" si="139">BX25/BT25-1</f>
        <v>0.28008589632101066</v>
      </c>
      <c r="BY35" s="213">
        <f t="shared" ref="BY35:BY37" si="140">BY25/BU25-1</f>
        <v>0.17057442357339969</v>
      </c>
      <c r="BZ35" s="213">
        <f t="shared" ref="BZ35:BZ37" si="141">BZ25/BV25-1</f>
        <v>0.21578980704673811</v>
      </c>
      <c r="CA35" s="213">
        <f t="shared" ref="CA35:CA37" si="142">CA25/BW25-1</f>
        <v>0.23724884080370967</v>
      </c>
      <c r="CB35" s="213">
        <f t="shared" ref="CB35:CB37" si="143">CB25/BX25-1</f>
        <v>0.14593298118648534</v>
      </c>
      <c r="CC35" s="213">
        <f>CC25/BY25-1</f>
        <v>0.21676450317275475</v>
      </c>
      <c r="CD35" s="213">
        <f t="shared" ref="CD35:CJ35" si="144">CD25/BZ25-1</f>
        <v>0.13453787681451135</v>
      </c>
      <c r="CE35" s="213">
        <f t="shared" si="144"/>
        <v>0.23202968904668508</v>
      </c>
      <c r="CF35" s="213">
        <f t="shared" si="144"/>
        <v>0.21547395801826852</v>
      </c>
      <c r="CG35" s="213">
        <f t="shared" si="144"/>
        <v>0.16115145572661338</v>
      </c>
      <c r="CH35" s="213">
        <f t="shared" si="144"/>
        <v>0.21358619422922787</v>
      </c>
      <c r="CI35" s="213">
        <f t="shared" si="144"/>
        <v>-3.8838520697077605E-3</v>
      </c>
      <c r="CJ35" s="213">
        <f t="shared" si="144"/>
        <v>3.4492941156953449E-2</v>
      </c>
      <c r="CK35" s="213">
        <f>CK25/CG25-1</f>
        <v>4.4266960927459742E-2</v>
      </c>
      <c r="CL35" s="213">
        <f t="shared" ref="CL35:CL36" si="145">CL25/CH25-1</f>
        <v>-1.3129607143717137E-2</v>
      </c>
      <c r="CM35" s="214">
        <f t="shared" ref="CM35" si="146">CM25/CI25-1</f>
        <v>3.9654959199096007E-2</v>
      </c>
      <c r="CN35" s="214">
        <f>CN25/CJ25-1</f>
        <v>4.2319220764241772E-2</v>
      </c>
      <c r="CO35" s="214">
        <f t="shared" ref="CO35" si="147">CO25/CK25-1</f>
        <v>4.2033239886732909E-2</v>
      </c>
      <c r="CP35" s="214">
        <f t="shared" ref="CP35" si="148">CP25/CL25-1</f>
        <v>2.4063268060900977E-2</v>
      </c>
      <c r="CQ35" s="214">
        <f t="shared" ref="CQ35" si="149">CQ25/CM25-1</f>
        <v>4.7862908193486264E-2</v>
      </c>
      <c r="CR35" s="214">
        <f t="shared" ref="CR35" si="150">CR25/CN25-1</f>
        <v>4.7699102081130373E-2</v>
      </c>
      <c r="CS35" s="214">
        <f t="shared" ref="CS35" si="151">CS25/CO25-1</f>
        <v>4.6328221806642755E-2</v>
      </c>
      <c r="CT35" s="214">
        <f t="shared" ref="CT35" si="152">CT25/CP25-1</f>
        <v>4.4417421499586496E-2</v>
      </c>
      <c r="CU35" s="214">
        <f t="shared" ref="CU35" si="153">CU25/CQ25-1</f>
        <v>4.763396992438218E-2</v>
      </c>
      <c r="CV35" s="214">
        <f t="shared" ref="CV35" si="154">CV25/CR25-1</f>
        <v>4.8112364836111254E-2</v>
      </c>
      <c r="CW35" s="214">
        <f t="shared" ref="CW35" si="155">CW25/CS25-1</f>
        <v>4.8586566209971371E-2</v>
      </c>
      <c r="CX35" s="214">
        <f t="shared" ref="CX35" si="156">CX25/CT25-1</f>
        <v>4.9362210286672203E-2</v>
      </c>
      <c r="CY35" s="214">
        <f t="shared" ref="CY35" si="157">CY25/CU25-1</f>
        <v>5.0652243549259124E-2</v>
      </c>
      <c r="CZ35" s="214">
        <f t="shared" ref="CZ35" si="158">CZ25/CV25-1</f>
        <v>5.1444388348461434E-2</v>
      </c>
      <c r="DA35" s="214">
        <f t="shared" ref="DA35" si="159">DA25/CW25-1</f>
        <v>5.2318317330835917E-2</v>
      </c>
      <c r="DB35" s="214">
        <f t="shared" ref="DB35" si="160">DB25/CX25-1</f>
        <v>5.3295831595334908E-2</v>
      </c>
      <c r="DE35" s="159"/>
      <c r="DG35" s="158">
        <v>7.0475642657683801E-2</v>
      </c>
    </row>
    <row r="36" spans="1:111" s="158" customFormat="1" x14ac:dyDescent="0.2">
      <c r="A36" s="155" t="s">
        <v>542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204"/>
      <c r="T36" s="211">
        <f t="shared" ref="T36:AE36" si="161">T26/S26-1</f>
        <v>-0.29980203078102041</v>
      </c>
      <c r="U36" s="211">
        <f t="shared" si="161"/>
        <v>0.28369997446280681</v>
      </c>
      <c r="V36" s="211">
        <f t="shared" si="161"/>
        <v>0.10907992895204255</v>
      </c>
      <c r="W36" s="211">
        <f t="shared" si="161"/>
        <v>0.11123104616823509</v>
      </c>
      <c r="X36" s="211">
        <f t="shared" si="161"/>
        <v>0.13715328319877318</v>
      </c>
      <c r="Y36" s="211">
        <f t="shared" si="161"/>
        <v>0.29630737409889574</v>
      </c>
      <c r="Z36" s="211">
        <f>Z26/Y26-1</f>
        <v>0.62893272378151588</v>
      </c>
      <c r="AA36" s="212">
        <f t="shared" si="161"/>
        <v>0.17925381035436883</v>
      </c>
      <c r="AB36" s="212">
        <f t="shared" si="161"/>
        <v>0.23487911503810643</v>
      </c>
      <c r="AC36" s="212">
        <f t="shared" si="161"/>
        <v>0.12675897182569318</v>
      </c>
      <c r="AD36" s="212">
        <f t="shared" si="161"/>
        <v>0.14502732102731497</v>
      </c>
      <c r="AE36" s="212">
        <f t="shared" si="161"/>
        <v>7.6482527117164079E-2</v>
      </c>
      <c r="AI36" s="156"/>
      <c r="AJ36" s="156"/>
      <c r="AK36" s="156"/>
      <c r="AL36" s="156"/>
      <c r="AM36" s="156"/>
      <c r="AN36" s="156"/>
      <c r="AO36" s="156"/>
      <c r="AP36" s="156"/>
      <c r="AQ36" s="156"/>
      <c r="AR36" s="156"/>
      <c r="AS36" s="156"/>
      <c r="AT36" s="156"/>
      <c r="AU36" s="156"/>
      <c r="AV36" s="156"/>
      <c r="AW36" s="156"/>
      <c r="AX36" s="156"/>
      <c r="AY36" s="156"/>
      <c r="AZ36" s="156"/>
      <c r="BA36" s="156"/>
      <c r="BB36" s="156"/>
      <c r="BC36" s="156"/>
      <c r="BD36" s="213">
        <f t="shared" ref="BD36:BE37" si="162">BD26/AZ26-1</f>
        <v>1.6734554648152988E-2</v>
      </c>
      <c r="BE36" s="213">
        <f t="shared" si="162"/>
        <v>2.0322618742987619</v>
      </c>
      <c r="BF36" s="213">
        <f t="shared" ref="BF36:BF37" si="163">BF26/BB26-1</f>
        <v>0.15428593882001596</v>
      </c>
      <c r="BG36" s="213">
        <f t="shared" ref="BG36:BG37" si="164">BG26/BC26-1</f>
        <v>0.11199179223078315</v>
      </c>
      <c r="BH36" s="213">
        <f t="shared" ref="BH36:BH37" si="165">BH26/BD26-1</f>
        <v>-5.9501490004144286E-2</v>
      </c>
      <c r="BI36" s="213">
        <f t="shared" ref="BI36:BI37" si="166">BI26/BE26-1</f>
        <v>-0.62496754258412968</v>
      </c>
      <c r="BJ36" s="213">
        <f t="shared" ref="BJ36:BJ37" si="167">BJ26/BF26-1</f>
        <v>-2.8764978213506875E-3</v>
      </c>
      <c r="BK36" s="213">
        <f t="shared" ref="BK36:BK37" si="168">BK26/BG26-1</f>
        <v>0.20884289746001894</v>
      </c>
      <c r="BL36" s="213">
        <f t="shared" ref="BL36:BL37" si="169">BL26/BH26-1</f>
        <v>0.41503693134127917</v>
      </c>
      <c r="BM36" s="213">
        <f t="shared" si="128"/>
        <v>0.17485676700188657</v>
      </c>
      <c r="BN36" s="213">
        <f t="shared" si="129"/>
        <v>0.35482989945888743</v>
      </c>
      <c r="BO36" s="213">
        <f t="shared" si="130"/>
        <v>0.510236456150853</v>
      </c>
      <c r="BP36" s="213">
        <f t="shared" si="131"/>
        <v>2.0879365314747433E-2</v>
      </c>
      <c r="BQ36" s="213">
        <f t="shared" si="132"/>
        <v>3.7583793738489968E-2</v>
      </c>
      <c r="BR36" s="213">
        <f t="shared" si="133"/>
        <v>-9.2566460879425549E-2</v>
      </c>
      <c r="BS36" s="213">
        <f t="shared" si="134"/>
        <v>3.5584755336226959E-2</v>
      </c>
      <c r="BT36" s="213">
        <f t="shared" si="135"/>
        <v>0.14581003152099714</v>
      </c>
      <c r="BU36" s="213">
        <f t="shared" si="136"/>
        <v>0.15876238889046657</v>
      </c>
      <c r="BV36" s="213">
        <f t="shared" si="137"/>
        <v>0.13769212612637616</v>
      </c>
      <c r="BW36" s="213">
        <f t="shared" si="138"/>
        <v>-0.20009568920147358</v>
      </c>
      <c r="BX36" s="213">
        <f t="shared" si="139"/>
        <v>0.10064527579518523</v>
      </c>
      <c r="BY36" s="213">
        <f t="shared" si="140"/>
        <v>0.43759726494050755</v>
      </c>
      <c r="BZ36" s="213">
        <f t="shared" si="141"/>
        <v>0.30319746155723704</v>
      </c>
      <c r="CA36" s="213">
        <f t="shared" si="142"/>
        <v>0.10796229394454149</v>
      </c>
      <c r="CB36" s="213">
        <f t="shared" si="143"/>
        <v>0.17179221377562781</v>
      </c>
      <c r="CC36" s="213">
        <f t="shared" ref="CC36:CC37" si="170">CC26/BY26-1</f>
        <v>7.7873813055115093E-2</v>
      </c>
      <c r="CD36" s="213">
        <f t="shared" ref="CD36:CK36" si="171">CD26/BZ26-1</f>
        <v>0.78496778543602042</v>
      </c>
      <c r="CE36" s="213">
        <f t="shared" si="171"/>
        <v>0.88533670197259728</v>
      </c>
      <c r="CF36" s="213">
        <f t="shared" si="171"/>
        <v>1.2636752346783306</v>
      </c>
      <c r="CG36" s="213">
        <f t="shared" si="171"/>
        <v>0.6090910528729816</v>
      </c>
      <c r="CH36" s="213">
        <f t="shared" si="171"/>
        <v>0.17871420626842793</v>
      </c>
      <c r="CI36" s="213">
        <f t="shared" si="171"/>
        <v>0.25312968880642317</v>
      </c>
      <c r="CJ36" s="213">
        <f t="shared" si="171"/>
        <v>2.9848672355023087E-2</v>
      </c>
      <c r="CK36" s="213">
        <f t="shared" si="171"/>
        <v>0.19276966325266853</v>
      </c>
      <c r="CL36" s="213">
        <f t="shared" si="145"/>
        <v>0.26274090888859236</v>
      </c>
      <c r="CM36" s="214">
        <f t="shared" ref="CM36" si="172">CM26/CI26-1</f>
        <v>0.29605840662907146</v>
      </c>
      <c r="CN36" s="214">
        <f t="shared" ref="CN36" si="173">CN26/CJ26-1</f>
        <v>0.24846681589673936</v>
      </c>
      <c r="CO36" s="214">
        <f t="shared" ref="CO36" si="174">CO26/CK26-1</f>
        <v>0.28982707668020979</v>
      </c>
      <c r="CP36" s="214">
        <f t="shared" ref="CP36" si="175">CP26/CL26-1</f>
        <v>0.12932520907362721</v>
      </c>
      <c r="CQ36" s="214">
        <f t="shared" ref="CQ36" si="176">CQ26/CM26-1</f>
        <v>0.17694445619314925</v>
      </c>
      <c r="CR36" s="214">
        <f t="shared" ref="CR36" si="177">CR26/CN26-1</f>
        <v>0.13427528197759209</v>
      </c>
      <c r="CS36" s="214">
        <f t="shared" ref="CS36" si="178">CS26/CO26-1</f>
        <v>8.2395515545689912E-2</v>
      </c>
      <c r="CT36" s="214">
        <f t="shared" ref="CT36" si="179">CT26/CP26-1</f>
        <v>0.11873532254101549</v>
      </c>
      <c r="CU36" s="214">
        <f t="shared" ref="CU36" si="180">CU26/CQ26-1</f>
        <v>7.6945296117955087E-2</v>
      </c>
      <c r="CV36" s="214">
        <f t="shared" ref="CV36" si="181">CV26/CR26-1</f>
        <v>7.9052851358936582E-2</v>
      </c>
      <c r="CW36" s="214">
        <f t="shared" ref="CW36" si="182">CW26/CS26-1</f>
        <v>0.23903714931948672</v>
      </c>
      <c r="CX36" s="214">
        <f t="shared" ref="CX36" si="183">CX26/CT26-1</f>
        <v>0.18137707663862535</v>
      </c>
      <c r="CY36" s="214">
        <f t="shared" ref="CY36" si="184">CY26/CU26-1</f>
        <v>0.13980888364376809</v>
      </c>
      <c r="CZ36" s="214">
        <f t="shared" ref="CZ36" si="185">CZ26/CV26-1</f>
        <v>0.12845199131208784</v>
      </c>
      <c r="DA36" s="214">
        <f t="shared" ref="DA36" si="186">DA26/CW26-1</f>
        <v>7.905268449666103E-4</v>
      </c>
      <c r="DB36" s="214">
        <f t="shared" ref="DB36" si="187">DB26/CX26-1</f>
        <v>5.3291201591815662E-2</v>
      </c>
      <c r="DE36" s="159"/>
      <c r="DG36" s="158">
        <v>0.12336689992794736</v>
      </c>
    </row>
    <row r="37" spans="1:111" s="158" customFormat="1" x14ac:dyDescent="0.2">
      <c r="A37" s="155" t="s">
        <v>543</v>
      </c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204"/>
      <c r="T37" s="211">
        <f t="shared" ref="T37:AE37" si="188">T27/S27-1</f>
        <v>-7.3978278457427105E-2</v>
      </c>
      <c r="U37" s="211">
        <f t="shared" si="188"/>
        <v>0.2239519214222363</v>
      </c>
      <c r="V37" s="211">
        <f t="shared" si="188"/>
        <v>-0.18167659878218922</v>
      </c>
      <c r="W37" s="211">
        <f t="shared" si="188"/>
        <v>8.627730859204652E-2</v>
      </c>
      <c r="X37" s="211">
        <f t="shared" si="188"/>
        <v>-8.0617099195775865E-2</v>
      </c>
      <c r="Y37" s="211">
        <f t="shared" si="188"/>
        <v>0.36252233176735249</v>
      </c>
      <c r="Z37" s="211">
        <f>Z27/Y27-1</f>
        <v>0.34076671296341288</v>
      </c>
      <c r="AA37" s="212">
        <f t="shared" si="188"/>
        <v>-0.20962084552751303</v>
      </c>
      <c r="AB37" s="212">
        <f t="shared" si="188"/>
        <v>5.0000000000000044E-2</v>
      </c>
      <c r="AC37" s="212">
        <f t="shared" si="188"/>
        <v>4.0000000000000036E-2</v>
      </c>
      <c r="AD37" s="212">
        <f t="shared" si="188"/>
        <v>4.0000000000000036E-2</v>
      </c>
      <c r="AE37" s="212">
        <f t="shared" si="188"/>
        <v>4.0000000000000036E-2</v>
      </c>
      <c r="AI37" s="156"/>
      <c r="AJ37" s="156"/>
      <c r="AK37" s="156"/>
      <c r="AL37" s="156"/>
      <c r="AM37" s="156"/>
      <c r="AN37" s="156"/>
      <c r="AO37" s="156"/>
      <c r="AP37" s="156"/>
      <c r="AQ37" s="156"/>
      <c r="AR37" s="156"/>
      <c r="AS37" s="156"/>
      <c r="AT37" s="156"/>
      <c r="AU37" s="156"/>
      <c r="AV37" s="156"/>
      <c r="AW37" s="156"/>
      <c r="AX37" s="156"/>
      <c r="AY37" s="156"/>
      <c r="AZ37" s="156"/>
      <c r="BA37" s="156"/>
      <c r="BB37" s="156"/>
      <c r="BC37" s="156"/>
      <c r="BD37" s="213">
        <f t="shared" si="162"/>
        <v>0.29832365865567168</v>
      </c>
      <c r="BE37" s="213">
        <f t="shared" si="162"/>
        <v>9.3223020932230227E-2</v>
      </c>
      <c r="BF37" s="213">
        <f t="shared" si="163"/>
        <v>-0.31883747282026154</v>
      </c>
      <c r="BG37" s="213">
        <f t="shared" si="164"/>
        <v>-0.3946360153256705</v>
      </c>
      <c r="BH37" s="213">
        <f t="shared" si="165"/>
        <v>0.10412836369714196</v>
      </c>
      <c r="BI37" s="213">
        <f t="shared" si="166"/>
        <v>-0.34080476407096483</v>
      </c>
      <c r="BJ37" s="213">
        <f t="shared" si="167"/>
        <v>0.18626922039384963</v>
      </c>
      <c r="BK37" s="213">
        <f t="shared" si="168"/>
        <v>-0.99322931998822495</v>
      </c>
      <c r="BL37" s="213">
        <f t="shared" si="169"/>
        <v>-0.97937481077808053</v>
      </c>
      <c r="BM37" s="213">
        <f t="shared" si="128"/>
        <v>0.29146800501882053</v>
      </c>
      <c r="BN37" s="213">
        <f t="shared" si="129"/>
        <v>1.7016865643357968</v>
      </c>
      <c r="BO37" s="213">
        <f t="shared" si="130"/>
        <v>-0.23913043478260876</v>
      </c>
      <c r="BP37" s="213">
        <f t="shared" si="131"/>
        <v>-0.88990825688073394</v>
      </c>
      <c r="BQ37" s="213">
        <f t="shared" si="132"/>
        <v>0.48120081608860388</v>
      </c>
      <c r="BR37" s="213">
        <f t="shared" si="133"/>
        <v>-0.36765613601930314</v>
      </c>
      <c r="BS37" s="213">
        <f t="shared" si="134"/>
        <v>121.00000000000001</v>
      </c>
      <c r="BT37" s="213">
        <f t="shared" si="135"/>
        <v>102.7</v>
      </c>
      <c r="BU37" s="213">
        <f t="shared" si="136"/>
        <v>-2.1546635182998819E-2</v>
      </c>
      <c r="BV37" s="213">
        <f t="shared" si="137"/>
        <v>-7.1257431892803313E-2</v>
      </c>
      <c r="BW37" s="213">
        <f t="shared" si="138"/>
        <v>0.94847775175644022</v>
      </c>
      <c r="BX37" s="213">
        <f t="shared" si="139"/>
        <v>2.5263580842172937</v>
      </c>
      <c r="BY37" s="213">
        <f t="shared" si="140"/>
        <v>-7.9369867605161737E-2</v>
      </c>
      <c r="BZ37" s="213">
        <f t="shared" si="141"/>
        <v>-0.57392986814446778</v>
      </c>
      <c r="CA37" s="213">
        <f t="shared" si="142"/>
        <v>-0.99987980769230766</v>
      </c>
      <c r="CB37" s="213">
        <f t="shared" si="143"/>
        <v>-0.19388359691901003</v>
      </c>
      <c r="CC37" s="213">
        <f t="shared" si="170"/>
        <v>1.6879528161066002</v>
      </c>
      <c r="CD37" s="213">
        <f t="shared" ref="CD37:CK37" si="189">CD27/BZ27-1</f>
        <v>-0.35858047878006394</v>
      </c>
      <c r="CE37" s="213">
        <f t="shared" si="189"/>
        <v>16726</v>
      </c>
      <c r="CF37" s="213">
        <f t="shared" si="189"/>
        <v>1.7720359586136709</v>
      </c>
      <c r="CG37" s="213">
        <f t="shared" si="189"/>
        <v>-0.5332520655560069</v>
      </c>
      <c r="CH37" s="213">
        <f t="shared" si="189"/>
        <v>2.3063543396556243</v>
      </c>
      <c r="CI37" s="213">
        <f t="shared" si="189"/>
        <v>0.25372152806839243</v>
      </c>
      <c r="CJ37" s="213">
        <f t="shared" si="189"/>
        <v>-0.59134185889983482</v>
      </c>
      <c r="CK37" s="213">
        <f t="shared" si="189"/>
        <v>-0.26001160766105635</v>
      </c>
      <c r="CL37" s="213">
        <v>0.05</v>
      </c>
      <c r="CM37" s="214">
        <v>0.05</v>
      </c>
      <c r="CN37" s="214">
        <v>0.05</v>
      </c>
      <c r="CO37" s="214">
        <v>0.05</v>
      </c>
      <c r="CP37" s="214">
        <v>0.05</v>
      </c>
      <c r="CQ37" s="214">
        <v>0.04</v>
      </c>
      <c r="CR37" s="214">
        <v>0.04</v>
      </c>
      <c r="CS37" s="214">
        <v>0.04</v>
      </c>
      <c r="CT37" s="214">
        <v>0.04</v>
      </c>
      <c r="CU37" s="214">
        <v>0.04</v>
      </c>
      <c r="CV37" s="214">
        <v>0.04</v>
      </c>
      <c r="CW37" s="214">
        <v>0.04</v>
      </c>
      <c r="CX37" s="214">
        <v>0.04</v>
      </c>
      <c r="CY37" s="214">
        <v>0.04</v>
      </c>
      <c r="CZ37" s="214">
        <v>0.04</v>
      </c>
      <c r="DA37" s="214">
        <v>0.04</v>
      </c>
      <c r="DB37" s="214">
        <v>0.04</v>
      </c>
      <c r="DE37" s="159"/>
      <c r="DG37" s="158">
        <v>0.05</v>
      </c>
    </row>
    <row r="38" spans="1:111" s="158" customFormat="1" x14ac:dyDescent="0.2">
      <c r="A38" s="155" t="s">
        <v>544</v>
      </c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156"/>
      <c r="Q38" s="156"/>
      <c r="R38" s="156"/>
      <c r="S38" s="204"/>
      <c r="T38" s="211"/>
      <c r="U38" s="211"/>
      <c r="V38" s="211"/>
      <c r="W38" s="211"/>
      <c r="X38" s="211"/>
      <c r="Y38" s="211"/>
      <c r="Z38" s="211">
        <f>Z28/Y28-1</f>
        <v>4.6942859107474373</v>
      </c>
      <c r="AA38" s="212">
        <f t="shared" ref="AA38:AE38" si="190">AA28/Z28-1</f>
        <v>1.1583164275708837</v>
      </c>
      <c r="AB38" s="212">
        <f t="shared" si="190"/>
        <v>0.76289000069816337</v>
      </c>
      <c r="AC38" s="212">
        <f t="shared" si="190"/>
        <v>0.69566875732488964</v>
      </c>
      <c r="AD38" s="212">
        <f t="shared" si="190"/>
        <v>0.36580813216097607</v>
      </c>
      <c r="AE38" s="212">
        <f t="shared" si="190"/>
        <v>0.27900278449868443</v>
      </c>
      <c r="AI38" s="156"/>
      <c r="AJ38" s="156"/>
      <c r="AK38" s="156"/>
      <c r="AL38" s="156"/>
      <c r="AM38" s="156"/>
      <c r="AN38" s="156"/>
      <c r="AO38" s="156"/>
      <c r="AP38" s="156"/>
      <c r="AQ38" s="156"/>
      <c r="AR38" s="156"/>
      <c r="AS38" s="156"/>
      <c r="AT38" s="156"/>
      <c r="AU38" s="156"/>
      <c r="AV38" s="156"/>
      <c r="AW38" s="156"/>
      <c r="AX38" s="156"/>
      <c r="AY38" s="156"/>
      <c r="AZ38" s="156"/>
      <c r="BA38" s="156"/>
      <c r="BB38" s="156"/>
      <c r="BC38" s="156"/>
      <c r="BD38" s="213"/>
      <c r="BE38" s="213"/>
      <c r="BF38" s="213"/>
      <c r="BG38" s="213"/>
      <c r="BH38" s="213"/>
      <c r="BI38" s="213"/>
      <c r="BJ38" s="213"/>
      <c r="BK38" s="213"/>
      <c r="BL38" s="213"/>
      <c r="BM38" s="213"/>
      <c r="BN38" s="213"/>
      <c r="BO38" s="213"/>
      <c r="BP38" s="213"/>
      <c r="BQ38" s="213"/>
      <c r="BR38" s="213"/>
      <c r="BS38" s="213"/>
      <c r="BT38" s="213"/>
      <c r="BU38" s="213"/>
      <c r="BV38" s="213"/>
      <c r="BW38" s="213"/>
      <c r="BX38" s="213"/>
      <c r="BY38" s="213"/>
      <c r="BZ38" s="213"/>
      <c r="CA38" s="213"/>
      <c r="CB38" s="213"/>
      <c r="CC38" s="213"/>
      <c r="CD38" s="213"/>
      <c r="CE38" s="213"/>
      <c r="CF38" s="213"/>
      <c r="CG38" s="213"/>
      <c r="CH38" s="213">
        <f t="shared" ref="CH38:CK38" si="191">CH28/CD28-1</f>
        <v>1.8963418826927039</v>
      </c>
      <c r="CI38" s="213">
        <f t="shared" si="191"/>
        <v>9.5855034722222214</v>
      </c>
      <c r="CJ38" s="213">
        <f t="shared" si="191"/>
        <v>2.3520993543611466</v>
      </c>
      <c r="CK38" s="213">
        <f t="shared" si="191"/>
        <v>0.68868082260491548</v>
      </c>
      <c r="CL38" s="213">
        <f t="shared" ref="CL38" si="192">CL28/CH28-1</f>
        <v>0.15855323290955936</v>
      </c>
      <c r="CM38" s="214">
        <f t="shared" ref="CM38" si="193">CM28/CI28-1</f>
        <v>0.45015099070103104</v>
      </c>
      <c r="CN38" s="214">
        <f t="shared" ref="CN38" si="194">CN28/CJ28-1</f>
        <v>0.75976354279479241</v>
      </c>
      <c r="CO38" s="214">
        <f t="shared" ref="CO38" si="195">CO28/CK28-1</f>
        <v>0.98008159568383735</v>
      </c>
      <c r="CP38" s="214">
        <f t="shared" ref="CP38" si="196">CP28/CL28-1</f>
        <v>0.89829300220959096</v>
      </c>
      <c r="CQ38" s="214">
        <f t="shared" ref="CQ38" si="197">CQ28/CM28-1</f>
        <v>0.57846584905717235</v>
      </c>
      <c r="CR38" s="214">
        <f t="shared" ref="CR38" si="198">CR28/CN28-1</f>
        <v>0.73327352435176207</v>
      </c>
      <c r="CS38" s="214">
        <f t="shared" ref="CS38" si="199">CS28/CO28-1</f>
        <v>0.75577407786305661</v>
      </c>
      <c r="CT38" s="214">
        <f t="shared" ref="CT38" si="200">CT28/CP28-1</f>
        <v>0.70414463793510684</v>
      </c>
      <c r="CU38" s="214">
        <f t="shared" ref="CU38" si="201">CU28/CQ28-1</f>
        <v>0.50988454718095544</v>
      </c>
      <c r="CV38" s="214">
        <f t="shared" ref="CV38" si="202">CV28/CR28-1</f>
        <v>0.42458601201339463</v>
      </c>
      <c r="CW38" s="214">
        <f t="shared" ref="CW38" si="203">CW28/CS28-1</f>
        <v>0.33081553691967391</v>
      </c>
      <c r="CX38" s="214">
        <f t="shared" ref="CX38" si="204">CX28/CT28-1</f>
        <v>0.24875540998893575</v>
      </c>
      <c r="CY38" s="214">
        <f t="shared" ref="CY38" si="205">CY28/CU28-1</f>
        <v>0.25425197215210482</v>
      </c>
      <c r="CZ38" s="214">
        <f t="shared" ref="CZ38" si="206">CZ28/CV28-1</f>
        <v>0.27437124696733828</v>
      </c>
      <c r="DA38" s="214">
        <f t="shared" ref="DA38" si="207">DA28/CW28-1</f>
        <v>0.28675841913324485</v>
      </c>
      <c r="DB38" s="214">
        <f t="shared" ref="DB38" si="208">DB28/CX28-1</f>
        <v>0.29697584552946243</v>
      </c>
      <c r="DE38" s="159"/>
      <c r="DG38" s="158">
        <v>0.25681245033241673</v>
      </c>
    </row>
    <row r="39" spans="1:111" s="158" customFormat="1" x14ac:dyDescent="0.2">
      <c r="A39" s="155" t="s">
        <v>545</v>
      </c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204"/>
      <c r="T39" s="211"/>
      <c r="U39" s="211"/>
      <c r="V39" s="211"/>
      <c r="W39" s="211"/>
      <c r="X39" s="211"/>
      <c r="Y39" s="211"/>
      <c r="Z39" s="211"/>
      <c r="AA39" s="212">
        <f t="shared" ref="AA39:AE39" si="209">AA29/Z29-1</f>
        <v>3.8612569371531427</v>
      </c>
      <c r="AB39" s="212">
        <f t="shared" si="209"/>
        <v>0</v>
      </c>
      <c r="AC39" s="212">
        <f t="shared" si="209"/>
        <v>0</v>
      </c>
      <c r="AD39" s="212">
        <f t="shared" si="209"/>
        <v>0</v>
      </c>
      <c r="AE39" s="212">
        <f t="shared" si="209"/>
        <v>0</v>
      </c>
      <c r="AI39" s="156"/>
      <c r="AJ39" s="156"/>
      <c r="AK39" s="156"/>
      <c r="AL39" s="156"/>
      <c r="AM39" s="156"/>
      <c r="AN39" s="156"/>
      <c r="AO39" s="156"/>
      <c r="AP39" s="156"/>
      <c r="AQ39" s="156"/>
      <c r="AR39" s="156"/>
      <c r="AS39" s="156"/>
      <c r="AT39" s="156"/>
      <c r="AU39" s="156"/>
      <c r="AV39" s="156"/>
      <c r="AW39" s="156"/>
      <c r="AX39" s="156"/>
      <c r="AY39" s="156"/>
      <c r="AZ39" s="156"/>
      <c r="BA39" s="156"/>
      <c r="BB39" s="156"/>
      <c r="BC39" s="156"/>
      <c r="BD39" s="213"/>
      <c r="BE39" s="213"/>
      <c r="BF39" s="213"/>
      <c r="BG39" s="213"/>
      <c r="BH39" s="213"/>
      <c r="BI39" s="213"/>
      <c r="BJ39" s="213"/>
      <c r="BK39" s="213"/>
      <c r="BL39" s="213"/>
      <c r="BM39" s="213"/>
      <c r="BN39" s="213"/>
      <c r="BO39" s="213"/>
      <c r="BP39" s="213"/>
      <c r="BQ39" s="213"/>
      <c r="BR39" s="213"/>
      <c r="BS39" s="213"/>
      <c r="BT39" s="213"/>
      <c r="BU39" s="213"/>
      <c r="BV39" s="213"/>
      <c r="BW39" s="213"/>
      <c r="BX39" s="213"/>
      <c r="BY39" s="213"/>
      <c r="BZ39" s="213"/>
      <c r="CA39" s="213"/>
      <c r="CB39" s="213"/>
      <c r="CC39" s="213"/>
      <c r="CD39" s="213"/>
      <c r="CE39" s="213"/>
      <c r="CF39" s="213"/>
      <c r="CG39" s="213"/>
      <c r="CH39" s="213"/>
      <c r="CI39" s="213"/>
      <c r="CJ39" s="213">
        <f t="shared" ref="CJ39" si="210">CJ29/CF29-1</f>
        <v>-0.32338383080845956</v>
      </c>
      <c r="CK39" s="213"/>
      <c r="CL39" s="213">
        <v>0</v>
      </c>
      <c r="CM39" s="214">
        <v>0</v>
      </c>
      <c r="CN39" s="214">
        <v>0</v>
      </c>
      <c r="CO39" s="214">
        <v>0</v>
      </c>
      <c r="CP39" s="214">
        <v>0</v>
      </c>
      <c r="CQ39" s="214">
        <v>0</v>
      </c>
      <c r="CR39" s="214">
        <v>0</v>
      </c>
      <c r="CS39" s="214">
        <v>0</v>
      </c>
      <c r="CT39" s="214">
        <v>0</v>
      </c>
      <c r="CU39" s="214">
        <v>0</v>
      </c>
      <c r="CV39" s="214">
        <v>0</v>
      </c>
      <c r="CW39" s="214">
        <v>0</v>
      </c>
      <c r="CX39" s="214">
        <v>0</v>
      </c>
      <c r="CY39" s="214">
        <v>0</v>
      </c>
      <c r="CZ39" s="214">
        <v>0</v>
      </c>
      <c r="DA39" s="214">
        <v>0</v>
      </c>
      <c r="DB39" s="214">
        <v>0</v>
      </c>
      <c r="DE39" s="159"/>
      <c r="DG39" s="158">
        <v>0</v>
      </c>
    </row>
    <row r="40" spans="1:111" s="158" customFormat="1" x14ac:dyDescent="0.2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  <c r="AA40" s="157"/>
      <c r="AB40" s="157"/>
      <c r="AC40" s="157"/>
      <c r="AD40" s="157"/>
      <c r="AE40" s="157"/>
      <c r="AI40" s="156"/>
      <c r="AJ40" s="156"/>
      <c r="AK40" s="156"/>
      <c r="AL40" s="156"/>
      <c r="AM40" s="156"/>
      <c r="AN40" s="156"/>
      <c r="AO40" s="156"/>
      <c r="AP40" s="156"/>
      <c r="AQ40" s="156"/>
      <c r="AR40" s="156"/>
      <c r="AS40" s="156"/>
      <c r="AT40" s="156"/>
      <c r="AU40" s="156"/>
      <c r="AV40" s="156"/>
      <c r="AW40" s="156"/>
      <c r="AX40" s="156"/>
      <c r="AY40" s="156"/>
      <c r="AZ40" s="156"/>
      <c r="BA40" s="156"/>
      <c r="BB40" s="156"/>
      <c r="BC40" s="156"/>
      <c r="BD40" s="156"/>
      <c r="BE40" s="156"/>
      <c r="BF40" s="156"/>
      <c r="BG40" s="156"/>
      <c r="BH40" s="156"/>
      <c r="BI40" s="156"/>
      <c r="BJ40" s="156"/>
      <c r="BK40" s="156"/>
      <c r="BL40" s="156"/>
      <c r="BM40" s="156"/>
      <c r="BN40" s="156"/>
      <c r="BO40" s="156"/>
      <c r="BP40" s="156"/>
      <c r="BQ40" s="156"/>
      <c r="BR40" s="156"/>
      <c r="BS40" s="156"/>
      <c r="BT40" s="156"/>
      <c r="BU40" s="156"/>
      <c r="BV40" s="156"/>
      <c r="BW40" s="156"/>
      <c r="BX40" s="156"/>
      <c r="BY40" s="156"/>
      <c r="BZ40" s="156"/>
      <c r="CA40" s="156"/>
      <c r="CB40" s="156"/>
      <c r="CC40" s="156"/>
      <c r="CD40" s="156"/>
      <c r="CE40" s="156"/>
      <c r="CF40" s="156"/>
      <c r="CG40" s="156"/>
      <c r="CH40" s="156"/>
      <c r="CI40" s="156"/>
      <c r="CJ40" s="156"/>
      <c r="CK40" s="156"/>
      <c r="CL40" s="156"/>
      <c r="CM40" s="157"/>
      <c r="CN40" s="157"/>
      <c r="CO40" s="157"/>
      <c r="CP40" s="157"/>
      <c r="CQ40" s="157"/>
      <c r="CR40" s="157"/>
      <c r="CS40" s="157"/>
      <c r="CT40" s="157"/>
      <c r="CU40" s="157"/>
      <c r="CV40" s="157"/>
      <c r="CW40" s="157"/>
      <c r="CX40" s="157"/>
      <c r="CY40" s="157"/>
      <c r="CZ40" s="157"/>
      <c r="DA40" s="157"/>
      <c r="DB40" s="157"/>
      <c r="DE40" s="159"/>
    </row>
    <row r="41" spans="1:111" s="151" customFormat="1" x14ac:dyDescent="0.2">
      <c r="A41" s="151" t="s">
        <v>568</v>
      </c>
    </row>
    <row r="42" spans="1:111" s="158" customFormat="1" x14ac:dyDescent="0.2">
      <c r="A42" s="155" t="s">
        <v>569</v>
      </c>
      <c r="B42" s="156"/>
      <c r="C42" s="156"/>
      <c r="D42" s="156"/>
      <c r="E42" s="156"/>
      <c r="F42" s="156"/>
      <c r="G42" s="156"/>
      <c r="H42" s="156"/>
      <c r="I42" s="156"/>
      <c r="J42" s="156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>
        <f>SUM(BS42:BV42)</f>
        <v>0</v>
      </c>
      <c r="X42" s="156">
        <f>SUM(BW42:BZ42)</f>
        <v>1895</v>
      </c>
      <c r="Y42" s="156">
        <f>SUM(CA42:CD42)</f>
        <v>2339</v>
      </c>
      <c r="Z42" s="156">
        <f t="shared" ref="Z42" si="211">SUM(CE42:CH42)</f>
        <v>1864</v>
      </c>
      <c r="AA42" s="157">
        <f t="shared" ref="AA42:AA46" si="212">SUM(CI42:CL42)</f>
        <v>2090</v>
      </c>
      <c r="AB42" s="157">
        <f t="shared" ref="AB42:AB46" si="213">SUM(CM42:CP42)</f>
        <v>2685.1513486086478</v>
      </c>
      <c r="AC42" s="157">
        <f t="shared" ref="AC42:AC46" si="214">SUM(CQ42:CT42)</f>
        <v>3003.0482774594857</v>
      </c>
      <c r="AD42" s="157">
        <f t="shared" ref="AD42:AD46" si="215">SUM(CU42:CX42)</f>
        <v>3172.345136722724</v>
      </c>
      <c r="AE42" s="157">
        <f t="shared" ref="AE42:AE46" si="216">SUM(CY42:DB42)</f>
        <v>3342.2673715759784</v>
      </c>
      <c r="AI42" s="156"/>
      <c r="AJ42" s="156"/>
      <c r="AK42" s="156"/>
      <c r="AL42" s="156"/>
      <c r="AM42" s="156"/>
      <c r="AN42" s="156"/>
      <c r="AO42" s="156"/>
      <c r="AP42" s="156"/>
      <c r="AQ42" s="156"/>
      <c r="AR42" s="156"/>
      <c r="AS42" s="156"/>
      <c r="AT42" s="156"/>
      <c r="AU42" s="156"/>
      <c r="AV42" s="156"/>
      <c r="AW42" s="156"/>
      <c r="AX42" s="156"/>
      <c r="AY42" s="156"/>
      <c r="AZ42" s="156"/>
      <c r="BA42" s="156"/>
      <c r="BB42" s="156"/>
      <c r="BC42" s="156"/>
      <c r="BD42" s="156"/>
      <c r="BE42" s="156"/>
      <c r="BF42" s="156"/>
      <c r="BG42" s="156"/>
      <c r="BH42" s="156"/>
      <c r="BI42" s="156"/>
      <c r="BJ42" s="156"/>
      <c r="BK42" s="156"/>
      <c r="BL42" s="156"/>
      <c r="BM42" s="156"/>
      <c r="BN42" s="156"/>
      <c r="BO42" s="156"/>
      <c r="BP42" s="156"/>
      <c r="BQ42" s="156"/>
      <c r="BR42" s="156"/>
      <c r="BS42" s="156"/>
      <c r="BT42" s="156"/>
      <c r="BU42" s="156"/>
      <c r="BV42" s="156"/>
      <c r="BW42" s="156">
        <v>516</v>
      </c>
      <c r="BX42" s="156"/>
      <c r="BY42" s="156">
        <v>545</v>
      </c>
      <c r="BZ42" s="156">
        <v>834</v>
      </c>
      <c r="CA42" s="156">
        <v>516</v>
      </c>
      <c r="CB42" s="156">
        <v>516</v>
      </c>
      <c r="CC42" s="156">
        <v>677</v>
      </c>
      <c r="CD42" s="156">
        <v>630</v>
      </c>
      <c r="CE42" s="156">
        <v>-79</v>
      </c>
      <c r="CF42" s="156">
        <v>588</v>
      </c>
      <c r="CG42" s="156">
        <v>482</v>
      </c>
      <c r="CH42" s="156">
        <v>873</v>
      </c>
      <c r="CI42" s="156">
        <f>1486-SUM(CJ42:CK42)</f>
        <v>497</v>
      </c>
      <c r="CJ42" s="156">
        <v>492</v>
      </c>
      <c r="CK42" s="156">
        <v>497</v>
      </c>
      <c r="CL42" s="156">
        <v>604</v>
      </c>
      <c r="CM42" s="157">
        <f>CM25*CM51</f>
        <v>695.43967474635565</v>
      </c>
      <c r="CN42" s="157">
        <f t="shared" ref="CN42:DB42" si="217">CN25*CN51</f>
        <v>688.58900210522972</v>
      </c>
      <c r="CO42" s="157">
        <f t="shared" si="217"/>
        <v>664.37342074509604</v>
      </c>
      <c r="CP42" s="157">
        <f t="shared" si="217"/>
        <v>636.74925101196618</v>
      </c>
      <c r="CQ42" s="157">
        <f t="shared" si="217"/>
        <v>792.83865072875733</v>
      </c>
      <c r="CR42" s="157">
        <f t="shared" si="217"/>
        <v>753.02568625090908</v>
      </c>
      <c r="CS42" s="157">
        <f t="shared" si="217"/>
        <v>756.64409895943584</v>
      </c>
      <c r="CT42" s="157">
        <f t="shared" si="217"/>
        <v>700.53984152038356</v>
      </c>
      <c r="CU42" s="157">
        <f t="shared" si="217"/>
        <v>852.85631482805502</v>
      </c>
      <c r="CV42" s="157">
        <f t="shared" si="217"/>
        <v>798.88874690402872</v>
      </c>
      <c r="CW42" s="157">
        <f t="shared" si="217"/>
        <v>796.82017358834946</v>
      </c>
      <c r="CX42" s="157">
        <f t="shared" si="217"/>
        <v>723.77990140229088</v>
      </c>
      <c r="CY42" s="157">
        <f t="shared" si="217"/>
        <v>902.04052152404415</v>
      </c>
      <c r="CZ42" s="157">
        <f t="shared" si="217"/>
        <v>841.51145787498069</v>
      </c>
      <c r="DA42" s="157">
        <f t="shared" si="217"/>
        <v>837.88471068222248</v>
      </c>
      <c r="DB42" s="157">
        <f t="shared" si="217"/>
        <v>760.83068149473104</v>
      </c>
      <c r="DE42" s="159"/>
    </row>
    <row r="43" spans="1:111" s="158" customFormat="1" x14ac:dyDescent="0.2">
      <c r="A43" s="155" t="s">
        <v>570</v>
      </c>
      <c r="B43" s="156"/>
      <c r="C43" s="156"/>
      <c r="D43" s="156"/>
      <c r="E43" s="156"/>
      <c r="F43" s="156"/>
      <c r="G43" s="156"/>
      <c r="H43" s="156"/>
      <c r="I43" s="156"/>
      <c r="J43" s="156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>
        <f t="shared" ref="W43:W46" si="218">SUM(BS43:BV43)</f>
        <v>0</v>
      </c>
      <c r="X43" s="156">
        <f t="shared" ref="X43:X46" si="219">SUM(BW43:BZ43)</f>
        <v>3112</v>
      </c>
      <c r="Y43" s="156">
        <f t="shared" ref="Y43:Y46" si="220">SUM(CA43:CD43)</f>
        <v>3865</v>
      </c>
      <c r="Z43" s="156">
        <f t="shared" ref="Z43:Z46" si="221">SUM(CE43:CH43)</f>
        <v>5449</v>
      </c>
      <c r="AA43" s="157">
        <f t="shared" si="212"/>
        <v>5126</v>
      </c>
      <c r="AB43" s="157">
        <f t="shared" si="213"/>
        <v>6403.7424492420287</v>
      </c>
      <c r="AC43" s="157">
        <f t="shared" si="214"/>
        <v>7403.3865390925739</v>
      </c>
      <c r="AD43" s="157">
        <f t="shared" si="215"/>
        <v>8491.4518619859628</v>
      </c>
      <c r="AE43" s="157">
        <f t="shared" si="216"/>
        <v>9144.0791922352491</v>
      </c>
      <c r="AI43" s="156"/>
      <c r="AJ43" s="156"/>
      <c r="AK43" s="156"/>
      <c r="AL43" s="156"/>
      <c r="AM43" s="156"/>
      <c r="AN43" s="156"/>
      <c r="AO43" s="156"/>
      <c r="AP43" s="156"/>
      <c r="AQ43" s="156"/>
      <c r="AR43" s="156"/>
      <c r="AS43" s="156"/>
      <c r="AT43" s="156"/>
      <c r="AU43" s="156"/>
      <c r="AV43" s="156"/>
      <c r="AW43" s="156"/>
      <c r="AX43" s="156"/>
      <c r="AY43" s="156"/>
      <c r="AZ43" s="156"/>
      <c r="BA43" s="156"/>
      <c r="BB43" s="156"/>
      <c r="BC43" s="156"/>
      <c r="BD43" s="156"/>
      <c r="BE43" s="156"/>
      <c r="BF43" s="156"/>
      <c r="BG43" s="156"/>
      <c r="BH43" s="156"/>
      <c r="BI43" s="156"/>
      <c r="BJ43" s="156"/>
      <c r="BK43" s="156"/>
      <c r="BL43" s="156"/>
      <c r="BM43" s="156"/>
      <c r="BN43" s="156"/>
      <c r="BO43" s="156"/>
      <c r="BP43" s="156"/>
      <c r="BQ43" s="156"/>
      <c r="BR43" s="156"/>
      <c r="BS43" s="156"/>
      <c r="BT43" s="156"/>
      <c r="BU43" s="156"/>
      <c r="BV43" s="156"/>
      <c r="BW43" s="156">
        <v>810</v>
      </c>
      <c r="BX43" s="156"/>
      <c r="BY43" s="156">
        <v>1163</v>
      </c>
      <c r="BZ43" s="156">
        <v>1139</v>
      </c>
      <c r="CA43" s="156">
        <v>862</v>
      </c>
      <c r="CB43" s="156">
        <v>810</v>
      </c>
      <c r="CC43" s="156">
        <v>1055</v>
      </c>
      <c r="CD43" s="156">
        <v>1138</v>
      </c>
      <c r="CE43" s="156">
        <v>1707</v>
      </c>
      <c r="CF43" s="156">
        <v>1278</v>
      </c>
      <c r="CG43" s="156">
        <v>1138</v>
      </c>
      <c r="CH43" s="156">
        <v>1326</v>
      </c>
      <c r="CI43" s="156">
        <v>1213</v>
      </c>
      <c r="CJ43" s="156">
        <v>1322</v>
      </c>
      <c r="CK43" s="156">
        <v>1291</v>
      </c>
      <c r="CL43" s="156">
        <v>1300</v>
      </c>
      <c r="CM43" s="157">
        <f t="shared" ref="CM43:DB43" si="222">CM26*CM52</f>
        <v>1518.6265713152181</v>
      </c>
      <c r="CN43" s="157">
        <f t="shared" si="222"/>
        <v>1571.5744867944554</v>
      </c>
      <c r="CO43" s="157">
        <f t="shared" si="222"/>
        <v>1640.6503367377691</v>
      </c>
      <c r="CP43" s="157">
        <f t="shared" si="222"/>
        <v>1672.8910543945856</v>
      </c>
      <c r="CQ43" s="157">
        <f t="shared" si="222"/>
        <v>1798.038881375011</v>
      </c>
      <c r="CR43" s="157">
        <f t="shared" si="222"/>
        <v>1811.9467249907673</v>
      </c>
      <c r="CS43" s="157">
        <f t="shared" si="222"/>
        <v>1835.563263036868</v>
      </c>
      <c r="CT43" s="157">
        <f t="shared" si="222"/>
        <v>1957.8376696899279</v>
      </c>
      <c r="CU43" s="157">
        <f t="shared" si="222"/>
        <v>1946.6380174291935</v>
      </c>
      <c r="CV43" s="157">
        <f t="shared" si="222"/>
        <v>1965.1392568407862</v>
      </c>
      <c r="CW43" s="157">
        <f t="shared" si="222"/>
        <v>2279.3884924919867</v>
      </c>
      <c r="CX43" s="157">
        <f t="shared" si="222"/>
        <v>2300.2860952239953</v>
      </c>
      <c r="CY43" s="157">
        <f t="shared" si="222"/>
        <v>2222.7005963333759</v>
      </c>
      <c r="CZ43" s="157">
        <f t="shared" si="222"/>
        <v>2219.5229239293062</v>
      </c>
      <c r="DA43" s="157">
        <f t="shared" si="222"/>
        <v>2280.8196829041699</v>
      </c>
      <c r="DB43" s="157">
        <f t="shared" si="222"/>
        <v>2421.0359890683981</v>
      </c>
      <c r="DE43" s="159"/>
    </row>
    <row r="44" spans="1:111" s="158" customFormat="1" x14ac:dyDescent="0.2">
      <c r="A44" s="155" t="s">
        <v>571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  <c r="V44" s="156"/>
      <c r="W44" s="156">
        <f t="shared" si="218"/>
        <v>0</v>
      </c>
      <c r="X44" s="156">
        <f t="shared" si="219"/>
        <v>0</v>
      </c>
      <c r="Y44" s="156">
        <f t="shared" si="220"/>
        <v>0</v>
      </c>
      <c r="Z44" s="156">
        <f t="shared" si="221"/>
        <v>26</v>
      </c>
      <c r="AA44" s="157">
        <f t="shared" si="212"/>
        <v>84</v>
      </c>
      <c r="AB44" s="157">
        <f t="shared" si="213"/>
        <v>105.99373870908377</v>
      </c>
      <c r="AC44" s="157">
        <f t="shared" si="214"/>
        <v>117.75883729333262</v>
      </c>
      <c r="AD44" s="157">
        <f t="shared" si="215"/>
        <v>122.83240210491149</v>
      </c>
      <c r="AE44" s="157">
        <f t="shared" si="216"/>
        <v>127.85405030166396</v>
      </c>
      <c r="AI44" s="156"/>
      <c r="AJ44" s="156"/>
      <c r="AK44" s="156"/>
      <c r="AL44" s="156"/>
      <c r="AM44" s="156"/>
      <c r="AN44" s="156"/>
      <c r="AO44" s="156"/>
      <c r="AP44" s="156"/>
      <c r="AQ44" s="156"/>
      <c r="AR44" s="156"/>
      <c r="AS44" s="156"/>
      <c r="AT44" s="156"/>
      <c r="AU44" s="156"/>
      <c r="AV44" s="156"/>
      <c r="AW44" s="156"/>
      <c r="AX44" s="156"/>
      <c r="AY44" s="156"/>
      <c r="AZ44" s="156"/>
      <c r="BA44" s="156"/>
      <c r="BB44" s="156"/>
      <c r="BC44" s="156"/>
      <c r="BD44" s="156"/>
      <c r="BE44" s="156"/>
      <c r="BF44" s="156"/>
      <c r="BG44" s="156"/>
      <c r="BH44" s="156"/>
      <c r="BI44" s="156"/>
      <c r="BJ44" s="156"/>
      <c r="BK44" s="156"/>
      <c r="BL44" s="156"/>
      <c r="BM44" s="156"/>
      <c r="BN44" s="156"/>
      <c r="BO44" s="156"/>
      <c r="BP44" s="156"/>
      <c r="BQ44" s="156"/>
      <c r="BR44" s="156"/>
      <c r="BS44" s="156"/>
      <c r="BT44" s="156"/>
      <c r="BU44" s="156"/>
      <c r="BV44" s="156"/>
      <c r="BW44" s="156"/>
      <c r="BX44" s="156"/>
      <c r="BY44" s="156"/>
      <c r="BZ44" s="156"/>
      <c r="CA44" s="156"/>
      <c r="CB44" s="156"/>
      <c r="CC44" s="156"/>
      <c r="CD44" s="156"/>
      <c r="CE44" s="156">
        <v>1</v>
      </c>
      <c r="CF44" s="156">
        <v>0</v>
      </c>
      <c r="CG44" s="156">
        <v>1</v>
      </c>
      <c r="CH44" s="156">
        <v>24</v>
      </c>
      <c r="CI44" s="156">
        <f>52-SUM(CJ44:CK44)</f>
        <v>17</v>
      </c>
      <c r="CJ44" s="156">
        <v>12</v>
      </c>
      <c r="CK44" s="156">
        <v>23</v>
      </c>
      <c r="CL44" s="156">
        <v>32</v>
      </c>
      <c r="CM44" s="157">
        <f t="shared" ref="CM44:DB44" si="223">CM27*CM53</f>
        <v>19.061755856107688</v>
      </c>
      <c r="CN44" s="157">
        <f t="shared" si="223"/>
        <v>18.501404887020122</v>
      </c>
      <c r="CO44" s="157">
        <f t="shared" si="223"/>
        <v>25.424472865166695</v>
      </c>
      <c r="CP44" s="157">
        <f t="shared" si="223"/>
        <v>43.006105100789277</v>
      </c>
      <c r="CQ44" s="157">
        <f t="shared" si="223"/>
        <v>21.768891068545017</v>
      </c>
      <c r="CR44" s="157">
        <f t="shared" si="223"/>
        <v>21.281492959351663</v>
      </c>
      <c r="CS44" s="157">
        <f t="shared" si="223"/>
        <v>27.760067169109153</v>
      </c>
      <c r="CT44" s="157">
        <f t="shared" si="223"/>
        <v>46.948386096326779</v>
      </c>
      <c r="CU44" s="157">
        <f t="shared" si="223"/>
        <v>23.39601341667332</v>
      </c>
      <c r="CV44" s="157">
        <f t="shared" si="223"/>
        <v>22.533666689917357</v>
      </c>
      <c r="CW44" s="157">
        <f t="shared" si="223"/>
        <v>28.806221141869635</v>
      </c>
      <c r="CX44" s="157">
        <f t="shared" si="223"/>
        <v>48.096500856451179</v>
      </c>
      <c r="CY44" s="157">
        <f t="shared" si="223"/>
        <v>24.53046174070094</v>
      </c>
      <c r="CZ44" s="157">
        <f t="shared" si="223"/>
        <v>23.484317193025728</v>
      </c>
      <c r="DA44" s="157">
        <f t="shared" si="223"/>
        <v>29.904242860314277</v>
      </c>
      <c r="DB44" s="157">
        <f t="shared" si="223"/>
        <v>49.935028507623024</v>
      </c>
      <c r="DE44" s="159"/>
    </row>
    <row r="45" spans="1:111" s="158" customFormat="1" x14ac:dyDescent="0.2">
      <c r="A45" s="155" t="s">
        <v>572</v>
      </c>
      <c r="B45" s="156"/>
      <c r="C45" s="156"/>
      <c r="D45" s="156"/>
      <c r="E45" s="156"/>
      <c r="F45" s="156"/>
      <c r="G45" s="156"/>
      <c r="H45" s="156"/>
      <c r="I45" s="156"/>
      <c r="J45" s="156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>
        <f t="shared" si="218"/>
        <v>0</v>
      </c>
      <c r="X45" s="156">
        <f t="shared" si="219"/>
        <v>0</v>
      </c>
      <c r="Y45" s="156">
        <f t="shared" si="220"/>
        <v>0</v>
      </c>
      <c r="Z45" s="156">
        <f t="shared" si="221"/>
        <v>150</v>
      </c>
      <c r="AA45" s="157">
        <f t="shared" si="212"/>
        <v>548</v>
      </c>
      <c r="AB45" s="157">
        <f t="shared" si="213"/>
        <v>1205.3146954160777</v>
      </c>
      <c r="AC45" s="157">
        <f t="shared" si="214"/>
        <v>2184.2920464617791</v>
      </c>
      <c r="AD45" s="157">
        <f t="shared" si="215"/>
        <v>3000.7587967571371</v>
      </c>
      <c r="AE45" s="157">
        <f t="shared" si="216"/>
        <v>3843.2818662713262</v>
      </c>
      <c r="AI45" s="156"/>
      <c r="AJ45" s="156"/>
      <c r="AK45" s="156"/>
      <c r="AL45" s="156"/>
      <c r="AM45" s="156"/>
      <c r="AN45" s="156"/>
      <c r="AO45" s="156"/>
      <c r="AP45" s="156"/>
      <c r="AQ45" s="156"/>
      <c r="AR45" s="156"/>
      <c r="AS45" s="156"/>
      <c r="AT45" s="156"/>
      <c r="AU45" s="156"/>
      <c r="AV45" s="156"/>
      <c r="AW45" s="156"/>
      <c r="AX45" s="156"/>
      <c r="AY45" s="156"/>
      <c r="AZ45" s="156"/>
      <c r="BA45" s="156"/>
      <c r="BB45" s="156"/>
      <c r="BC45" s="156"/>
      <c r="BD45" s="156"/>
      <c r="BE45" s="156"/>
      <c r="BF45" s="156"/>
      <c r="BG45" s="156"/>
      <c r="BH45" s="156"/>
      <c r="BI45" s="156"/>
      <c r="BJ45" s="156"/>
      <c r="BK45" s="156"/>
      <c r="BL45" s="156"/>
      <c r="BM45" s="156"/>
      <c r="BN45" s="156"/>
      <c r="BO45" s="156"/>
      <c r="BP45" s="156"/>
      <c r="BQ45" s="156"/>
      <c r="BR45" s="156"/>
      <c r="BS45" s="156"/>
      <c r="BT45" s="156"/>
      <c r="BU45" s="156"/>
      <c r="BV45" s="156"/>
      <c r="BW45" s="156"/>
      <c r="BX45" s="156"/>
      <c r="BY45" s="156"/>
      <c r="BZ45" s="156"/>
      <c r="CA45" s="156"/>
      <c r="CB45" s="156"/>
      <c r="CC45" s="156"/>
      <c r="CD45" s="156"/>
      <c r="CE45" s="156">
        <v>21</v>
      </c>
      <c r="CF45" s="156">
        <v>25</v>
      </c>
      <c r="CG45" s="156">
        <v>35</v>
      </c>
      <c r="CH45" s="156">
        <v>69</v>
      </c>
      <c r="CI45" s="156">
        <v>62</v>
      </c>
      <c r="CJ45" s="156">
        <v>116</v>
      </c>
      <c r="CK45" s="156">
        <v>156</v>
      </c>
      <c r="CL45" s="156">
        <v>214</v>
      </c>
      <c r="CM45" s="157">
        <f t="shared" ref="CM45" si="224">CM28*CM54</f>
        <v>232.78809245753823</v>
      </c>
      <c r="CN45" s="157">
        <f t="shared" ref="CN45:DB45" si="225">CN28*CN54</f>
        <v>272.2518570597569</v>
      </c>
      <c r="CO45" s="157">
        <f t="shared" si="225"/>
        <v>322.651867725714</v>
      </c>
      <c r="CP45" s="157">
        <f t="shared" si="225"/>
        <v>377.62287817306861</v>
      </c>
      <c r="CQ45" s="157">
        <f t="shared" si="225"/>
        <v>436.91642899514045</v>
      </c>
      <c r="CR45" s="157">
        <f t="shared" si="225"/>
        <v>506.37316783712959</v>
      </c>
      <c r="CS45" s="157">
        <f t="shared" si="225"/>
        <v>582.15097254033026</v>
      </c>
      <c r="CT45" s="157">
        <f t="shared" si="225"/>
        <v>658.85147708917907</v>
      </c>
      <c r="CU45" s="157">
        <f t="shared" si="225"/>
        <v>687.18043267396138</v>
      </c>
      <c r="CV45" s="157">
        <f t="shared" si="225"/>
        <v>729.09306628169202</v>
      </c>
      <c r="CW45" s="157">
        <f t="shared" si="225"/>
        <v>771.56974644405125</v>
      </c>
      <c r="CX45" s="157">
        <f t="shared" si="225"/>
        <v>812.91555135743261</v>
      </c>
      <c r="CY45" s="157">
        <f t="shared" si="225"/>
        <v>869.29010197527543</v>
      </c>
      <c r="CZ45" s="157">
        <f t="shared" si="225"/>
        <v>929.7990538597295</v>
      </c>
      <c r="DA45" s="157">
        <f t="shared" si="225"/>
        <v>991.08666459328265</v>
      </c>
      <c r="DB45" s="157">
        <f t="shared" si="225"/>
        <v>1053.1060458430384</v>
      </c>
      <c r="DE45" s="159"/>
    </row>
    <row r="46" spans="1:111" s="158" customFormat="1" x14ac:dyDescent="0.2">
      <c r="A46" s="155" t="s">
        <v>579</v>
      </c>
      <c r="B46" s="156"/>
      <c r="C46" s="156"/>
      <c r="D46" s="156"/>
      <c r="E46" s="156"/>
      <c r="F46" s="156"/>
      <c r="G46" s="156"/>
      <c r="H46" s="156"/>
      <c r="I46" s="156"/>
      <c r="J46" s="156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  <c r="V46" s="156"/>
      <c r="W46" s="156">
        <f t="shared" si="218"/>
        <v>0</v>
      </c>
      <c r="X46" s="156">
        <f t="shared" si="219"/>
        <v>-522.58999999999992</v>
      </c>
      <c r="Y46" s="156">
        <f t="shared" si="220"/>
        <v>-492.8</v>
      </c>
      <c r="Z46" s="156">
        <f t="shared" si="221"/>
        <v>-421.9</v>
      </c>
      <c r="AA46" s="157">
        <f t="shared" si="212"/>
        <v>138.69</v>
      </c>
      <c r="AB46" s="157">
        <f t="shared" si="213"/>
        <v>154.42684680685397</v>
      </c>
      <c r="AC46" s="157">
        <f t="shared" si="214"/>
        <v>153.99463393641162</v>
      </c>
      <c r="AD46" s="157">
        <f t="shared" si="215"/>
        <v>153.920521224548</v>
      </c>
      <c r="AE46" s="157">
        <f t="shared" si="216"/>
        <v>153.91978665514085</v>
      </c>
      <c r="AI46" s="156"/>
      <c r="AJ46" s="156"/>
      <c r="AK46" s="156"/>
      <c r="AL46" s="156"/>
      <c r="AM46" s="156"/>
      <c r="AN46" s="156"/>
      <c r="AO46" s="156"/>
      <c r="AP46" s="156"/>
      <c r="AQ46" s="156"/>
      <c r="AR46" s="156"/>
      <c r="AS46" s="156"/>
      <c r="AT46" s="156"/>
      <c r="AU46" s="156"/>
      <c r="AV46" s="156"/>
      <c r="AW46" s="156"/>
      <c r="AX46" s="156"/>
      <c r="AY46" s="156"/>
      <c r="AZ46" s="156"/>
      <c r="BA46" s="156"/>
      <c r="BB46" s="156"/>
      <c r="BC46" s="156"/>
      <c r="BD46" s="156"/>
      <c r="BE46" s="156"/>
      <c r="BF46" s="156"/>
      <c r="BG46" s="156"/>
      <c r="BH46" s="156"/>
      <c r="BI46" s="156"/>
      <c r="BJ46" s="156"/>
      <c r="BK46" s="156"/>
      <c r="BL46" s="156"/>
      <c r="BM46" s="156"/>
      <c r="BN46" s="156"/>
      <c r="BO46" s="156"/>
      <c r="BP46" s="156"/>
      <c r="BQ46" s="156"/>
      <c r="BR46" s="156"/>
      <c r="BS46" s="156"/>
      <c r="BT46" s="156"/>
      <c r="BU46" s="156"/>
      <c r="BV46" s="156"/>
      <c r="BW46" s="156">
        <v>-118.07</v>
      </c>
      <c r="BX46" s="156"/>
      <c r="BY46" s="156"/>
      <c r="BZ46" s="156">
        <v>-404.52</v>
      </c>
      <c r="CA46" s="156">
        <v>-108.7</v>
      </c>
      <c r="CB46" s="156">
        <v>24.14</v>
      </c>
      <c r="CC46" s="156">
        <v>-261.36</v>
      </c>
      <c r="CD46" s="156">
        <v>-146.88</v>
      </c>
      <c r="CE46" s="156">
        <v>1</v>
      </c>
      <c r="CF46" s="156">
        <v>-175.86</v>
      </c>
      <c r="CG46" s="156">
        <v>5</v>
      </c>
      <c r="CH46" s="156">
        <v>-252.04</v>
      </c>
      <c r="CI46" s="156">
        <v>21.69</v>
      </c>
      <c r="CJ46" s="156">
        <v>12</v>
      </c>
      <c r="CK46" s="156">
        <v>28</v>
      </c>
      <c r="CL46" s="156">
        <v>77</v>
      </c>
      <c r="CM46" s="157">
        <f t="shared" ref="CM46:DB46" si="226">CM29*CM55</f>
        <v>20.194691782873349</v>
      </c>
      <c r="CN46" s="157">
        <f t="shared" si="226"/>
        <v>20.798306766847425</v>
      </c>
      <c r="CO46" s="157">
        <f t="shared" si="226"/>
        <v>32.182523097125049</v>
      </c>
      <c r="CP46" s="157">
        <f t="shared" si="226"/>
        <v>81.251325160008136</v>
      </c>
      <c r="CQ46" s="157">
        <f t="shared" si="226"/>
        <v>20.286947790278941</v>
      </c>
      <c r="CR46" s="157">
        <f t="shared" si="226"/>
        <v>21.311599729242225</v>
      </c>
      <c r="CS46" s="157">
        <f t="shared" si="226"/>
        <v>32.556938895501759</v>
      </c>
      <c r="CT46" s="157">
        <f t="shared" si="226"/>
        <v>79.839147521388696</v>
      </c>
      <c r="CU46" s="157">
        <f t="shared" si="226"/>
        <v>20.380171442851282</v>
      </c>
      <c r="CV46" s="157">
        <f t="shared" si="226"/>
        <v>21.409650233284619</v>
      </c>
      <c r="CW46" s="157">
        <f t="shared" si="226"/>
        <v>32.547997248098483</v>
      </c>
      <c r="CX46" s="157">
        <f t="shared" si="226"/>
        <v>79.582702300313628</v>
      </c>
      <c r="CY46" s="157">
        <f t="shared" si="226"/>
        <v>20.408980458967033</v>
      </c>
      <c r="CZ46" s="157">
        <f t="shared" si="226"/>
        <v>21.422982139642901</v>
      </c>
      <c r="DA46" s="157">
        <f t="shared" si="226"/>
        <v>32.536080369362097</v>
      </c>
      <c r="DB46" s="157">
        <f t="shared" si="226"/>
        <v>79.551743687168837</v>
      </c>
      <c r="DE46" s="159"/>
    </row>
    <row r="47" spans="1:111" s="109" customFormat="1" x14ac:dyDescent="0.2">
      <c r="A47" s="205"/>
      <c r="B47" s="107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>
        <f>SUM(X42:X46)</f>
        <v>4484.41</v>
      </c>
      <c r="Y47" s="107">
        <f t="shared" ref="Y47:AE47" si="227">SUM(Y42:Y46)</f>
        <v>5711.2</v>
      </c>
      <c r="Z47" s="107">
        <f t="shared" si="227"/>
        <v>7067.1</v>
      </c>
      <c r="AA47" s="108">
        <f t="shared" si="227"/>
        <v>7986.69</v>
      </c>
      <c r="AB47" s="108">
        <f t="shared" si="227"/>
        <v>10554.629078782691</v>
      </c>
      <c r="AC47" s="108">
        <f t="shared" si="227"/>
        <v>12862.480334243586</v>
      </c>
      <c r="AD47" s="108">
        <f t="shared" si="227"/>
        <v>14941.308718795286</v>
      </c>
      <c r="AE47" s="108">
        <f t="shared" si="227"/>
        <v>16611.402267039361</v>
      </c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7"/>
      <c r="BD47" s="107"/>
      <c r="BE47" s="107"/>
      <c r="BF47" s="107"/>
      <c r="BG47" s="107"/>
      <c r="BH47" s="107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107"/>
      <c r="BT47" s="107"/>
      <c r="BU47" s="107"/>
      <c r="BV47" s="107"/>
      <c r="BW47" s="107">
        <f t="shared" ref="BW47" si="228">SUM(BW42:BW46)</f>
        <v>1207.93</v>
      </c>
      <c r="BX47" s="107">
        <f t="shared" ref="BX47" si="229">SUM(BX42:BX46)</f>
        <v>0</v>
      </c>
      <c r="BY47" s="107">
        <f t="shared" ref="BY47" si="230">SUM(BY42:BY46)</f>
        <v>1708</v>
      </c>
      <c r="BZ47" s="107">
        <f t="shared" ref="BZ47" si="231">SUM(BZ42:BZ46)</f>
        <v>1568.48</v>
      </c>
      <c r="CA47" s="107">
        <f t="shared" ref="CA47:CI47" si="232">SUM(CA42:CA46)</f>
        <v>1269.3</v>
      </c>
      <c r="CB47" s="107">
        <f t="shared" si="232"/>
        <v>1350.14</v>
      </c>
      <c r="CC47" s="107">
        <f t="shared" si="232"/>
        <v>1470.6399999999999</v>
      </c>
      <c r="CD47" s="107">
        <f t="shared" si="232"/>
        <v>1621.12</v>
      </c>
      <c r="CE47" s="107">
        <f t="shared" si="232"/>
        <v>1651</v>
      </c>
      <c r="CF47" s="107">
        <f t="shared" si="232"/>
        <v>1715.1399999999999</v>
      </c>
      <c r="CG47" s="107">
        <f t="shared" si="232"/>
        <v>1661</v>
      </c>
      <c r="CH47" s="107">
        <f t="shared" si="232"/>
        <v>2039.96</v>
      </c>
      <c r="CI47" s="107">
        <f t="shared" si="232"/>
        <v>1810.69</v>
      </c>
      <c r="CJ47" s="107">
        <f>SUM(CJ42:CJ46)</f>
        <v>1954</v>
      </c>
      <c r="CK47" s="107">
        <f>SUM(CK42:CK46)</f>
        <v>1995</v>
      </c>
      <c r="CL47" s="107">
        <f>SUM(CL42:CL46)</f>
        <v>2227</v>
      </c>
      <c r="CM47" s="108">
        <f t="shared" ref="CM47:DB47" si="233">SUM(CM42:CM46)</f>
        <v>2486.1107861580931</v>
      </c>
      <c r="CN47" s="108">
        <f t="shared" si="233"/>
        <v>2571.7150576133095</v>
      </c>
      <c r="CO47" s="108">
        <f t="shared" si="233"/>
        <v>2685.2826211708707</v>
      </c>
      <c r="CP47" s="108">
        <f t="shared" si="233"/>
        <v>2811.5206138404178</v>
      </c>
      <c r="CQ47" s="108">
        <f t="shared" si="233"/>
        <v>3069.849799957733</v>
      </c>
      <c r="CR47" s="108">
        <f t="shared" si="233"/>
        <v>3113.9386717673992</v>
      </c>
      <c r="CS47" s="108">
        <f t="shared" si="233"/>
        <v>3234.6753406012454</v>
      </c>
      <c r="CT47" s="108">
        <f t="shared" si="233"/>
        <v>3444.0165219172063</v>
      </c>
      <c r="CU47" s="108">
        <f t="shared" si="233"/>
        <v>3530.4509497907343</v>
      </c>
      <c r="CV47" s="108">
        <f t="shared" si="233"/>
        <v>3537.0643869497085</v>
      </c>
      <c r="CW47" s="108">
        <f t="shared" si="233"/>
        <v>3909.1326309143556</v>
      </c>
      <c r="CX47" s="108">
        <f t="shared" si="233"/>
        <v>3964.6607511404832</v>
      </c>
      <c r="CY47" s="108">
        <f t="shared" si="233"/>
        <v>4038.9706620323636</v>
      </c>
      <c r="CZ47" s="108">
        <f t="shared" si="233"/>
        <v>4035.7407349966852</v>
      </c>
      <c r="DA47" s="108">
        <f t="shared" si="233"/>
        <v>4172.2313814093513</v>
      </c>
      <c r="DB47" s="108">
        <f t="shared" si="233"/>
        <v>4364.459488600959</v>
      </c>
      <c r="DE47" s="117"/>
    </row>
    <row r="48" spans="1:111" s="158" customFormat="1" x14ac:dyDescent="0.2">
      <c r="A48" s="155"/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>
        <f>X47-X81</f>
        <v>-33.199999999998909</v>
      </c>
      <c r="Y48" s="156">
        <f>Y47-Y81</f>
        <v>0</v>
      </c>
      <c r="Z48" s="156">
        <f>Z47-Z81</f>
        <v>0.57999999999992724</v>
      </c>
      <c r="AA48" s="157">
        <f t="shared" ref="AA48:AE48" si="234">AA47-AA81</f>
        <v>-2.1500000000005457</v>
      </c>
      <c r="AB48" s="157">
        <f t="shared" si="234"/>
        <v>0</v>
      </c>
      <c r="AC48" s="157">
        <f t="shared" si="234"/>
        <v>0</v>
      </c>
      <c r="AD48" s="157">
        <f t="shared" si="234"/>
        <v>0</v>
      </c>
      <c r="AE48" s="157">
        <f t="shared" si="234"/>
        <v>0</v>
      </c>
      <c r="AI48" s="156"/>
      <c r="AJ48" s="156"/>
      <c r="AK48" s="156"/>
      <c r="AL48" s="156"/>
      <c r="AM48" s="156"/>
      <c r="AN48" s="156"/>
      <c r="AO48" s="156"/>
      <c r="AP48" s="156"/>
      <c r="AQ48" s="156"/>
      <c r="AR48" s="156"/>
      <c r="AS48" s="156"/>
      <c r="AT48" s="156"/>
      <c r="AU48" s="156"/>
      <c r="AV48" s="156"/>
      <c r="AW48" s="156"/>
      <c r="AX48" s="156"/>
      <c r="AY48" s="156"/>
      <c r="AZ48" s="156"/>
      <c r="BA48" s="156"/>
      <c r="BB48" s="156"/>
      <c r="BC48" s="156"/>
      <c r="BD48" s="156"/>
      <c r="BE48" s="156"/>
      <c r="BF48" s="156"/>
      <c r="BG48" s="156"/>
      <c r="BH48" s="156"/>
      <c r="BI48" s="156"/>
      <c r="BJ48" s="156"/>
      <c r="BK48" s="156"/>
      <c r="BL48" s="156"/>
      <c r="BM48" s="156"/>
      <c r="BN48" s="156"/>
      <c r="BO48" s="156"/>
      <c r="BP48" s="156"/>
      <c r="BQ48" s="156"/>
      <c r="BR48" s="156"/>
      <c r="BS48" s="156"/>
      <c r="BT48" s="156"/>
      <c r="BU48" s="156"/>
      <c r="BV48" s="156"/>
      <c r="BW48" s="156">
        <f t="shared" ref="BW48:DB48" si="235">BW47-BW81</f>
        <v>0</v>
      </c>
      <c r="BX48" s="156">
        <f t="shared" si="235"/>
        <v>-1236.6100000000001</v>
      </c>
      <c r="BY48" s="156">
        <f t="shared" si="235"/>
        <v>167.83000000000038</v>
      </c>
      <c r="BZ48" s="156">
        <f t="shared" si="235"/>
        <v>0</v>
      </c>
      <c r="CA48" s="156">
        <f t="shared" si="235"/>
        <v>0</v>
      </c>
      <c r="CB48" s="156">
        <f t="shared" si="235"/>
        <v>0</v>
      </c>
      <c r="CC48" s="156">
        <f t="shared" si="235"/>
        <v>0</v>
      </c>
      <c r="CD48" s="156">
        <f t="shared" si="235"/>
        <v>0</v>
      </c>
      <c r="CE48" s="156">
        <f t="shared" si="235"/>
        <v>0.31999999999970896</v>
      </c>
      <c r="CF48" s="156">
        <f t="shared" si="235"/>
        <v>0</v>
      </c>
      <c r="CG48" s="156">
        <f t="shared" si="235"/>
        <v>0.26000000000021828</v>
      </c>
      <c r="CH48" s="156">
        <f t="shared" si="235"/>
        <v>0</v>
      </c>
      <c r="CI48" s="156">
        <f t="shared" si="235"/>
        <v>0</v>
      </c>
      <c r="CJ48" s="156">
        <f t="shared" si="235"/>
        <v>-1.4200000000000728</v>
      </c>
      <c r="CK48" s="156">
        <f t="shared" si="235"/>
        <v>-0.4000000000005457</v>
      </c>
      <c r="CL48" s="156">
        <f t="shared" si="235"/>
        <v>-0.33000000000083674</v>
      </c>
      <c r="CM48" s="157">
        <f t="shared" si="235"/>
        <v>0</v>
      </c>
      <c r="CN48" s="157">
        <f t="shared" si="235"/>
        <v>0</v>
      </c>
      <c r="CO48" s="157">
        <f t="shared" si="235"/>
        <v>0</v>
      </c>
      <c r="CP48" s="157">
        <f t="shared" si="235"/>
        <v>0</v>
      </c>
      <c r="CQ48" s="157">
        <f t="shared" si="235"/>
        <v>0</v>
      </c>
      <c r="CR48" s="157">
        <f t="shared" si="235"/>
        <v>0</v>
      </c>
      <c r="CS48" s="157">
        <f t="shared" si="235"/>
        <v>0</v>
      </c>
      <c r="CT48" s="157">
        <f t="shared" si="235"/>
        <v>0</v>
      </c>
      <c r="CU48" s="157">
        <f t="shared" si="235"/>
        <v>0</v>
      </c>
      <c r="CV48" s="157">
        <f t="shared" si="235"/>
        <v>0</v>
      </c>
      <c r="CW48" s="157">
        <f t="shared" si="235"/>
        <v>0</v>
      </c>
      <c r="CX48" s="157">
        <f t="shared" si="235"/>
        <v>0</v>
      </c>
      <c r="CY48" s="157">
        <f t="shared" si="235"/>
        <v>0</v>
      </c>
      <c r="CZ48" s="157">
        <f t="shared" si="235"/>
        <v>0</v>
      </c>
      <c r="DA48" s="157">
        <f t="shared" si="235"/>
        <v>0</v>
      </c>
      <c r="DB48" s="157">
        <f t="shared" si="235"/>
        <v>0</v>
      </c>
      <c r="DE48" s="159"/>
    </row>
    <row r="49" spans="1:111" s="158" customFormat="1" x14ac:dyDescent="0.2">
      <c r="A49" s="155"/>
      <c r="B49" s="15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7"/>
      <c r="AB49" s="157"/>
      <c r="AC49" s="157"/>
      <c r="AD49" s="157"/>
      <c r="AE49" s="157"/>
      <c r="AI49" s="156"/>
      <c r="AJ49" s="156"/>
      <c r="AK49" s="156"/>
      <c r="AL49" s="156"/>
      <c r="AM49" s="156"/>
      <c r="AN49" s="156"/>
      <c r="AO49" s="156"/>
      <c r="AP49" s="156"/>
      <c r="AQ49" s="156"/>
      <c r="AR49" s="156"/>
      <c r="AS49" s="156"/>
      <c r="AT49" s="156"/>
      <c r="AU49" s="156"/>
      <c r="AV49" s="156"/>
      <c r="AW49" s="156"/>
      <c r="AX49" s="156"/>
      <c r="AY49" s="156"/>
      <c r="AZ49" s="156"/>
      <c r="BA49" s="156"/>
      <c r="BB49" s="156"/>
      <c r="BC49" s="156"/>
      <c r="BD49" s="156"/>
      <c r="BE49" s="156"/>
      <c r="BF49" s="156"/>
      <c r="BG49" s="156"/>
      <c r="BH49" s="156"/>
      <c r="BI49" s="156"/>
      <c r="BJ49" s="156"/>
      <c r="BK49" s="156"/>
      <c r="BL49" s="156"/>
      <c r="BM49" s="156"/>
      <c r="BN49" s="156"/>
      <c r="BO49" s="156"/>
      <c r="BP49" s="156"/>
      <c r="BQ49" s="156"/>
      <c r="BR49" s="156"/>
      <c r="BS49" s="156"/>
      <c r="BT49" s="156"/>
      <c r="BU49" s="156"/>
      <c r="BV49" s="156"/>
      <c r="BW49" s="156"/>
      <c r="BX49" s="156"/>
      <c r="BY49" s="156"/>
      <c r="BZ49" s="156"/>
      <c r="CA49" s="156"/>
      <c r="CB49" s="156"/>
      <c r="CC49" s="156"/>
      <c r="CD49" s="156"/>
      <c r="CE49" s="156"/>
      <c r="CF49" s="156"/>
      <c r="CG49" s="156"/>
      <c r="CH49" s="156"/>
      <c r="CI49" s="156"/>
      <c r="CJ49" s="156"/>
      <c r="CK49" s="156"/>
      <c r="CL49" s="156"/>
      <c r="CM49" s="157"/>
      <c r="CN49" s="157"/>
      <c r="CO49" s="157"/>
      <c r="CP49" s="157"/>
      <c r="CQ49" s="157"/>
      <c r="CR49" s="157"/>
      <c r="CS49" s="157"/>
      <c r="CT49" s="157"/>
      <c r="CU49" s="157"/>
      <c r="CV49" s="157"/>
      <c r="CW49" s="157"/>
      <c r="CX49" s="157"/>
      <c r="CY49" s="157"/>
      <c r="CZ49" s="157"/>
      <c r="DA49" s="157"/>
      <c r="DB49" s="157"/>
      <c r="DE49" s="159"/>
    </row>
    <row r="50" spans="1:111" s="151" customFormat="1" x14ac:dyDescent="0.2">
      <c r="A50" s="151" t="s">
        <v>573</v>
      </c>
    </row>
    <row r="51" spans="1:111" s="158" customFormat="1" x14ac:dyDescent="0.2">
      <c r="A51" s="155" t="s">
        <v>574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204">
        <f t="shared" ref="X51:Z51" si="236">X42/X25</f>
        <v>0.22055631402098019</v>
      </c>
      <c r="Y51" s="204">
        <f t="shared" si="236"/>
        <v>0.22992754185929692</v>
      </c>
      <c r="Z51" s="204">
        <f t="shared" si="236"/>
        <v>0.15195883415617195</v>
      </c>
      <c r="AA51" s="157"/>
      <c r="AB51" s="157"/>
      <c r="AC51" s="157"/>
      <c r="AD51" s="157"/>
      <c r="AE51" s="157"/>
      <c r="AI51" s="156"/>
      <c r="AJ51" s="156"/>
      <c r="AK51" s="156"/>
      <c r="AL51" s="156"/>
      <c r="AM51" s="156"/>
      <c r="AN51" s="156"/>
      <c r="AO51" s="156"/>
      <c r="AP51" s="156"/>
      <c r="AQ51" s="156"/>
      <c r="AR51" s="156"/>
      <c r="AS51" s="156"/>
      <c r="AT51" s="156"/>
      <c r="AU51" s="156"/>
      <c r="AV51" s="156"/>
      <c r="AW51" s="156"/>
      <c r="AX51" s="156"/>
      <c r="AY51" s="156"/>
      <c r="AZ51" s="156"/>
      <c r="BA51" s="156"/>
      <c r="BB51" s="156"/>
      <c r="BC51" s="156"/>
      <c r="BD51" s="156"/>
      <c r="BE51" s="156"/>
      <c r="BF51" s="156"/>
      <c r="BG51" s="156"/>
      <c r="BH51" s="156"/>
      <c r="BI51" s="156"/>
      <c r="BJ51" s="156"/>
      <c r="BK51" s="156"/>
      <c r="BL51" s="156"/>
      <c r="BM51" s="156"/>
      <c r="BN51" s="156"/>
      <c r="BO51" s="156"/>
      <c r="BP51" s="156"/>
      <c r="BQ51" s="156"/>
      <c r="BR51" s="156"/>
      <c r="BS51" s="156"/>
      <c r="BT51" s="156"/>
      <c r="BU51" s="156"/>
      <c r="BV51" s="156"/>
      <c r="BW51" s="156"/>
      <c r="BX51" s="156"/>
      <c r="BY51" s="204">
        <f t="shared" ref="BY51:CJ51" si="237">BY42/BY25</f>
        <v>0.25904888656510683</v>
      </c>
      <c r="BZ51" s="204">
        <f t="shared" si="237"/>
        <v>0.3949892254138152</v>
      </c>
      <c r="CA51" s="204">
        <f t="shared" si="237"/>
        <v>0.18847869204554171</v>
      </c>
      <c r="CB51" s="204">
        <f t="shared" si="237"/>
        <v>0.20809388421753069</v>
      </c>
      <c r="CC51" s="204">
        <f t="shared" si="237"/>
        <v>0.2644644887084992</v>
      </c>
      <c r="CD51" s="204">
        <f t="shared" si="237"/>
        <v>0.26299091637723754</v>
      </c>
      <c r="CE51" s="204">
        <f t="shared" si="237"/>
        <v>-2.3421703321138236E-2</v>
      </c>
      <c r="CF51" s="204">
        <f t="shared" si="237"/>
        <v>0.19509281839446574</v>
      </c>
      <c r="CG51" s="204">
        <f t="shared" si="237"/>
        <v>0.16215743400999857</v>
      </c>
      <c r="CH51" s="204">
        <f t="shared" si="237"/>
        <v>0.30029203658540782</v>
      </c>
      <c r="CI51" s="204">
        <f t="shared" si="237"/>
        <v>0.14792371065288823</v>
      </c>
      <c r="CJ51" s="204">
        <f t="shared" si="237"/>
        <v>0.15779801212992037</v>
      </c>
      <c r="CK51" s="204">
        <f>CK42/CK25</f>
        <v>0.16011597938144329</v>
      </c>
      <c r="CL51" s="204">
        <f t="shared" ref="CL51" si="238">CL42/CL25</f>
        <v>0.21052631578947367</v>
      </c>
      <c r="CM51" s="217">
        <f>AVERAGE(CI51:CL51)+3%</f>
        <v>0.19909100448843139</v>
      </c>
      <c r="CN51" s="217">
        <f>AVERAGE(CJ51:CM51)+3%</f>
        <v>0.21188282794731719</v>
      </c>
      <c r="CO51" s="217">
        <f t="shared" ref="CO51:CP51" si="239">AVERAGE(CK51:CN51)+1%</f>
        <v>0.2054040319016664</v>
      </c>
      <c r="CP51" s="217">
        <f t="shared" si="239"/>
        <v>0.21672604503172216</v>
      </c>
      <c r="CQ51" s="217">
        <f>AVERAGE(CM51:CP51)*1.04</f>
        <v>0.21660701643597563</v>
      </c>
      <c r="CR51" s="217">
        <f t="shared" ref="CR51:CT51" si="240">AVERAGE(CN51:CQ51)*1.04</f>
        <v>0.22116117954233716</v>
      </c>
      <c r="CS51" s="217">
        <f t="shared" si="240"/>
        <v>0.22357355095704234</v>
      </c>
      <c r="CT51" s="217">
        <f t="shared" si="240"/>
        <v>0.22829762591144009</v>
      </c>
      <c r="CU51" s="217">
        <f>AVERAGE(CQ51:CT51)</f>
        <v>0.22240984321169879</v>
      </c>
      <c r="CV51" s="217">
        <f t="shared" ref="CV51:DB51" si="241">AVERAGE(CR51:CU51)</f>
        <v>0.22386054990562959</v>
      </c>
      <c r="CW51" s="217">
        <f t="shared" si="241"/>
        <v>0.22453539249645271</v>
      </c>
      <c r="CX51" s="217">
        <f t="shared" si="241"/>
        <v>0.22477585288130528</v>
      </c>
      <c r="CY51" s="217">
        <f t="shared" si="241"/>
        <v>0.22389540962377161</v>
      </c>
      <c r="CZ51" s="217">
        <f t="shared" si="241"/>
        <v>0.2242668012267898</v>
      </c>
      <c r="DA51" s="217">
        <f t="shared" si="241"/>
        <v>0.22436836405707986</v>
      </c>
      <c r="DB51" s="217">
        <f t="shared" si="241"/>
        <v>0.22432660694723663</v>
      </c>
      <c r="DE51" s="159"/>
    </row>
    <row r="52" spans="1:111" s="158" customFormat="1" x14ac:dyDescent="0.2">
      <c r="A52" s="155" t="s">
        <v>575</v>
      </c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204">
        <f t="shared" ref="X52:Z52" si="242">X43/X26</f>
        <v>0.7888146488355352</v>
      </c>
      <c r="Y52" s="204">
        <f t="shared" si="242"/>
        <v>0.75574778946215793</v>
      </c>
      <c r="Z52" s="204">
        <f t="shared" si="242"/>
        <v>0.65409532818203753</v>
      </c>
      <c r="AA52" s="157"/>
      <c r="AB52" s="157"/>
      <c r="AC52" s="157"/>
      <c r="AD52" s="157"/>
      <c r="AE52" s="157"/>
      <c r="AI52" s="156"/>
      <c r="AJ52" s="156"/>
      <c r="AK52" s="156"/>
      <c r="AL52" s="156"/>
      <c r="AM52" s="156"/>
      <c r="AN52" s="156"/>
      <c r="AO52" s="156"/>
      <c r="AP52" s="156"/>
      <c r="AQ52" s="156"/>
      <c r="AR52" s="156"/>
      <c r="AS52" s="156"/>
      <c r="AT52" s="156"/>
      <c r="AU52" s="156"/>
      <c r="AV52" s="156"/>
      <c r="AW52" s="156"/>
      <c r="AX52" s="156"/>
      <c r="AY52" s="156"/>
      <c r="AZ52" s="156"/>
      <c r="BA52" s="156"/>
      <c r="BB52" s="156"/>
      <c r="BC52" s="156"/>
      <c r="BD52" s="156"/>
      <c r="BE52" s="156"/>
      <c r="BF52" s="156"/>
      <c r="BG52" s="156"/>
      <c r="BH52" s="156"/>
      <c r="BI52" s="156"/>
      <c r="BJ52" s="156"/>
      <c r="BK52" s="156"/>
      <c r="BL52" s="156"/>
      <c r="BM52" s="156"/>
      <c r="BN52" s="156"/>
      <c r="BO52" s="156"/>
      <c r="BP52" s="156"/>
      <c r="BQ52" s="156"/>
      <c r="BR52" s="156"/>
      <c r="BS52" s="156"/>
      <c r="BT52" s="156"/>
      <c r="BU52" s="156"/>
      <c r="BV52" s="156"/>
      <c r="BW52" s="156"/>
      <c r="BX52" s="156"/>
      <c r="BY52" s="204">
        <f t="shared" ref="BY52:CK52" si="243">BY43/BY26</f>
        <v>0.99132272967490065</v>
      </c>
      <c r="BZ52" s="204">
        <f t="shared" si="243"/>
        <v>1.0666391968834283</v>
      </c>
      <c r="CA52" s="204">
        <f t="shared" si="243"/>
        <v>0.93069456590980248</v>
      </c>
      <c r="CB52" s="204">
        <f t="shared" si="243"/>
        <v>0.79618616995134417</v>
      </c>
      <c r="CC52" s="204">
        <f t="shared" si="243"/>
        <v>0.83429547503439994</v>
      </c>
      <c r="CD52" s="204">
        <f t="shared" si="243"/>
        <v>0.59704311511704777</v>
      </c>
      <c r="CE52" s="204">
        <f t="shared" si="243"/>
        <v>0.97756245060646663</v>
      </c>
      <c r="CF52" s="204">
        <f t="shared" si="243"/>
        <v>0.55494040252719345</v>
      </c>
      <c r="CG52" s="204">
        <f t="shared" si="243"/>
        <v>0.55927971849259861</v>
      </c>
      <c r="CH52" s="204">
        <f t="shared" si="243"/>
        <v>0.59019895847242632</v>
      </c>
      <c r="CI52" s="204">
        <f t="shared" si="243"/>
        <v>0.55433943121940965</v>
      </c>
      <c r="CJ52" s="204">
        <f t="shared" si="243"/>
        <v>0.55740843027545761</v>
      </c>
      <c r="CK52" s="204">
        <f t="shared" si="243"/>
        <v>0.53193242686444164</v>
      </c>
      <c r="CL52" s="204">
        <f t="shared" ref="CL52" si="244">CL43/CL26</f>
        <v>0.45823052520267887</v>
      </c>
      <c r="CM52" s="217">
        <f t="shared" ref="CM52:CM54" si="245">AVERAGE(CI52:CL52)+1%</f>
        <v>0.53547770339049694</v>
      </c>
      <c r="CN52" s="217">
        <f t="shared" ref="CN52:CN54" si="246">AVERAGE(CJ52:CM52)+1%</f>
        <v>0.53076227143326871</v>
      </c>
      <c r="CO52" s="217">
        <f t="shared" ref="CO52:CO55" si="247">AVERAGE(CK52:CN52)+1%</f>
        <v>0.52410073172272154</v>
      </c>
      <c r="CP52" s="217">
        <f t="shared" ref="CP52:CP55" si="248">AVERAGE(CL52:CO52)+1%</f>
        <v>0.52214280793729151</v>
      </c>
      <c r="CQ52" s="217">
        <f>AVERAGE(CM52:CP52)*1.02</f>
        <v>0.53868329619336364</v>
      </c>
      <c r="CR52" s="217">
        <f t="shared" ref="CR52:CT52" si="249">AVERAGE(CN52:CQ52)*1.02</f>
        <v>0.53950072235809454</v>
      </c>
      <c r="CS52" s="217">
        <f t="shared" si="249"/>
        <v>0.54172902734392525</v>
      </c>
      <c r="CT52" s="217">
        <f t="shared" si="249"/>
        <v>0.54622424272733205</v>
      </c>
      <c r="CU52" s="217">
        <f>AVERAGE(CQ52:CT52)</f>
        <v>0.54153432215567887</v>
      </c>
      <c r="CV52" s="217">
        <f t="shared" ref="CV52" si="250">AVERAGE(CR52:CU52)</f>
        <v>0.54224707864625765</v>
      </c>
      <c r="CW52" s="217">
        <f t="shared" ref="CW52" si="251">AVERAGE(CS52:CV52)</f>
        <v>0.54293366771829843</v>
      </c>
      <c r="CX52" s="217">
        <f t="shared" ref="CX52" si="252">AVERAGE(CT52:CW52)</f>
        <v>0.54323482781189181</v>
      </c>
      <c r="CY52" s="217">
        <f t="shared" ref="CY52" si="253">AVERAGE(CU52:CX52)</f>
        <v>0.54248747408303177</v>
      </c>
      <c r="CZ52" s="217">
        <f t="shared" ref="CZ52" si="254">AVERAGE(CV52:CY52)</f>
        <v>0.54272576206487</v>
      </c>
      <c r="DA52" s="217">
        <f t="shared" ref="DA52" si="255">AVERAGE(CW52:CZ52)</f>
        <v>0.54284543291952292</v>
      </c>
      <c r="DB52" s="217">
        <f t="shared" ref="DB52" si="256">AVERAGE(CX52:DA52)</f>
        <v>0.54282337421982918</v>
      </c>
      <c r="DE52" s="159"/>
    </row>
    <row r="53" spans="1:111" s="158" customFormat="1" x14ac:dyDescent="0.2">
      <c r="A53" s="155" t="s">
        <v>576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204">
        <f t="shared" ref="X53:Z53" si="257">X44/X27</f>
        <v>0</v>
      </c>
      <c r="Y53" s="204">
        <f t="shared" si="257"/>
        <v>0</v>
      </c>
      <c r="Z53" s="204">
        <f t="shared" si="257"/>
        <v>1.8834574483498016E-2</v>
      </c>
      <c r="AA53" s="157"/>
      <c r="AB53" s="157"/>
      <c r="AC53" s="157"/>
      <c r="AD53" s="157"/>
      <c r="AE53" s="157"/>
      <c r="AI53" s="156"/>
      <c r="AJ53" s="156"/>
      <c r="AK53" s="156"/>
      <c r="AL53" s="156"/>
      <c r="AM53" s="156"/>
      <c r="AN53" s="156"/>
      <c r="AO53" s="156"/>
      <c r="AP53" s="156"/>
      <c r="AQ53" s="156"/>
      <c r="AR53" s="156"/>
      <c r="AS53" s="156"/>
      <c r="AT53" s="156"/>
      <c r="AU53" s="156"/>
      <c r="AV53" s="156"/>
      <c r="AW53" s="156"/>
      <c r="AX53" s="156"/>
      <c r="AY53" s="156"/>
      <c r="AZ53" s="156"/>
      <c r="BA53" s="156"/>
      <c r="BB53" s="156"/>
      <c r="BC53" s="156"/>
      <c r="BD53" s="156"/>
      <c r="BE53" s="156"/>
      <c r="BF53" s="156"/>
      <c r="BG53" s="156"/>
      <c r="BH53" s="156"/>
      <c r="BI53" s="156"/>
      <c r="BJ53" s="156"/>
      <c r="BK53" s="156"/>
      <c r="BL53" s="156"/>
      <c r="BM53" s="156"/>
      <c r="BN53" s="156"/>
      <c r="BO53" s="156"/>
      <c r="BP53" s="156"/>
      <c r="BQ53" s="156"/>
      <c r="BR53" s="156"/>
      <c r="BS53" s="156"/>
      <c r="BT53" s="156"/>
      <c r="BU53" s="156"/>
      <c r="BV53" s="156"/>
      <c r="BW53" s="156"/>
      <c r="BX53" s="156"/>
      <c r="BY53" s="204">
        <f t="shared" ref="BY53:CK53" si="258">BY44/BY27</f>
        <v>0</v>
      </c>
      <c r="BZ53" s="204">
        <f t="shared" si="258"/>
        <v>0</v>
      </c>
      <c r="CA53" s="204">
        <f t="shared" si="258"/>
        <v>0</v>
      </c>
      <c r="CB53" s="204">
        <f t="shared" si="258"/>
        <v>0</v>
      </c>
      <c r="CC53" s="204">
        <f t="shared" si="258"/>
        <v>0</v>
      </c>
      <c r="CD53" s="204">
        <f t="shared" si="258"/>
        <v>0</v>
      </c>
      <c r="CE53" s="204">
        <f t="shared" si="258"/>
        <v>5.9783583427990674E-3</v>
      </c>
      <c r="CF53" s="204">
        <f t="shared" si="258"/>
        <v>0</v>
      </c>
      <c r="CG53" s="204">
        <f t="shared" si="258"/>
        <v>2.901915264074289E-3</v>
      </c>
      <c r="CH53" s="204">
        <f t="shared" si="258"/>
        <v>6.3445067146029405E-2</v>
      </c>
      <c r="CI53" s="204">
        <f t="shared" si="258"/>
        <v>8.1064326927662009E-2</v>
      </c>
      <c r="CJ53" s="204">
        <f t="shared" si="258"/>
        <v>5.9891895129291634E-2</v>
      </c>
      <c r="CK53" s="204">
        <f t="shared" si="258"/>
        <v>9.0196078431372548E-2</v>
      </c>
      <c r="CL53" s="204">
        <f t="shared" ref="CL53" si="259">CL44/CL27</f>
        <v>7.5117370892018781E-2</v>
      </c>
      <c r="CM53" s="217">
        <f t="shared" si="245"/>
        <v>8.6567417845086245E-2</v>
      </c>
      <c r="CN53" s="217">
        <f t="shared" si="246"/>
        <v>8.794319057444229E-2</v>
      </c>
      <c r="CO53" s="217">
        <f t="shared" si="247"/>
        <v>9.4956014435729957E-2</v>
      </c>
      <c r="CP53" s="217">
        <f t="shared" si="248"/>
        <v>9.6145998436819299E-2</v>
      </c>
      <c r="CQ53" s="217">
        <f>AVERAGE(CM53:CP53)*1.04</f>
        <v>9.5059281535940232E-2</v>
      </c>
      <c r="CR53" s="217">
        <f t="shared" ref="CR53:CT53" si="260">AVERAGE(CN53:CQ53)*1.04</f>
        <v>9.7267166095562269E-2</v>
      </c>
      <c r="CS53" s="217">
        <f t="shared" si="260"/>
        <v>9.9691399731053468E-2</v>
      </c>
      <c r="CT53" s="217">
        <f t="shared" si="260"/>
        <v>0.10092259990783757</v>
      </c>
      <c r="CU53" s="217">
        <f>AVERAGE(CQ53:CT53)</f>
        <v>9.8235111817598392E-2</v>
      </c>
      <c r="CV53" s="217">
        <f t="shared" ref="CV53" si="261">AVERAGE(CR53:CU53)</f>
        <v>9.9029069388012925E-2</v>
      </c>
      <c r="CW53" s="217">
        <f t="shared" ref="CW53" si="262">AVERAGE(CS53:CV53)</f>
        <v>9.9469545211125582E-2</v>
      </c>
      <c r="CX53" s="217">
        <f t="shared" ref="CX53" si="263">AVERAGE(CT53:CW53)</f>
        <v>9.9414081581143621E-2</v>
      </c>
      <c r="CY53" s="217">
        <f t="shared" ref="CY53" si="264">AVERAGE(CU53:CX53)</f>
        <v>9.903695199947013E-2</v>
      </c>
      <c r="CZ53" s="217">
        <f t="shared" ref="CZ53" si="265">AVERAGE(CV53:CY53)</f>
        <v>9.9237412044938078E-2</v>
      </c>
      <c r="DA53" s="217">
        <f t="shared" ref="DA53" si="266">AVERAGE(CW53:CZ53)</f>
        <v>9.9289497709169353E-2</v>
      </c>
      <c r="DB53" s="217">
        <f t="shared" ref="DB53" si="267">AVERAGE(CX53:DA53)</f>
        <v>9.9244485833680299E-2</v>
      </c>
      <c r="DE53" s="159"/>
    </row>
    <row r="54" spans="1:111" s="158" customFormat="1" x14ac:dyDescent="0.2">
      <c r="A54" s="155" t="s">
        <v>577</v>
      </c>
      <c r="B54" s="156"/>
      <c r="C54" s="156"/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204" t="e">
        <f t="shared" ref="X54:Z54" si="268">X45/X28</f>
        <v>#DIV/0!</v>
      </c>
      <c r="Y54" s="204">
        <f t="shared" si="268"/>
        <v>0</v>
      </c>
      <c r="Z54" s="204">
        <f t="shared" si="268"/>
        <v>9.0566584552963347E-2</v>
      </c>
      <c r="AA54" s="157"/>
      <c r="AB54" s="157"/>
      <c r="AC54" s="157"/>
      <c r="AD54" s="157"/>
      <c r="AE54" s="157"/>
      <c r="AI54" s="156"/>
      <c r="AJ54" s="156"/>
      <c r="AK54" s="156"/>
      <c r="AL54" s="156"/>
      <c r="AM54" s="156"/>
      <c r="AN54" s="156"/>
      <c r="AO54" s="156"/>
      <c r="AP54" s="156"/>
      <c r="AQ54" s="156"/>
      <c r="AR54" s="156"/>
      <c r="AS54" s="156"/>
      <c r="AT54" s="156"/>
      <c r="AU54" s="156"/>
      <c r="AV54" s="156"/>
      <c r="AW54" s="156"/>
      <c r="AX54" s="156"/>
      <c r="AY54" s="156"/>
      <c r="AZ54" s="156"/>
      <c r="BA54" s="156"/>
      <c r="BB54" s="156"/>
      <c r="BC54" s="156"/>
      <c r="BD54" s="156"/>
      <c r="BE54" s="156"/>
      <c r="BF54" s="156"/>
      <c r="BG54" s="156"/>
      <c r="BH54" s="156"/>
      <c r="BI54" s="156"/>
      <c r="BJ54" s="156"/>
      <c r="BK54" s="156"/>
      <c r="BL54" s="156"/>
      <c r="BM54" s="156"/>
      <c r="BN54" s="156"/>
      <c r="BO54" s="156"/>
      <c r="BP54" s="156"/>
      <c r="BQ54" s="156"/>
      <c r="BR54" s="156"/>
      <c r="BS54" s="156"/>
      <c r="BT54" s="156"/>
      <c r="BU54" s="156"/>
      <c r="BV54" s="156"/>
      <c r="BW54" s="156"/>
      <c r="BX54" s="156"/>
      <c r="BY54" s="204" t="e">
        <f t="shared" ref="BY54:CK55" si="269">BY45/BY28</f>
        <v>#DIV/0!</v>
      </c>
      <c r="BZ54" s="204" t="e">
        <f t="shared" si="269"/>
        <v>#DIV/0!</v>
      </c>
      <c r="CA54" s="204" t="e">
        <f t="shared" si="269"/>
        <v>#DIV/0!</v>
      </c>
      <c r="CB54" s="204" t="e">
        <f t="shared" si="269"/>
        <v>#DIV/0!</v>
      </c>
      <c r="CC54" s="204" t="e">
        <f t="shared" si="269"/>
        <v>#DIV/0!</v>
      </c>
      <c r="CD54" s="204">
        <f t="shared" si="269"/>
        <v>0</v>
      </c>
      <c r="CE54" s="204">
        <f t="shared" si="269"/>
        <v>0.22786458333333334</v>
      </c>
      <c r="CF54" s="204">
        <f t="shared" si="269"/>
        <v>0.10280873463009418</v>
      </c>
      <c r="CG54" s="204">
        <f t="shared" si="269"/>
        <v>7.3148302959371345E-2</v>
      </c>
      <c r="CH54" s="204">
        <f t="shared" si="269"/>
        <v>8.190591503151598E-2</v>
      </c>
      <c r="CI54" s="204">
        <f t="shared" si="269"/>
        <v>6.3553241215301981E-2</v>
      </c>
      <c r="CJ54" s="204">
        <f t="shared" si="269"/>
        <v>0.1423085888140542</v>
      </c>
      <c r="CK54" s="204">
        <f t="shared" si="269"/>
        <v>0.19306930693069307</v>
      </c>
      <c r="CL54" s="204">
        <f t="shared" ref="CL54:CL55" si="270">CL45/CL28</f>
        <v>0.21926229508196721</v>
      </c>
      <c r="CM54" s="217">
        <f t="shared" si="245"/>
        <v>0.1645483580105041</v>
      </c>
      <c r="CN54" s="217">
        <f t="shared" si="246"/>
        <v>0.18979713720930463</v>
      </c>
      <c r="CO54" s="217">
        <f t="shared" si="247"/>
        <v>0.20166927430811726</v>
      </c>
      <c r="CP54" s="217">
        <f t="shared" si="248"/>
        <v>0.20381926615247331</v>
      </c>
      <c r="CQ54" s="217">
        <f>AVERAGE(CM54:CP54)*1.03</f>
        <v>0.19565726418770285</v>
      </c>
      <c r="CR54" s="217">
        <f t="shared" ref="CR54:CT54" si="271">AVERAGE(CN54:CQ54)*1.03</f>
        <v>0.20366780752833147</v>
      </c>
      <c r="CS54" s="217">
        <f t="shared" si="271"/>
        <v>0.20723950513548089</v>
      </c>
      <c r="CT54" s="217">
        <f t="shared" si="271"/>
        <v>0.20867383957352703</v>
      </c>
      <c r="CU54" s="217">
        <f>AVERAGE(CQ54:CT54)</f>
        <v>0.20380960410626056</v>
      </c>
      <c r="CV54" s="217">
        <f t="shared" ref="CV54" si="272">AVERAGE(CR54:CU54)</f>
        <v>0.20584768908589998</v>
      </c>
      <c r="CW54" s="217">
        <f t="shared" ref="CW54" si="273">AVERAGE(CS54:CV54)</f>
        <v>0.20639265947529212</v>
      </c>
      <c r="CX54" s="217">
        <f t="shared" ref="CX54" si="274">AVERAGE(CT54:CW54)</f>
        <v>0.20618094806024495</v>
      </c>
      <c r="CY54" s="217">
        <f t="shared" ref="CY54" si="275">AVERAGE(CU54:CX54)</f>
        <v>0.20555772518192439</v>
      </c>
      <c r="CZ54" s="217">
        <f t="shared" ref="CZ54" si="276">AVERAGE(CV54:CY54)</f>
        <v>0.20599475545084037</v>
      </c>
      <c r="DA54" s="217">
        <f t="shared" ref="DA54" si="277">AVERAGE(CW54:CZ54)</f>
        <v>0.20603152204207545</v>
      </c>
      <c r="DB54" s="217">
        <f t="shared" ref="DB54" si="278">AVERAGE(CX54:DA54)</f>
        <v>0.20594123768377129</v>
      </c>
      <c r="DE54" s="159"/>
    </row>
    <row r="55" spans="1:111" s="158" customFormat="1" x14ac:dyDescent="0.2">
      <c r="A55" s="155" t="s">
        <v>578</v>
      </c>
      <c r="B55" s="156"/>
      <c r="C55" s="156"/>
      <c r="D55" s="156"/>
      <c r="E55" s="156"/>
      <c r="F55" s="156"/>
      <c r="G55" s="156"/>
      <c r="H55" s="156"/>
      <c r="I55" s="156"/>
      <c r="J55" s="156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204" t="e">
        <f t="shared" ref="X55:Z55" si="279">X46/X29</f>
        <v>#DIV/0!</v>
      </c>
      <c r="Y55" s="204" t="e">
        <f t="shared" si="279"/>
        <v>#DIV/0!</v>
      </c>
      <c r="Z55" s="204">
        <f t="shared" si="279"/>
        <v>-3.1640917954102292</v>
      </c>
      <c r="AA55" s="157"/>
      <c r="AB55" s="157"/>
      <c r="AC55" s="157"/>
      <c r="AD55" s="157"/>
      <c r="AE55" s="157"/>
      <c r="AI55" s="156"/>
      <c r="AJ55" s="156"/>
      <c r="AK55" s="156"/>
      <c r="AL55" s="156"/>
      <c r="AM55" s="156"/>
      <c r="AN55" s="156"/>
      <c r="AO55" s="156"/>
      <c r="AP55" s="156"/>
      <c r="AQ55" s="156"/>
      <c r="AR55" s="156"/>
      <c r="AS55" s="156"/>
      <c r="AT55" s="156"/>
      <c r="AU55" s="156"/>
      <c r="AV55" s="156"/>
      <c r="AW55" s="156"/>
      <c r="AX55" s="156"/>
      <c r="AY55" s="156"/>
      <c r="AZ55" s="156"/>
      <c r="BA55" s="156"/>
      <c r="BB55" s="156"/>
      <c r="BC55" s="156"/>
      <c r="BD55" s="156"/>
      <c r="BE55" s="156"/>
      <c r="BF55" s="156"/>
      <c r="BG55" s="156"/>
      <c r="BH55" s="156"/>
      <c r="BI55" s="156"/>
      <c r="BJ55" s="156"/>
      <c r="BK55" s="156"/>
      <c r="BL55" s="156"/>
      <c r="BM55" s="156"/>
      <c r="BN55" s="156"/>
      <c r="BO55" s="156"/>
      <c r="BP55" s="156"/>
      <c r="BQ55" s="156"/>
      <c r="BR55" s="156"/>
      <c r="BS55" s="156"/>
      <c r="BT55" s="156"/>
      <c r="BU55" s="156"/>
      <c r="BV55" s="156"/>
      <c r="BW55" s="156"/>
      <c r="BX55" s="156"/>
      <c r="BY55" s="204"/>
      <c r="BZ55" s="204"/>
      <c r="CA55" s="204"/>
      <c r="CB55" s="204"/>
      <c r="CC55" s="204"/>
      <c r="CD55" s="204"/>
      <c r="CE55" s="204"/>
      <c r="CF55" s="204"/>
      <c r="CG55" s="204"/>
      <c r="CH55" s="204"/>
      <c r="CI55" s="204">
        <f t="shared" si="269"/>
        <v>0.25226796929518491</v>
      </c>
      <c r="CJ55" s="204">
        <f t="shared" si="269"/>
        <v>0.13300820217246731</v>
      </c>
      <c r="CK55" s="204">
        <f t="shared" si="269"/>
        <v>0.20437956204379562</v>
      </c>
      <c r="CL55" s="204">
        <f t="shared" si="270"/>
        <v>0.2298507462686567</v>
      </c>
      <c r="CM55" s="217">
        <f>AVERAGE(CI55:CL55)+3%</f>
        <v>0.23487661994502615</v>
      </c>
      <c r="CN55" s="217">
        <f>AVERAGE(CJ55:CM55)+3%</f>
        <v>0.23052878260748644</v>
      </c>
      <c r="CO55" s="217">
        <f t="shared" si="247"/>
        <v>0.23490892771624125</v>
      </c>
      <c r="CP55" s="217">
        <f t="shared" si="248"/>
        <v>0.24254126913435264</v>
      </c>
      <c r="CQ55" s="217">
        <f>AVERAGE(CM55:CP55)*1.001</f>
        <v>0.23594961375062737</v>
      </c>
      <c r="CR55" s="217">
        <f t="shared" ref="CR55:CT55" si="280">AVERAGE(CN55:CQ55)*1.001</f>
        <v>0.2362181304504791</v>
      </c>
      <c r="CS55" s="217">
        <f t="shared" si="280"/>
        <v>0.23764188974818801</v>
      </c>
      <c r="CT55" s="217">
        <f t="shared" si="280"/>
        <v>0.23832581349668266</v>
      </c>
      <c r="CU55" s="217">
        <f t="shared" ref="CU55:DB55" si="281">AVERAGE(CQ55:CT55)</f>
        <v>0.2370338618614943</v>
      </c>
      <c r="CV55" s="217">
        <f t="shared" si="281"/>
        <v>0.23730492388921104</v>
      </c>
      <c r="CW55" s="217">
        <f t="shared" si="281"/>
        <v>0.23757662224889403</v>
      </c>
      <c r="CX55" s="217">
        <f t="shared" si="281"/>
        <v>0.23756030537407052</v>
      </c>
      <c r="CY55" s="217">
        <f t="shared" si="281"/>
        <v>0.23736892834341744</v>
      </c>
      <c r="CZ55" s="217">
        <f t="shared" si="281"/>
        <v>0.23745269496389826</v>
      </c>
      <c r="DA55" s="217">
        <f t="shared" si="281"/>
        <v>0.23748963773257004</v>
      </c>
      <c r="DB55" s="217">
        <f t="shared" si="281"/>
        <v>0.23746789160348905</v>
      </c>
      <c r="DE55" s="159"/>
    </row>
    <row r="56" spans="1:111" s="158" customFormat="1" x14ac:dyDescent="0.2">
      <c r="A56" s="155"/>
      <c r="B56" s="156"/>
      <c r="C56" s="156"/>
      <c r="D56" s="156"/>
      <c r="E56" s="156"/>
      <c r="F56" s="156"/>
      <c r="G56" s="156"/>
      <c r="H56" s="156"/>
      <c r="I56" s="156"/>
      <c r="J56" s="156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204"/>
      <c r="Y56" s="204"/>
      <c r="Z56" s="204"/>
      <c r="AA56" s="157"/>
      <c r="AB56" s="157"/>
      <c r="AC56" s="157"/>
      <c r="AD56" s="157"/>
      <c r="AE56" s="157"/>
      <c r="AI56" s="156"/>
      <c r="AJ56" s="156"/>
      <c r="AK56" s="156"/>
      <c r="AL56" s="156"/>
      <c r="AM56" s="156"/>
      <c r="AN56" s="156"/>
      <c r="AO56" s="156"/>
      <c r="AP56" s="156"/>
      <c r="AQ56" s="156"/>
      <c r="AR56" s="156"/>
      <c r="AS56" s="156"/>
      <c r="AT56" s="156"/>
      <c r="AU56" s="156"/>
      <c r="AV56" s="156"/>
      <c r="AW56" s="156"/>
      <c r="AX56" s="156"/>
      <c r="AY56" s="156"/>
      <c r="AZ56" s="156"/>
      <c r="BA56" s="156"/>
      <c r="BB56" s="156"/>
      <c r="BC56" s="156"/>
      <c r="BD56" s="156"/>
      <c r="BE56" s="156"/>
      <c r="BF56" s="156"/>
      <c r="BG56" s="156"/>
      <c r="BH56" s="156"/>
      <c r="BI56" s="156"/>
      <c r="BJ56" s="156"/>
      <c r="BK56" s="156"/>
      <c r="BL56" s="156"/>
      <c r="BM56" s="156"/>
      <c r="BN56" s="156"/>
      <c r="BO56" s="156"/>
      <c r="BP56" s="156"/>
      <c r="BQ56" s="156"/>
      <c r="BR56" s="156"/>
      <c r="BS56" s="156"/>
      <c r="BT56" s="156"/>
      <c r="BU56" s="156"/>
      <c r="BV56" s="156"/>
      <c r="BW56" s="156"/>
      <c r="BX56" s="156"/>
      <c r="BY56" s="156"/>
      <c r="BZ56" s="156"/>
      <c r="CA56" s="156"/>
      <c r="CB56" s="156"/>
      <c r="CC56" s="156"/>
      <c r="CD56" s="156"/>
      <c r="CE56" s="156"/>
      <c r="CF56" s="156"/>
      <c r="CG56" s="156"/>
      <c r="CH56" s="156"/>
      <c r="CI56" s="156"/>
      <c r="CJ56" s="156"/>
      <c r="CK56" s="156"/>
      <c r="CL56" s="156"/>
      <c r="CM56" s="157"/>
      <c r="CN56" s="157"/>
      <c r="CO56" s="157"/>
      <c r="CP56" s="157"/>
      <c r="CQ56" s="157"/>
      <c r="CR56" s="157"/>
      <c r="CS56" s="157"/>
      <c r="CT56" s="157"/>
      <c r="CU56" s="157"/>
      <c r="CV56" s="157"/>
      <c r="CW56" s="157"/>
      <c r="CX56" s="157"/>
      <c r="CY56" s="157"/>
      <c r="CZ56" s="157"/>
      <c r="DA56" s="157"/>
      <c r="DB56" s="157"/>
      <c r="DE56" s="159"/>
    </row>
    <row r="57" spans="1:111" s="106" customFormat="1" x14ac:dyDescent="0.2">
      <c r="A57" s="151" t="s">
        <v>500</v>
      </c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5"/>
      <c r="AB57" s="105"/>
      <c r="AC57" s="105"/>
      <c r="AD57" s="105"/>
      <c r="AE57" s="105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  <c r="BS57" s="104"/>
      <c r="BT57" s="104"/>
      <c r="BU57" s="104"/>
      <c r="BV57" s="104"/>
      <c r="BW57" s="104"/>
      <c r="BX57" s="104"/>
      <c r="BY57" s="104"/>
      <c r="BZ57" s="104"/>
      <c r="CA57" s="104"/>
      <c r="CB57" s="104"/>
      <c r="CC57" s="104"/>
      <c r="CD57" s="104"/>
      <c r="CE57" s="104"/>
      <c r="CF57" s="104"/>
      <c r="CG57" s="104"/>
      <c r="CH57" s="104"/>
      <c r="CI57" s="104"/>
      <c r="CJ57" s="104"/>
      <c r="CK57" s="104"/>
      <c r="CL57" s="104"/>
      <c r="CM57" s="105"/>
      <c r="CN57" s="105"/>
      <c r="CO57" s="105"/>
      <c r="CP57" s="105"/>
      <c r="CQ57" s="105"/>
      <c r="CR57" s="105"/>
      <c r="CS57" s="105"/>
      <c r="CT57" s="105"/>
      <c r="CU57" s="105"/>
      <c r="CV57" s="105"/>
      <c r="CW57" s="105"/>
      <c r="CX57" s="105"/>
      <c r="CY57" s="105"/>
      <c r="CZ57" s="105"/>
      <c r="DA57" s="105"/>
      <c r="DB57" s="105"/>
      <c r="DE57" s="118"/>
    </row>
    <row r="58" spans="1:111" s="106" customFormat="1" x14ac:dyDescent="0.2">
      <c r="A58" s="151" t="s">
        <v>485</v>
      </c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05"/>
      <c r="AC58" s="105"/>
      <c r="AD58" s="105"/>
      <c r="AE58" s="105"/>
      <c r="AI58" s="118"/>
      <c r="AJ58" s="118"/>
      <c r="AK58" s="118"/>
      <c r="AL58" s="118"/>
      <c r="AM58" s="118"/>
      <c r="AN58" s="118"/>
      <c r="AO58" s="118"/>
      <c r="AP58" s="118"/>
      <c r="AQ58" s="118"/>
      <c r="AR58" s="118"/>
      <c r="AS58" s="118"/>
      <c r="AT58" s="118"/>
      <c r="AU58" s="118"/>
      <c r="AV58" s="118"/>
      <c r="AW58" s="118"/>
      <c r="AX58" s="118"/>
      <c r="AY58" s="118"/>
      <c r="AZ58" s="118"/>
      <c r="BA58" s="118"/>
      <c r="BB58" s="118"/>
      <c r="BC58" s="118"/>
      <c r="BD58" s="118"/>
      <c r="BE58" s="118"/>
      <c r="BF58" s="118"/>
      <c r="BG58" s="118"/>
      <c r="BH58" s="118"/>
      <c r="BI58" s="118"/>
      <c r="BJ58" s="118"/>
      <c r="BK58" s="118"/>
      <c r="BL58" s="118"/>
      <c r="BM58" s="118"/>
      <c r="BN58" s="118"/>
      <c r="BO58" s="118"/>
      <c r="BP58" s="118"/>
      <c r="BQ58" s="118"/>
      <c r="BR58" s="118"/>
      <c r="BS58" s="118"/>
      <c r="BT58" s="118"/>
      <c r="BU58" s="118"/>
      <c r="BV58" s="118"/>
      <c r="BW58" s="118"/>
      <c r="BX58" s="118"/>
      <c r="BY58" s="118"/>
      <c r="BZ58" s="118"/>
      <c r="CA58" s="118"/>
      <c r="CB58" s="118"/>
      <c r="CC58" s="118"/>
      <c r="CD58" s="118"/>
      <c r="CE58" s="118"/>
      <c r="CF58" s="118"/>
      <c r="CG58" s="118"/>
      <c r="CH58" s="118"/>
      <c r="CI58" s="118"/>
      <c r="CJ58" s="160"/>
      <c r="CK58" s="160"/>
      <c r="CL58" s="160"/>
      <c r="CM58" s="105"/>
      <c r="CN58" s="105"/>
      <c r="CO58" s="105"/>
      <c r="CP58" s="105"/>
      <c r="CQ58" s="105"/>
      <c r="CR58" s="105"/>
      <c r="CS58" s="105"/>
      <c r="CT58" s="105"/>
      <c r="CU58" s="105"/>
      <c r="CV58" s="105"/>
      <c r="CW58" s="105"/>
      <c r="CX58" s="105"/>
      <c r="CY58" s="105"/>
      <c r="CZ58" s="105"/>
      <c r="DA58" s="105"/>
      <c r="DB58" s="105"/>
      <c r="DE58" s="118"/>
    </row>
    <row r="59" spans="1:111" s="25" customFormat="1" outlineLevel="1" x14ac:dyDescent="0.2">
      <c r="A59" s="25" t="s">
        <v>430</v>
      </c>
      <c r="B59" s="25">
        <f>'Annual Raw'!C6</f>
        <v>0</v>
      </c>
      <c r="C59" s="25">
        <f>'Annual Raw'!D6</f>
        <v>0</v>
      </c>
      <c r="D59" s="25">
        <f>'Annual Raw'!E6</f>
        <v>0</v>
      </c>
      <c r="E59" s="25">
        <f>'Annual Raw'!F6</f>
        <v>0</v>
      </c>
      <c r="F59" s="25">
        <f>'Annual Raw'!G6</f>
        <v>0</v>
      </c>
      <c r="G59" s="25">
        <f>'Annual Raw'!H6</f>
        <v>0</v>
      </c>
      <c r="H59" s="25">
        <f>'Annual Raw'!I6</f>
        <v>0</v>
      </c>
      <c r="I59" s="25">
        <f>'Annual Raw'!J6</f>
        <v>0</v>
      </c>
      <c r="J59" s="25">
        <f>'Annual Raw'!K6</f>
        <v>0</v>
      </c>
      <c r="K59" s="25">
        <f>'Annual Raw'!L6</f>
        <v>0</v>
      </c>
      <c r="L59" s="25">
        <f>'Annual Raw'!M6</f>
        <v>0</v>
      </c>
      <c r="M59" s="25">
        <f>'Annual Raw'!N6</f>
        <v>0</v>
      </c>
      <c r="N59" s="25">
        <f>'Annual Raw'!O6</f>
        <v>0</v>
      </c>
      <c r="O59" s="25">
        <f>'Annual Raw'!P6</f>
        <v>0</v>
      </c>
      <c r="P59" s="25">
        <f>'Annual Raw'!Q6</f>
        <v>135.34</v>
      </c>
      <c r="Q59" s="25">
        <f>'Annual Raw'!R6</f>
        <v>2197.0100000000002</v>
      </c>
      <c r="R59" s="25">
        <f>'Annual Raw'!S6</f>
        <v>2875.71</v>
      </c>
      <c r="S59" s="25">
        <f>'Annual Raw'!T6</f>
        <v>3944.48</v>
      </c>
      <c r="T59" s="25">
        <f>'Annual Raw'!U6</f>
        <v>7305.45</v>
      </c>
      <c r="U59" s="25">
        <f>'Annual Raw'!V6</f>
        <v>11415.96</v>
      </c>
      <c r="V59" s="25">
        <f>'Annual Raw'!W6</f>
        <v>9926.33</v>
      </c>
      <c r="W59" s="25">
        <f>'Annual Raw'!X6</f>
        <v>11257.52</v>
      </c>
      <c r="X59" s="25">
        <f>'Annual Raw'!Y6</f>
        <v>13292.72</v>
      </c>
      <c r="Y59" s="25">
        <f>'Annual Raw'!Z6</f>
        <v>16607.36</v>
      </c>
      <c r="Z59" s="25">
        <f>'Annual Raw'!AA6</f>
        <v>23767.09</v>
      </c>
      <c r="AA59" s="25">
        <f>'Annual Raw'!AB6</f>
        <v>27588.03</v>
      </c>
      <c r="AB59" s="17">
        <f>+SUM(CM59:CP59)</f>
        <v>33142.354579639948</v>
      </c>
      <c r="AC59" s="17">
        <f>+SUM(CQ59:CT59)</f>
        <v>39712.437662375844</v>
      </c>
      <c r="AD59" s="17">
        <f>+SUM(CU59:CX59)</f>
        <v>46305.484479449369</v>
      </c>
      <c r="AE59" s="17">
        <f>+SUM(CY59:DB59)</f>
        <v>52359.163108060267</v>
      </c>
      <c r="AI59" s="25">
        <f>'QTR Raw'!C6+'QTR Raw'!C8</f>
        <v>0</v>
      </c>
      <c r="AJ59" s="25">
        <f>'QTR Raw'!D6+'QTR Raw'!D8</f>
        <v>0</v>
      </c>
      <c r="AK59" s="25">
        <f>'QTR Raw'!E6+'QTR Raw'!E8</f>
        <v>0</v>
      </c>
      <c r="AL59" s="25">
        <f>'QTR Raw'!F6+'QTR Raw'!F8</f>
        <v>0</v>
      </c>
      <c r="AM59" s="25">
        <f>'QTR Raw'!G6+'QTR Raw'!G8</f>
        <v>0</v>
      </c>
      <c r="AN59" s="25">
        <f>'QTR Raw'!H6+'QTR Raw'!H8</f>
        <v>0</v>
      </c>
      <c r="AO59" s="25">
        <f>'QTR Raw'!I6+'QTR Raw'!I8</f>
        <v>0</v>
      </c>
      <c r="AP59" s="25">
        <f>'QTR Raw'!J6+'QTR Raw'!J8</f>
        <v>0</v>
      </c>
      <c r="AQ59" s="25">
        <f>'QTR Raw'!K6+'QTR Raw'!K8</f>
        <v>0</v>
      </c>
      <c r="AR59" s="25">
        <f>'QTR Raw'!L6+'QTR Raw'!L8</f>
        <v>0</v>
      </c>
      <c r="AS59" s="25">
        <f>'QTR Raw'!M6+'QTR Raw'!M8</f>
        <v>11.45</v>
      </c>
      <c r="AT59" s="25">
        <f>'QTR Raw'!N6+'QTR Raw'!N8</f>
        <v>123.88</v>
      </c>
      <c r="AU59" s="25">
        <f>'QTR Raw'!O6+'QTR Raw'!O8</f>
        <v>468.15</v>
      </c>
      <c r="AV59" s="25">
        <f>'QTR Raw'!P6+'QTR Raw'!P8</f>
        <v>564.24</v>
      </c>
      <c r="AW59" s="25">
        <f>'QTR Raw'!Q6+'QTR Raw'!Q8</f>
        <v>526.5</v>
      </c>
      <c r="AX59" s="25">
        <f>'QTR Raw'!R6+'QTR Raw'!R8</f>
        <v>638.12</v>
      </c>
      <c r="AY59" s="25">
        <f>'QTR Raw'!S6+'QTR Raw'!S8</f>
        <v>632.01</v>
      </c>
      <c r="AZ59" s="25">
        <f>'QTR Raw'!T6+'QTR Raw'!T8</f>
        <v>682.7</v>
      </c>
      <c r="BA59" s="25">
        <f>'QTR Raw'!U6+'QTR Raw'!U8</f>
        <v>729.22</v>
      </c>
      <c r="BB59" s="25">
        <f>'QTR Raw'!V6+'QTR Raw'!V8</f>
        <v>834.62</v>
      </c>
      <c r="BC59" s="25">
        <f>'QTR Raw'!W6+'QTR Raw'!W8</f>
        <v>608.48</v>
      </c>
      <c r="BD59" s="25">
        <f>'QTR Raw'!X6+'QTR Raw'!X8</f>
        <v>745.08</v>
      </c>
      <c r="BE59" s="25">
        <f>'QTR Raw'!Y6+'QTR Raw'!Y8</f>
        <v>1780.98</v>
      </c>
      <c r="BF59" s="25">
        <f>'QTR Raw'!Z6+'QTR Raw'!Z8</f>
        <v>809.94</v>
      </c>
      <c r="BG59" s="25">
        <f>'QTR Raw'!AA6+'QTR Raw'!AA8</f>
        <v>620.70000000000005</v>
      </c>
      <c r="BH59" s="25">
        <f>'QTR Raw'!AB6+'QTR Raw'!AB8</f>
        <v>1396.14</v>
      </c>
      <c r="BI59" s="25">
        <f>'QTR Raw'!AC6+'QTR Raw'!AC8</f>
        <v>2743.05</v>
      </c>
      <c r="BJ59" s="25">
        <f>'QTR Raw'!AD6+'QTR Raw'!AD8</f>
        <v>2545.56</v>
      </c>
      <c r="BK59" s="25">
        <f>'QTR Raw'!AE6+'QTR Raw'!AE8</f>
        <v>2858.08</v>
      </c>
      <c r="BL59" s="25">
        <f>'QTR Raw'!AF6+'QTR Raw'!AF8</f>
        <v>2593.4</v>
      </c>
      <c r="BM59" s="25">
        <f>'QTR Raw'!AG6+'QTR Raw'!AG8</f>
        <v>2777.52</v>
      </c>
      <c r="BN59" s="25">
        <f>'QTR Raw'!AH6+'QTR Raw'!AH8</f>
        <v>3186.96</v>
      </c>
      <c r="BO59" s="25">
        <f>'QTR Raw'!AI6+'QTR Raw'!AI8</f>
        <v>2446.5100000000002</v>
      </c>
      <c r="BP59" s="25">
        <f>'QTR Raw'!AJ6+'QTR Raw'!AJ8</f>
        <v>2156.19</v>
      </c>
      <c r="BQ59" s="25">
        <f>'QTR Raw'!AK6+'QTR Raw'!AK8</f>
        <v>2597.02</v>
      </c>
      <c r="BR59" s="25">
        <f>'QTR Raw'!AL6+'QTR Raw'!AL8</f>
        <v>2726.61</v>
      </c>
      <c r="BS59" s="25">
        <f>'QTR Raw'!AM6+'QTR Raw'!AM8</f>
        <v>2829.65</v>
      </c>
      <c r="BT59" s="25">
        <f>'QTR Raw'!AN6+'QTR Raw'!AN8</f>
        <v>2541.44</v>
      </c>
      <c r="BU59" s="25">
        <f>'QTR Raw'!AO6+'QTR Raw'!AO8</f>
        <v>2911.7</v>
      </c>
      <c r="BV59" s="25">
        <f>'QTR Raw'!AP6+'QTR Raw'!AP8</f>
        <v>2974.73</v>
      </c>
      <c r="BW59" s="25">
        <f>'QTR Raw'!AQ6+'QTR Raw'!AQ8</f>
        <v>3131.88</v>
      </c>
      <c r="BX59" s="25">
        <f>'QTR Raw'!AR6+'QTR Raw'!AR8</f>
        <v>3251.48</v>
      </c>
      <c r="BY59" s="25">
        <f>'QTR Raw'!AS6+'QTR Raw'!AS8</f>
        <v>3551.7</v>
      </c>
      <c r="BZ59" s="25">
        <f>'QTR Raw'!AT6+'QTR Raw'!AT8</f>
        <v>3357.66</v>
      </c>
      <c r="CA59" s="25">
        <f>'QTR Raw'!AU6+'QTR Raw'!AU8</f>
        <v>3663.91</v>
      </c>
      <c r="CB59" s="25">
        <f>'QTR Raw'!AV6+'QTR Raw'!AV8</f>
        <v>3673.87</v>
      </c>
      <c r="CC59" s="25">
        <f>'QTR Raw'!AW6+'QTR Raw'!AW8</f>
        <v>4562.7299999999996</v>
      </c>
      <c r="CD59" s="25">
        <f>'QTR Raw'!AX6+'QTR Raw'!AX8</f>
        <v>4706.8500000000004</v>
      </c>
      <c r="CE59" s="25">
        <f>'QTR Raw'!AY6+'QTR Raw'!AY8</f>
        <v>5378.55</v>
      </c>
      <c r="CF59" s="25">
        <f>'QTR Raw'!AZ6+'QTR Raw'!AZ8</f>
        <v>6183.7</v>
      </c>
      <c r="CG59" s="25">
        <f>'QTR Raw'!BA6+'QTR Raw'!BA8</f>
        <v>5830.26</v>
      </c>
      <c r="CH59" s="25">
        <f>'QTR Raw'!BB6+'QTR Raw'!BB8</f>
        <v>6374.58</v>
      </c>
      <c r="CI59" s="25">
        <f>'QTR Raw'!BC6+'QTR Raw'!BC8</f>
        <v>6819.28</v>
      </c>
      <c r="CJ59" s="25">
        <f>'QTR Raw'!BD6+'QTR Raw'!BD8</f>
        <v>6595.83</v>
      </c>
      <c r="CK59" s="25">
        <f>'QTR Raw'!BE6+'QTR Raw'!BE8</f>
        <v>6729.65</v>
      </c>
      <c r="CL59" s="25">
        <f>'QTR Raw'!BF6+'QTR Raw'!BF8</f>
        <v>7443.27</v>
      </c>
      <c r="CM59" s="17">
        <f>CM31</f>
        <v>8049.9811634054568</v>
      </c>
      <c r="CN59" s="17">
        <f t="shared" ref="CN59:DB59" si="282">CN31</f>
        <v>7945.8688908454933</v>
      </c>
      <c r="CO59" s="17">
        <f t="shared" si="282"/>
        <v>8369.5374210238297</v>
      </c>
      <c r="CP59" s="17">
        <f t="shared" si="282"/>
        <v>8776.967104365167</v>
      </c>
      <c r="CQ59" s="17">
        <f t="shared" si="282"/>
        <v>9546.1570739516974</v>
      </c>
      <c r="CR59" s="17">
        <f t="shared" si="282"/>
        <v>9558.7192438152506</v>
      </c>
      <c r="CS59" s="17">
        <f t="shared" si="282"/>
        <v>9997.1939192972059</v>
      </c>
      <c r="CT59" s="17">
        <f t="shared" si="282"/>
        <v>10610.367425311688</v>
      </c>
      <c r="CU59" s="17">
        <f t="shared" si="282"/>
        <v>11125.1092323065</v>
      </c>
      <c r="CV59" s="17">
        <f t="shared" si="282"/>
        <v>11052.426893019559</v>
      </c>
      <c r="CW59" s="17">
        <f t="shared" si="282"/>
        <v>11911.989477388803</v>
      </c>
      <c r="CX59" s="17">
        <f t="shared" si="282"/>
        <v>12215.958876734507</v>
      </c>
      <c r="CY59" s="17">
        <f t="shared" si="282"/>
        <v>12688.690556649353</v>
      </c>
      <c r="CZ59" s="17">
        <f t="shared" si="282"/>
        <v>12682.433311669094</v>
      </c>
      <c r="DA59" s="17">
        <f t="shared" si="282"/>
        <v>13184.562707557821</v>
      </c>
      <c r="DB59" s="17">
        <f t="shared" si="282"/>
        <v>13803.476532183997</v>
      </c>
      <c r="DE59" s="119"/>
      <c r="DF59" s="25">
        <v>0</v>
      </c>
      <c r="DG59" s="25">
        <v>7141.8936006667955</v>
      </c>
    </row>
    <row r="60" spans="1:111" s="92" customFormat="1" outlineLevel="1" x14ac:dyDescent="0.2">
      <c r="A60" s="92" t="s">
        <v>109</v>
      </c>
      <c r="B60" s="92">
        <f>'Annual Raw'!C7+'Annual Raw'!C8+'Annual Raw'!C9</f>
        <v>0</v>
      </c>
      <c r="C60" s="92">
        <f>'Annual Raw'!D7+'Annual Raw'!D8+'Annual Raw'!D9</f>
        <v>0</v>
      </c>
      <c r="D60" s="92">
        <f>'Annual Raw'!E7+'Annual Raw'!E8+'Annual Raw'!E9</f>
        <v>0</v>
      </c>
      <c r="E60" s="92">
        <f>'Annual Raw'!F7+'Annual Raw'!F8+'Annual Raw'!F9</f>
        <v>0</v>
      </c>
      <c r="F60" s="92">
        <f>'Annual Raw'!G7+'Annual Raw'!G8+'Annual Raw'!G9</f>
        <v>0</v>
      </c>
      <c r="G60" s="92">
        <f>'Annual Raw'!H7+'Annual Raw'!H8+'Annual Raw'!H9</f>
        <v>0</v>
      </c>
      <c r="H60" s="92">
        <f>'Annual Raw'!I7+'Annual Raw'!I8+'Annual Raw'!I9</f>
        <v>0</v>
      </c>
      <c r="I60" s="92">
        <f>'Annual Raw'!J7+'Annual Raw'!J8+'Annual Raw'!J9</f>
        <v>0</v>
      </c>
      <c r="J60" s="92">
        <f>'Annual Raw'!K7+'Annual Raw'!K8+'Annual Raw'!K9</f>
        <v>0</v>
      </c>
      <c r="K60" s="92">
        <f>'Annual Raw'!L7+'Annual Raw'!L8+'Annual Raw'!L9</f>
        <v>0</v>
      </c>
      <c r="L60" s="92">
        <f>'Annual Raw'!M7+'Annual Raw'!M8+'Annual Raw'!M9</f>
        <v>0</v>
      </c>
      <c r="M60" s="92">
        <f>'Annual Raw'!N7+'Annual Raw'!N8+'Annual Raw'!N9</f>
        <v>0</v>
      </c>
      <c r="N60" s="92">
        <f>'Annual Raw'!O7+'Annual Raw'!O8+'Annual Raw'!O9</f>
        <v>0</v>
      </c>
      <c r="O60" s="92">
        <f>'Annual Raw'!P7+'Annual Raw'!P8+'Annual Raw'!P9</f>
        <v>0</v>
      </c>
      <c r="P60" s="92">
        <f>'Annual Raw'!Q7+'Annual Raw'!Q8+'Annual Raw'!Q9</f>
        <v>0</v>
      </c>
      <c r="Q60" s="92">
        <f>'Annual Raw'!R7+'Annual Raw'!R8+'Annual Raw'!R9</f>
        <v>0</v>
      </c>
      <c r="R60" s="92">
        <f>'Annual Raw'!S7+'Annual Raw'!S8+'Annual Raw'!S9</f>
        <v>0</v>
      </c>
      <c r="S60" s="92">
        <f>'Annual Raw'!T7+'Annual Raw'!T8+'Annual Raw'!T9</f>
        <v>0</v>
      </c>
      <c r="T60" s="92">
        <f>'Annual Raw'!U7+'Annual Raw'!U8+'Annual Raw'!U9</f>
        <v>0</v>
      </c>
      <c r="U60" s="92">
        <f>'Annual Raw'!V7+'Annual Raw'!V8+'Annual Raw'!V9</f>
        <v>0</v>
      </c>
      <c r="V60" s="92">
        <f>'Annual Raw'!W7+'Annual Raw'!W8+'Annual Raw'!W9</f>
        <v>0</v>
      </c>
      <c r="W60" s="92">
        <f>'Annual Raw'!X7+'Annual Raw'!X8+'Annual Raw'!X9</f>
        <v>0</v>
      </c>
      <c r="X60" s="92">
        <f>'Annual Raw'!Y7+'Annual Raw'!Y8+'Annual Raw'!Y9</f>
        <v>0</v>
      </c>
      <c r="Y60" s="92">
        <f>'Annual Raw'!Z7+'Annual Raw'!Z8+'Annual Raw'!Z9</f>
        <v>0</v>
      </c>
      <c r="Z60" s="92">
        <f>'Annual Raw'!AA7+'Annual Raw'!AA8+'Annual Raw'!AA9</f>
        <v>0</v>
      </c>
      <c r="AA60" s="92">
        <f>'Annual Raw'!AB7+'Annual Raw'!AB8+'Annual Raw'!AB9</f>
        <v>0</v>
      </c>
      <c r="AB60" s="76">
        <f>+SUM(CM60:CP60)</f>
        <v>0</v>
      </c>
      <c r="AC60" s="76">
        <f>+SUM(CQ60:CT60)</f>
        <v>0</v>
      </c>
      <c r="AD60" s="76">
        <f>+SUM(CU60:CX60)</f>
        <v>0</v>
      </c>
      <c r="AE60" s="76">
        <f>+SUM(CY60:DB60)</f>
        <v>0</v>
      </c>
      <c r="AI60" s="92">
        <f>+'QTR Raw'!C20+'QTR Raw'!C19+'QTR Raw'!C13+'QTR Raw'!C7</f>
        <v>0</v>
      </c>
      <c r="AJ60" s="92">
        <f>+'QTR Raw'!D20+'QTR Raw'!D19+'QTR Raw'!D13+'QTR Raw'!D7</f>
        <v>0</v>
      </c>
      <c r="AK60" s="92">
        <f>+'QTR Raw'!E20+'QTR Raw'!E19+'QTR Raw'!E13+'QTR Raw'!E7</f>
        <v>0</v>
      </c>
      <c r="AL60" s="92">
        <f>+'QTR Raw'!F20+'QTR Raw'!F19+'QTR Raw'!F13+'QTR Raw'!F7</f>
        <v>0</v>
      </c>
      <c r="AM60" s="92">
        <f>+'QTR Raw'!G20+'QTR Raw'!G19+'QTR Raw'!G13+'QTR Raw'!G7</f>
        <v>0</v>
      </c>
      <c r="AN60" s="92">
        <f>+'QTR Raw'!H20+'QTR Raw'!H19+'QTR Raw'!H13+'QTR Raw'!H7</f>
        <v>0</v>
      </c>
      <c r="AO60" s="92">
        <f>+'QTR Raw'!I20+'QTR Raw'!I19+'QTR Raw'!I13+'QTR Raw'!I7</f>
        <v>0</v>
      </c>
      <c r="AP60" s="92">
        <f>+'QTR Raw'!J20+'QTR Raw'!J19+'QTR Raw'!J13+'QTR Raw'!J7</f>
        <v>0</v>
      </c>
      <c r="AQ60" s="92">
        <f>+'QTR Raw'!K20+'QTR Raw'!K19+'QTR Raw'!K13+'QTR Raw'!K7</f>
        <v>0</v>
      </c>
      <c r="AR60" s="92">
        <f>+'QTR Raw'!L20+'QTR Raw'!L19+'QTR Raw'!L13+'QTR Raw'!L7</f>
        <v>0</v>
      </c>
      <c r="AS60" s="92">
        <f>+'QTR Raw'!M20+'QTR Raw'!M19+'QTR Raw'!M13+'QTR Raw'!M7</f>
        <v>0</v>
      </c>
      <c r="AT60" s="92">
        <f>+'QTR Raw'!N20+'QTR Raw'!N19+'QTR Raw'!N13+'QTR Raw'!N7</f>
        <v>0</v>
      </c>
      <c r="AU60" s="92">
        <f>+'QTR Raw'!O20+'QTR Raw'!O19+'QTR Raw'!O13+'QTR Raw'!O7</f>
        <v>0</v>
      </c>
      <c r="AV60" s="92">
        <f>+'QTR Raw'!P20+'QTR Raw'!P19+'QTR Raw'!P13+'QTR Raw'!P7</f>
        <v>0</v>
      </c>
      <c r="AW60" s="92">
        <f>+'QTR Raw'!Q20+'QTR Raw'!Q19+'QTR Raw'!Q13+'QTR Raw'!Q7</f>
        <v>0</v>
      </c>
      <c r="AX60" s="92">
        <f>+'QTR Raw'!R20+'QTR Raw'!R19+'QTR Raw'!R13+'QTR Raw'!R7</f>
        <v>0</v>
      </c>
      <c r="AY60" s="92">
        <f>+'QTR Raw'!S20+'QTR Raw'!S19+'QTR Raw'!S13+'QTR Raw'!S7</f>
        <v>0</v>
      </c>
      <c r="AZ60" s="92">
        <f>+'QTR Raw'!T20+'QTR Raw'!T19+'QTR Raw'!T13+'QTR Raw'!T7</f>
        <v>0</v>
      </c>
      <c r="BA60" s="92">
        <f>+'QTR Raw'!U20+'QTR Raw'!U19+'QTR Raw'!U13+'QTR Raw'!U7</f>
        <v>0</v>
      </c>
      <c r="BB60" s="92">
        <f>+'QTR Raw'!V20+'QTR Raw'!V19+'QTR Raw'!V13+'QTR Raw'!V7</f>
        <v>0</v>
      </c>
      <c r="BC60" s="92">
        <f>+'QTR Raw'!W20+'QTR Raw'!W19+'QTR Raw'!W13+'QTR Raw'!W7</f>
        <v>0</v>
      </c>
      <c r="BD60" s="92">
        <f>+'QTR Raw'!X20+'QTR Raw'!X19+'QTR Raw'!X13+'QTR Raw'!X7</f>
        <v>0</v>
      </c>
      <c r="BE60" s="92">
        <f>+'QTR Raw'!Y20+'QTR Raw'!Y19+'QTR Raw'!Y13+'QTR Raw'!Y7</f>
        <v>0</v>
      </c>
      <c r="BF60" s="92">
        <f>+'QTR Raw'!Z20+'QTR Raw'!Z19+'QTR Raw'!Z13+'QTR Raw'!Z7</f>
        <v>0</v>
      </c>
      <c r="BG60" s="92">
        <f>+'QTR Raw'!AA20+'QTR Raw'!AA19+'QTR Raw'!AA13+'QTR Raw'!AA7</f>
        <v>0</v>
      </c>
      <c r="BH60" s="92">
        <f>+'QTR Raw'!AB20+'QTR Raw'!AB19+'QTR Raw'!AB13+'QTR Raw'!AB7</f>
        <v>17.190000000000001</v>
      </c>
      <c r="BI60" s="92">
        <f>+'QTR Raw'!AC20+'QTR Raw'!AC19+'QTR Raw'!AC13+'QTR Raw'!AC7</f>
        <v>0</v>
      </c>
      <c r="BJ60" s="92">
        <f>+'QTR Raw'!AD20+'QTR Raw'!AD19+'QTR Raw'!AD13+'QTR Raw'!AD7</f>
        <v>0</v>
      </c>
      <c r="BK60" s="92">
        <f>+'QTR Raw'!AE20+'QTR Raw'!AE19+'QTR Raw'!AE13+'QTR Raw'!AE7</f>
        <v>0</v>
      </c>
      <c r="BL60" s="92">
        <f>+'QTR Raw'!AF20+'QTR Raw'!AF19+'QTR Raw'!AF13+'QTR Raw'!AF7</f>
        <v>0</v>
      </c>
      <c r="BM60" s="92">
        <f>+'QTR Raw'!AG20+'QTR Raw'!AG19+'QTR Raw'!AG13+'QTR Raw'!AG7</f>
        <v>0</v>
      </c>
      <c r="BN60" s="92">
        <f>+'QTR Raw'!AH20+'QTR Raw'!AH19+'QTR Raw'!AH13+'QTR Raw'!AH7</f>
        <v>0</v>
      </c>
      <c r="BO60" s="92">
        <f>+'QTR Raw'!AI20+'QTR Raw'!AI19+'QTR Raw'!AI13+'QTR Raw'!AI7</f>
        <v>0</v>
      </c>
      <c r="BP60" s="92">
        <f>+'QTR Raw'!AJ20+'QTR Raw'!AJ19+'QTR Raw'!AJ13+'QTR Raw'!AJ7</f>
        <v>0</v>
      </c>
      <c r="BQ60" s="92">
        <f>+'QTR Raw'!AK20+'QTR Raw'!AK19+'QTR Raw'!AK13+'QTR Raw'!AK7</f>
        <v>0</v>
      </c>
      <c r="BR60" s="92">
        <f>+'QTR Raw'!AL20+'QTR Raw'!AL19+'QTR Raw'!AL13+'QTR Raw'!AL7</f>
        <v>0</v>
      </c>
      <c r="BS60" s="92">
        <f>+'QTR Raw'!AM20+'QTR Raw'!AM19+'QTR Raw'!AM13+'QTR Raw'!AM7</f>
        <v>0</v>
      </c>
      <c r="BT60" s="92">
        <f>+'QTR Raw'!AN20+'QTR Raw'!AN19+'QTR Raw'!AN13+'QTR Raw'!AN7</f>
        <v>0</v>
      </c>
      <c r="BU60" s="92">
        <f>+'QTR Raw'!AO20+'QTR Raw'!AO19+'QTR Raw'!AO13+'QTR Raw'!AO7</f>
        <v>0</v>
      </c>
      <c r="BV60" s="92">
        <f>+'QTR Raw'!AP20+'QTR Raw'!AP19+'QTR Raw'!AP13+'QTR Raw'!AP7</f>
        <v>0</v>
      </c>
      <c r="BW60" s="92">
        <f>+'QTR Raw'!AQ20+'QTR Raw'!AQ19+'QTR Raw'!AQ13+'QTR Raw'!AQ7</f>
        <v>0</v>
      </c>
      <c r="BX60" s="92">
        <f>+'QTR Raw'!AR20+'QTR Raw'!AR19+'QTR Raw'!AR13+'QTR Raw'!AR7</f>
        <v>0</v>
      </c>
      <c r="BY60" s="92">
        <f>+'QTR Raw'!AS20+'QTR Raw'!AS19+'QTR Raw'!AS13+'QTR Raw'!AS7</f>
        <v>0</v>
      </c>
      <c r="BZ60" s="92">
        <f>+'QTR Raw'!AT20+'QTR Raw'!AT19+'QTR Raw'!AT13+'QTR Raw'!AT7</f>
        <v>0</v>
      </c>
      <c r="CA60" s="92">
        <f>+'QTR Raw'!AU20+'QTR Raw'!AU19+'QTR Raw'!AU13+'QTR Raw'!AU7</f>
        <v>0</v>
      </c>
      <c r="CB60" s="92">
        <f>+'QTR Raw'!AV20+'QTR Raw'!AV19+'QTR Raw'!AV13+'QTR Raw'!AV7</f>
        <v>0</v>
      </c>
      <c r="CC60" s="92">
        <f>+'QTR Raw'!AW20+'QTR Raw'!AW19+'QTR Raw'!AW13+'QTR Raw'!AW7</f>
        <v>0</v>
      </c>
      <c r="CD60" s="92">
        <f>+'QTR Raw'!AX20+'QTR Raw'!AX19+'QTR Raw'!AX13+'QTR Raw'!AX7</f>
        <v>0</v>
      </c>
      <c r="CE60" s="92">
        <f>+'QTR Raw'!AY20+'QTR Raw'!AY19+'QTR Raw'!AY13+'QTR Raw'!AY7</f>
        <v>0</v>
      </c>
      <c r="CF60" s="92">
        <f>+'QTR Raw'!AZ20+'QTR Raw'!AZ19+'QTR Raw'!AZ13+'QTR Raw'!AZ7</f>
        <v>0</v>
      </c>
      <c r="CG60" s="92">
        <f>+'QTR Raw'!BA20+'QTR Raw'!BA19+'QTR Raw'!BA13+'QTR Raw'!BA7</f>
        <v>0</v>
      </c>
      <c r="CH60" s="92">
        <f>+'QTR Raw'!BB20+'QTR Raw'!BB19+'QTR Raw'!BB13+'QTR Raw'!BB7</f>
        <v>0</v>
      </c>
      <c r="CI60" s="92">
        <f>+'QTR Raw'!BC20+'QTR Raw'!BC19+'QTR Raw'!BC13+'QTR Raw'!BC7</f>
        <v>0</v>
      </c>
      <c r="CJ60" s="92">
        <f>+'QTR Raw'!BD20+'QTR Raw'!BD19+'QTR Raw'!BD13+'QTR Raw'!BD7</f>
        <v>0</v>
      </c>
      <c r="CK60" s="92">
        <f>+'QTR Raw'!BE20+'QTR Raw'!BE19+'QTR Raw'!BE13+'QTR Raw'!BE7</f>
        <v>0</v>
      </c>
      <c r="CL60" s="92">
        <f>+'QTR Raw'!BF20+'QTR Raw'!BF19+'QTR Raw'!BF13+'QTR Raw'!BF7</f>
        <v>0</v>
      </c>
      <c r="CM60" s="74"/>
      <c r="CN60" s="74"/>
      <c r="CO60" s="74"/>
      <c r="CP60" s="74"/>
      <c r="CQ60" s="74"/>
      <c r="CR60" s="74"/>
      <c r="CS60" s="74"/>
      <c r="CT60" s="74"/>
      <c r="CU60" s="74"/>
      <c r="CV60" s="74"/>
      <c r="CW60" s="74"/>
      <c r="CX60" s="74"/>
      <c r="CY60" s="74"/>
      <c r="CZ60" s="74"/>
      <c r="DA60" s="74"/>
      <c r="DB60" s="74"/>
      <c r="DE60" s="120"/>
      <c r="DF60" s="92">
        <v>0</v>
      </c>
    </row>
    <row r="61" spans="1:111" s="26" customFormat="1" x14ac:dyDescent="0.2">
      <c r="A61" s="26" t="s">
        <v>431</v>
      </c>
      <c r="B61" s="26">
        <f>+B59-B60</f>
        <v>0</v>
      </c>
      <c r="C61" s="26">
        <f>+C59-C60</f>
        <v>0</v>
      </c>
      <c r="D61" s="26">
        <f t="shared" ref="D61:U61" si="283">+D59-D60</f>
        <v>0</v>
      </c>
      <c r="E61" s="26">
        <f t="shared" si="283"/>
        <v>0</v>
      </c>
      <c r="F61" s="26">
        <f t="shared" si="283"/>
        <v>0</v>
      </c>
      <c r="G61" s="26">
        <f t="shared" si="283"/>
        <v>0</v>
      </c>
      <c r="H61" s="26">
        <f t="shared" si="283"/>
        <v>0</v>
      </c>
      <c r="I61" s="26">
        <f t="shared" si="283"/>
        <v>0</v>
      </c>
      <c r="J61" s="26">
        <f t="shared" si="283"/>
        <v>0</v>
      </c>
      <c r="K61" s="26">
        <f t="shared" si="283"/>
        <v>0</v>
      </c>
      <c r="L61" s="26">
        <f t="shared" si="283"/>
        <v>0</v>
      </c>
      <c r="M61" s="26">
        <f t="shared" si="283"/>
        <v>0</v>
      </c>
      <c r="N61" s="26">
        <f t="shared" si="283"/>
        <v>0</v>
      </c>
      <c r="O61" s="26">
        <f t="shared" si="283"/>
        <v>0</v>
      </c>
      <c r="P61" s="26">
        <f t="shared" si="283"/>
        <v>135.34</v>
      </c>
      <c r="Q61" s="26">
        <f t="shared" si="283"/>
        <v>2197.0100000000002</v>
      </c>
      <c r="R61" s="26">
        <f t="shared" si="283"/>
        <v>2875.71</v>
      </c>
      <c r="S61" s="26">
        <f t="shared" si="283"/>
        <v>3944.48</v>
      </c>
      <c r="T61" s="26">
        <f t="shared" si="283"/>
        <v>7305.45</v>
      </c>
      <c r="U61" s="26">
        <f t="shared" si="283"/>
        <v>11415.96</v>
      </c>
      <c r="V61" s="26">
        <f t="shared" ref="V61:AA61" si="284">+V59-V60</f>
        <v>9926.33</v>
      </c>
      <c r="W61" s="26">
        <f t="shared" si="284"/>
        <v>11257.52</v>
      </c>
      <c r="X61" s="26">
        <f t="shared" si="284"/>
        <v>13292.72</v>
      </c>
      <c r="Y61" s="26">
        <f t="shared" si="284"/>
        <v>16607.36</v>
      </c>
      <c r="Z61" s="26">
        <f t="shared" si="284"/>
        <v>23767.09</v>
      </c>
      <c r="AA61" s="26">
        <f t="shared" si="284"/>
        <v>27588.03</v>
      </c>
      <c r="AB61" s="27">
        <f t="shared" ref="AB61:AD61" si="285">+AB59-AB60</f>
        <v>33142.354579639948</v>
      </c>
      <c r="AC61" s="27">
        <f t="shared" si="285"/>
        <v>39712.437662375844</v>
      </c>
      <c r="AD61" s="27">
        <f t="shared" si="285"/>
        <v>46305.484479449369</v>
      </c>
      <c r="AE61" s="27">
        <f t="shared" ref="AE61" si="286">+AE59-AE60</f>
        <v>52359.163108060267</v>
      </c>
      <c r="AI61" s="26">
        <f t="shared" ref="AI61" si="287">+AI59-AI60</f>
        <v>0</v>
      </c>
      <c r="AJ61" s="26">
        <f t="shared" ref="AJ61" si="288">+AJ59-AJ60</f>
        <v>0</v>
      </c>
      <c r="AK61" s="26">
        <f t="shared" ref="AK61:AM61" si="289">+AK59-AK60</f>
        <v>0</v>
      </c>
      <c r="AL61" s="26">
        <f t="shared" si="289"/>
        <v>0</v>
      </c>
      <c r="AM61" s="26">
        <f t="shared" si="289"/>
        <v>0</v>
      </c>
      <c r="AN61" s="26">
        <f t="shared" ref="AN61:AO61" si="290">+AN59-AN60</f>
        <v>0</v>
      </c>
      <c r="AO61" s="26">
        <f t="shared" si="290"/>
        <v>0</v>
      </c>
      <c r="AP61" s="26">
        <f t="shared" ref="AP61:AW61" si="291">+AP59-AP60</f>
        <v>0</v>
      </c>
      <c r="AQ61" s="26">
        <f t="shared" si="291"/>
        <v>0</v>
      </c>
      <c r="AR61" s="26">
        <f t="shared" si="291"/>
        <v>0</v>
      </c>
      <c r="AS61" s="26">
        <f t="shared" si="291"/>
        <v>11.45</v>
      </c>
      <c r="AT61" s="26">
        <f t="shared" si="291"/>
        <v>123.88</v>
      </c>
      <c r="AU61" s="26">
        <f t="shared" si="291"/>
        <v>468.15</v>
      </c>
      <c r="AV61" s="26">
        <f t="shared" si="291"/>
        <v>564.24</v>
      </c>
      <c r="AW61" s="26">
        <f t="shared" si="291"/>
        <v>526.5</v>
      </c>
      <c r="AX61" s="26">
        <f t="shared" ref="AX61:CF61" si="292">+AX59-AX60</f>
        <v>638.12</v>
      </c>
      <c r="AY61" s="26">
        <f t="shared" si="292"/>
        <v>632.01</v>
      </c>
      <c r="AZ61" s="26">
        <f t="shared" si="292"/>
        <v>682.7</v>
      </c>
      <c r="BA61" s="26">
        <f t="shared" si="292"/>
        <v>729.22</v>
      </c>
      <c r="BB61" s="26">
        <f t="shared" si="292"/>
        <v>834.62</v>
      </c>
      <c r="BC61" s="26">
        <f t="shared" si="292"/>
        <v>608.48</v>
      </c>
      <c r="BD61" s="26">
        <f t="shared" si="292"/>
        <v>745.08</v>
      </c>
      <c r="BE61" s="26">
        <f t="shared" si="292"/>
        <v>1780.98</v>
      </c>
      <c r="BF61" s="26">
        <f t="shared" si="292"/>
        <v>809.94</v>
      </c>
      <c r="BG61" s="26">
        <f t="shared" si="292"/>
        <v>620.70000000000005</v>
      </c>
      <c r="BH61" s="26">
        <f t="shared" si="292"/>
        <v>1378.95</v>
      </c>
      <c r="BI61" s="26">
        <f t="shared" si="292"/>
        <v>2743.05</v>
      </c>
      <c r="BJ61" s="26">
        <f t="shared" si="292"/>
        <v>2545.56</v>
      </c>
      <c r="BK61" s="26">
        <f t="shared" si="292"/>
        <v>2858.08</v>
      </c>
      <c r="BL61" s="26">
        <f t="shared" si="292"/>
        <v>2593.4</v>
      </c>
      <c r="BM61" s="26">
        <f t="shared" si="292"/>
        <v>2777.52</v>
      </c>
      <c r="BN61" s="26">
        <f t="shared" si="292"/>
        <v>3186.96</v>
      </c>
      <c r="BO61" s="26">
        <f t="shared" si="292"/>
        <v>2446.5100000000002</v>
      </c>
      <c r="BP61" s="26">
        <f t="shared" si="292"/>
        <v>2156.19</v>
      </c>
      <c r="BQ61" s="26">
        <f t="shared" si="292"/>
        <v>2597.02</v>
      </c>
      <c r="BR61" s="26">
        <f t="shared" si="292"/>
        <v>2726.61</v>
      </c>
      <c r="BS61" s="26">
        <f t="shared" si="292"/>
        <v>2829.65</v>
      </c>
      <c r="BT61" s="26">
        <f t="shared" si="292"/>
        <v>2541.44</v>
      </c>
      <c r="BU61" s="26">
        <f t="shared" si="292"/>
        <v>2911.7</v>
      </c>
      <c r="BV61" s="26">
        <f t="shared" si="292"/>
        <v>2974.73</v>
      </c>
      <c r="BW61" s="26">
        <f t="shared" si="292"/>
        <v>3131.88</v>
      </c>
      <c r="BX61" s="26">
        <f t="shared" si="292"/>
        <v>3251.48</v>
      </c>
      <c r="BY61" s="26">
        <f t="shared" si="292"/>
        <v>3551.7</v>
      </c>
      <c r="BZ61" s="26">
        <f t="shared" si="292"/>
        <v>3357.66</v>
      </c>
      <c r="CA61" s="26">
        <f t="shared" si="292"/>
        <v>3663.91</v>
      </c>
      <c r="CB61" s="26">
        <f t="shared" si="292"/>
        <v>3673.87</v>
      </c>
      <c r="CC61" s="26">
        <f t="shared" si="292"/>
        <v>4562.7299999999996</v>
      </c>
      <c r="CD61" s="26">
        <f t="shared" si="292"/>
        <v>4706.8500000000004</v>
      </c>
      <c r="CE61" s="26">
        <f t="shared" si="292"/>
        <v>5378.55</v>
      </c>
      <c r="CF61" s="26">
        <f t="shared" si="292"/>
        <v>6183.7</v>
      </c>
      <c r="CG61" s="26">
        <f t="shared" ref="CG61:CH61" si="293">+CG59-CG60</f>
        <v>5830.26</v>
      </c>
      <c r="CH61" s="26">
        <f t="shared" si="293"/>
        <v>6374.58</v>
      </c>
      <c r="CI61" s="26">
        <f t="shared" ref="CI61:CJ61" si="294">+CI59-CI60</f>
        <v>6819.28</v>
      </c>
      <c r="CJ61" s="26">
        <f t="shared" si="294"/>
        <v>6595.83</v>
      </c>
      <c r="CK61" s="26">
        <f t="shared" ref="CK61" si="295">+CK59-CK60</f>
        <v>6729.65</v>
      </c>
      <c r="CL61" s="26">
        <f t="shared" ref="CL61" si="296">+CL59-CL60</f>
        <v>7443.27</v>
      </c>
      <c r="CM61" s="27">
        <f t="shared" ref="CM61:DB61" si="297">+CM59-CM60</f>
        <v>8049.9811634054568</v>
      </c>
      <c r="CN61" s="27">
        <f t="shared" si="297"/>
        <v>7945.8688908454933</v>
      </c>
      <c r="CO61" s="27">
        <f t="shared" si="297"/>
        <v>8369.5374210238297</v>
      </c>
      <c r="CP61" s="27">
        <f t="shared" si="297"/>
        <v>8776.967104365167</v>
      </c>
      <c r="CQ61" s="27">
        <f t="shared" si="297"/>
        <v>9546.1570739516974</v>
      </c>
      <c r="CR61" s="27">
        <f t="shared" si="297"/>
        <v>9558.7192438152506</v>
      </c>
      <c r="CS61" s="27">
        <f t="shared" si="297"/>
        <v>9997.1939192972059</v>
      </c>
      <c r="CT61" s="27">
        <f t="shared" si="297"/>
        <v>10610.367425311688</v>
      </c>
      <c r="CU61" s="27">
        <f t="shared" si="297"/>
        <v>11125.1092323065</v>
      </c>
      <c r="CV61" s="27">
        <f t="shared" si="297"/>
        <v>11052.426893019559</v>
      </c>
      <c r="CW61" s="27">
        <f t="shared" si="297"/>
        <v>11911.989477388803</v>
      </c>
      <c r="CX61" s="27">
        <f t="shared" si="297"/>
        <v>12215.958876734507</v>
      </c>
      <c r="CY61" s="27">
        <f t="shared" si="297"/>
        <v>12688.690556649353</v>
      </c>
      <c r="CZ61" s="27">
        <f t="shared" si="297"/>
        <v>12682.433311669094</v>
      </c>
      <c r="DA61" s="27">
        <f t="shared" si="297"/>
        <v>13184.562707557821</v>
      </c>
      <c r="DB61" s="27">
        <f t="shared" si="297"/>
        <v>13803.476532183997</v>
      </c>
      <c r="DE61" s="121"/>
      <c r="DF61" s="26">
        <v>0</v>
      </c>
      <c r="DG61" s="26">
        <v>7141.8936006667955</v>
      </c>
    </row>
    <row r="62" spans="1:111" s="39" customFormat="1" x14ac:dyDescent="0.2">
      <c r="A62" s="39" t="s">
        <v>484</v>
      </c>
      <c r="C62" s="39" t="e">
        <f t="shared" ref="C62" si="298">C61/B61-1</f>
        <v>#DIV/0!</v>
      </c>
      <c r="D62" s="39" t="e">
        <f t="shared" ref="D62" si="299">D61/C61-1</f>
        <v>#DIV/0!</v>
      </c>
      <c r="E62" s="39" t="e">
        <f t="shared" ref="E62" si="300">E61/D61-1</f>
        <v>#DIV/0!</v>
      </c>
      <c r="F62" s="39" t="e">
        <f t="shared" ref="F62:R62" si="301">F61/E61-1</f>
        <v>#DIV/0!</v>
      </c>
      <c r="G62" s="39" t="e">
        <f t="shared" si="301"/>
        <v>#DIV/0!</v>
      </c>
      <c r="H62" s="39" t="e">
        <f t="shared" si="301"/>
        <v>#DIV/0!</v>
      </c>
      <c r="I62" s="39" t="e">
        <f t="shared" si="301"/>
        <v>#DIV/0!</v>
      </c>
      <c r="J62" s="39" t="e">
        <f t="shared" si="301"/>
        <v>#DIV/0!</v>
      </c>
      <c r="K62" s="39" t="e">
        <f>K61/J61-1</f>
        <v>#DIV/0!</v>
      </c>
      <c r="L62" s="39" t="e">
        <f t="shared" si="301"/>
        <v>#DIV/0!</v>
      </c>
      <c r="M62" s="39" t="e">
        <f t="shared" si="301"/>
        <v>#DIV/0!</v>
      </c>
      <c r="N62" s="39" t="e">
        <f t="shared" si="301"/>
        <v>#DIV/0!</v>
      </c>
      <c r="O62" s="39" t="e">
        <f t="shared" si="301"/>
        <v>#DIV/0!</v>
      </c>
      <c r="P62" s="39" t="e">
        <f t="shared" si="301"/>
        <v>#DIV/0!</v>
      </c>
      <c r="Q62" s="39">
        <f t="shared" si="301"/>
        <v>15.233264371213242</v>
      </c>
      <c r="R62" s="39">
        <f t="shared" si="301"/>
        <v>0.30891985015999013</v>
      </c>
      <c r="S62" s="39">
        <f t="shared" ref="S62:Y62" si="302">S61/R61-1</f>
        <v>0.3716543045021925</v>
      </c>
      <c r="T62" s="39">
        <f t="shared" si="302"/>
        <v>0.85206922078448866</v>
      </c>
      <c r="U62" s="39">
        <f t="shared" si="302"/>
        <v>0.56266349095538248</v>
      </c>
      <c r="V62" s="39">
        <f t="shared" si="302"/>
        <v>-0.13048661698183939</v>
      </c>
      <c r="W62" s="39">
        <f t="shared" si="302"/>
        <v>0.13410696601865957</v>
      </c>
      <c r="X62" s="39">
        <f t="shared" si="302"/>
        <v>0.18078582138872501</v>
      </c>
      <c r="Y62" s="39">
        <f t="shared" si="302"/>
        <v>0.24935754307621028</v>
      </c>
      <c r="Z62" s="39">
        <f>Z61/Y61-1</f>
        <v>0.43111788989941813</v>
      </c>
      <c r="AA62" s="39">
        <f>AA61/Z61-1</f>
        <v>0.16076600038119926</v>
      </c>
      <c r="AB62" s="40">
        <f t="shared" ref="AB62" si="303">AB61/AA61-1</f>
        <v>0.20133096055209276</v>
      </c>
      <c r="AC62" s="40">
        <f t="shared" ref="AC62" si="304">AC61/AB61-1</f>
        <v>0.19823827142239425</v>
      </c>
      <c r="AD62" s="40">
        <f t="shared" ref="AD62" si="305">AD61/AC61-1</f>
        <v>0.16601969572167263</v>
      </c>
      <c r="AE62" s="40">
        <f t="shared" ref="AE62" si="306">AE61/AD61-1</f>
        <v>0.1307335123833453</v>
      </c>
      <c r="AM62" s="39" t="e">
        <f t="shared" ref="AM62:CI62" si="307">+IF(AI61&lt;0,1-AM61/AI61,AM61/AI61-1)</f>
        <v>#DIV/0!</v>
      </c>
      <c r="AN62" s="39" t="e">
        <f t="shared" si="307"/>
        <v>#DIV/0!</v>
      </c>
      <c r="AO62" s="39" t="e">
        <f t="shared" si="307"/>
        <v>#DIV/0!</v>
      </c>
      <c r="AP62" s="39" t="e">
        <f t="shared" si="307"/>
        <v>#DIV/0!</v>
      </c>
      <c r="AQ62" s="39" t="e">
        <f t="shared" si="307"/>
        <v>#DIV/0!</v>
      </c>
      <c r="AR62" s="39" t="e">
        <f t="shared" si="307"/>
        <v>#DIV/0!</v>
      </c>
      <c r="AS62" s="39" t="e">
        <f t="shared" si="307"/>
        <v>#DIV/0!</v>
      </c>
      <c r="AT62" s="39" t="e">
        <f t="shared" si="307"/>
        <v>#DIV/0!</v>
      </c>
      <c r="AU62" s="39" t="e">
        <f t="shared" si="307"/>
        <v>#DIV/0!</v>
      </c>
      <c r="AV62" s="39" t="e">
        <f t="shared" si="307"/>
        <v>#DIV/0!</v>
      </c>
      <c r="AW62" s="39">
        <f t="shared" si="307"/>
        <v>44.982532751091703</v>
      </c>
      <c r="AX62" s="39">
        <f t="shared" si="307"/>
        <v>4.1511139812721991</v>
      </c>
      <c r="AY62" s="39">
        <f t="shared" si="307"/>
        <v>0.35001602050624814</v>
      </c>
      <c r="AZ62" s="39">
        <f t="shared" si="307"/>
        <v>0.20994612221749609</v>
      </c>
      <c r="BA62" s="39">
        <f t="shared" si="307"/>
        <v>0.38503323836657177</v>
      </c>
      <c r="BB62" s="39">
        <f t="shared" si="307"/>
        <v>0.30793581144612303</v>
      </c>
      <c r="BC62" s="39">
        <f t="shared" si="307"/>
        <v>-3.7230423569247328E-2</v>
      </c>
      <c r="BD62" s="39">
        <f t="shared" si="307"/>
        <v>9.1372491577559778E-2</v>
      </c>
      <c r="BE62" s="39">
        <f t="shared" si="307"/>
        <v>1.4423082197416415</v>
      </c>
      <c r="BF62" s="39">
        <f t="shared" si="307"/>
        <v>-2.9570343389806131E-2</v>
      </c>
      <c r="BG62" s="39">
        <f t="shared" si="307"/>
        <v>2.0082829345253739E-2</v>
      </c>
      <c r="BH62" s="39">
        <f t="shared" si="307"/>
        <v>0.85074086004187466</v>
      </c>
      <c r="BI62" s="39">
        <f t="shared" si="307"/>
        <v>0.54019135532122764</v>
      </c>
      <c r="BJ62" s="39">
        <f t="shared" si="307"/>
        <v>2.1428994740351133</v>
      </c>
      <c r="BK62" s="39">
        <f t="shared" si="307"/>
        <v>3.6046077009827613</v>
      </c>
      <c r="BL62" s="39">
        <f t="shared" si="307"/>
        <v>0.880706334529896</v>
      </c>
      <c r="BM62" s="39">
        <f t="shared" si="307"/>
        <v>1.256630393175473E-2</v>
      </c>
      <c r="BN62" s="39">
        <f t="shared" si="307"/>
        <v>0.25196813274878616</v>
      </c>
      <c r="BO62" s="39">
        <f t="shared" si="307"/>
        <v>-0.1440022672563398</v>
      </c>
      <c r="BP62" s="39">
        <f t="shared" si="307"/>
        <v>-0.16858564047196734</v>
      </c>
      <c r="BQ62" s="39">
        <f t="shared" si="307"/>
        <v>-6.4986030703649278E-2</v>
      </c>
      <c r="BR62" s="39">
        <f t="shared" si="307"/>
        <v>-0.144448000602455</v>
      </c>
      <c r="BS62" s="39">
        <f t="shared" si="307"/>
        <v>0.15660675819841319</v>
      </c>
      <c r="BT62" s="39">
        <f t="shared" si="307"/>
        <v>0.17867163839921352</v>
      </c>
      <c r="BU62" s="39">
        <f t="shared" si="307"/>
        <v>0.12116964828919286</v>
      </c>
      <c r="BV62" s="39">
        <f t="shared" si="307"/>
        <v>9.0999446198759548E-2</v>
      </c>
      <c r="BW62" s="39">
        <f t="shared" si="307"/>
        <v>0.10680826250596365</v>
      </c>
      <c r="BX62" s="39">
        <f t="shared" si="307"/>
        <v>0.27938491563837831</v>
      </c>
      <c r="BY62" s="39">
        <f t="shared" si="307"/>
        <v>0.21980286430607543</v>
      </c>
      <c r="BZ62" s="39">
        <f t="shared" si="307"/>
        <v>0.12872764923203106</v>
      </c>
      <c r="CA62" s="39">
        <f t="shared" si="307"/>
        <v>0.16987560187491213</v>
      </c>
      <c r="CB62" s="39">
        <f t="shared" si="307"/>
        <v>0.12990699619865409</v>
      </c>
      <c r="CC62" s="39">
        <f t="shared" si="307"/>
        <v>0.28466086662724877</v>
      </c>
      <c r="CD62" s="39">
        <f t="shared" si="307"/>
        <v>0.40182448490913325</v>
      </c>
      <c r="CE62" s="39">
        <f t="shared" si="307"/>
        <v>0.46798092747911402</v>
      </c>
      <c r="CF62" s="39">
        <f t="shared" si="307"/>
        <v>0.6831569979340586</v>
      </c>
      <c r="CG62" s="39">
        <f t="shared" si="307"/>
        <v>0.27780079031632399</v>
      </c>
      <c r="CH62" s="39">
        <f t="shared" si="307"/>
        <v>0.35431976799770526</v>
      </c>
      <c r="CI62" s="39">
        <f t="shared" si="307"/>
        <v>0.26786587463163847</v>
      </c>
      <c r="CJ62" s="39">
        <f>+IF(CF61&lt;0,1-CJ61/CF61,CJ61/CF61-1)</f>
        <v>6.6647799860924728E-2</v>
      </c>
      <c r="CK62" s="39">
        <f>+IF(CG61&lt;0,1-CK61/CG61,CK61/CG61-1)</f>
        <v>0.15426241711347344</v>
      </c>
      <c r="CL62" s="39">
        <f>+IF(CH61&lt;0,1-CL61/CH61,CL61/CH61-1)</f>
        <v>0.16764869214912981</v>
      </c>
      <c r="CM62" s="40">
        <f>+AVERAGE(CI62:CL62)+5%</f>
        <v>0.2141061959387916</v>
      </c>
      <c r="CN62" s="40">
        <f t="shared" ref="CN62:CP62" si="308">+AVERAGE(CJ62:CM62)+5%</f>
        <v>0.20066627626557987</v>
      </c>
      <c r="CO62" s="40">
        <f t="shared" si="308"/>
        <v>0.23417089536674368</v>
      </c>
      <c r="CP62" s="40">
        <f t="shared" si="308"/>
        <v>0.25414801493006123</v>
      </c>
      <c r="CQ62" s="40">
        <f>+AVERAGE(CM62:CP62)-12%</f>
        <v>0.1057728456252941</v>
      </c>
      <c r="CR62" s="40">
        <f t="shared" ref="CR62:CT62" si="309">+AVERAGE(CN62:CQ62)-12%</f>
        <v>7.8689508046919737E-2</v>
      </c>
      <c r="CS62" s="40">
        <f t="shared" si="309"/>
        <v>4.8195315992254711E-2</v>
      </c>
      <c r="CT62" s="40">
        <f t="shared" si="309"/>
        <v>1.7014211486324482E-3</v>
      </c>
      <c r="CU62" s="40">
        <f t="shared" ref="CU62" si="310">+AVERAGE(CQ62:CT62)</f>
        <v>5.8589772703275249E-2</v>
      </c>
      <c r="CV62" s="40">
        <f t="shared" ref="CV62" si="311">+AVERAGE(CR62:CU62)</f>
        <v>4.6794004472770538E-2</v>
      </c>
      <c r="CW62" s="40">
        <f t="shared" ref="CW62" si="312">+AVERAGE(CS62:CV62)</f>
        <v>3.882012857923324E-2</v>
      </c>
      <c r="CX62" s="40">
        <f t="shared" ref="CX62" si="313">+AVERAGE(CT62:CW62)</f>
        <v>3.6476331725977869E-2</v>
      </c>
      <c r="CY62" s="40">
        <f t="shared" ref="CY62" si="314">+AVERAGE(CU62:CX62)</f>
        <v>4.5170059370314222E-2</v>
      </c>
      <c r="CZ62" s="40">
        <f t="shared" ref="CZ62" si="315">+AVERAGE(CV62:CY62)</f>
        <v>4.181513103707396E-2</v>
      </c>
      <c r="DA62" s="40">
        <f t="shared" ref="DA62" si="316">+AVERAGE(CW62:CZ62)</f>
        <v>4.0570412678149828E-2</v>
      </c>
      <c r="DB62" s="40">
        <f t="shared" ref="DB62" si="317">+AVERAGE(CX62:DA62)</f>
        <v>4.1007983702878975E-2</v>
      </c>
      <c r="DE62" s="122"/>
      <c r="DF62" s="39" t="e">
        <v>#DIV/0!</v>
      </c>
      <c r="DG62" s="39">
        <v>0.21077396490093547</v>
      </c>
    </row>
    <row r="63" spans="1:111" s="39" customFormat="1" x14ac:dyDescent="0.2">
      <c r="A63" s="39" t="s">
        <v>446</v>
      </c>
      <c r="AB63" s="40"/>
      <c r="AC63" s="40"/>
      <c r="AD63" s="40"/>
      <c r="AE63" s="40"/>
      <c r="AJ63" s="39" t="e">
        <f t="shared" ref="AJ63:AL63" si="318">+IF(AI61&lt;0,1-AJ61/AI61,AJ61/AI61-1)</f>
        <v>#DIV/0!</v>
      </c>
      <c r="AK63" s="39" t="e">
        <f t="shared" si="318"/>
        <v>#DIV/0!</v>
      </c>
      <c r="AL63" s="39" t="e">
        <f t="shared" si="318"/>
        <v>#DIV/0!</v>
      </c>
      <c r="AM63" s="39" t="e">
        <f t="shared" ref="AM63:CI63" si="319">+IF(AL61&lt;0,1-AM61/AL61,AM61/AL61-1)</f>
        <v>#DIV/0!</v>
      </c>
      <c r="AN63" s="39" t="e">
        <f t="shared" si="319"/>
        <v>#DIV/0!</v>
      </c>
      <c r="AO63" s="39" t="e">
        <f t="shared" si="319"/>
        <v>#DIV/0!</v>
      </c>
      <c r="AP63" s="39" t="e">
        <f t="shared" si="319"/>
        <v>#DIV/0!</v>
      </c>
      <c r="AQ63" s="39" t="e">
        <f t="shared" si="319"/>
        <v>#DIV/0!</v>
      </c>
      <c r="AR63" s="39" t="e">
        <f t="shared" si="319"/>
        <v>#DIV/0!</v>
      </c>
      <c r="AS63" s="39" t="e">
        <f t="shared" si="319"/>
        <v>#DIV/0!</v>
      </c>
      <c r="AT63" s="39">
        <f t="shared" si="319"/>
        <v>9.8192139737991262</v>
      </c>
      <c r="AU63" s="39">
        <f t="shared" si="319"/>
        <v>2.7790603810138843</v>
      </c>
      <c r="AV63" s="39">
        <f t="shared" si="319"/>
        <v>0.20525472604934314</v>
      </c>
      <c r="AW63" s="39">
        <f t="shared" si="319"/>
        <v>-6.6886431305827276E-2</v>
      </c>
      <c r="AX63" s="39">
        <f t="shared" si="319"/>
        <v>0.21200379867046526</v>
      </c>
      <c r="AY63" s="39">
        <f t="shared" si="319"/>
        <v>-9.5750015671033362E-3</v>
      </c>
      <c r="AZ63" s="39">
        <f t="shared" si="319"/>
        <v>8.0204427145140089E-2</v>
      </c>
      <c r="BA63" s="39">
        <f t="shared" si="319"/>
        <v>6.8141204042771353E-2</v>
      </c>
      <c r="BB63" s="39">
        <f t="shared" si="319"/>
        <v>0.14453799950632185</v>
      </c>
      <c r="BC63" s="39">
        <f t="shared" si="319"/>
        <v>-0.27094965373463376</v>
      </c>
      <c r="BD63" s="39">
        <f t="shared" si="319"/>
        <v>0.2244938206678937</v>
      </c>
      <c r="BE63" s="39">
        <f t="shared" si="319"/>
        <v>1.3903205024963761</v>
      </c>
      <c r="BF63" s="39">
        <f t="shared" si="319"/>
        <v>-0.54522790823030021</v>
      </c>
      <c r="BG63" s="39">
        <f t="shared" si="319"/>
        <v>-0.23364693681013404</v>
      </c>
      <c r="BH63" s="39">
        <f t="shared" si="319"/>
        <v>1.2216046399226679</v>
      </c>
      <c r="BI63" s="39">
        <f t="shared" si="319"/>
        <v>0.98923093658218209</v>
      </c>
      <c r="BJ63" s="39">
        <f t="shared" si="319"/>
        <v>-7.1996500246076511E-2</v>
      </c>
      <c r="BK63" s="39">
        <f t="shared" si="319"/>
        <v>0.12277062807397976</v>
      </c>
      <c r="BL63" s="39">
        <f t="shared" si="319"/>
        <v>-9.2607624699098667E-2</v>
      </c>
      <c r="BM63" s="39">
        <f t="shared" si="319"/>
        <v>7.0995604226112397E-2</v>
      </c>
      <c r="BN63" s="39">
        <f t="shared" si="319"/>
        <v>0.14741207984100924</v>
      </c>
      <c r="BO63" s="39">
        <f t="shared" si="319"/>
        <v>-0.23233739990461122</v>
      </c>
      <c r="BP63" s="39">
        <f t="shared" si="319"/>
        <v>-0.11866699911302225</v>
      </c>
      <c r="BQ63" s="39">
        <f t="shared" si="319"/>
        <v>0.20444858755490003</v>
      </c>
      <c r="BR63" s="39">
        <f t="shared" si="319"/>
        <v>4.9899500196378899E-2</v>
      </c>
      <c r="BS63" s="39">
        <f t="shared" si="319"/>
        <v>3.7790516428825471E-2</v>
      </c>
      <c r="BT63" s="39">
        <f t="shared" si="319"/>
        <v>-0.10185358613256057</v>
      </c>
      <c r="BU63" s="39">
        <f t="shared" si="319"/>
        <v>0.14568905817174516</v>
      </c>
      <c r="BV63" s="39">
        <f t="shared" si="319"/>
        <v>2.16471477143938E-2</v>
      </c>
      <c r="BW63" s="39">
        <f t="shared" si="319"/>
        <v>5.2828323915111719E-2</v>
      </c>
      <c r="BX63" s="39">
        <f t="shared" si="319"/>
        <v>3.8187925463299965E-2</v>
      </c>
      <c r="BY63" s="39">
        <f t="shared" si="319"/>
        <v>9.2333337434030049E-2</v>
      </c>
      <c r="BZ63" s="39">
        <f t="shared" si="319"/>
        <v>-5.4632992651406309E-2</v>
      </c>
      <c r="CA63" s="39">
        <f t="shared" si="319"/>
        <v>9.1209354133533482E-2</v>
      </c>
      <c r="CB63" s="39">
        <f t="shared" si="319"/>
        <v>2.7184073844608303E-3</v>
      </c>
      <c r="CC63" s="39">
        <f t="shared" si="319"/>
        <v>0.24194105942779687</v>
      </c>
      <c r="CD63" s="39">
        <f t="shared" si="319"/>
        <v>3.1586352907141402E-2</v>
      </c>
      <c r="CE63" s="39">
        <f t="shared" si="319"/>
        <v>0.1427069058924757</v>
      </c>
      <c r="CF63" s="39">
        <f t="shared" si="319"/>
        <v>0.14969647953444687</v>
      </c>
      <c r="CG63" s="39">
        <f t="shared" si="319"/>
        <v>-5.7156718469524637E-2</v>
      </c>
      <c r="CH63" s="39">
        <f t="shared" si="319"/>
        <v>9.3361188008767915E-2</v>
      </c>
      <c r="CI63" s="39">
        <f t="shared" si="319"/>
        <v>6.9761458794147968E-2</v>
      </c>
      <c r="CJ63" s="39">
        <f>+IF(CI61&lt;0,1-CJ61/CI61,CJ61/CI61-1)</f>
        <v>-3.276738893255593E-2</v>
      </c>
      <c r="CK63" s="39">
        <f>+IF(CJ61&lt;0,1-CK61/CJ61,CK61/CJ61-1)</f>
        <v>2.0288576267126324E-2</v>
      </c>
      <c r="CL63" s="39">
        <f>+IF(CK61&lt;0,1-CL61/CK61,CL61/CK61-1)</f>
        <v>0.10604117598983609</v>
      </c>
      <c r="CM63" s="40">
        <f t="shared" ref="CM63" si="320">+CM61/CL61-1</f>
        <v>8.1511373818960786E-2</v>
      </c>
      <c r="CN63" s="40">
        <f t="shared" ref="CN63" si="321">+CN61/CM61-1</f>
        <v>-1.2933231823354929E-2</v>
      </c>
      <c r="CO63" s="40">
        <f t="shared" ref="CO63" si="322">+CO61/CN61-1</f>
        <v>5.3319345687474096E-2</v>
      </c>
      <c r="CP63" s="40">
        <f t="shared" ref="CP63" si="323">+CP61/CO61-1</f>
        <v>4.8680071889982246E-2</v>
      </c>
      <c r="CQ63" s="40">
        <f t="shared" ref="CQ63" si="324">+CQ61/CP61-1</f>
        <v>8.7637330804621438E-2</v>
      </c>
      <c r="CR63" s="40">
        <f t="shared" ref="CR63" si="325">+CR61/CQ61-1</f>
        <v>1.3159399920028569E-3</v>
      </c>
      <c r="CS63" s="40">
        <f t="shared" ref="CS63" si="326">+CS61/CR61-1</f>
        <v>4.587169727426188E-2</v>
      </c>
      <c r="CT63" s="40">
        <f t="shared" ref="CT63" si="327">+CT61/CS61-1</f>
        <v>6.1334561574412971E-2</v>
      </c>
      <c r="CU63" s="40">
        <f t="shared" ref="CU63" si="328">+CU61/CT61-1</f>
        <v>4.8513099156855199E-2</v>
      </c>
      <c r="CV63" s="40">
        <f t="shared" ref="CV63" si="329">+CV61/CU61-1</f>
        <v>-6.5331798339450797E-3</v>
      </c>
      <c r="CW63" s="40">
        <f t="shared" ref="CW63" si="330">+CW61/CV61-1</f>
        <v>7.7771388373726547E-2</v>
      </c>
      <c r="CX63" s="40">
        <f t="shared" ref="CX63" si="331">+CX61/CW61-1</f>
        <v>2.5517937194512674E-2</v>
      </c>
      <c r="CY63" s="40">
        <f t="shared" ref="CY63" si="332">+CY61/CX61-1</f>
        <v>3.8697877480184717E-2</v>
      </c>
      <c r="CZ63" s="40">
        <f t="shared" ref="CZ63" si="333">+CZ61/CY61-1</f>
        <v>-4.9313559601149581E-4</v>
      </c>
      <c r="DA63" s="40">
        <f t="shared" ref="DA63" si="334">+DA61/CZ61-1</f>
        <v>3.9592512221350962E-2</v>
      </c>
      <c r="DB63" s="40">
        <f t="shared" ref="DB63" si="335">+DB61/DA61-1</f>
        <v>4.6942309605110699E-2</v>
      </c>
      <c r="DE63" s="122"/>
      <c r="DG63" s="39">
        <v>6.125780696868266E-2</v>
      </c>
    </row>
    <row r="64" spans="1:111" s="23" customFormat="1" outlineLevel="1" x14ac:dyDescent="0.2">
      <c r="A64" s="23" t="s">
        <v>2</v>
      </c>
      <c r="B64" s="23">
        <f>'Annual Raw'!C11</f>
        <v>0</v>
      </c>
      <c r="C64" s="23">
        <f>'Annual Raw'!D11</f>
        <v>0</v>
      </c>
      <c r="D64" s="23">
        <f>'Annual Raw'!E11</f>
        <v>0</v>
      </c>
      <c r="E64" s="23">
        <f>'Annual Raw'!F11</f>
        <v>0</v>
      </c>
      <c r="F64" s="23">
        <f>'Annual Raw'!G11</f>
        <v>0</v>
      </c>
      <c r="G64" s="23">
        <f>'Annual Raw'!H11</f>
        <v>0</v>
      </c>
      <c r="H64" s="23">
        <f>'Annual Raw'!I11</f>
        <v>0</v>
      </c>
      <c r="I64" s="23">
        <f>'Annual Raw'!J11</f>
        <v>0</v>
      </c>
      <c r="J64" s="23">
        <f>'Annual Raw'!K11</f>
        <v>0</v>
      </c>
      <c r="K64" s="23">
        <f>'Annual Raw'!L11</f>
        <v>0</v>
      </c>
      <c r="L64" s="23">
        <f>'Annual Raw'!M11</f>
        <v>0</v>
      </c>
      <c r="M64" s="23">
        <f>'Annual Raw'!N11</f>
        <v>0</v>
      </c>
      <c r="N64" s="23">
        <f>'Annual Raw'!O11</f>
        <v>0</v>
      </c>
      <c r="O64" s="23">
        <f>'Annual Raw'!P11</f>
        <v>0</v>
      </c>
      <c r="P64" s="23">
        <f>'Annual Raw'!Q11</f>
        <v>0</v>
      </c>
      <c r="Q64" s="23">
        <f>'Annual Raw'!R11</f>
        <v>0</v>
      </c>
      <c r="R64" s="23">
        <f>'Annual Raw'!S11</f>
        <v>0</v>
      </c>
      <c r="S64" s="23">
        <f>'Annual Raw'!T11</f>
        <v>0</v>
      </c>
      <c r="T64" s="23">
        <f>'Annual Raw'!U11</f>
        <v>0</v>
      </c>
      <c r="U64" s="23">
        <f>'Annual Raw'!V11</f>
        <v>0</v>
      </c>
      <c r="V64" s="23">
        <f>'Annual Raw'!W11</f>
        <v>0</v>
      </c>
      <c r="W64" s="23">
        <f>'Annual Raw'!X11</f>
        <v>0</v>
      </c>
      <c r="X64" s="23">
        <f>'Annual Raw'!Y11</f>
        <v>0</v>
      </c>
      <c r="Y64" s="23">
        <f>'Annual Raw'!Z11</f>
        <v>0</v>
      </c>
      <c r="Z64" s="23">
        <f>'Annual Raw'!AA11</f>
        <v>0</v>
      </c>
      <c r="AA64" s="23">
        <f>'Annual Raw'!AB11</f>
        <v>0</v>
      </c>
      <c r="AB64" s="76">
        <f>+SUM(CM64:CP64)</f>
        <v>0</v>
      </c>
      <c r="AC64" s="76">
        <f>+SUM(CQ64:CT64)</f>
        <v>0</v>
      </c>
      <c r="AD64" s="76">
        <f>+SUM(CU64:CX64)</f>
        <v>0</v>
      </c>
      <c r="AE64" s="76">
        <f>+SUM(CY64:DB64)</f>
        <v>0</v>
      </c>
      <c r="AI64" s="23">
        <f>'QTR Raw'!C10</f>
        <v>0</v>
      </c>
      <c r="AJ64" s="23">
        <f>'QTR Raw'!D10</f>
        <v>0</v>
      </c>
      <c r="AK64" s="23">
        <f>'QTR Raw'!E10</f>
        <v>0</v>
      </c>
      <c r="AL64" s="23">
        <f>'QTR Raw'!F10</f>
        <v>0</v>
      </c>
      <c r="AM64" s="23">
        <f>'QTR Raw'!G10</f>
        <v>0</v>
      </c>
      <c r="AN64" s="23">
        <f>'QTR Raw'!H10</f>
        <v>0</v>
      </c>
      <c r="AO64" s="23">
        <f>'QTR Raw'!I10</f>
        <v>0</v>
      </c>
      <c r="AP64" s="23">
        <f>'QTR Raw'!J10</f>
        <v>0</v>
      </c>
      <c r="AQ64" s="23">
        <f>'QTR Raw'!K10</f>
        <v>0</v>
      </c>
      <c r="AR64" s="23">
        <f>'QTR Raw'!L10</f>
        <v>0</v>
      </c>
      <c r="AS64" s="23">
        <f>'QTR Raw'!M10</f>
        <v>0</v>
      </c>
      <c r="AT64" s="23">
        <f>'QTR Raw'!N10</f>
        <v>0</v>
      </c>
      <c r="AU64" s="23">
        <f>'QTR Raw'!O10</f>
        <v>0</v>
      </c>
      <c r="AV64" s="23">
        <f>'QTR Raw'!P10</f>
        <v>0</v>
      </c>
      <c r="AW64" s="23">
        <f>'QTR Raw'!Q10</f>
        <v>0</v>
      </c>
      <c r="AX64" s="23">
        <f>'QTR Raw'!R10</f>
        <v>0</v>
      </c>
      <c r="AY64" s="23">
        <f>'QTR Raw'!S10</f>
        <v>0</v>
      </c>
      <c r="AZ64" s="23">
        <f>'QTR Raw'!T10</f>
        <v>0</v>
      </c>
      <c r="BA64" s="23">
        <f>'QTR Raw'!U10</f>
        <v>0</v>
      </c>
      <c r="BB64" s="23">
        <f>'QTR Raw'!V10</f>
        <v>0</v>
      </c>
      <c r="BC64" s="23">
        <f>'QTR Raw'!W10</f>
        <v>0</v>
      </c>
      <c r="BD64" s="23">
        <f>'QTR Raw'!X10</f>
        <v>0</v>
      </c>
      <c r="BE64" s="23">
        <f>'QTR Raw'!Y10</f>
        <v>0</v>
      </c>
      <c r="BF64" s="23">
        <f>'QTR Raw'!Z10</f>
        <v>0</v>
      </c>
      <c r="BG64" s="23">
        <f>'QTR Raw'!AA10</f>
        <v>0</v>
      </c>
      <c r="BH64" s="23">
        <f>'QTR Raw'!AB10</f>
        <v>0</v>
      </c>
      <c r="BI64" s="23">
        <f>'QTR Raw'!AC10</f>
        <v>0</v>
      </c>
      <c r="BJ64" s="23">
        <f>'QTR Raw'!AD10</f>
        <v>0</v>
      </c>
      <c r="BK64" s="23">
        <f>'QTR Raw'!AE10</f>
        <v>0</v>
      </c>
      <c r="BL64" s="23">
        <f>'QTR Raw'!AF10</f>
        <v>0</v>
      </c>
      <c r="BM64" s="23">
        <f>'QTR Raw'!AG10</f>
        <v>0</v>
      </c>
      <c r="BN64" s="23">
        <f>'QTR Raw'!AH10</f>
        <v>0</v>
      </c>
      <c r="BO64" s="23">
        <f>'QTR Raw'!AI10</f>
        <v>0</v>
      </c>
      <c r="BP64" s="23">
        <f>'QTR Raw'!AJ10</f>
        <v>0</v>
      </c>
      <c r="BQ64" s="23">
        <f>'QTR Raw'!AK10</f>
        <v>0</v>
      </c>
      <c r="BR64" s="23">
        <f>'QTR Raw'!AL10</f>
        <v>0</v>
      </c>
      <c r="BS64" s="23">
        <f>'QTR Raw'!AM10</f>
        <v>0</v>
      </c>
      <c r="BT64" s="23">
        <f>'QTR Raw'!AN10</f>
        <v>0</v>
      </c>
      <c r="BU64" s="23">
        <f>'QTR Raw'!AO10</f>
        <v>0</v>
      </c>
      <c r="BV64" s="23">
        <f>'QTR Raw'!AP10</f>
        <v>0</v>
      </c>
      <c r="BW64" s="23">
        <f>'QTR Raw'!AQ10</f>
        <v>0</v>
      </c>
      <c r="BX64" s="23">
        <f>'QTR Raw'!AR10</f>
        <v>0</v>
      </c>
      <c r="BY64" s="23">
        <f>'QTR Raw'!AS10</f>
        <v>0</v>
      </c>
      <c r="BZ64" s="23">
        <f>'QTR Raw'!AT10</f>
        <v>0</v>
      </c>
      <c r="CA64" s="23">
        <f>'QTR Raw'!AU10</f>
        <v>0</v>
      </c>
      <c r="CB64" s="23">
        <f>'QTR Raw'!AV10</f>
        <v>0</v>
      </c>
      <c r="CC64" s="23">
        <f>'QTR Raw'!AW10</f>
        <v>0</v>
      </c>
      <c r="CD64" s="23">
        <f>'QTR Raw'!AX10</f>
        <v>0</v>
      </c>
      <c r="CE64" s="23">
        <f>'QTR Raw'!AY10</f>
        <v>0</v>
      </c>
      <c r="CF64" s="23">
        <f>'QTR Raw'!AZ10</f>
        <v>0</v>
      </c>
      <c r="CG64" s="23">
        <f>'QTR Raw'!BA10</f>
        <v>0</v>
      </c>
      <c r="CH64" s="23">
        <f>'QTR Raw'!BB10</f>
        <v>0</v>
      </c>
      <c r="CI64" s="23">
        <f>'QTR Raw'!BC10</f>
        <v>0</v>
      </c>
      <c r="CJ64" s="23">
        <f>'QTR Raw'!BD10</f>
        <v>0</v>
      </c>
      <c r="CK64" s="23">
        <f>'QTR Raw'!BE10</f>
        <v>0</v>
      </c>
      <c r="CL64" s="23">
        <f>'QTR Raw'!BF10</f>
        <v>0</v>
      </c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E64" s="123"/>
      <c r="DF64" s="23">
        <v>0</v>
      </c>
    </row>
    <row r="65" spans="1:111" s="23" customFormat="1" outlineLevel="1" x14ac:dyDescent="0.2">
      <c r="A65" s="23" t="s">
        <v>3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76">
        <f>+SUM(CM65:CP65)</f>
        <v>0</v>
      </c>
      <c r="AC65" s="76">
        <f>+SUM(CQ65:CT65)</f>
        <v>0</v>
      </c>
      <c r="AD65" s="76">
        <f>+SUM(CU65:CX65)</f>
        <v>0</v>
      </c>
      <c r="AE65" s="76">
        <f>+SUM(CY65:DB65)</f>
        <v>0</v>
      </c>
      <c r="AI65" s="23">
        <f>'QTR Raw'!C12</f>
        <v>0</v>
      </c>
      <c r="AJ65" s="23">
        <f>'QTR Raw'!D12</f>
        <v>0</v>
      </c>
      <c r="AK65" s="23">
        <f>'QTR Raw'!E12</f>
        <v>0</v>
      </c>
      <c r="AL65" s="23">
        <f>'QTR Raw'!F12</f>
        <v>0</v>
      </c>
      <c r="AM65" s="23">
        <f>'QTR Raw'!G12</f>
        <v>0</v>
      </c>
      <c r="AN65" s="23">
        <f>'QTR Raw'!H12</f>
        <v>0</v>
      </c>
      <c r="AO65" s="23">
        <f>'QTR Raw'!I12</f>
        <v>0</v>
      </c>
      <c r="AP65" s="23">
        <f>'QTR Raw'!J12</f>
        <v>0</v>
      </c>
      <c r="AQ65" s="23">
        <f>'QTR Raw'!K12</f>
        <v>0</v>
      </c>
      <c r="AR65" s="23">
        <f>'QTR Raw'!L12</f>
        <v>0</v>
      </c>
      <c r="AS65" s="23">
        <f>'QTR Raw'!M12</f>
        <v>0</v>
      </c>
      <c r="AT65" s="23">
        <f>'QTR Raw'!N12</f>
        <v>0</v>
      </c>
      <c r="AU65" s="23">
        <f>'QTR Raw'!O12</f>
        <v>0</v>
      </c>
      <c r="AV65" s="23">
        <f>'QTR Raw'!P12</f>
        <v>0</v>
      </c>
      <c r="AW65" s="23">
        <f>'QTR Raw'!Q12</f>
        <v>19.149999999999999</v>
      </c>
      <c r="AX65" s="23">
        <f>'QTR Raw'!R12</f>
        <v>129.36000000000001</v>
      </c>
      <c r="AY65" s="23">
        <f>'QTR Raw'!S12</f>
        <v>23.48</v>
      </c>
      <c r="AZ65" s="23">
        <f>'QTR Raw'!T12</f>
        <v>184.3</v>
      </c>
      <c r="BA65" s="23">
        <f>'QTR Raw'!U12</f>
        <v>221.15</v>
      </c>
      <c r="BB65" s="23">
        <f>'QTR Raw'!V12</f>
        <v>326.47000000000003</v>
      </c>
      <c r="BC65" s="23">
        <f>'QTR Raw'!W12</f>
        <v>112.2</v>
      </c>
      <c r="BD65" s="23">
        <f>'QTR Raw'!X12</f>
        <v>239.28</v>
      </c>
      <c r="BE65" s="23">
        <f>'QTR Raw'!Y12</f>
        <v>93.47</v>
      </c>
      <c r="BF65" s="23">
        <f>'QTR Raw'!Z12</f>
        <v>222.37</v>
      </c>
      <c r="BG65" s="23">
        <f>'QTR Raw'!AA12</f>
        <v>67.930000000000007</v>
      </c>
      <c r="BH65" s="23">
        <f>'QTR Raw'!AB12</f>
        <v>262.37</v>
      </c>
      <c r="BI65" s="23">
        <f>'QTR Raw'!AC12</f>
        <v>244.33</v>
      </c>
      <c r="BJ65" s="23">
        <f>'QTR Raw'!AD12</f>
        <v>264.31</v>
      </c>
      <c r="BK65" s="23">
        <f>'QTR Raw'!AE12</f>
        <v>0.46</v>
      </c>
      <c r="BL65" s="23">
        <f>'QTR Raw'!AF12</f>
        <v>5.45</v>
      </c>
      <c r="BM65" s="23">
        <f>'QTR Raw'!AG12</f>
        <v>205.8</v>
      </c>
      <c r="BN65" s="23">
        <f>'QTR Raw'!AH12</f>
        <v>712.5</v>
      </c>
      <c r="BO65" s="23">
        <f>'QTR Raw'!AI12</f>
        <v>0.3</v>
      </c>
      <c r="BP65" s="23">
        <f>'QTR Raw'!AJ12</f>
        <v>0.56999999999999995</v>
      </c>
      <c r="BQ65" s="23">
        <f>'QTR Raw'!AK12</f>
        <v>304.83</v>
      </c>
      <c r="BR65" s="23">
        <f>'QTR Raw'!AL12</f>
        <v>450.19</v>
      </c>
      <c r="BS65" s="23">
        <f>'QTR Raw'!AM12</f>
        <v>42.66</v>
      </c>
      <c r="BT65" s="23">
        <f>'QTR Raw'!AN12</f>
        <v>62.04</v>
      </c>
      <c r="BU65" s="23">
        <f>'QTR Raw'!AO12</f>
        <v>298.39999999999998</v>
      </c>
      <c r="BV65" s="23">
        <f>'QTR Raw'!AP12</f>
        <v>418.13</v>
      </c>
      <c r="BW65" s="23">
        <f>'QTR Raw'!AQ12</f>
        <v>83.17</v>
      </c>
      <c r="BX65" s="23">
        <f>'QTR Raw'!AR12</f>
        <v>219.39</v>
      </c>
      <c r="BY65" s="23">
        <f>'QTR Raw'!AS12</f>
        <v>274.33999999999997</v>
      </c>
      <c r="BZ65" s="23">
        <f>'QTR Raw'!AT12</f>
        <v>178.23</v>
      </c>
      <c r="CA65" s="23">
        <f>'QTR Raw'!AU12</f>
        <v>0.01</v>
      </c>
      <c r="CB65" s="23">
        <f>'QTR Raw'!AV12</f>
        <v>176.77</v>
      </c>
      <c r="CC65" s="23">
        <f>'QTR Raw'!AW12</f>
        <v>737.46</v>
      </c>
      <c r="CD65" s="23">
        <f>'QTR Raw'!AX12</f>
        <v>114.71</v>
      </c>
      <c r="CE65" s="23">
        <f>'QTR Raw'!AY12</f>
        <v>165.87</v>
      </c>
      <c r="CF65" s="23">
        <f>'QTR Raw'!AZ12</f>
        <v>490.2</v>
      </c>
      <c r="CG65" s="23">
        <f>'QTR Raw'!BA12</f>
        <v>343.77</v>
      </c>
      <c r="CH65" s="23">
        <f>'QTR Raw'!BB12</f>
        <v>365.9</v>
      </c>
      <c r="CI65" s="23">
        <f>'QTR Raw'!BC12</f>
        <v>192.04</v>
      </c>
      <c r="CJ65" s="23">
        <f>'QTR Raw'!BD12</f>
        <v>189.47</v>
      </c>
      <c r="CK65" s="23">
        <f>'QTR Raw'!BE12</f>
        <v>230.69</v>
      </c>
      <c r="CL65" s="23">
        <f>'QTR Raw'!BF12</f>
        <v>391.94</v>
      </c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E65" s="123"/>
      <c r="DF65" s="23">
        <v>0</v>
      </c>
    </row>
    <row r="66" spans="1:111" s="23" customFormat="1" outlineLevel="1" x14ac:dyDescent="0.2">
      <c r="A66" s="23" t="s">
        <v>4</v>
      </c>
      <c r="B66" s="23">
        <f>'Annual Raw'!C12</f>
        <v>0</v>
      </c>
      <c r="C66" s="23">
        <f>'Annual Raw'!D12</f>
        <v>0</v>
      </c>
      <c r="D66" s="23">
        <f>'Annual Raw'!E12</f>
        <v>0</v>
      </c>
      <c r="E66" s="23">
        <f>'Annual Raw'!F12</f>
        <v>0</v>
      </c>
      <c r="F66" s="23">
        <f>'Annual Raw'!G12</f>
        <v>0</v>
      </c>
      <c r="G66" s="23">
        <f>'Annual Raw'!H12</f>
        <v>0</v>
      </c>
      <c r="H66" s="23">
        <f>'Annual Raw'!I12</f>
        <v>0</v>
      </c>
      <c r="I66" s="23">
        <f>'Annual Raw'!J12</f>
        <v>0</v>
      </c>
      <c r="J66" s="23">
        <f>'Annual Raw'!K12</f>
        <v>0</v>
      </c>
      <c r="K66" s="23">
        <f>'Annual Raw'!L12</f>
        <v>0</v>
      </c>
      <c r="L66" s="23">
        <f>'Annual Raw'!M12</f>
        <v>0</v>
      </c>
      <c r="M66" s="23">
        <f>'Annual Raw'!N12</f>
        <v>0</v>
      </c>
      <c r="N66" s="23">
        <f>'Annual Raw'!O12</f>
        <v>0</v>
      </c>
      <c r="O66" s="23">
        <f>'Annual Raw'!P12</f>
        <v>0</v>
      </c>
      <c r="P66" s="23">
        <f>'Annual Raw'!Q12</f>
        <v>0</v>
      </c>
      <c r="Q66" s="23">
        <f>'Annual Raw'!R12</f>
        <v>0</v>
      </c>
      <c r="R66" s="23">
        <f>'Annual Raw'!S12</f>
        <v>0</v>
      </c>
      <c r="S66" s="23">
        <f>'Annual Raw'!T12</f>
        <v>0</v>
      </c>
      <c r="T66" s="23">
        <f>'Annual Raw'!U12</f>
        <v>0</v>
      </c>
      <c r="U66" s="23">
        <f>'Annual Raw'!V12</f>
        <v>0</v>
      </c>
      <c r="V66" s="23">
        <f>'Annual Raw'!W12</f>
        <v>0</v>
      </c>
      <c r="W66" s="23">
        <f>'Annual Raw'!X12</f>
        <v>0</v>
      </c>
      <c r="X66" s="23">
        <f>'Annual Raw'!Y12</f>
        <v>0</v>
      </c>
      <c r="Y66" s="23">
        <f>'Annual Raw'!Z12</f>
        <v>0</v>
      </c>
      <c r="Z66" s="23">
        <f>'Annual Raw'!AA12</f>
        <v>0</v>
      </c>
      <c r="AA66" s="23">
        <f>'Annual Raw'!AB12</f>
        <v>0</v>
      </c>
      <c r="AB66" s="24">
        <f>+SUM(CM66:CP66)</f>
        <v>1447.9176547921252</v>
      </c>
      <c r="AC66" s="24">
        <f>+SUM(CQ66:CT66)</f>
        <v>1734.7422340222874</v>
      </c>
      <c r="AD66" s="24">
        <f>+SUM(CU66:CX66)</f>
        <v>2025.4690298440128</v>
      </c>
      <c r="AE66" s="24">
        <f>+SUM(CY66:DB66)</f>
        <v>2291.2017958123433</v>
      </c>
      <c r="AI66" s="23">
        <f>'QTR Raw'!C11</f>
        <v>0</v>
      </c>
      <c r="AJ66" s="23">
        <f>'QTR Raw'!D11</f>
        <v>0</v>
      </c>
      <c r="AK66" s="23">
        <f>'QTR Raw'!E11</f>
        <v>0</v>
      </c>
      <c r="AL66" s="23">
        <f>'QTR Raw'!F11</f>
        <v>0</v>
      </c>
      <c r="AM66" s="23">
        <f>'QTR Raw'!G11</f>
        <v>0</v>
      </c>
      <c r="AN66" s="23">
        <f>'QTR Raw'!H11</f>
        <v>0</v>
      </c>
      <c r="AO66" s="23">
        <f>'QTR Raw'!I11</f>
        <v>0</v>
      </c>
      <c r="AP66" s="23">
        <f>'QTR Raw'!J11</f>
        <v>0</v>
      </c>
      <c r="AQ66" s="23">
        <f>'QTR Raw'!K11</f>
        <v>0</v>
      </c>
      <c r="AR66" s="23">
        <f>'QTR Raw'!L11</f>
        <v>0</v>
      </c>
      <c r="AS66" s="23">
        <f>'QTR Raw'!M11</f>
        <v>0</v>
      </c>
      <c r="AT66" s="23">
        <f>'QTR Raw'!N11</f>
        <v>0</v>
      </c>
      <c r="AU66" s="23">
        <f>'QTR Raw'!O11</f>
        <v>0</v>
      </c>
      <c r="AV66" s="23">
        <f>'QTR Raw'!P11</f>
        <v>0</v>
      </c>
      <c r="AW66" s="23">
        <f>'QTR Raw'!Q11</f>
        <v>0</v>
      </c>
      <c r="AX66" s="23">
        <f>'QTR Raw'!R11</f>
        <v>0</v>
      </c>
      <c r="AY66" s="23">
        <f>'QTR Raw'!S11</f>
        <v>0</v>
      </c>
      <c r="AZ66" s="23">
        <f>'QTR Raw'!T11</f>
        <v>0</v>
      </c>
      <c r="BA66" s="23">
        <f>'QTR Raw'!U11</f>
        <v>0</v>
      </c>
      <c r="BB66" s="23">
        <f>'QTR Raw'!V11</f>
        <v>0</v>
      </c>
      <c r="BC66" s="23">
        <f>'QTR Raw'!W11</f>
        <v>0</v>
      </c>
      <c r="BD66" s="23">
        <f>'QTR Raw'!X11</f>
        <v>0</v>
      </c>
      <c r="BE66" s="23">
        <f>'QTR Raw'!Y11</f>
        <v>0</v>
      </c>
      <c r="BF66" s="23">
        <f>'QTR Raw'!Z11</f>
        <v>0</v>
      </c>
      <c r="BG66" s="23">
        <f>'QTR Raw'!AA11</f>
        <v>0</v>
      </c>
      <c r="BH66" s="23">
        <f>'QTR Raw'!AB11</f>
        <v>0</v>
      </c>
      <c r="BI66" s="23">
        <f>'QTR Raw'!AC11</f>
        <v>0</v>
      </c>
      <c r="BJ66" s="23">
        <f>'QTR Raw'!AD11</f>
        <v>0</v>
      </c>
      <c r="BK66" s="23">
        <f>'QTR Raw'!AE11</f>
        <v>0</v>
      </c>
      <c r="BL66" s="23">
        <f>'QTR Raw'!AF11</f>
        <v>0</v>
      </c>
      <c r="BM66" s="23">
        <f>'QTR Raw'!AG11</f>
        <v>0</v>
      </c>
      <c r="BN66" s="23">
        <f>'QTR Raw'!AH11</f>
        <v>0</v>
      </c>
      <c r="BO66" s="23">
        <f>'QTR Raw'!AI11</f>
        <v>0</v>
      </c>
      <c r="BP66" s="23">
        <f>'QTR Raw'!AJ11</f>
        <v>0</v>
      </c>
      <c r="BQ66" s="23">
        <f>'QTR Raw'!AK11</f>
        <v>0</v>
      </c>
      <c r="BR66" s="23">
        <f>'QTR Raw'!AL11</f>
        <v>0</v>
      </c>
      <c r="BS66" s="23">
        <f>'QTR Raw'!AM11</f>
        <v>0</v>
      </c>
      <c r="BT66" s="23">
        <f>'QTR Raw'!AN11</f>
        <v>0</v>
      </c>
      <c r="BU66" s="23">
        <f>'QTR Raw'!AO11</f>
        <v>0</v>
      </c>
      <c r="BV66" s="23">
        <f>'QTR Raw'!AP11</f>
        <v>0</v>
      </c>
      <c r="BW66" s="23">
        <f>'QTR Raw'!AQ11</f>
        <v>0</v>
      </c>
      <c r="BX66" s="23">
        <f>'QTR Raw'!AR11</f>
        <v>0</v>
      </c>
      <c r="BY66" s="23">
        <f>'QTR Raw'!AS11</f>
        <v>0</v>
      </c>
      <c r="BZ66" s="23">
        <f>'QTR Raw'!AT11</f>
        <v>747.65</v>
      </c>
      <c r="CA66" s="23">
        <f>'QTR Raw'!AU11</f>
        <v>0</v>
      </c>
      <c r="CB66" s="23">
        <f>'QTR Raw'!AV11</f>
        <v>0</v>
      </c>
      <c r="CC66" s="23">
        <f>'QTR Raw'!AW11</f>
        <v>0</v>
      </c>
      <c r="CD66" s="23">
        <f>'QTR Raw'!AX11</f>
        <v>1024.69</v>
      </c>
      <c r="CE66" s="23">
        <f>'QTR Raw'!AY11</f>
        <v>0</v>
      </c>
      <c r="CF66" s="23">
        <f>'QTR Raw'!AZ11</f>
        <v>0</v>
      </c>
      <c r="CG66" s="23">
        <f>'QTR Raw'!BA11</f>
        <v>0</v>
      </c>
      <c r="CH66" s="23">
        <f>'QTR Raw'!BB11</f>
        <v>0</v>
      </c>
      <c r="CI66" s="23">
        <f>'QTR Raw'!BC11</f>
        <v>0</v>
      </c>
      <c r="CJ66" s="23">
        <f>'QTR Raw'!BD11</f>
        <v>0</v>
      </c>
      <c r="CK66" s="23">
        <f>'QTR Raw'!BE11</f>
        <v>0</v>
      </c>
      <c r="CL66" s="23">
        <f>'QTR Raw'!BF11</f>
        <v>0</v>
      </c>
      <c r="CM66" s="24">
        <f t="shared" ref="CM66:DB66" si="336">+CM61-CM67</f>
        <v>367.04981173341912</v>
      </c>
      <c r="CN66" s="24">
        <f t="shared" si="336"/>
        <v>320.33509968852468</v>
      </c>
      <c r="CO66" s="24">
        <f t="shared" si="336"/>
        <v>361.66368901851365</v>
      </c>
      <c r="CP66" s="24">
        <f t="shared" si="336"/>
        <v>398.86905435166773</v>
      </c>
      <c r="CQ66" s="24">
        <f t="shared" si="336"/>
        <v>416.61317981275897</v>
      </c>
      <c r="CR66" s="24">
        <f t="shared" si="336"/>
        <v>412.49107938141606</v>
      </c>
      <c r="CS66" s="24">
        <f t="shared" si="336"/>
        <v>438.50753268172411</v>
      </c>
      <c r="CT66" s="24">
        <f t="shared" si="336"/>
        <v>467.1304421463883</v>
      </c>
      <c r="CU66" s="24">
        <f t="shared" si="336"/>
        <v>485.84540559500419</v>
      </c>
      <c r="CV66" s="24">
        <f t="shared" si="336"/>
        <v>482.75166909557811</v>
      </c>
      <c r="CW66" s="24">
        <f t="shared" si="336"/>
        <v>521.8592576103274</v>
      </c>
      <c r="CX66" s="24">
        <f t="shared" si="336"/>
        <v>535.01269754310306</v>
      </c>
      <c r="CY66" s="24">
        <f t="shared" si="336"/>
        <v>554.988095684781</v>
      </c>
      <c r="CZ66" s="24">
        <f t="shared" si="336"/>
        <v>554.92916115046864</v>
      </c>
      <c r="DA66" s="24">
        <f t="shared" si="336"/>
        <v>577.15529494420844</v>
      </c>
      <c r="DB66" s="24">
        <f t="shared" si="336"/>
        <v>604.12924403288525</v>
      </c>
      <c r="DE66" s="123"/>
      <c r="DF66" s="23">
        <v>0</v>
      </c>
      <c r="DG66" s="23">
        <v>-147.33627815369709</v>
      </c>
    </row>
    <row r="67" spans="1:111" s="31" customFormat="1" x14ac:dyDescent="0.2">
      <c r="A67" s="31" t="s">
        <v>5</v>
      </c>
      <c r="B67" s="31">
        <f t="shared" ref="B67:T67" si="337">B61-B64-B66-B65</f>
        <v>0</v>
      </c>
      <c r="C67" s="31">
        <f t="shared" si="337"/>
        <v>0</v>
      </c>
      <c r="D67" s="31">
        <f t="shared" si="337"/>
        <v>0</v>
      </c>
      <c r="E67" s="31">
        <f t="shared" si="337"/>
        <v>0</v>
      </c>
      <c r="F67" s="31">
        <f t="shared" si="337"/>
        <v>0</v>
      </c>
      <c r="G67" s="31">
        <f t="shared" si="337"/>
        <v>0</v>
      </c>
      <c r="H67" s="31">
        <f t="shared" si="337"/>
        <v>0</v>
      </c>
      <c r="I67" s="31">
        <f t="shared" si="337"/>
        <v>0</v>
      </c>
      <c r="J67" s="31">
        <f t="shared" si="337"/>
        <v>0</v>
      </c>
      <c r="K67" s="31">
        <f t="shared" si="337"/>
        <v>0</v>
      </c>
      <c r="L67" s="31">
        <f t="shared" si="337"/>
        <v>0</v>
      </c>
      <c r="M67" s="31">
        <f t="shared" si="337"/>
        <v>0</v>
      </c>
      <c r="N67" s="31">
        <f t="shared" si="337"/>
        <v>0</v>
      </c>
      <c r="O67" s="31">
        <f t="shared" si="337"/>
        <v>0</v>
      </c>
      <c r="P67" s="31">
        <f t="shared" si="337"/>
        <v>135.34</v>
      </c>
      <c r="Q67" s="31">
        <f t="shared" si="337"/>
        <v>2197.0100000000002</v>
      </c>
      <c r="R67" s="31">
        <f t="shared" si="337"/>
        <v>2875.71</v>
      </c>
      <c r="S67" s="31">
        <f t="shared" si="337"/>
        <v>3944.48</v>
      </c>
      <c r="T67" s="31">
        <f t="shared" si="337"/>
        <v>7305.45</v>
      </c>
      <c r="U67" s="31">
        <f t="shared" ref="U67:Y67" si="338">U61-U64-U66-U65</f>
        <v>11415.96</v>
      </c>
      <c r="V67" s="31">
        <f t="shared" si="338"/>
        <v>9926.33</v>
      </c>
      <c r="W67" s="31">
        <f t="shared" si="338"/>
        <v>11257.52</v>
      </c>
      <c r="X67" s="31">
        <f t="shared" si="338"/>
        <v>13292.72</v>
      </c>
      <c r="Y67" s="31">
        <f t="shared" si="338"/>
        <v>16607.36</v>
      </c>
      <c r="Z67" s="31">
        <f>Z61-Z64-Z66-Z65</f>
        <v>23767.09</v>
      </c>
      <c r="AA67" s="31">
        <f>AA61-AA64-AA66-AA65</f>
        <v>27588.03</v>
      </c>
      <c r="AB67" s="32">
        <f t="shared" ref="AB67:AD67" si="339">AB61-AB64-AB66-AB65</f>
        <v>31694.436924847825</v>
      </c>
      <c r="AC67" s="32">
        <f t="shared" si="339"/>
        <v>37977.69542835356</v>
      </c>
      <c r="AD67" s="32">
        <f t="shared" si="339"/>
        <v>44280.015449605358</v>
      </c>
      <c r="AE67" s="32">
        <f t="shared" ref="AE67" si="340">AE61-AE64-AE66-AE65</f>
        <v>50067.96131224792</v>
      </c>
      <c r="AI67" s="31">
        <f t="shared" ref="AI67" si="341">AI61-AI64-AI66-AI65</f>
        <v>0</v>
      </c>
      <c r="AJ67" s="31">
        <f t="shared" ref="AJ67" si="342">AJ61-AJ64-AJ66-AJ65</f>
        <v>0</v>
      </c>
      <c r="AK67" s="31">
        <f t="shared" ref="AK67:AM67" si="343">AK61-AK64-AK66-AK65</f>
        <v>0</v>
      </c>
      <c r="AL67" s="31">
        <f t="shared" si="343"/>
        <v>0</v>
      </c>
      <c r="AM67" s="31">
        <f t="shared" si="343"/>
        <v>0</v>
      </c>
      <c r="AN67" s="31">
        <f t="shared" ref="AN67:AO67" si="344">AN61-AN64-AN66-AN65</f>
        <v>0</v>
      </c>
      <c r="AO67" s="31">
        <f t="shared" si="344"/>
        <v>0</v>
      </c>
      <c r="AP67" s="31">
        <f t="shared" ref="AP67:CD67" si="345">AP61-AP64-AP66-AP65</f>
        <v>0</v>
      </c>
      <c r="AQ67" s="31">
        <f t="shared" si="345"/>
        <v>0</v>
      </c>
      <c r="AR67" s="31">
        <f t="shared" si="345"/>
        <v>0</v>
      </c>
      <c r="AS67" s="31">
        <f t="shared" si="345"/>
        <v>11.45</v>
      </c>
      <c r="AT67" s="31">
        <f t="shared" si="345"/>
        <v>123.88</v>
      </c>
      <c r="AU67" s="31">
        <f t="shared" si="345"/>
        <v>468.15</v>
      </c>
      <c r="AV67" s="31">
        <f t="shared" si="345"/>
        <v>564.24</v>
      </c>
      <c r="AW67" s="31">
        <f t="shared" si="345"/>
        <v>507.35</v>
      </c>
      <c r="AX67" s="31">
        <f t="shared" si="345"/>
        <v>508.76</v>
      </c>
      <c r="AY67" s="31">
        <f t="shared" si="345"/>
        <v>608.53</v>
      </c>
      <c r="AZ67" s="31">
        <f t="shared" si="345"/>
        <v>498.40000000000003</v>
      </c>
      <c r="BA67" s="31">
        <f t="shared" si="345"/>
        <v>508.07000000000005</v>
      </c>
      <c r="BB67" s="31">
        <f t="shared" si="345"/>
        <v>508.15</v>
      </c>
      <c r="BC67" s="31">
        <f t="shared" si="345"/>
        <v>496.28000000000003</v>
      </c>
      <c r="BD67" s="31">
        <f t="shared" si="345"/>
        <v>505.80000000000007</v>
      </c>
      <c r="BE67" s="31">
        <f t="shared" si="345"/>
        <v>1687.51</v>
      </c>
      <c r="BF67" s="31">
        <f t="shared" si="345"/>
        <v>587.57000000000005</v>
      </c>
      <c r="BG67" s="31">
        <f t="shared" si="345"/>
        <v>552.77</v>
      </c>
      <c r="BH67" s="31">
        <f t="shared" si="345"/>
        <v>1116.58</v>
      </c>
      <c r="BI67" s="31">
        <f t="shared" si="345"/>
        <v>2498.7200000000003</v>
      </c>
      <c r="BJ67" s="31">
        <f t="shared" si="345"/>
        <v>2281.25</v>
      </c>
      <c r="BK67" s="31">
        <f t="shared" si="345"/>
        <v>2857.62</v>
      </c>
      <c r="BL67" s="31">
        <f t="shared" si="345"/>
        <v>2587.9500000000003</v>
      </c>
      <c r="BM67" s="31">
        <f t="shared" si="345"/>
        <v>2571.7199999999998</v>
      </c>
      <c r="BN67" s="31">
        <f t="shared" si="345"/>
        <v>2474.46</v>
      </c>
      <c r="BO67" s="31">
        <f t="shared" si="345"/>
        <v>2446.21</v>
      </c>
      <c r="BP67" s="31">
        <f t="shared" si="345"/>
        <v>2155.62</v>
      </c>
      <c r="BQ67" s="31">
        <f t="shared" si="345"/>
        <v>2292.19</v>
      </c>
      <c r="BR67" s="31">
        <f t="shared" si="345"/>
        <v>2276.42</v>
      </c>
      <c r="BS67" s="31">
        <f t="shared" si="345"/>
        <v>2786.9900000000002</v>
      </c>
      <c r="BT67" s="31">
        <f t="shared" si="345"/>
        <v>2479.4</v>
      </c>
      <c r="BU67" s="31">
        <f t="shared" si="345"/>
        <v>2613.2999999999997</v>
      </c>
      <c r="BV67" s="31">
        <f t="shared" si="345"/>
        <v>2556.6</v>
      </c>
      <c r="BW67" s="31">
        <f t="shared" si="345"/>
        <v>3048.71</v>
      </c>
      <c r="BX67" s="31">
        <f t="shared" si="345"/>
        <v>3032.09</v>
      </c>
      <c r="BY67" s="31">
        <f t="shared" si="345"/>
        <v>3277.3599999999997</v>
      </c>
      <c r="BZ67" s="31">
        <f t="shared" si="345"/>
        <v>2431.7799999999997</v>
      </c>
      <c r="CA67" s="31">
        <f t="shared" si="345"/>
        <v>3663.8999999999996</v>
      </c>
      <c r="CB67" s="31">
        <f t="shared" si="345"/>
        <v>3497.1</v>
      </c>
      <c r="CC67" s="31">
        <f t="shared" si="345"/>
        <v>3825.2699999999995</v>
      </c>
      <c r="CD67" s="31">
        <f t="shared" si="345"/>
        <v>3567.4500000000003</v>
      </c>
      <c r="CE67" s="31">
        <f t="shared" ref="CE67:CF67" si="346">CE61-CE64-CE66-CE65</f>
        <v>5212.68</v>
      </c>
      <c r="CF67" s="31">
        <f t="shared" si="346"/>
        <v>5693.5</v>
      </c>
      <c r="CG67" s="31">
        <f t="shared" ref="CG67:CH67" si="347">CG61-CG64-CG66-CG65</f>
        <v>5486.49</v>
      </c>
      <c r="CH67" s="31">
        <f t="shared" si="347"/>
        <v>6008.68</v>
      </c>
      <c r="CI67" s="31">
        <f t="shared" ref="CI67:CJ67" si="348">CI61-CI64-CI66-CI65</f>
        <v>6627.24</v>
      </c>
      <c r="CJ67" s="31">
        <f t="shared" si="348"/>
        <v>6406.36</v>
      </c>
      <c r="CK67" s="31">
        <f t="shared" ref="CK67" si="349">CK61-CK64-CK66-CK65</f>
        <v>6498.96</v>
      </c>
      <c r="CL67" s="31">
        <f t="shared" ref="CL67" si="350">CL61-CL64-CL66-CL65</f>
        <v>7051.3300000000008</v>
      </c>
      <c r="CM67" s="32">
        <f t="shared" ref="CM67:DB67" si="351">+CM68*CM61</f>
        <v>7682.9313516720376</v>
      </c>
      <c r="CN67" s="32">
        <f t="shared" si="351"/>
        <v>7625.5337911569686</v>
      </c>
      <c r="CO67" s="32">
        <f t="shared" si="351"/>
        <v>8007.873732005316</v>
      </c>
      <c r="CP67" s="32">
        <f t="shared" si="351"/>
        <v>8378.0980500134992</v>
      </c>
      <c r="CQ67" s="32">
        <f t="shared" si="351"/>
        <v>9129.5438941389384</v>
      </c>
      <c r="CR67" s="32">
        <f t="shared" si="351"/>
        <v>9146.2281644338345</v>
      </c>
      <c r="CS67" s="32">
        <f t="shared" si="351"/>
        <v>9558.6863866154818</v>
      </c>
      <c r="CT67" s="32">
        <f t="shared" si="351"/>
        <v>10143.2369831653</v>
      </c>
      <c r="CU67" s="32">
        <f t="shared" si="351"/>
        <v>10639.263826711496</v>
      </c>
      <c r="CV67" s="32">
        <f t="shared" si="351"/>
        <v>10569.675223923981</v>
      </c>
      <c r="CW67" s="32">
        <f t="shared" si="351"/>
        <v>11390.130219778475</v>
      </c>
      <c r="CX67" s="32">
        <f t="shared" si="351"/>
        <v>11680.946179191404</v>
      </c>
      <c r="CY67" s="32">
        <f t="shared" si="351"/>
        <v>12133.702460964572</v>
      </c>
      <c r="CZ67" s="32">
        <f t="shared" si="351"/>
        <v>12127.504150518625</v>
      </c>
      <c r="DA67" s="32">
        <f t="shared" si="351"/>
        <v>12607.407412613613</v>
      </c>
      <c r="DB67" s="32">
        <f t="shared" si="351"/>
        <v>13199.347288151112</v>
      </c>
      <c r="DE67" s="124"/>
      <c r="DF67" s="31">
        <v>0</v>
      </c>
      <c r="DG67" s="31">
        <v>7289.2298788204926</v>
      </c>
    </row>
    <row r="68" spans="1:111" s="41" customFormat="1" x14ac:dyDescent="0.2">
      <c r="A68" s="41" t="s">
        <v>6</v>
      </c>
      <c r="B68" s="41" t="e">
        <f>B67/B61</f>
        <v>#DIV/0!</v>
      </c>
      <c r="C68" s="41" t="e">
        <f t="shared" ref="C68:U68" si="352">C67/C61</f>
        <v>#DIV/0!</v>
      </c>
      <c r="D68" s="41" t="e">
        <f t="shared" si="352"/>
        <v>#DIV/0!</v>
      </c>
      <c r="E68" s="41" t="e">
        <f t="shared" si="352"/>
        <v>#DIV/0!</v>
      </c>
      <c r="F68" s="41" t="e">
        <f t="shared" si="352"/>
        <v>#DIV/0!</v>
      </c>
      <c r="G68" s="41" t="e">
        <f t="shared" si="352"/>
        <v>#DIV/0!</v>
      </c>
      <c r="H68" s="41" t="e">
        <f t="shared" si="352"/>
        <v>#DIV/0!</v>
      </c>
      <c r="I68" s="41" t="e">
        <f t="shared" si="352"/>
        <v>#DIV/0!</v>
      </c>
      <c r="J68" s="41" t="e">
        <f t="shared" si="352"/>
        <v>#DIV/0!</v>
      </c>
      <c r="K68" s="41" t="e">
        <f t="shared" si="352"/>
        <v>#DIV/0!</v>
      </c>
      <c r="L68" s="41" t="e">
        <f t="shared" si="352"/>
        <v>#DIV/0!</v>
      </c>
      <c r="M68" s="41" t="e">
        <f t="shared" si="352"/>
        <v>#DIV/0!</v>
      </c>
      <c r="N68" s="41" t="e">
        <f t="shared" si="352"/>
        <v>#DIV/0!</v>
      </c>
      <c r="O68" s="41" t="e">
        <f t="shared" si="352"/>
        <v>#DIV/0!</v>
      </c>
      <c r="P68" s="41">
        <f t="shared" si="352"/>
        <v>1</v>
      </c>
      <c r="Q68" s="41">
        <f t="shared" si="352"/>
        <v>1</v>
      </c>
      <c r="R68" s="41">
        <f t="shared" si="352"/>
        <v>1</v>
      </c>
      <c r="S68" s="41">
        <f t="shared" si="352"/>
        <v>1</v>
      </c>
      <c r="T68" s="41">
        <f t="shared" si="352"/>
        <v>1</v>
      </c>
      <c r="U68" s="41">
        <f t="shared" si="352"/>
        <v>1</v>
      </c>
      <c r="V68" s="41">
        <f t="shared" ref="V68:AA68" si="353">V67/V61</f>
        <v>1</v>
      </c>
      <c r="W68" s="41">
        <f t="shared" si="353"/>
        <v>1</v>
      </c>
      <c r="X68" s="41">
        <f t="shared" si="353"/>
        <v>1</v>
      </c>
      <c r="Y68" s="41">
        <f t="shared" si="353"/>
        <v>1</v>
      </c>
      <c r="Z68" s="41">
        <f t="shared" si="353"/>
        <v>1</v>
      </c>
      <c r="AA68" s="41">
        <f t="shared" si="353"/>
        <v>1</v>
      </c>
      <c r="AB68" s="42">
        <f t="shared" ref="AB68:AD68" si="354">AB67/AB61</f>
        <v>0.95631216691883414</v>
      </c>
      <c r="AC68" s="42">
        <f t="shared" si="354"/>
        <v>0.95631740743868254</v>
      </c>
      <c r="AD68" s="42">
        <f t="shared" si="354"/>
        <v>0.95625855009155714</v>
      </c>
      <c r="AE68" s="42">
        <f t="shared" ref="AE68" si="355">AE67/AE61</f>
        <v>0.95624067193198448</v>
      </c>
      <c r="AI68" s="41" t="e">
        <f t="shared" ref="AI68" si="356">AI67/AI61</f>
        <v>#DIV/0!</v>
      </c>
      <c r="AJ68" s="41" t="e">
        <f t="shared" ref="AJ68" si="357">AJ67/AJ61</f>
        <v>#DIV/0!</v>
      </c>
      <c r="AK68" s="41" t="e">
        <f t="shared" ref="AK68:AM68" si="358">AK67/AK61</f>
        <v>#DIV/0!</v>
      </c>
      <c r="AL68" s="41" t="e">
        <f t="shared" si="358"/>
        <v>#DIV/0!</v>
      </c>
      <c r="AM68" s="41" t="e">
        <f t="shared" si="358"/>
        <v>#DIV/0!</v>
      </c>
      <c r="AN68" s="41" t="e">
        <f t="shared" ref="AN68:AO68" si="359">AN67/AN61</f>
        <v>#DIV/0!</v>
      </c>
      <c r="AO68" s="41" t="e">
        <f t="shared" si="359"/>
        <v>#DIV/0!</v>
      </c>
      <c r="AP68" s="41" t="e">
        <f t="shared" ref="AP68:CD68" si="360">AP67/AP61</f>
        <v>#DIV/0!</v>
      </c>
      <c r="AQ68" s="41" t="e">
        <f t="shared" si="360"/>
        <v>#DIV/0!</v>
      </c>
      <c r="AR68" s="41" t="e">
        <f t="shared" si="360"/>
        <v>#DIV/0!</v>
      </c>
      <c r="AS68" s="41">
        <f t="shared" si="360"/>
        <v>1</v>
      </c>
      <c r="AT68" s="41">
        <f t="shared" si="360"/>
        <v>1</v>
      </c>
      <c r="AU68" s="41">
        <f t="shared" si="360"/>
        <v>1</v>
      </c>
      <c r="AV68" s="41">
        <f t="shared" si="360"/>
        <v>1</v>
      </c>
      <c r="AW68" s="41">
        <f t="shared" si="360"/>
        <v>0.96362773029439697</v>
      </c>
      <c r="AX68" s="41">
        <f t="shared" si="360"/>
        <v>0.79727950855638441</v>
      </c>
      <c r="AY68" s="41">
        <f t="shared" si="360"/>
        <v>0.96284868910302046</v>
      </c>
      <c r="AZ68" s="41">
        <f t="shared" si="360"/>
        <v>0.73004247839460967</v>
      </c>
      <c r="BA68" s="41">
        <f t="shared" si="360"/>
        <v>0.69673075340775081</v>
      </c>
      <c r="BB68" s="41">
        <f t="shared" si="360"/>
        <v>0.60883995111547762</v>
      </c>
      <c r="BC68" s="41">
        <f t="shared" si="360"/>
        <v>0.81560610044701554</v>
      </c>
      <c r="BD68" s="41">
        <f t="shared" si="360"/>
        <v>0.6788532775004027</v>
      </c>
      <c r="BE68" s="41">
        <f t="shared" si="360"/>
        <v>0.94751765881705574</v>
      </c>
      <c r="BF68" s="41">
        <f t="shared" si="360"/>
        <v>0.72544879867644518</v>
      </c>
      <c r="BG68" s="41">
        <f t="shared" si="360"/>
        <v>0.89055904623811821</v>
      </c>
      <c r="BH68" s="41">
        <f t="shared" si="360"/>
        <v>0.80973204249610198</v>
      </c>
      <c r="BI68" s="41">
        <f t="shared" si="360"/>
        <v>0.9109276170685916</v>
      </c>
      <c r="BJ68" s="41">
        <f t="shared" si="360"/>
        <v>0.89616823017332137</v>
      </c>
      <c r="BK68" s="41">
        <f t="shared" si="360"/>
        <v>0.99983905279068463</v>
      </c>
      <c r="BL68" s="41">
        <f t="shared" si="360"/>
        <v>0.99789851160638554</v>
      </c>
      <c r="BM68" s="41">
        <f t="shared" si="360"/>
        <v>0.92590512399550673</v>
      </c>
      <c r="BN68" s="41">
        <f t="shared" si="360"/>
        <v>0.77643271330672492</v>
      </c>
      <c r="BO68" s="41">
        <f t="shared" si="360"/>
        <v>0.99987737634426177</v>
      </c>
      <c r="BP68" s="41">
        <f t="shared" si="360"/>
        <v>0.99973564481794264</v>
      </c>
      <c r="BQ68" s="41">
        <f t="shared" si="360"/>
        <v>0.88262316039152566</v>
      </c>
      <c r="BR68" s="41">
        <f t="shared" si="360"/>
        <v>0.8348902116547654</v>
      </c>
      <c r="BS68" s="41">
        <f t="shared" si="360"/>
        <v>0.98492393052144267</v>
      </c>
      <c r="BT68" s="41">
        <f t="shared" si="360"/>
        <v>0.9755886426592798</v>
      </c>
      <c r="BU68" s="41">
        <f t="shared" si="360"/>
        <v>0.89751691451729232</v>
      </c>
      <c r="BV68" s="41">
        <f t="shared" si="360"/>
        <v>0.85943934407492439</v>
      </c>
      <c r="BW68" s="41">
        <f t="shared" si="360"/>
        <v>0.9734440655452955</v>
      </c>
      <c r="BX68" s="41">
        <f t="shared" si="360"/>
        <v>0.93252611118629058</v>
      </c>
      <c r="BY68" s="41">
        <f t="shared" si="360"/>
        <v>0.92275811583185507</v>
      </c>
      <c r="BZ68" s="41">
        <f t="shared" si="360"/>
        <v>0.72424843492193969</v>
      </c>
      <c r="CA68" s="41">
        <f t="shared" si="360"/>
        <v>0.99999727067531674</v>
      </c>
      <c r="CB68" s="41">
        <f t="shared" si="360"/>
        <v>0.95188452503763066</v>
      </c>
      <c r="CC68" s="41">
        <f t="shared" si="360"/>
        <v>0.83837307927490778</v>
      </c>
      <c r="CD68" s="41">
        <f t="shared" si="360"/>
        <v>0.7579272762038306</v>
      </c>
      <c r="CE68" s="41">
        <f t="shared" ref="CE68:CF68" si="361">CE67/CE61</f>
        <v>0.96916083331009284</v>
      </c>
      <c r="CF68" s="41">
        <f t="shared" si="361"/>
        <v>0.92072707278813659</v>
      </c>
      <c r="CG68" s="41">
        <f t="shared" ref="CG68:CH68" si="362">CG67/CG61</f>
        <v>0.9410369348879809</v>
      </c>
      <c r="CH68" s="41">
        <f t="shared" si="362"/>
        <v>0.94260013993078762</v>
      </c>
      <c r="CI68" s="41">
        <f t="shared" ref="CI68:CJ68" si="363">CI67/CI61</f>
        <v>0.9718386691850166</v>
      </c>
      <c r="CJ68" s="41">
        <f t="shared" si="363"/>
        <v>0.97127427480696138</v>
      </c>
      <c r="CK68" s="41">
        <f t="shared" ref="CK68" si="364">CK67/CK61</f>
        <v>0.96572035692792346</v>
      </c>
      <c r="CL68" s="41">
        <f t="shared" ref="CL68" si="365">CL67/CL61</f>
        <v>0.94734303605807668</v>
      </c>
      <c r="CM68" s="42">
        <f>AVERAGE(CI68:CL68)*0.99</f>
        <v>0.95440364340204953</v>
      </c>
      <c r="CN68" s="42">
        <f t="shared" ref="CN68:DB68" si="366">AVERAGE(CJ68:CM68)</f>
        <v>0.95968532779875271</v>
      </c>
      <c r="CO68" s="42">
        <f t="shared" si="366"/>
        <v>0.9567880910467006</v>
      </c>
      <c r="CP68" s="42">
        <f t="shared" si="366"/>
        <v>0.95455502457639474</v>
      </c>
      <c r="CQ68" s="42">
        <f t="shared" si="366"/>
        <v>0.95635802170597439</v>
      </c>
      <c r="CR68" s="42">
        <f t="shared" si="366"/>
        <v>0.95684661628195555</v>
      </c>
      <c r="CS68" s="42">
        <f t="shared" si="366"/>
        <v>0.95613693840275626</v>
      </c>
      <c r="CT68" s="42">
        <f t="shared" si="366"/>
        <v>0.95597415024177024</v>
      </c>
      <c r="CU68" s="42">
        <f t="shared" si="366"/>
        <v>0.95632893165811406</v>
      </c>
      <c r="CV68" s="42">
        <f t="shared" si="366"/>
        <v>0.95632165914614897</v>
      </c>
      <c r="CW68" s="42">
        <f t="shared" si="366"/>
        <v>0.95619041986219733</v>
      </c>
      <c r="CX68" s="42">
        <f t="shared" si="366"/>
        <v>0.95620379022705759</v>
      </c>
      <c r="CY68" s="42">
        <f t="shared" si="366"/>
        <v>0.95626120022337946</v>
      </c>
      <c r="CZ68" s="42">
        <f t="shared" si="366"/>
        <v>0.95624426736469581</v>
      </c>
      <c r="DA68" s="42">
        <f t="shared" si="366"/>
        <v>0.95622491941933241</v>
      </c>
      <c r="DB68" s="42">
        <f t="shared" si="366"/>
        <v>0.95623354430861629</v>
      </c>
      <c r="DE68" s="125"/>
      <c r="DF68" s="41" t="e">
        <v>#DIV/0!</v>
      </c>
      <c r="DG68" s="41">
        <v>1.0206298618254326</v>
      </c>
    </row>
    <row r="69" spans="1:111" s="39" customFormat="1" x14ac:dyDescent="0.2">
      <c r="A69" s="39" t="s">
        <v>447</v>
      </c>
      <c r="C69" s="39" t="e">
        <f t="shared" ref="C69:AE69" si="367">+IF(B67&lt;0,1-C67/B67,C67/B67-1)</f>
        <v>#DIV/0!</v>
      </c>
      <c r="D69" s="39" t="e">
        <f t="shared" si="367"/>
        <v>#DIV/0!</v>
      </c>
      <c r="E69" s="39" t="e">
        <f t="shared" si="367"/>
        <v>#DIV/0!</v>
      </c>
      <c r="F69" s="39" t="e">
        <f t="shared" si="367"/>
        <v>#DIV/0!</v>
      </c>
      <c r="G69" s="39" t="e">
        <f t="shared" si="367"/>
        <v>#DIV/0!</v>
      </c>
      <c r="H69" s="39" t="e">
        <f t="shared" si="367"/>
        <v>#DIV/0!</v>
      </c>
      <c r="I69" s="39" t="e">
        <f t="shared" si="367"/>
        <v>#DIV/0!</v>
      </c>
      <c r="J69" s="39" t="e">
        <f t="shared" si="367"/>
        <v>#DIV/0!</v>
      </c>
      <c r="K69" s="39" t="e">
        <f t="shared" si="367"/>
        <v>#DIV/0!</v>
      </c>
      <c r="L69" s="39" t="e">
        <f t="shared" si="367"/>
        <v>#DIV/0!</v>
      </c>
      <c r="M69" s="39" t="e">
        <f t="shared" si="367"/>
        <v>#DIV/0!</v>
      </c>
      <c r="N69" s="39" t="e">
        <f t="shared" si="367"/>
        <v>#DIV/0!</v>
      </c>
      <c r="O69" s="39" t="e">
        <f t="shared" si="367"/>
        <v>#DIV/0!</v>
      </c>
      <c r="P69" s="39" t="e">
        <f t="shared" si="367"/>
        <v>#DIV/0!</v>
      </c>
      <c r="Q69" s="39">
        <f t="shared" si="367"/>
        <v>15.233264371213242</v>
      </c>
      <c r="R69" s="39">
        <f t="shared" si="367"/>
        <v>0.30891985015999013</v>
      </c>
      <c r="S69" s="39">
        <f t="shared" si="367"/>
        <v>0.3716543045021925</v>
      </c>
      <c r="T69" s="39">
        <f t="shared" si="367"/>
        <v>0.85206922078448866</v>
      </c>
      <c r="U69" s="39">
        <f t="shared" si="367"/>
        <v>0.56266349095538248</v>
      </c>
      <c r="V69" s="39">
        <f t="shared" si="367"/>
        <v>-0.13048661698183939</v>
      </c>
      <c r="W69" s="39">
        <f t="shared" si="367"/>
        <v>0.13410696601865957</v>
      </c>
      <c r="X69" s="39">
        <f t="shared" si="367"/>
        <v>0.18078582138872501</v>
      </c>
      <c r="Y69" s="39">
        <f t="shared" si="367"/>
        <v>0.24935754307621028</v>
      </c>
      <c r="Z69" s="39">
        <f>+IF(Y67&lt;0,1-Z67/Y67,Z67/Y67-1)</f>
        <v>0.43111788989941813</v>
      </c>
      <c r="AA69" s="39">
        <f>+IF(Z67&lt;0,1-AA67/Z67,AA67/Z67-1)</f>
        <v>0.16076600038119926</v>
      </c>
      <c r="AB69" s="40">
        <f t="shared" si="367"/>
        <v>0.14884741407225621</v>
      </c>
      <c r="AC69" s="40">
        <f t="shared" si="367"/>
        <v>0.19824483767937773</v>
      </c>
      <c r="AD69" s="40">
        <f t="shared" si="367"/>
        <v>0.1659479320734818</v>
      </c>
      <c r="AE69" s="40">
        <f t="shared" si="367"/>
        <v>0.1307123722490513</v>
      </c>
      <c r="AM69" s="39" t="e">
        <f>+IF(AI67&lt;0,1-AM67/AI67,AM67/AI67-1)</f>
        <v>#DIV/0!</v>
      </c>
      <c r="AN69" s="39" t="e">
        <f t="shared" ref="AN69" si="368">+IF(AJ67&lt;0,1-AN67/AJ67,AN67/AJ67-1)</f>
        <v>#DIV/0!</v>
      </c>
      <c r="AO69" s="39" t="e">
        <f t="shared" ref="AO69" si="369">+IF(AK67&lt;0,1-AO67/AK67,AO67/AK67-1)</f>
        <v>#DIV/0!</v>
      </c>
      <c r="AP69" s="39" t="e">
        <f t="shared" ref="AP69" si="370">+IF(AL67&lt;0,1-AP67/AL67,AP67/AL67-1)</f>
        <v>#DIV/0!</v>
      </c>
      <c r="AQ69" s="39" t="e">
        <f t="shared" ref="AQ69" si="371">+IF(AM67&lt;0,1-AQ67/AM67,AQ67/AM67-1)</f>
        <v>#DIV/0!</v>
      </c>
      <c r="AR69" s="39" t="e">
        <f t="shared" ref="AR69" si="372">+IF(AN67&lt;0,1-AR67/AN67,AR67/AN67-1)</f>
        <v>#DIV/0!</v>
      </c>
      <c r="AS69" s="39" t="e">
        <f t="shared" ref="AS69" si="373">+IF(AO67&lt;0,1-AS67/AO67,AS67/AO67-1)</f>
        <v>#DIV/0!</v>
      </c>
      <c r="AT69" s="39" t="e">
        <f t="shared" ref="AT69" si="374">+IF(AP67&lt;0,1-AT67/AP67,AT67/AP67-1)</f>
        <v>#DIV/0!</v>
      </c>
      <c r="AU69" s="39" t="e">
        <f t="shared" ref="AU69" si="375">+IF(AQ67&lt;0,1-AU67/AQ67,AU67/AQ67-1)</f>
        <v>#DIV/0!</v>
      </c>
      <c r="AV69" s="39" t="e">
        <f t="shared" ref="AV69" si="376">+IF(AR67&lt;0,1-AV67/AR67,AV67/AR67-1)</f>
        <v>#DIV/0!</v>
      </c>
      <c r="AW69" s="39">
        <f t="shared" ref="AW69" si="377">+IF(AS67&lt;0,1-AW67/AS67,AW67/AS67-1)</f>
        <v>43.310043668122276</v>
      </c>
      <c r="AX69" s="39">
        <f t="shared" ref="AX69" si="378">+IF(AT67&lt;0,1-AX67/AT67,AX67/AT67-1)</f>
        <v>3.1068776235066196</v>
      </c>
      <c r="AY69" s="39">
        <f t="shared" ref="AY69" si="379">+IF(AU67&lt;0,1-AY67/AU67,AY67/AU67-1)</f>
        <v>0.29986115561251725</v>
      </c>
      <c r="AZ69" s="39">
        <f t="shared" ref="AZ69" si="380">+IF(AV67&lt;0,1-AZ67/AV67,AZ67/AV67-1)</f>
        <v>-0.11668793421239188</v>
      </c>
      <c r="BA69" s="39">
        <f t="shared" ref="BA69" si="381">+IF(AW67&lt;0,1-BA67/AW67,BA67/AW67-1)</f>
        <v>1.4191386616735358E-3</v>
      </c>
      <c r="BB69" s="39">
        <f t="shared" ref="BB69" si="382">+IF(AX67&lt;0,1-BB67/AX67,BB67/AX67-1)</f>
        <v>-1.1989936315748295E-3</v>
      </c>
      <c r="BC69" s="39">
        <f t="shared" ref="BC69" si="383">+IF(AY67&lt;0,1-BC67/AY67,BC67/AY67-1)</f>
        <v>-0.18446091400588294</v>
      </c>
      <c r="BD69" s="39">
        <f t="shared" ref="BD69" si="384">+IF(AZ67&lt;0,1-BD67/AZ67,BD67/AZ67-1)</f>
        <v>1.4847512038523414E-2</v>
      </c>
      <c r="BE69" s="39">
        <f t="shared" ref="BE69" si="385">+IF(BA67&lt;0,1-BE67/BA67,BE67/BA67-1)</f>
        <v>2.3214124038026251</v>
      </c>
      <c r="BF69" s="39">
        <f t="shared" ref="BF69" si="386">+IF(BB67&lt;0,1-BF67/BB67,BF67/BB67-1)</f>
        <v>0.15629243333661336</v>
      </c>
      <c r="BG69" s="39">
        <f t="shared" ref="BG69" si="387">+IF(BC67&lt;0,1-BG67/BC67,BG67/BC67-1)</f>
        <v>0.11382687192713781</v>
      </c>
      <c r="BH69" s="39">
        <f t="shared" ref="BH69" si="388">+IF(BD67&lt;0,1-BH67/BD67,BH67/BD67-1)</f>
        <v>1.2075523922499007</v>
      </c>
      <c r="BI69" s="39">
        <f t="shared" ref="BI69" si="389">+IF(BE67&lt;0,1-BI67/BE67,BI67/BE67-1)</f>
        <v>0.48071418836036539</v>
      </c>
      <c r="BJ69" s="39">
        <f t="shared" ref="BJ69" si="390">+IF(BF67&lt;0,1-BJ67/BF67,BJ67/BF67-1)</f>
        <v>2.8825161257382095</v>
      </c>
      <c r="BK69" s="39">
        <f t="shared" ref="BK69" si="391">+IF(BG67&lt;0,1-BK67/BG67,BK67/BG67-1)</f>
        <v>4.1696365577003096</v>
      </c>
      <c r="BL69" s="39">
        <f t="shared" ref="BL69" si="392">+IF(BH67&lt;0,1-BL67/BH67,BL67/BH67-1)</f>
        <v>1.317747049024701</v>
      </c>
      <c r="BM69" s="39">
        <f t="shared" ref="BM69" si="393">+IF(BI67&lt;0,1-BM67/BI67,BM67/BI67-1)</f>
        <v>2.9214958058525697E-2</v>
      </c>
      <c r="BN69" s="39">
        <f t="shared" ref="BN69" si="394">+IF(BJ67&lt;0,1-BN67/BJ67,BN67/BJ67-1)</f>
        <v>8.4694794520548067E-2</v>
      </c>
      <c r="BO69" s="39">
        <f t="shared" ref="BO69" si="395">+IF(BK67&lt;0,1-BO67/BK67,BO67/BK67-1)</f>
        <v>-0.14396945710066411</v>
      </c>
      <c r="BP69" s="39">
        <f t="shared" ref="BP69" si="396">+IF(BL67&lt;0,1-BP67/BL67,BP67/BL67-1)</f>
        <v>-0.16705500492667957</v>
      </c>
      <c r="BQ69" s="39">
        <f t="shared" ref="BQ69" si="397">+IF(BM67&lt;0,1-BQ67/BM67,BQ67/BM67-1)</f>
        <v>-0.10869379248129651</v>
      </c>
      <c r="BR69" s="39">
        <f t="shared" ref="BR69" si="398">+IF(BN67&lt;0,1-BR67/BN67,BR67/BN67-1)</f>
        <v>-8.0033623497651973E-2</v>
      </c>
      <c r="BS69" s="39">
        <f t="shared" ref="BS69" si="399">+IF(BO67&lt;0,1-BS67/BO67,BS67/BO67-1)</f>
        <v>0.13930938063371512</v>
      </c>
      <c r="BT69" s="39">
        <f t="shared" ref="BT69" si="400">+IF(BP67&lt;0,1-BT67/BP67,BT67/BP67-1)</f>
        <v>0.15020272589788553</v>
      </c>
      <c r="BU69" s="39">
        <f t="shared" ref="BU69" si="401">+IF(BQ67&lt;0,1-BU67/BQ67,BU67/BQ67-1)</f>
        <v>0.14008873609953776</v>
      </c>
      <c r="BV69" s="39">
        <f t="shared" ref="BV69" si="402">+IF(BR67&lt;0,1-BV67/BR67,BV67/BR67-1)</f>
        <v>0.12307922088191092</v>
      </c>
      <c r="BW69" s="39">
        <f t="shared" ref="BW69" si="403">+IF(BS67&lt;0,1-BW67/BS67,BW67/BS67-1)</f>
        <v>9.3907764290506845E-2</v>
      </c>
      <c r="BX69" s="39">
        <f t="shared" ref="BX69" si="404">+IF(BT67&lt;0,1-BX67/BT67,BX67/BT67-1)</f>
        <v>0.22291280148423009</v>
      </c>
      <c r="BY69" s="39">
        <f t="shared" ref="BY69" si="405">+IF(BU67&lt;0,1-BY67/BU67,BY67/BU67-1)</f>
        <v>0.25410783300807416</v>
      </c>
      <c r="BZ69" s="39">
        <f t="shared" ref="BZ69" si="406">+IF(BV67&lt;0,1-BZ67/BV67,BZ67/BV67-1)</f>
        <v>-4.8822655088789912E-2</v>
      </c>
      <c r="CA69" s="39">
        <f t="shared" ref="CA69" si="407">+IF(BW67&lt;0,1-CA67/BW67,CA67/BW67-1)</f>
        <v>0.20178698531510042</v>
      </c>
      <c r="CB69" s="39">
        <f t="shared" ref="CB69" si="408">+IF(BX67&lt;0,1-CB67/BX67,CB67/BX67-1)</f>
        <v>0.15336286192032555</v>
      </c>
      <c r="CC69" s="39">
        <f t="shared" ref="CC69" si="409">+IF(BY67&lt;0,1-CC67/BY67,CC67/BY67-1)</f>
        <v>0.16718029145409719</v>
      </c>
      <c r="CD69" s="39">
        <f t="shared" ref="CD69" si="410">+IF(BZ67&lt;0,1-CD67/BZ67,CD67/BZ67-1)</f>
        <v>0.46701181850331874</v>
      </c>
      <c r="CE69" s="39">
        <f t="shared" ref="CE69" si="411">+IF(CA67&lt;0,1-CE67/CA67,CE67/CA67-1)</f>
        <v>0.42271350200605928</v>
      </c>
      <c r="CF69" s="39">
        <f t="shared" ref="CF69" si="412">+IF(CB67&lt;0,1-CF67/CB67,CF67/CB67-1)</f>
        <v>0.62806325240913896</v>
      </c>
      <c r="CG69" s="39">
        <f t="shared" ref="CG69" si="413">+IF(CC67&lt;0,1-CG67/CC67,CG67/CC67-1)</f>
        <v>0.43427522763099091</v>
      </c>
      <c r="CH69" s="39">
        <f t="shared" ref="CH69:CL69" si="414">+IF(CD67&lt;0,1-CH67/CD67,CH67/CD67-1)</f>
        <v>0.68430671768349938</v>
      </c>
      <c r="CI69" s="39">
        <f t="shared" si="414"/>
        <v>0.27136904624876257</v>
      </c>
      <c r="CJ69" s="39">
        <f t="shared" si="414"/>
        <v>0.12520593659436186</v>
      </c>
      <c r="CK69" s="39">
        <f t="shared" si="414"/>
        <v>0.18453874881755006</v>
      </c>
      <c r="CL69" s="39">
        <f t="shared" si="414"/>
        <v>0.17352396865867381</v>
      </c>
      <c r="CM69" s="40">
        <f t="shared" ref="CM69" si="415">+CM67/CI67-1</f>
        <v>0.15929577798179007</v>
      </c>
      <c r="CN69" s="40">
        <f t="shared" ref="CN69" si="416">+CN67/CJ67-1</f>
        <v>0.19030678749820007</v>
      </c>
      <c r="CO69" s="40">
        <f t="shared" ref="CO69" si="417">+CO67/CK67-1</f>
        <v>0.23217772259027836</v>
      </c>
      <c r="CP69" s="40">
        <f t="shared" ref="CP69" si="418">+CP67/CL67-1</f>
        <v>0.18815855306920803</v>
      </c>
      <c r="CQ69" s="40">
        <f t="shared" ref="CQ69" si="419">+CQ67/CM67-1</f>
        <v>0.18828914072648506</v>
      </c>
      <c r="CR69" s="40">
        <f t="shared" ref="CR69" si="420">+CR67/CN67-1</f>
        <v>0.19942136707076896</v>
      </c>
      <c r="CS69" s="40">
        <f t="shared" ref="CS69" si="421">+CS67/CO67-1</f>
        <v>0.19366097749668376</v>
      </c>
      <c r="CT69" s="40">
        <f t="shared" ref="CT69" si="422">+CT67/CP67-1</f>
        <v>0.21068492187781884</v>
      </c>
      <c r="CU69" s="40">
        <f t="shared" ref="CU69" si="423">+CU67/CQ67-1</f>
        <v>0.16536641370898941</v>
      </c>
      <c r="CV69" s="40">
        <f t="shared" ref="CV69" si="424">+CV67/CR67-1</f>
        <v>0.1556321397081899</v>
      </c>
      <c r="CW69" s="40">
        <f t="shared" ref="CW69" si="425">+CW67/CS67-1</f>
        <v>0.19159994993950913</v>
      </c>
      <c r="CX69" s="40">
        <f t="shared" ref="CX69" si="426">+CX67/CT67-1</f>
        <v>0.15159945474785186</v>
      </c>
      <c r="CY69" s="40">
        <f t="shared" ref="CY69" si="427">+CY67/CU67-1</f>
        <v>0.14046447748584434</v>
      </c>
      <c r="CZ69" s="40">
        <f t="shared" ref="CZ69" si="428">+CZ67/CV67-1</f>
        <v>0.14738664089399545</v>
      </c>
      <c r="DA69" s="40">
        <f t="shared" ref="DA69" si="429">+DA67/CW67-1</f>
        <v>0.10687122704895757</v>
      </c>
      <c r="DB69" s="40">
        <f t="shared" ref="DB69" si="430">+DB67/CX67-1</f>
        <v>0.12998956468651568</v>
      </c>
      <c r="DE69" s="122"/>
      <c r="DF69" s="39" t="e">
        <v>#DIV/0!</v>
      </c>
      <c r="DG69" s="39">
        <v>0.21311667101934062</v>
      </c>
    </row>
    <row r="70" spans="1:111" s="39" customFormat="1" x14ac:dyDescent="0.2">
      <c r="A70" s="39" t="s">
        <v>448</v>
      </c>
      <c r="AB70" s="40"/>
      <c r="AC70" s="40"/>
      <c r="AD70" s="40"/>
      <c r="AE70" s="40"/>
      <c r="AJ70" s="39" t="e">
        <f>+IF(AI67&lt;0,1-AJ67/AI67,AJ67/AI67-1)</f>
        <v>#DIV/0!</v>
      </c>
      <c r="AK70" s="39" t="e">
        <f t="shared" ref="AK70" si="431">+IF(AJ67&lt;0,1-AK67/AJ67,AK67/AJ67-1)</f>
        <v>#DIV/0!</v>
      </c>
      <c r="AL70" s="39" t="e">
        <f t="shared" ref="AL70" si="432">+IF(AK67&lt;0,1-AL67/AK67,AL67/AK67-1)</f>
        <v>#DIV/0!</v>
      </c>
      <c r="AM70" s="39" t="e">
        <f t="shared" ref="AM70" si="433">+IF(AL67&lt;0,1-AM67/AL67,AM67/AL67-1)</f>
        <v>#DIV/0!</v>
      </c>
      <c r="AN70" s="39" t="e">
        <f t="shared" ref="AN70" si="434">+IF(AM67&lt;0,1-AN67/AM67,AN67/AM67-1)</f>
        <v>#DIV/0!</v>
      </c>
      <c r="AO70" s="39" t="e">
        <f t="shared" ref="AO70" si="435">+IF(AN67&lt;0,1-AO67/AN67,AO67/AN67-1)</f>
        <v>#DIV/0!</v>
      </c>
      <c r="AP70" s="39" t="e">
        <f t="shared" ref="AP70" si="436">+IF(AO67&lt;0,1-AP67/AO67,AP67/AO67-1)</f>
        <v>#DIV/0!</v>
      </c>
      <c r="AQ70" s="39" t="e">
        <f t="shared" ref="AQ70" si="437">+IF(AP67&lt;0,1-AQ67/AP67,AQ67/AP67-1)</f>
        <v>#DIV/0!</v>
      </c>
      <c r="AR70" s="39" t="e">
        <f t="shared" ref="AR70" si="438">+IF(AQ67&lt;0,1-AR67/AQ67,AR67/AQ67-1)</f>
        <v>#DIV/0!</v>
      </c>
      <c r="AS70" s="39" t="e">
        <f t="shared" ref="AS70" si="439">+IF(AR67&lt;0,1-AS67/AR67,AS67/AR67-1)</f>
        <v>#DIV/0!</v>
      </c>
      <c r="AT70" s="39">
        <f t="shared" ref="AT70" si="440">+IF(AS67&lt;0,1-AT67/AS67,AT67/AS67-1)</f>
        <v>9.8192139737991262</v>
      </c>
      <c r="AU70" s="39">
        <f t="shared" ref="AU70" si="441">+IF(AT67&lt;0,1-AU67/AT67,AU67/AT67-1)</f>
        <v>2.7790603810138843</v>
      </c>
      <c r="AV70" s="39">
        <f t="shared" ref="AV70" si="442">+IF(AU67&lt;0,1-AV67/AU67,AV67/AU67-1)</f>
        <v>0.20525472604934314</v>
      </c>
      <c r="AW70" s="39">
        <f t="shared" ref="AW70" si="443">+IF(AV67&lt;0,1-AW67/AV67,AW67/AV67-1)</f>
        <v>-0.10082588969232953</v>
      </c>
      <c r="AX70" s="39">
        <f t="shared" ref="AX70" si="444">+IF(AW67&lt;0,1-AX67/AW67,AX67/AW67-1)</f>
        <v>2.7791465457769338E-3</v>
      </c>
      <c r="AY70" s="39">
        <f t="shared" ref="AY70" si="445">+IF(AX67&lt;0,1-AY67/AX67,AY67/AX67-1)</f>
        <v>0.19610425347904714</v>
      </c>
      <c r="AZ70" s="39">
        <f t="shared" ref="AZ70" si="446">+IF(AY67&lt;0,1-AZ67/AY67,AZ67/AY67-1)</f>
        <v>-0.18097710877031525</v>
      </c>
      <c r="BA70" s="39">
        <f t="shared" ref="BA70" si="447">+IF(AZ67&lt;0,1-BA67/AZ67,BA67/AZ67-1)</f>
        <v>1.9402086677367647E-2</v>
      </c>
      <c r="BB70" s="39">
        <f t="shared" ref="BB70" si="448">+IF(BA67&lt;0,1-BB67/BA67,BB67/BA67-1)</f>
        <v>1.5745861790694704E-4</v>
      </c>
      <c r="BC70" s="39">
        <f t="shared" ref="BC70" si="449">+IF(BB67&lt;0,1-BC67/BB67,BC67/BB67-1)</f>
        <v>-2.3359244317622596E-2</v>
      </c>
      <c r="BD70" s="39">
        <f t="shared" ref="BD70" si="450">+IF(BC67&lt;0,1-BD67/BC67,BD67/BC67-1)</f>
        <v>1.9182719432578432E-2</v>
      </c>
      <c r="BE70" s="39">
        <f t="shared" ref="BE70" si="451">+IF(BD67&lt;0,1-BE67/BD67,BE67/BD67-1)</f>
        <v>2.336318703044681</v>
      </c>
      <c r="BF70" s="39">
        <f t="shared" ref="BF70" si="452">+IF(BE67&lt;0,1-BF67/BE67,BF67/BE67-1)</f>
        <v>-0.65181243370409647</v>
      </c>
      <c r="BG70" s="39">
        <f t="shared" ref="BG70" si="453">+IF(BF67&lt;0,1-BG67/BF67,BG67/BF67-1)</f>
        <v>-5.9226985720850389E-2</v>
      </c>
      <c r="BH70" s="39">
        <f t="shared" ref="BH70" si="454">+IF(BG67&lt;0,1-BH67/BG67,BH67/BG67-1)</f>
        <v>1.0199721403115221</v>
      </c>
      <c r="BI70" s="39">
        <f t="shared" ref="BI70" si="455">+IF(BH67&lt;0,1-BI67/BH67,BI67/BH67-1)</f>
        <v>1.2378333840835412</v>
      </c>
      <c r="BJ70" s="39">
        <f t="shared" ref="BJ70" si="456">+IF(BI67&lt;0,1-BJ67/BI67,BJ67/BI67-1)</f>
        <v>-8.7032560671063686E-2</v>
      </c>
      <c r="BK70" s="39">
        <f t="shared" ref="BK70" si="457">+IF(BJ67&lt;0,1-BK67/BJ67,BK67/BJ67-1)</f>
        <v>0.25265534246575339</v>
      </c>
      <c r="BL70" s="39">
        <f t="shared" ref="BL70" si="458">+IF(BK67&lt;0,1-BL67/BK67,BL67/BK67-1)</f>
        <v>-9.4368740420349706E-2</v>
      </c>
      <c r="BM70" s="39">
        <f t="shared" ref="BM70" si="459">+IF(BL67&lt;0,1-BM67/BL67,BM67/BL67-1)</f>
        <v>-6.2713730945345159E-3</v>
      </c>
      <c r="BN70" s="39">
        <f t="shared" ref="BN70" si="460">+IF(BM67&lt;0,1-BN67/BM67,BN67/BM67-1)</f>
        <v>-3.7819047174653453E-2</v>
      </c>
      <c r="BO70" s="39">
        <f t="shared" ref="BO70" si="461">+IF(BN67&lt;0,1-BO67/BN67,BO67/BN67-1)</f>
        <v>-1.1416632315737529E-2</v>
      </c>
      <c r="BP70" s="39">
        <f t="shared" ref="BP70" si="462">+IF(BO67&lt;0,1-BP67/BO67,BP67/BO67-1)</f>
        <v>-0.11879192710356024</v>
      </c>
      <c r="BQ70" s="39">
        <f t="shared" ref="BQ70" si="463">+IF(BP67&lt;0,1-BQ67/BP67,BQ67/BP67-1)</f>
        <v>6.3355322366650979E-2</v>
      </c>
      <c r="BR70" s="39">
        <f t="shared" ref="BR70" si="464">+IF(BQ67&lt;0,1-BR67/BQ67,BR67/BQ67-1)</f>
        <v>-6.8798834302566947E-3</v>
      </c>
      <c r="BS70" s="39">
        <f t="shared" ref="BS70" si="465">+IF(BR67&lt;0,1-BS67/BR67,BS67/BR67-1)</f>
        <v>0.22428637949060382</v>
      </c>
      <c r="BT70" s="39">
        <f t="shared" ref="BT70" si="466">+IF(BS67&lt;0,1-BT67/BS67,BT67/BS67-1)</f>
        <v>-0.11036638093426965</v>
      </c>
      <c r="BU70" s="39">
        <f t="shared" ref="BU70" si="467">+IF(BT67&lt;0,1-BU67/BT67,BU67/BT67-1)</f>
        <v>5.4005001209969983E-2</v>
      </c>
      <c r="BV70" s="39">
        <f t="shared" ref="BV70" si="468">+IF(BU67&lt;0,1-BV67/BU67,BV67/BU67-1)</f>
        <v>-2.1696705315118803E-2</v>
      </c>
      <c r="BW70" s="39">
        <f t="shared" ref="BW70" si="469">+IF(BV67&lt;0,1-BW67/BV67,BW67/BV67-1)</f>
        <v>0.19248611437064866</v>
      </c>
      <c r="BX70" s="39">
        <f t="shared" ref="BX70" si="470">+IF(BW67&lt;0,1-BX67/BW67,BX67/BW67-1)</f>
        <v>-5.4514860383572117E-3</v>
      </c>
      <c r="BY70" s="39">
        <f t="shared" ref="BY70" si="471">+IF(BX67&lt;0,1-BY67/BX67,BY67/BX67-1)</f>
        <v>8.0891398342397336E-2</v>
      </c>
      <c r="BZ70" s="39">
        <f t="shared" ref="BZ70" si="472">+IF(BY67&lt;0,1-BZ67/BY67,BZ67/BY67-1)</f>
        <v>-0.25800644421119434</v>
      </c>
      <c r="CA70" s="39">
        <f t="shared" ref="CA70" si="473">+IF(BZ67&lt;0,1-CA67/BZ67,CA67/BZ67-1)</f>
        <v>0.50667412348156504</v>
      </c>
      <c r="CB70" s="39">
        <f t="shared" ref="CB70" si="474">+IF(CA67&lt;0,1-CB67/CA67,CB67/CA67-1)</f>
        <v>-4.5525259968885567E-2</v>
      </c>
      <c r="CC70" s="39">
        <f t="shared" ref="CC70" si="475">+IF(CB67&lt;0,1-CC67/CB67,CC67/CB67-1)</f>
        <v>9.384061079179884E-2</v>
      </c>
      <c r="CD70" s="39">
        <f t="shared" ref="CD70" si="476">+IF(CC67&lt;0,1-CD67/CC67,CD67/CC67-1)</f>
        <v>-6.7399163980581545E-2</v>
      </c>
      <c r="CE70" s="39">
        <f t="shared" ref="CE70" si="477">+IF(CD67&lt;0,1-CE67/CD67,CE67/CD67-1)</f>
        <v>0.46117815246184257</v>
      </c>
      <c r="CF70" s="39">
        <f t="shared" ref="CF70" si="478">+IF(CE67&lt;0,1-CF67/CE67,CF67/CE67-1)</f>
        <v>9.2240459801867791E-2</v>
      </c>
      <c r="CG70" s="39">
        <f t="shared" ref="CG70" si="479">+IF(CF67&lt;0,1-CG67/CF67,CG67/CF67-1)</f>
        <v>-3.6359005883902729E-2</v>
      </c>
      <c r="CH70" s="39">
        <f t="shared" ref="CH70:CL70" si="480">+IF(CG67&lt;0,1-CH67/CG67,CH67/CG67-1)</f>
        <v>9.5177426733667803E-2</v>
      </c>
      <c r="CI70" s="39">
        <f t="shared" si="480"/>
        <v>0.10294440709107477</v>
      </c>
      <c r="CJ70" s="39">
        <f t="shared" si="480"/>
        <v>-3.3329108346762726E-2</v>
      </c>
      <c r="CK70" s="39">
        <f t="shared" si="480"/>
        <v>1.4454385953958315E-2</v>
      </c>
      <c r="CL70" s="39">
        <f t="shared" si="480"/>
        <v>8.499359897583636E-2</v>
      </c>
      <c r="CM70" s="40">
        <f t="shared" ref="CM70" si="481">+CM67/CL67-1</f>
        <v>8.9571946238799827E-2</v>
      </c>
      <c r="CN70" s="40">
        <f t="shared" ref="CN70" si="482">+CN67/CM67-1</f>
        <v>-7.4707891933171178E-3</v>
      </c>
      <c r="CO70" s="40">
        <f t="shared" ref="CO70" si="483">+CO67/CN67-1</f>
        <v>5.0139433031131775E-2</v>
      </c>
      <c r="CP70" s="40">
        <f t="shared" ref="CP70" si="484">+CP67/CO67-1</f>
        <v>4.6232536925313372E-2</v>
      </c>
      <c r="CQ70" s="40">
        <f t="shared" ref="CQ70" si="485">+CQ67/CP67-1</f>
        <v>8.9691698478538084E-2</v>
      </c>
      <c r="CR70" s="40">
        <f t="shared" ref="CR70" si="486">+CR67/CQ67-1</f>
        <v>1.8275031576995282E-3</v>
      </c>
      <c r="CS70" s="40">
        <f t="shared" ref="CS70" si="487">+CS67/CR67-1</f>
        <v>4.509599091191907E-2</v>
      </c>
      <c r="CT70" s="40">
        <f t="shared" ref="CT70" si="488">+CT67/CS67-1</f>
        <v>6.1153862874749443E-2</v>
      </c>
      <c r="CU70" s="40">
        <f t="shared" ref="CU70" si="489">+CU67/CT67-1</f>
        <v>4.8902223655964194E-2</v>
      </c>
      <c r="CV70" s="40">
        <f t="shared" ref="CV70" si="490">+CV67/CU67-1</f>
        <v>-6.5407347652007841E-3</v>
      </c>
      <c r="CW70" s="40">
        <f t="shared" ref="CW70" si="491">+CW67/CV67-1</f>
        <v>7.7623482129084875E-2</v>
      </c>
      <c r="CX70" s="40">
        <f t="shared" ref="CX70" si="492">+CX67/CW67-1</f>
        <v>2.5532276962728639E-2</v>
      </c>
      <c r="CY70" s="40">
        <f t="shared" ref="CY70" si="493">+CY67/CX67-1</f>
        <v>3.8760240380159905E-2</v>
      </c>
      <c r="CZ70" s="40">
        <f t="shared" ref="CZ70" si="494">+CZ67/CY67-1</f>
        <v>-5.1083422111986021E-4</v>
      </c>
      <c r="DA70" s="40">
        <f t="shared" ref="DA70" si="495">+DA67/CZ67-1</f>
        <v>3.9571477868714178E-2</v>
      </c>
      <c r="DB70" s="40">
        <f t="shared" ref="DB70" si="496">+DB67/DA67-1</f>
        <v>4.6951752740636232E-2</v>
      </c>
      <c r="DE70" s="122"/>
      <c r="DG70" s="39">
        <v>0.12159943726696154</v>
      </c>
    </row>
    <row r="71" spans="1:111" s="23" customFormat="1" outlineLevel="1" x14ac:dyDescent="0.2">
      <c r="A71" s="23" t="s">
        <v>8</v>
      </c>
      <c r="B71" s="23">
        <f>'Annual Raw'!C14</f>
        <v>0</v>
      </c>
      <c r="C71" s="23">
        <f>'Annual Raw'!D14</f>
        <v>0</v>
      </c>
      <c r="D71" s="23">
        <f>'Annual Raw'!E14</f>
        <v>0</v>
      </c>
      <c r="E71" s="23">
        <f>'Annual Raw'!F14</f>
        <v>0</v>
      </c>
      <c r="F71" s="23">
        <f>'Annual Raw'!G14</f>
        <v>0</v>
      </c>
      <c r="G71" s="23">
        <f>'Annual Raw'!H14</f>
        <v>0</v>
      </c>
      <c r="H71" s="23">
        <f>'Annual Raw'!I14</f>
        <v>0</v>
      </c>
      <c r="I71" s="23">
        <f>'Annual Raw'!J14</f>
        <v>0</v>
      </c>
      <c r="J71" s="23">
        <f>'Annual Raw'!K14</f>
        <v>0</v>
      </c>
      <c r="K71" s="23">
        <f>'Annual Raw'!L14</f>
        <v>0</v>
      </c>
      <c r="L71" s="23">
        <f>'Annual Raw'!M14</f>
        <v>0</v>
      </c>
      <c r="M71" s="23">
        <f>'Annual Raw'!N14</f>
        <v>0</v>
      </c>
      <c r="N71" s="23">
        <f>'Annual Raw'!O14</f>
        <v>0</v>
      </c>
      <c r="O71" s="23">
        <f>'Annual Raw'!P14</f>
        <v>0</v>
      </c>
      <c r="P71" s="23">
        <f>'Annual Raw'!Q14</f>
        <v>16.21</v>
      </c>
      <c r="Q71" s="23">
        <f>'Annual Raw'!R14</f>
        <v>30.71</v>
      </c>
      <c r="R71" s="23">
        <f>'Annual Raw'!S14</f>
        <v>45.91</v>
      </c>
      <c r="S71" s="23">
        <f>'Annual Raw'!T14</f>
        <v>42.25</v>
      </c>
      <c r="T71" s="23">
        <f>'Annual Raw'!U14</f>
        <v>586.91999999999996</v>
      </c>
      <c r="U71" s="23">
        <f>'Annual Raw'!V14</f>
        <v>973.24</v>
      </c>
      <c r="V71" s="23">
        <f>'Annual Raw'!W14</f>
        <v>930.76</v>
      </c>
      <c r="W71" s="23">
        <f>'Annual Raw'!X14</f>
        <v>885.07</v>
      </c>
      <c r="X71" s="23">
        <f>'Annual Raw'!Y14</f>
        <v>986.65</v>
      </c>
      <c r="Y71" s="23">
        <f>'Annual Raw'!Z14</f>
        <v>951.7</v>
      </c>
      <c r="Z71" s="75">
        <f>'Annual Raw'!AA14</f>
        <v>1032.94</v>
      </c>
      <c r="AA71" s="75">
        <f>'Annual Raw'!AB14</f>
        <v>1092.6400000000001</v>
      </c>
      <c r="AB71" s="76">
        <f t="shared" ref="AB71:AB78" si="497">+SUM(CM71:CP71)</f>
        <v>1169.1248000000001</v>
      </c>
      <c r="AC71" s="76">
        <f t="shared" ref="AC71:AC78" si="498">+SUM(CQ71:CT71)</f>
        <v>1250.9635360000002</v>
      </c>
      <c r="AD71" s="76">
        <f t="shared" ref="AD71:AD78" si="499">+SUM(CU71:CX71)</f>
        <v>1338.5309835200001</v>
      </c>
      <c r="AE71" s="76">
        <f t="shared" ref="AE71:AE78" si="500">+SUM(CY71:DB71)</f>
        <v>1432.2281523664001</v>
      </c>
      <c r="AI71" s="23">
        <f>'QTR Raw'!C16</f>
        <v>0</v>
      </c>
      <c r="AJ71" s="23">
        <f>'QTR Raw'!D16</f>
        <v>0</v>
      </c>
      <c r="AK71" s="23">
        <f>'QTR Raw'!E16</f>
        <v>0</v>
      </c>
      <c r="AL71" s="23">
        <f>'QTR Raw'!F16</f>
        <v>0</v>
      </c>
      <c r="AM71" s="23">
        <f>'QTR Raw'!G16</f>
        <v>0</v>
      </c>
      <c r="AN71" s="23">
        <f>'QTR Raw'!H16</f>
        <v>0</v>
      </c>
      <c r="AO71" s="23">
        <f>'QTR Raw'!I16</f>
        <v>0</v>
      </c>
      <c r="AP71" s="23">
        <f>'QTR Raw'!J16</f>
        <v>0</v>
      </c>
      <c r="AQ71" s="23">
        <f>'QTR Raw'!K16</f>
        <v>0</v>
      </c>
      <c r="AR71" s="23">
        <f>'QTR Raw'!L16</f>
        <v>0</v>
      </c>
      <c r="AS71" s="23">
        <f>'QTR Raw'!M16</f>
        <v>4.7699999999999996</v>
      </c>
      <c r="AT71" s="23">
        <f>'QTR Raw'!N16</f>
        <v>11.44</v>
      </c>
      <c r="AU71" s="23">
        <f>'QTR Raw'!O16</f>
        <v>8.5399999999999991</v>
      </c>
      <c r="AV71" s="23">
        <f>'QTR Raw'!P16</f>
        <v>9.43</v>
      </c>
      <c r="AW71" s="23">
        <f>'QTR Raw'!Q16</f>
        <v>8.0399999999999991</v>
      </c>
      <c r="AX71" s="23">
        <f>'QTR Raw'!R16</f>
        <v>4.7</v>
      </c>
      <c r="AY71" s="23">
        <f>'QTR Raw'!S16</f>
        <v>10.53</v>
      </c>
      <c r="AZ71" s="23">
        <f>'QTR Raw'!T16</f>
        <v>11.89</v>
      </c>
      <c r="BA71" s="23">
        <f>'QTR Raw'!U16</f>
        <v>11.92</v>
      </c>
      <c r="BB71" s="23">
        <f>'QTR Raw'!V16</f>
        <v>11.57</v>
      </c>
      <c r="BC71" s="23">
        <f>'QTR Raw'!W16</f>
        <v>14.5</v>
      </c>
      <c r="BD71" s="23">
        <f>'QTR Raw'!X16</f>
        <v>8.81</v>
      </c>
      <c r="BE71" s="23">
        <f>'QTR Raw'!Y16</f>
        <v>8.7899999999999991</v>
      </c>
      <c r="BF71" s="23">
        <f>'QTR Raw'!Z16</f>
        <v>10.15</v>
      </c>
      <c r="BG71" s="23">
        <f>'QTR Raw'!AA16</f>
        <v>14.54</v>
      </c>
      <c r="BH71" s="23">
        <f>'QTR Raw'!AB16</f>
        <v>86.69</v>
      </c>
      <c r="BI71" s="23">
        <f>'QTR Raw'!AC16</f>
        <v>244.28</v>
      </c>
      <c r="BJ71" s="23">
        <f>'QTR Raw'!AD16</f>
        <v>241.42</v>
      </c>
      <c r="BK71" s="23">
        <f>'QTR Raw'!AE16</f>
        <v>262.64999999999998</v>
      </c>
      <c r="BL71" s="23">
        <f>'QTR Raw'!AF16</f>
        <v>249.03</v>
      </c>
      <c r="BM71" s="23">
        <f>'QTR Raw'!AG16</f>
        <v>235.79</v>
      </c>
      <c r="BN71" s="23">
        <f>'QTR Raw'!AH16</f>
        <v>225.77</v>
      </c>
      <c r="BO71" s="23">
        <f>'QTR Raw'!AI16</f>
        <v>222.53</v>
      </c>
      <c r="BP71" s="23">
        <f>'QTR Raw'!AJ16</f>
        <v>253.62</v>
      </c>
      <c r="BQ71" s="23">
        <f>'QTR Raw'!AK16</f>
        <v>218.82</v>
      </c>
      <c r="BR71" s="23">
        <f>'QTR Raw'!AL16</f>
        <v>235.79</v>
      </c>
      <c r="BS71" s="23">
        <f>'QTR Raw'!AM16</f>
        <v>229.27</v>
      </c>
      <c r="BT71" s="23">
        <f>'QTR Raw'!AN16</f>
        <v>244.88</v>
      </c>
      <c r="BU71" s="23">
        <f>'QTR Raw'!AO16</f>
        <v>226.7</v>
      </c>
      <c r="BV71" s="23">
        <f>'QTR Raw'!AP16</f>
        <v>184.22</v>
      </c>
      <c r="BW71" s="23">
        <f>'QTR Raw'!AQ16</f>
        <v>223.46</v>
      </c>
      <c r="BX71" s="23">
        <f>'QTR Raw'!AR16</f>
        <v>231.73</v>
      </c>
      <c r="BY71" s="23">
        <f>'QTR Raw'!AS16</f>
        <v>226.37</v>
      </c>
      <c r="BZ71" s="23">
        <f>'QTR Raw'!AT16</f>
        <v>305.08999999999997</v>
      </c>
      <c r="CA71" s="23">
        <f>'QTR Raw'!AU16</f>
        <v>242.8</v>
      </c>
      <c r="CB71" s="23">
        <f>'QTR Raw'!AV16</f>
        <v>270</v>
      </c>
      <c r="CC71" s="23">
        <f>'QTR Raw'!AW16</f>
        <v>259.45999999999998</v>
      </c>
      <c r="CD71" s="23">
        <f>'QTR Raw'!AX16</f>
        <v>179.44</v>
      </c>
      <c r="CE71" s="23">
        <f>'QTR Raw'!AY16</f>
        <v>276.17</v>
      </c>
      <c r="CF71" s="23">
        <f>'QTR Raw'!AZ16</f>
        <v>292.94</v>
      </c>
      <c r="CG71" s="23">
        <f>'QTR Raw'!BA16</f>
        <v>229.91</v>
      </c>
      <c r="CH71" s="23">
        <f>'QTR Raw'!BB16</f>
        <v>233.92</v>
      </c>
      <c r="CI71" s="23">
        <f>'QTR Raw'!BC16</f>
        <v>231.23</v>
      </c>
      <c r="CJ71" s="23">
        <f>'QTR Raw'!BD16</f>
        <v>236.26</v>
      </c>
      <c r="CK71" s="23">
        <f>'QTR Raw'!BE16</f>
        <v>317.51</v>
      </c>
      <c r="CL71" s="23">
        <f>'QTR Raw'!BF16</f>
        <v>307.64</v>
      </c>
      <c r="CM71" s="24">
        <f t="shared" ref="CM71:CP71" si="501">CI71*107%</f>
        <v>247.4161</v>
      </c>
      <c r="CN71" s="24">
        <f t="shared" si="501"/>
        <v>252.79820000000001</v>
      </c>
      <c r="CO71" s="24">
        <f t="shared" si="501"/>
        <v>339.73570000000001</v>
      </c>
      <c r="CP71" s="24">
        <f t="shared" si="501"/>
        <v>329.1748</v>
      </c>
      <c r="CQ71" s="24">
        <f>CM71*107%</f>
        <v>264.73522700000001</v>
      </c>
      <c r="CR71" s="24">
        <f t="shared" ref="CR71:DB71" si="502">CN71*107%</f>
        <v>270.49407400000001</v>
      </c>
      <c r="CS71" s="24">
        <f t="shared" si="502"/>
        <v>363.51719900000001</v>
      </c>
      <c r="CT71" s="24">
        <f t="shared" si="502"/>
        <v>352.21703600000001</v>
      </c>
      <c r="CU71" s="24">
        <f t="shared" si="502"/>
        <v>283.26669289</v>
      </c>
      <c r="CV71" s="24">
        <f t="shared" si="502"/>
        <v>289.42865918000001</v>
      </c>
      <c r="CW71" s="24">
        <f t="shared" si="502"/>
        <v>388.96340293000003</v>
      </c>
      <c r="CX71" s="24">
        <f t="shared" si="502"/>
        <v>376.87222852000002</v>
      </c>
      <c r="CY71" s="24">
        <f t="shared" si="502"/>
        <v>303.09536139229999</v>
      </c>
      <c r="CZ71" s="24">
        <f t="shared" si="502"/>
        <v>309.6886653226</v>
      </c>
      <c r="DA71" s="24">
        <f t="shared" si="502"/>
        <v>416.19084113510007</v>
      </c>
      <c r="DB71" s="24">
        <f t="shared" si="502"/>
        <v>403.25328451640007</v>
      </c>
      <c r="DE71" s="123"/>
      <c r="DF71" s="23">
        <v>0</v>
      </c>
      <c r="DG71" s="23">
        <v>250.2944</v>
      </c>
    </row>
    <row r="72" spans="1:111" s="23" customFormat="1" outlineLevel="1" x14ac:dyDescent="0.2">
      <c r="A72" s="23" t="s">
        <v>10</v>
      </c>
      <c r="B72" s="23">
        <f>'Annual Raw'!C17</f>
        <v>0</v>
      </c>
      <c r="C72" s="23">
        <f>'Annual Raw'!D17</f>
        <v>0</v>
      </c>
      <c r="D72" s="23">
        <f>'Annual Raw'!E17</f>
        <v>0</v>
      </c>
      <c r="E72" s="23">
        <f>'Annual Raw'!F17</f>
        <v>0</v>
      </c>
      <c r="F72" s="23">
        <f>'Annual Raw'!G17</f>
        <v>0</v>
      </c>
      <c r="G72" s="23">
        <f>'Annual Raw'!H17</f>
        <v>0</v>
      </c>
      <c r="H72" s="23">
        <f>'Annual Raw'!I17</f>
        <v>0</v>
      </c>
      <c r="I72" s="23">
        <f>'Annual Raw'!J17</f>
        <v>0</v>
      </c>
      <c r="J72" s="23">
        <f>'Annual Raw'!K17</f>
        <v>0</v>
      </c>
      <c r="K72" s="23">
        <f>'Annual Raw'!L17</f>
        <v>0</v>
      </c>
      <c r="L72" s="23">
        <f>'Annual Raw'!M17</f>
        <v>0</v>
      </c>
      <c r="M72" s="23">
        <f>'Annual Raw'!N17</f>
        <v>0</v>
      </c>
      <c r="N72" s="23">
        <f>'Annual Raw'!O17</f>
        <v>0</v>
      </c>
      <c r="O72" s="23">
        <f>'Annual Raw'!P17</f>
        <v>5.6179999999999999E-4</v>
      </c>
      <c r="P72" s="23">
        <f>('Annual Raw'!Q17)-6.34</f>
        <v>3.1400000000000006</v>
      </c>
      <c r="Q72" s="23">
        <f>('Annual Raw'!R17)-13.01</f>
        <v>20.310000000000002</v>
      </c>
      <c r="R72" s="23">
        <f>('Annual Raw'!S17)-23.04</f>
        <v>15.840000000000003</v>
      </c>
      <c r="S72" s="23">
        <f>('Annual Raw'!T17)-41.62</f>
        <v>17.330000000000005</v>
      </c>
      <c r="T72" s="23">
        <f>('Annual Raw'!U17)-141.21</f>
        <v>104.19999999999999</v>
      </c>
      <c r="U72" s="23">
        <f>('Annual Raw'!V17)-164.92</f>
        <v>137.72</v>
      </c>
      <c r="V72" s="23">
        <f>('Annual Raw'!W17)-152.62</f>
        <v>138.73000000000002</v>
      </c>
      <c r="W72" s="23">
        <f>('Annual Raw'!X17)-200.36</f>
        <v>124.57999999999998</v>
      </c>
      <c r="X72" s="23">
        <f>('Annual Raw'!Y17)-232.37</f>
        <v>149.13</v>
      </c>
      <c r="Y72" s="23">
        <f>('Annual Raw'!Z17)-295.1</f>
        <v>146.14999999999998</v>
      </c>
      <c r="Z72" s="23">
        <f>('Annual Raw'!AA17)-292.37</f>
        <v>173.85000000000002</v>
      </c>
      <c r="AA72" s="23">
        <f>('Annual Raw'!AB17)-292.37</f>
        <v>278.74</v>
      </c>
      <c r="AB72" s="76">
        <f t="shared" si="497"/>
        <v>0</v>
      </c>
      <c r="AC72" s="76">
        <f t="shared" si="498"/>
        <v>0</v>
      </c>
      <c r="AD72" s="76">
        <f t="shared" si="499"/>
        <v>0</v>
      </c>
      <c r="AE72" s="76">
        <f t="shared" si="500"/>
        <v>0</v>
      </c>
      <c r="AI72" s="23">
        <f>'QTR Raw'!C17</f>
        <v>0</v>
      </c>
      <c r="AJ72" s="23">
        <f>'QTR Raw'!D17</f>
        <v>0</v>
      </c>
      <c r="AK72" s="23">
        <f>'QTR Raw'!E17</f>
        <v>0</v>
      </c>
      <c r="AL72" s="23">
        <f>'QTR Raw'!F17</f>
        <v>0</v>
      </c>
      <c r="AM72" s="23">
        <f>'QTR Raw'!G17</f>
        <v>0</v>
      </c>
      <c r="AN72" s="23">
        <f>'QTR Raw'!H17</f>
        <v>0</v>
      </c>
      <c r="AO72" s="23">
        <f>'QTR Raw'!I17</f>
        <v>0</v>
      </c>
      <c r="AP72" s="23">
        <f>'QTR Raw'!J17</f>
        <v>0</v>
      </c>
      <c r="AQ72" s="23">
        <f>'QTR Raw'!K17</f>
        <v>0</v>
      </c>
      <c r="AR72" s="23">
        <f>'QTR Raw'!L17</f>
        <v>0</v>
      </c>
      <c r="AS72" s="23">
        <f>'QTR Raw'!M17</f>
        <v>0</v>
      </c>
      <c r="AT72" s="23">
        <f>'QTR Raw'!N17</f>
        <v>0</v>
      </c>
      <c r="AU72" s="23">
        <f>'QTR Raw'!O17</f>
        <v>0</v>
      </c>
      <c r="AV72" s="23">
        <f>'QTR Raw'!P17</f>
        <v>0</v>
      </c>
      <c r="AW72" s="23">
        <f>'QTR Raw'!Q17</f>
        <v>0</v>
      </c>
      <c r="AX72" s="23">
        <f>'QTR Raw'!R17</f>
        <v>0</v>
      </c>
      <c r="AY72" s="23">
        <f>'QTR Raw'!S17</f>
        <v>0</v>
      </c>
      <c r="AZ72" s="23">
        <f>'QTR Raw'!T17</f>
        <v>0</v>
      </c>
      <c r="BA72" s="23">
        <f>'QTR Raw'!U17</f>
        <v>0</v>
      </c>
      <c r="BB72" s="23">
        <f>'QTR Raw'!V17</f>
        <v>0</v>
      </c>
      <c r="BC72" s="23">
        <f>'QTR Raw'!W17</f>
        <v>0</v>
      </c>
      <c r="BD72" s="23">
        <f>'QTR Raw'!X17</f>
        <v>0</v>
      </c>
      <c r="BE72" s="23">
        <f>'QTR Raw'!Y17</f>
        <v>0</v>
      </c>
      <c r="BF72" s="23">
        <f>'QTR Raw'!Z17</f>
        <v>0</v>
      </c>
      <c r="BG72" s="23">
        <f>'QTR Raw'!AA17</f>
        <v>0</v>
      </c>
      <c r="BH72" s="23">
        <f>'QTR Raw'!AB17</f>
        <v>0</v>
      </c>
      <c r="BI72" s="23">
        <f>'QTR Raw'!AC17</f>
        <v>0</v>
      </c>
      <c r="BJ72" s="23">
        <f>'QTR Raw'!AD17</f>
        <v>0</v>
      </c>
      <c r="BK72" s="23">
        <f>'QTR Raw'!AE17</f>
        <v>0</v>
      </c>
      <c r="BL72" s="23">
        <f>'QTR Raw'!AF17</f>
        <v>0</v>
      </c>
      <c r="BM72" s="23">
        <f>'QTR Raw'!AG17</f>
        <v>0</v>
      </c>
      <c r="BN72" s="23">
        <f>'QTR Raw'!AH17</f>
        <v>0</v>
      </c>
      <c r="BO72" s="23">
        <f>'QTR Raw'!AI17</f>
        <v>0</v>
      </c>
      <c r="BP72" s="23">
        <f>'QTR Raw'!AJ17</f>
        <v>0</v>
      </c>
      <c r="BQ72" s="23">
        <f>'QTR Raw'!AK17</f>
        <v>0</v>
      </c>
      <c r="BR72" s="23">
        <f>'QTR Raw'!AL17</f>
        <v>0</v>
      </c>
      <c r="BS72" s="23">
        <f>'QTR Raw'!AM17</f>
        <v>0</v>
      </c>
      <c r="BT72" s="23">
        <f>'QTR Raw'!AN17</f>
        <v>0</v>
      </c>
      <c r="BU72" s="23">
        <f>'QTR Raw'!AO17</f>
        <v>0</v>
      </c>
      <c r="BV72" s="23">
        <f>'QTR Raw'!AP17</f>
        <v>0</v>
      </c>
      <c r="BW72" s="23">
        <f>'QTR Raw'!AQ17</f>
        <v>0</v>
      </c>
      <c r="BX72" s="23">
        <f>'QTR Raw'!AR17</f>
        <v>0</v>
      </c>
      <c r="BY72" s="23">
        <f>'QTR Raw'!AS17</f>
        <v>0</v>
      </c>
      <c r="BZ72" s="23">
        <f>'QTR Raw'!AT17</f>
        <v>0</v>
      </c>
      <c r="CA72" s="23">
        <f>'QTR Raw'!AU17</f>
        <v>0</v>
      </c>
      <c r="CB72" s="23">
        <f>'QTR Raw'!AV17</f>
        <v>0</v>
      </c>
      <c r="CC72" s="23">
        <f>'QTR Raw'!AW17</f>
        <v>0</v>
      </c>
      <c r="CD72" s="23">
        <f>'QTR Raw'!AX17</f>
        <v>0</v>
      </c>
      <c r="CE72" s="23">
        <f>'QTR Raw'!AY17</f>
        <v>0</v>
      </c>
      <c r="CF72" s="23">
        <f>'QTR Raw'!AZ17</f>
        <v>0</v>
      </c>
      <c r="CG72" s="23">
        <f>'QTR Raw'!BA17</f>
        <v>0</v>
      </c>
      <c r="CH72" s="23">
        <f>'QTR Raw'!BB17</f>
        <v>0</v>
      </c>
      <c r="CI72" s="23">
        <f>'QTR Raw'!BC17</f>
        <v>0</v>
      </c>
      <c r="CJ72" s="23">
        <f>'QTR Raw'!BD17</f>
        <v>0</v>
      </c>
      <c r="CK72" s="23">
        <f>'QTR Raw'!BE17</f>
        <v>0</v>
      </c>
      <c r="CL72" s="23">
        <f>'QTR Raw'!BF17</f>
        <v>0</v>
      </c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E72" s="123"/>
      <c r="DF72" s="23">
        <v>-292.37</v>
      </c>
    </row>
    <row r="73" spans="1:111" s="23" customFormat="1" outlineLevel="1" x14ac:dyDescent="0.2">
      <c r="A73" s="23" t="s">
        <v>567</v>
      </c>
      <c r="P73" s="23">
        <v>6.34</v>
      </c>
      <c r="Q73" s="23">
        <v>13.01</v>
      </c>
      <c r="R73" s="23">
        <v>23.04</v>
      </c>
      <c r="S73" s="23">
        <v>41.62</v>
      </c>
      <c r="T73" s="23">
        <v>141.21</v>
      </c>
      <c r="U73" s="23">
        <v>164.92</v>
      </c>
      <c r="V73" s="23">
        <v>152.62</v>
      </c>
      <c r="W73" s="23">
        <v>200.36</v>
      </c>
      <c r="X73" s="23">
        <v>232.37</v>
      </c>
      <c r="Y73" s="23">
        <v>295.10000000000002</v>
      </c>
      <c r="Z73" s="23">
        <v>292.37</v>
      </c>
      <c r="AA73" s="23">
        <v>292.37</v>
      </c>
      <c r="AB73" s="76"/>
      <c r="AC73" s="76"/>
      <c r="AD73" s="76"/>
      <c r="AE73" s="76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E73" s="123"/>
      <c r="DF73" s="23">
        <v>292.37</v>
      </c>
    </row>
    <row r="74" spans="1:111" s="23" customFormat="1" outlineLevel="1" x14ac:dyDescent="0.2">
      <c r="A74" s="23" t="s">
        <v>12</v>
      </c>
      <c r="B74" s="23">
        <f>'Annual Raw'!C19-'Annual Raw'!C20</f>
        <v>0</v>
      </c>
      <c r="C74" s="23">
        <f>'Annual Raw'!D19-'Annual Raw'!D20</f>
        <v>0</v>
      </c>
      <c r="D74" s="23">
        <f>'Annual Raw'!E19-'Annual Raw'!E20</f>
        <v>0</v>
      </c>
      <c r="E74" s="23">
        <f>'Annual Raw'!F19-'Annual Raw'!F20</f>
        <v>0</v>
      </c>
      <c r="F74" s="23">
        <f>'Annual Raw'!G19-'Annual Raw'!G20</f>
        <v>0</v>
      </c>
      <c r="G74" s="23">
        <f>'Annual Raw'!H19-'Annual Raw'!H20</f>
        <v>0</v>
      </c>
      <c r="H74" s="23">
        <f>'Annual Raw'!I19-'Annual Raw'!I20</f>
        <v>0</v>
      </c>
      <c r="I74" s="23">
        <f>'Annual Raw'!J19-'Annual Raw'!J20</f>
        <v>0</v>
      </c>
      <c r="J74" s="23">
        <f>'Annual Raw'!K19-'Annual Raw'!K20</f>
        <v>0</v>
      </c>
      <c r="K74" s="23">
        <f>'Annual Raw'!L19-'Annual Raw'!L20</f>
        <v>0</v>
      </c>
      <c r="L74" s="23">
        <f>'Annual Raw'!M19-'Annual Raw'!M20</f>
        <v>0</v>
      </c>
      <c r="M74" s="23">
        <f>'Annual Raw'!N19-'Annual Raw'!N20</f>
        <v>0</v>
      </c>
      <c r="N74" s="23">
        <f>'Annual Raw'!O19-'Annual Raw'!O20</f>
        <v>0</v>
      </c>
      <c r="O74" s="23">
        <f>'Annual Raw'!P19-'Annual Raw'!P20</f>
        <v>2.1410999999999999E-3</v>
      </c>
      <c r="P74" s="23">
        <f>'Annual Raw'!Q19-'Annual Raw'!Q20</f>
        <v>1.07</v>
      </c>
      <c r="Q74" s="23">
        <f>'Annual Raw'!R19-'Annual Raw'!R20</f>
        <v>12.21</v>
      </c>
      <c r="R74" s="23">
        <f>'Annual Raw'!S19-'Annual Raw'!S20</f>
        <v>17.010000000000002</v>
      </c>
      <c r="S74" s="23">
        <f>'Annual Raw'!T19-'Annual Raw'!T20</f>
        <v>23.53</v>
      </c>
      <c r="T74" s="23">
        <f>'Annual Raw'!U19-'Annual Raw'!U20</f>
        <v>101.06</v>
      </c>
      <c r="U74" s="23">
        <f>'Annual Raw'!V19-'Annual Raw'!V20</f>
        <v>425.1</v>
      </c>
      <c r="V74" s="23">
        <f>'Annual Raw'!W19-'Annual Raw'!W20</f>
        <v>124.83</v>
      </c>
      <c r="W74" s="23">
        <f>'Annual Raw'!X19-'Annual Raw'!X20</f>
        <v>140.65</v>
      </c>
      <c r="X74" s="23">
        <f>'Annual Raw'!Y19-'Annual Raw'!Y20</f>
        <v>354.19</v>
      </c>
      <c r="Y74" s="23">
        <f>'Annual Raw'!Z19-'Annual Raw'!Z20</f>
        <v>670.91</v>
      </c>
      <c r="Z74" s="23">
        <f>'Annual Raw'!AA19-'Annual Raw'!AA20</f>
        <v>1446.11</v>
      </c>
      <c r="AA74" s="23">
        <f>'Annual Raw'!AB19-'Annual Raw'!AB20</f>
        <v>1277.3399999999999</v>
      </c>
      <c r="AB74" s="76">
        <f t="shared" si="497"/>
        <v>0</v>
      </c>
      <c r="AC74" s="76">
        <f t="shared" si="498"/>
        <v>0</v>
      </c>
      <c r="AD74" s="76">
        <f t="shared" si="499"/>
        <v>0</v>
      </c>
      <c r="AE74" s="76">
        <f t="shared" si="500"/>
        <v>0</v>
      </c>
      <c r="AI74" s="23">
        <f>+'QTR Raw'!C21</f>
        <v>0</v>
      </c>
      <c r="AJ74" s="23">
        <f>+'QTR Raw'!D21</f>
        <v>0</v>
      </c>
      <c r="AK74" s="23">
        <f>+'QTR Raw'!E21</f>
        <v>0</v>
      </c>
      <c r="AL74" s="23">
        <f>+'QTR Raw'!F21</f>
        <v>0</v>
      </c>
      <c r="AM74" s="23">
        <f>+'QTR Raw'!G21</f>
        <v>0</v>
      </c>
      <c r="AN74" s="23">
        <f>+'QTR Raw'!H21</f>
        <v>0</v>
      </c>
      <c r="AO74" s="23">
        <f>+'QTR Raw'!I21</f>
        <v>0</v>
      </c>
      <c r="AP74" s="23">
        <f>+'QTR Raw'!J21</f>
        <v>0</v>
      </c>
      <c r="AQ74" s="23">
        <f>+'QTR Raw'!K21</f>
        <v>0</v>
      </c>
      <c r="AR74" s="23">
        <f>+'QTR Raw'!L21</f>
        <v>0</v>
      </c>
      <c r="AS74" s="23">
        <f>+'QTR Raw'!M21</f>
        <v>0</v>
      </c>
      <c r="AT74" s="23">
        <f>+'QTR Raw'!N21</f>
        <v>0</v>
      </c>
      <c r="AU74" s="23">
        <f>+'QTR Raw'!O21</f>
        <v>0</v>
      </c>
      <c r="AV74" s="23">
        <f>+'QTR Raw'!P21</f>
        <v>0</v>
      </c>
      <c r="AW74" s="23">
        <f>+'QTR Raw'!Q21</f>
        <v>0</v>
      </c>
      <c r="AX74" s="23">
        <f>+'QTR Raw'!R21</f>
        <v>0</v>
      </c>
      <c r="AY74" s="23">
        <f>+'QTR Raw'!S21</f>
        <v>0</v>
      </c>
      <c r="AZ74" s="23">
        <f>+'QTR Raw'!T21</f>
        <v>0</v>
      </c>
      <c r="BA74" s="23">
        <f>+'QTR Raw'!U21</f>
        <v>0</v>
      </c>
      <c r="BB74" s="23">
        <f>+'QTR Raw'!V21</f>
        <v>0</v>
      </c>
      <c r="BC74" s="23">
        <f>+'QTR Raw'!W21</f>
        <v>0</v>
      </c>
      <c r="BD74" s="23">
        <f>+'QTR Raw'!X21</f>
        <v>0</v>
      </c>
      <c r="BE74" s="23">
        <f>+'QTR Raw'!Y21</f>
        <v>0</v>
      </c>
      <c r="BF74" s="23">
        <f>+'QTR Raw'!Z21</f>
        <v>0</v>
      </c>
      <c r="BG74" s="23">
        <f>+'QTR Raw'!AA21</f>
        <v>0</v>
      </c>
      <c r="BH74" s="23">
        <f>+'QTR Raw'!AB21</f>
        <v>0</v>
      </c>
      <c r="BI74" s="23">
        <f>+'QTR Raw'!AC21</f>
        <v>-81.010000000000005</v>
      </c>
      <c r="BJ74" s="23">
        <f>+'QTR Raw'!AD21</f>
        <v>0</v>
      </c>
      <c r="BK74" s="23">
        <f>+'QTR Raw'!AE21</f>
        <v>87.87</v>
      </c>
      <c r="BL74" s="23">
        <f>+'QTR Raw'!AF21</f>
        <v>73.61</v>
      </c>
      <c r="BM74" s="23">
        <f>+'QTR Raw'!AG21</f>
        <v>53.43</v>
      </c>
      <c r="BN74" s="23">
        <f>+'QTR Raw'!AH21</f>
        <v>17.86</v>
      </c>
      <c r="BO74" s="23">
        <f>+'QTR Raw'!AI21</f>
        <v>-238.3</v>
      </c>
      <c r="BP74" s="23">
        <f>+'QTR Raw'!AJ21</f>
        <v>-33.46</v>
      </c>
      <c r="BQ74" s="23">
        <f>+'QTR Raw'!AK21</f>
        <v>-111.3</v>
      </c>
      <c r="BR74" s="23">
        <f>+'QTR Raw'!AL21</f>
        <v>-199.75</v>
      </c>
      <c r="BS74" s="23">
        <f>+'QTR Raw'!AM21</f>
        <v>15.59</v>
      </c>
      <c r="BT74" s="23">
        <f>+'QTR Raw'!AN21</f>
        <v>-201.71</v>
      </c>
      <c r="BU74" s="23">
        <f>+'QTR Raw'!AO21</f>
        <v>-250.51</v>
      </c>
      <c r="BV74" s="23">
        <f>+'QTR Raw'!AP21</f>
        <v>-245.84</v>
      </c>
      <c r="BW74" s="23">
        <f>+'QTR Raw'!AQ21</f>
        <v>-534.67999999999995</v>
      </c>
      <c r="BX74" s="23">
        <f>+'QTR Raw'!AR21</f>
        <v>-72.989999999999995</v>
      </c>
      <c r="BY74" s="23">
        <f>+'QTR Raw'!AS21</f>
        <v>-62.63</v>
      </c>
      <c r="BZ74" s="23">
        <f>+'QTR Raw'!AT21</f>
        <v>-365.28</v>
      </c>
      <c r="CA74" s="23">
        <f>+'QTR Raw'!AU21</f>
        <v>304.47000000000003</v>
      </c>
      <c r="CB74" s="23">
        <f>+'QTR Raw'!AV21</f>
        <v>154.43</v>
      </c>
      <c r="CC74" s="23">
        <f>+'QTR Raw'!AW21</f>
        <v>56.71</v>
      </c>
      <c r="CD74" s="23">
        <f>+'QTR Raw'!AX21</f>
        <v>-55.6</v>
      </c>
      <c r="CE74" s="23">
        <f>+'QTR Raw'!AY21</f>
        <v>593.65</v>
      </c>
      <c r="CF74" s="23">
        <f>+'QTR Raw'!AZ21</f>
        <v>71.69</v>
      </c>
      <c r="CG74" s="23">
        <f>+'QTR Raw'!BA21</f>
        <v>464.57</v>
      </c>
      <c r="CH74" s="23">
        <f>+'QTR Raw'!BB21</f>
        <v>210.84</v>
      </c>
      <c r="CI74" s="23">
        <f>+'QTR Raw'!BC21</f>
        <v>503.89</v>
      </c>
      <c r="CJ74" s="23">
        <f>+'QTR Raw'!BD21</f>
        <v>333.65</v>
      </c>
      <c r="CK74" s="23">
        <f>+'QTR Raw'!BE21</f>
        <v>340.34</v>
      </c>
      <c r="CL74" s="23">
        <f>+'QTR Raw'!BF21</f>
        <v>-82.32</v>
      </c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E74" s="123"/>
      <c r="DF74" s="23">
        <v>0</v>
      </c>
    </row>
    <row r="75" spans="1:111" s="23" customFormat="1" outlineLevel="1" x14ac:dyDescent="0.2">
      <c r="A75" s="23" t="s">
        <v>9</v>
      </c>
      <c r="B75" s="23">
        <f>'Annual Raw'!C15+'Annual Raw'!C16</f>
        <v>0</v>
      </c>
      <c r="C75" s="23">
        <f>'Annual Raw'!D15+'Annual Raw'!D16</f>
        <v>0</v>
      </c>
      <c r="D75" s="23">
        <f>'Annual Raw'!E15+'Annual Raw'!E16</f>
        <v>0</v>
      </c>
      <c r="E75" s="23">
        <f>'Annual Raw'!F15+'Annual Raw'!F16</f>
        <v>0</v>
      </c>
      <c r="F75" s="23">
        <f>'Annual Raw'!G15+'Annual Raw'!G16</f>
        <v>0</v>
      </c>
      <c r="G75" s="23">
        <f>'Annual Raw'!H15+'Annual Raw'!H16</f>
        <v>0</v>
      </c>
      <c r="H75" s="23">
        <f>'Annual Raw'!I15+'Annual Raw'!I16</f>
        <v>0</v>
      </c>
      <c r="I75" s="23">
        <f>'Annual Raw'!J15+'Annual Raw'!J16</f>
        <v>0</v>
      </c>
      <c r="J75" s="23">
        <f>'Annual Raw'!K15+'Annual Raw'!K16</f>
        <v>0</v>
      </c>
      <c r="K75" s="23">
        <f>'Annual Raw'!L15+'Annual Raw'!L16</f>
        <v>0</v>
      </c>
      <c r="L75" s="23">
        <f>'Annual Raw'!M15+'Annual Raw'!M16</f>
        <v>0</v>
      </c>
      <c r="M75" s="23">
        <f>'Annual Raw'!N15+'Annual Raw'!N16</f>
        <v>0</v>
      </c>
      <c r="N75" s="23">
        <f>'Annual Raw'!O15+'Annual Raw'!O16</f>
        <v>0</v>
      </c>
      <c r="O75" s="23">
        <f>'Annual Raw'!P15+'Annual Raw'!P16</f>
        <v>0</v>
      </c>
      <c r="P75" s="23">
        <f>('Annual Raw'!Q15+'Annual Raw'!Q16)-0.26</f>
        <v>1.52</v>
      </c>
      <c r="Q75" s="23">
        <f>('Annual Raw'!R15+'Annual Raw'!R16)-2.54</f>
        <v>39.53</v>
      </c>
      <c r="R75" s="23">
        <f>('Annual Raw'!S15+'Annual Raw'!S16)-19.26</f>
        <v>7.7999999999999972</v>
      </c>
      <c r="S75" s="23">
        <f>('Annual Raw'!T15+'Annual Raw'!T16)-72.12</f>
        <v>106.00999999999999</v>
      </c>
      <c r="T75" s="23">
        <f>('Annual Raw'!U15+'Annual Raw'!U16)-215.47</f>
        <v>55.22999999999999</v>
      </c>
      <c r="U75" s="23">
        <f>('Annual Raw'!V15+'Annual Raw'!V16)-370.69</f>
        <v>65.699999999999989</v>
      </c>
      <c r="V75" s="23">
        <f>('Annual Raw'!W15+'Annual Raw'!W16)-459.37</f>
        <v>58.17999999999995</v>
      </c>
      <c r="W75" s="23">
        <f>('Annual Raw'!X15+'Annual Raw'!X16)-495.73</f>
        <v>60.990000000000009</v>
      </c>
      <c r="X75" s="23">
        <f>('Annual Raw'!Y15+'Annual Raw'!Y16)-531.88</f>
        <v>59.289999999999964</v>
      </c>
      <c r="Y75" s="23">
        <f>('Annual Raw'!Z15+'Annual Raw'!Z16)-675.76</f>
        <v>1174.6400000000001</v>
      </c>
      <c r="Z75" s="23">
        <f>('Annual Raw'!AA15+'Annual Raw'!AA16)-558.91</f>
        <v>4995.9400000000005</v>
      </c>
      <c r="AA75" s="23">
        <f>('Annual Raw'!AB15+'Annual Raw'!AB16)-558.91</f>
        <v>7801.16</v>
      </c>
      <c r="AB75" s="76">
        <f t="shared" si="497"/>
        <v>19970.683046065129</v>
      </c>
      <c r="AC75" s="76">
        <f t="shared" si="498"/>
        <v>23864.251558109972</v>
      </c>
      <c r="AD75" s="76">
        <f t="shared" si="499"/>
        <v>28000.175747290079</v>
      </c>
      <c r="AE75" s="76">
        <f t="shared" si="500"/>
        <v>32024.330892842165</v>
      </c>
      <c r="AI75" s="23">
        <f>'QTR Raw'!C14</f>
        <v>0</v>
      </c>
      <c r="AJ75" s="23">
        <f>'QTR Raw'!D14</f>
        <v>0</v>
      </c>
      <c r="AK75" s="23">
        <f>'QTR Raw'!E14</f>
        <v>0</v>
      </c>
      <c r="AL75" s="23">
        <f>'QTR Raw'!F14</f>
        <v>0</v>
      </c>
      <c r="AM75" s="23">
        <f>'QTR Raw'!G14</f>
        <v>0</v>
      </c>
      <c r="AN75" s="23">
        <f>'QTR Raw'!H14</f>
        <v>0</v>
      </c>
      <c r="AO75" s="23">
        <f>'QTR Raw'!I14</f>
        <v>0</v>
      </c>
      <c r="AP75" s="23">
        <f>'QTR Raw'!J14</f>
        <v>0</v>
      </c>
      <c r="AQ75" s="23">
        <f>'QTR Raw'!K14</f>
        <v>0</v>
      </c>
      <c r="AR75" s="23">
        <f>'QTR Raw'!L14</f>
        <v>0</v>
      </c>
      <c r="AS75" s="23">
        <f>'QTR Raw'!M14</f>
        <v>0.45</v>
      </c>
      <c r="AT75" s="23">
        <f>'QTR Raw'!N14</f>
        <v>17.41</v>
      </c>
      <c r="AU75" s="23">
        <f>'QTR Raw'!O14</f>
        <v>19.73</v>
      </c>
      <c r="AV75" s="23">
        <f>'QTR Raw'!P14</f>
        <v>27.09</v>
      </c>
      <c r="AW75" s="23">
        <f>'QTR Raw'!Q14</f>
        <v>24.5</v>
      </c>
      <c r="AX75" s="23">
        <f>'QTR Raw'!R14</f>
        <v>19.920000000000002</v>
      </c>
      <c r="AY75" s="23">
        <f>'QTR Raw'!S14</f>
        <v>19.649999999999999</v>
      </c>
      <c r="AZ75" s="23">
        <f>'QTR Raw'!T14</f>
        <v>13.43</v>
      </c>
      <c r="BA75" s="23">
        <f>'QTR Raw'!U14</f>
        <v>24.76</v>
      </c>
      <c r="BB75" s="23">
        <f>'QTR Raw'!V14</f>
        <v>36.31</v>
      </c>
      <c r="BC75" s="23">
        <f>'QTR Raw'!W14</f>
        <v>29.49</v>
      </c>
      <c r="BD75" s="23">
        <f>'QTR Raw'!X14</f>
        <v>50.92</v>
      </c>
      <c r="BE75" s="23">
        <f>'QTR Raw'!Y14</f>
        <v>241.76</v>
      </c>
      <c r="BF75" s="23">
        <f>'QTR Raw'!Z14</f>
        <v>86.73</v>
      </c>
      <c r="BG75" s="23">
        <f>'QTR Raw'!AA14</f>
        <v>33.21</v>
      </c>
      <c r="BH75" s="23">
        <f>'QTR Raw'!AB14</f>
        <v>127.18</v>
      </c>
      <c r="BI75" s="23">
        <f>'QTR Raw'!AC14</f>
        <v>312.64</v>
      </c>
      <c r="BJ75" s="23">
        <f>'QTR Raw'!AD14</f>
        <v>353.21</v>
      </c>
      <c r="BK75" s="23">
        <f>'QTR Raw'!AE14</f>
        <v>293.17</v>
      </c>
      <c r="BL75" s="23">
        <f>'QTR Raw'!AF14</f>
        <v>322.02</v>
      </c>
      <c r="BM75" s="23">
        <f>'QTR Raw'!AG14</f>
        <v>325.44</v>
      </c>
      <c r="BN75" s="23">
        <f>'QTR Raw'!AH14</f>
        <v>393.89</v>
      </c>
      <c r="BO75" s="23">
        <f>'QTR Raw'!AI14</f>
        <v>291.52</v>
      </c>
      <c r="BP75" s="23">
        <f>'QTR Raw'!AJ14</f>
        <v>355.09</v>
      </c>
      <c r="BQ75" s="23">
        <f>'QTR Raw'!AK14</f>
        <v>341.3</v>
      </c>
      <c r="BR75" s="23">
        <f>'QTR Raw'!AL14</f>
        <v>414.34</v>
      </c>
      <c r="BS75" s="23">
        <f>'QTR Raw'!AM14</f>
        <v>332.63</v>
      </c>
      <c r="BT75" s="23">
        <f>'QTR Raw'!AN14</f>
        <v>324.92</v>
      </c>
      <c r="BU75" s="23">
        <f>'QTR Raw'!AO14</f>
        <v>375.53</v>
      </c>
      <c r="BV75" s="23">
        <f>'QTR Raw'!AP14</f>
        <v>467.1</v>
      </c>
      <c r="BW75" s="23">
        <f>'QTR Raw'!AQ14</f>
        <v>385.04</v>
      </c>
      <c r="BX75" s="23">
        <f>'QTR Raw'!AR14</f>
        <v>397.4</v>
      </c>
      <c r="BY75" s="23">
        <f>'QTR Raw'!AS14</f>
        <v>390.68</v>
      </c>
      <c r="BZ75" s="23">
        <f>'QTR Raw'!AT14</f>
        <v>636.04999999999995</v>
      </c>
      <c r="CA75" s="23">
        <f>'QTR Raw'!AU14</f>
        <v>387.64</v>
      </c>
      <c r="CB75" s="23">
        <f>'QTR Raw'!AV14</f>
        <v>458.47</v>
      </c>
      <c r="CC75" s="23">
        <f>'QTR Raw'!AW14</f>
        <v>570.91999999999996</v>
      </c>
      <c r="CD75" s="23">
        <f>'QTR Raw'!AX14</f>
        <v>1579.08</v>
      </c>
      <c r="CE75" s="23">
        <f>'QTR Raw'!AY14</f>
        <v>1054.1099999999999</v>
      </c>
      <c r="CF75" s="23">
        <f>'QTR Raw'!AZ14</f>
        <v>1852.7</v>
      </c>
      <c r="CG75" s="23">
        <f>'QTR Raw'!BA14</f>
        <v>1655.59</v>
      </c>
      <c r="CH75" s="23">
        <f>'QTR Raw'!BB14</f>
        <v>2191.06</v>
      </c>
      <c r="CI75" s="23">
        <f>'QTR Raw'!BC14</f>
        <v>2357.7600000000002</v>
      </c>
      <c r="CJ75" s="23">
        <f>'QTR Raw'!BD14</f>
        <v>2280.52</v>
      </c>
      <c r="CK75" s="23">
        <f>'QTR Raw'!BE14</f>
        <v>2337.77</v>
      </c>
      <c r="CL75" s="23">
        <f>'QTR Raw'!BF14</f>
        <v>3082.92</v>
      </c>
      <c r="CM75" s="24">
        <f>+CM67-CM71-CM47</f>
        <v>4949.4044655139442</v>
      </c>
      <c r="CN75" s="24">
        <f t="shared" ref="CN75:DB75" si="503">+CN67-CN71-CN47</f>
        <v>4801.0205335436585</v>
      </c>
      <c r="CO75" s="24">
        <f t="shared" si="503"/>
        <v>4982.8554108344451</v>
      </c>
      <c r="CP75" s="24">
        <f t="shared" si="503"/>
        <v>5237.4026361730812</v>
      </c>
      <c r="CQ75" s="24">
        <f t="shared" si="503"/>
        <v>5794.9588671812062</v>
      </c>
      <c r="CR75" s="24">
        <f t="shared" si="503"/>
        <v>5761.7954186664356</v>
      </c>
      <c r="CS75" s="24">
        <f t="shared" si="503"/>
        <v>5960.493847014237</v>
      </c>
      <c r="CT75" s="24">
        <f t="shared" si="503"/>
        <v>6347.0034252480928</v>
      </c>
      <c r="CU75" s="24">
        <f t="shared" si="503"/>
        <v>6825.5461840307617</v>
      </c>
      <c r="CV75" s="24">
        <f t="shared" si="503"/>
        <v>6743.1821777942732</v>
      </c>
      <c r="CW75" s="24">
        <f t="shared" si="503"/>
        <v>7092.0341859341206</v>
      </c>
      <c r="CX75" s="24">
        <f t="shared" si="503"/>
        <v>7339.4131995309199</v>
      </c>
      <c r="CY75" s="24">
        <f t="shared" si="503"/>
        <v>7791.6364375399098</v>
      </c>
      <c r="CZ75" s="24">
        <f t="shared" si="503"/>
        <v>7782.074750199341</v>
      </c>
      <c r="DA75" s="24">
        <f t="shared" si="503"/>
        <v>8018.9851900691619</v>
      </c>
      <c r="DB75" s="24">
        <f t="shared" si="503"/>
        <v>8431.6345150337511</v>
      </c>
      <c r="DE75" s="123"/>
      <c r="DF75" s="23">
        <v>-558.91</v>
      </c>
      <c r="DG75" s="23">
        <v>4522.1362506019759</v>
      </c>
    </row>
    <row r="76" spans="1:111" s="23" customFormat="1" outlineLevel="1" x14ac:dyDescent="0.2">
      <c r="A76" s="23" t="s">
        <v>566</v>
      </c>
      <c r="P76" s="23">
        <v>0.26</v>
      </c>
      <c r="Q76" s="23">
        <v>2.54</v>
      </c>
      <c r="R76" s="23">
        <v>19.260000000000002</v>
      </c>
      <c r="S76" s="23">
        <v>72.12</v>
      </c>
      <c r="T76" s="23">
        <v>215.47</v>
      </c>
      <c r="U76" s="23">
        <v>370.69</v>
      </c>
      <c r="V76" s="23">
        <v>459.37</v>
      </c>
      <c r="W76" s="23">
        <v>495.73</v>
      </c>
      <c r="X76" s="23">
        <v>531.88</v>
      </c>
      <c r="Y76" s="23">
        <v>675.76</v>
      </c>
      <c r="Z76" s="23">
        <v>558.91</v>
      </c>
      <c r="AA76" s="23">
        <v>558.91</v>
      </c>
      <c r="AB76" s="76"/>
      <c r="AC76" s="76"/>
      <c r="AD76" s="76"/>
      <c r="AE76" s="76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E76" s="123"/>
      <c r="DF76" s="23">
        <v>558.91</v>
      </c>
    </row>
    <row r="77" spans="1:111" s="23" customFormat="1" outlineLevel="1" x14ac:dyDescent="0.2">
      <c r="A77" s="23" t="s">
        <v>7</v>
      </c>
      <c r="B77" s="23">
        <f>'Annual Raw'!C13</f>
        <v>0</v>
      </c>
      <c r="C77" s="23">
        <f>'Annual Raw'!D13</f>
        <v>0</v>
      </c>
      <c r="D77" s="23">
        <f>'Annual Raw'!E13</f>
        <v>0</v>
      </c>
      <c r="E77" s="23">
        <f>'Annual Raw'!F13</f>
        <v>0</v>
      </c>
      <c r="F77" s="23">
        <f>'Annual Raw'!G13</f>
        <v>0</v>
      </c>
      <c r="G77" s="23">
        <f>'Annual Raw'!H13</f>
        <v>0</v>
      </c>
      <c r="H77" s="23">
        <f>'Annual Raw'!I13</f>
        <v>0</v>
      </c>
      <c r="I77" s="23">
        <f>'Annual Raw'!J13</f>
        <v>0</v>
      </c>
      <c r="J77" s="23">
        <f>'Annual Raw'!K13</f>
        <v>0</v>
      </c>
      <c r="K77" s="23">
        <f>'Annual Raw'!L13</f>
        <v>0</v>
      </c>
      <c r="L77" s="23">
        <f>'Annual Raw'!M13</f>
        <v>0</v>
      </c>
      <c r="M77" s="23">
        <f>'Annual Raw'!N13</f>
        <v>0</v>
      </c>
      <c r="N77" s="23">
        <f>'Annual Raw'!O13</f>
        <v>0</v>
      </c>
      <c r="O77" s="23">
        <f>'Annual Raw'!P13</f>
        <v>0</v>
      </c>
      <c r="P77" s="23">
        <f>'Annual Raw'!Q13</f>
        <v>0.01</v>
      </c>
      <c r="Q77" s="23">
        <f>'Annual Raw'!R13</f>
        <v>148.51</v>
      </c>
      <c r="R77" s="23">
        <f>'Annual Raw'!S13</f>
        <v>763.76</v>
      </c>
      <c r="S77" s="23">
        <f>'Annual Raw'!T13</f>
        <v>815.61</v>
      </c>
      <c r="T77" s="23">
        <f>'Annual Raw'!U13</f>
        <v>3339.13</v>
      </c>
      <c r="U77" s="23">
        <f>'Annual Raw'!V13</f>
        <v>5024.7299999999996</v>
      </c>
      <c r="V77" s="23">
        <f>'Annual Raw'!W13</f>
        <v>4111.4799999999996</v>
      </c>
      <c r="W77" s="23">
        <f>'Annual Raw'!X13</f>
        <v>5143.97</v>
      </c>
      <c r="X77" s="23">
        <f>'Annual Raw'!Y13</f>
        <v>6461.6</v>
      </c>
      <c r="Y77" s="23">
        <f>'Annual Raw'!Z13</f>
        <v>6981.9</v>
      </c>
      <c r="Z77" s="23">
        <f>'Annual Raw'!AA13</f>
        <v>8170.63</v>
      </c>
      <c r="AA77" s="23">
        <f>'Annual Raw'!AB13</f>
        <v>8248.48</v>
      </c>
      <c r="AB77" s="76">
        <f t="shared" si="497"/>
        <v>0</v>
      </c>
      <c r="AC77" s="76">
        <f t="shared" si="498"/>
        <v>0</v>
      </c>
      <c r="AD77" s="76">
        <f t="shared" si="499"/>
        <v>0</v>
      </c>
      <c r="AE77" s="76">
        <f t="shared" si="500"/>
        <v>0</v>
      </c>
      <c r="AI77" s="23">
        <f>'QTR Raw'!C15</f>
        <v>0</v>
      </c>
      <c r="AJ77" s="23">
        <f>'QTR Raw'!D15</f>
        <v>0</v>
      </c>
      <c r="AK77" s="23">
        <f>'QTR Raw'!E15</f>
        <v>0</v>
      </c>
      <c r="AL77" s="23">
        <f>'QTR Raw'!F15</f>
        <v>0</v>
      </c>
      <c r="AM77" s="23">
        <f>'QTR Raw'!G15</f>
        <v>0</v>
      </c>
      <c r="AN77" s="23">
        <f>'QTR Raw'!H15</f>
        <v>0</v>
      </c>
      <c r="AO77" s="23">
        <f>'QTR Raw'!I15</f>
        <v>0</v>
      </c>
      <c r="AP77" s="23">
        <f>'QTR Raw'!J15</f>
        <v>0</v>
      </c>
      <c r="AQ77" s="23">
        <f>'QTR Raw'!K15</f>
        <v>0</v>
      </c>
      <c r="AR77" s="23">
        <f>'QTR Raw'!L15</f>
        <v>0</v>
      </c>
      <c r="AS77" s="23">
        <f>'QTR Raw'!M15</f>
        <v>0</v>
      </c>
      <c r="AT77" s="23">
        <f>'QTR Raw'!N15</f>
        <v>0</v>
      </c>
      <c r="AU77" s="23">
        <f>'QTR Raw'!O15</f>
        <v>0</v>
      </c>
      <c r="AV77" s="23">
        <f>'QTR Raw'!P15</f>
        <v>0</v>
      </c>
      <c r="AW77" s="23">
        <f>'QTR Raw'!Q15</f>
        <v>0</v>
      </c>
      <c r="AX77" s="23">
        <f>'QTR Raw'!R15</f>
        <v>0</v>
      </c>
      <c r="AY77" s="23">
        <f>'QTR Raw'!S15</f>
        <v>0</v>
      </c>
      <c r="AZ77" s="23">
        <f>'QTR Raw'!T15</f>
        <v>0</v>
      </c>
      <c r="BA77" s="23">
        <f>'QTR Raw'!U15</f>
        <v>0</v>
      </c>
      <c r="BB77" s="23">
        <f>'QTR Raw'!V15</f>
        <v>0</v>
      </c>
      <c r="BC77" s="23">
        <f>'QTR Raw'!W15</f>
        <v>0</v>
      </c>
      <c r="BD77" s="23">
        <f>'QTR Raw'!X15</f>
        <v>0</v>
      </c>
      <c r="BE77" s="23">
        <f>'QTR Raw'!Y15</f>
        <v>0</v>
      </c>
      <c r="BF77" s="23">
        <f>'QTR Raw'!Z15</f>
        <v>0</v>
      </c>
      <c r="BG77" s="23">
        <f>'QTR Raw'!AA15</f>
        <v>0</v>
      </c>
      <c r="BH77" s="23">
        <f>'QTR Raw'!AB15</f>
        <v>345.8</v>
      </c>
      <c r="BI77" s="23">
        <f>'QTR Raw'!AC15</f>
        <v>1129.99</v>
      </c>
      <c r="BJ77" s="23">
        <f>'QTR Raw'!AD15</f>
        <v>815.32</v>
      </c>
      <c r="BK77" s="23">
        <f>'QTR Raw'!AE15</f>
        <v>1107.21</v>
      </c>
      <c r="BL77" s="23">
        <f>'QTR Raw'!AF15</f>
        <v>939.68</v>
      </c>
      <c r="BM77" s="23">
        <f>'QTR Raw'!AG15</f>
        <v>901.26</v>
      </c>
      <c r="BN77" s="23">
        <f>'QTR Raw'!AH15</f>
        <v>749.21</v>
      </c>
      <c r="BO77" s="23">
        <f>'QTR Raw'!AI15</f>
        <v>775.77</v>
      </c>
      <c r="BP77" s="23">
        <f>'QTR Raw'!AJ15</f>
        <v>584.54999999999995</v>
      </c>
      <c r="BQ77" s="23">
        <f>'QTR Raw'!AK15</f>
        <v>727.89</v>
      </c>
      <c r="BR77" s="23">
        <f>'QTR Raw'!AL15</f>
        <v>798.86</v>
      </c>
      <c r="BS77" s="23">
        <f>'QTR Raw'!AM15</f>
        <v>819.12</v>
      </c>
      <c r="BT77" s="23">
        <f>'QTR Raw'!AN15</f>
        <v>955.59</v>
      </c>
      <c r="BU77" s="23">
        <f>'QTR Raw'!AO15</f>
        <v>1110.19</v>
      </c>
      <c r="BV77" s="23">
        <f>'QTR Raw'!AP15</f>
        <v>959.97</v>
      </c>
      <c r="BW77" s="23">
        <f>'QTR Raw'!AQ15</f>
        <v>1766.96</v>
      </c>
      <c r="BX77" s="23">
        <f>'QTR Raw'!AR15</f>
        <v>1239.3399999999999</v>
      </c>
      <c r="BY77" s="23">
        <f>'QTR Raw'!AS15</f>
        <v>1182.77</v>
      </c>
      <c r="BZ77" s="23">
        <f>'QTR Raw'!AT15</f>
        <v>287.44</v>
      </c>
      <c r="CA77" s="23">
        <f>'QTR Raw'!AU15</f>
        <v>1459.69</v>
      </c>
      <c r="CB77" s="23">
        <f>'QTR Raw'!AV15</f>
        <v>1264.06</v>
      </c>
      <c r="CC77" s="23">
        <f>'QTR Raw'!AW15</f>
        <v>1467.54</v>
      </c>
      <c r="CD77" s="23">
        <f>'QTR Raw'!AX15</f>
        <v>243.41</v>
      </c>
      <c r="CE77" s="23">
        <f>'QTR Raw'!AY15</f>
        <v>1638.07</v>
      </c>
      <c r="CF77" s="23">
        <f>'QTR Raw'!AZ15</f>
        <v>1761.03</v>
      </c>
      <c r="CG77" s="23">
        <f>'QTR Raw'!BA15</f>
        <v>1475.68</v>
      </c>
      <c r="CH77" s="23">
        <f>'QTR Raw'!BB15</f>
        <v>1332.9</v>
      </c>
      <c r="CI77" s="23">
        <f>'QTR Raw'!BC15</f>
        <v>1723.67</v>
      </c>
      <c r="CJ77" s="23">
        <f>'QTR Raw'!BD15</f>
        <v>1600.51</v>
      </c>
      <c r="CK77" s="23">
        <f>'QTR Raw'!BE15</f>
        <v>1507.94</v>
      </c>
      <c r="CL77" s="23">
        <f>'QTR Raw'!BF15</f>
        <v>1515.76</v>
      </c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E77" s="123"/>
      <c r="DF77" s="23">
        <v>0</v>
      </c>
    </row>
    <row r="78" spans="1:111" s="23" customFormat="1" outlineLevel="1" x14ac:dyDescent="0.2">
      <c r="A78" s="23" t="s">
        <v>11</v>
      </c>
      <c r="B78" s="23">
        <f>'Annual Raw'!C18</f>
        <v>0</v>
      </c>
      <c r="C78" s="23">
        <f>'Annual Raw'!D18</f>
        <v>0</v>
      </c>
      <c r="D78" s="23">
        <f>'Annual Raw'!E18</f>
        <v>0</v>
      </c>
      <c r="E78" s="23">
        <f>'Annual Raw'!F18</f>
        <v>0</v>
      </c>
      <c r="F78" s="23">
        <f>'Annual Raw'!G18</f>
        <v>0</v>
      </c>
      <c r="G78" s="23">
        <f>'Annual Raw'!H18</f>
        <v>0</v>
      </c>
      <c r="H78" s="23">
        <f>'Annual Raw'!I18</f>
        <v>0</v>
      </c>
      <c r="I78" s="23">
        <f>'Annual Raw'!J18</f>
        <v>0</v>
      </c>
      <c r="J78" s="23">
        <f>'Annual Raw'!K18</f>
        <v>0</v>
      </c>
      <c r="K78" s="23">
        <f>'Annual Raw'!L18</f>
        <v>0</v>
      </c>
      <c r="L78" s="23">
        <f>'Annual Raw'!M18</f>
        <v>0</v>
      </c>
      <c r="M78" s="23">
        <f>'Annual Raw'!N18</f>
        <v>0</v>
      </c>
      <c r="N78" s="23">
        <f>'Annual Raw'!O18</f>
        <v>0</v>
      </c>
      <c r="O78" s="23">
        <f>'Annual Raw'!P18</f>
        <v>0</v>
      </c>
      <c r="P78" s="23">
        <f>'Annual Raw'!Q18</f>
        <v>5.53</v>
      </c>
      <c r="Q78" s="23">
        <f>'Annual Raw'!R18</f>
        <v>3.65</v>
      </c>
      <c r="R78" s="23">
        <f>'Annual Raw'!S18</f>
        <v>0</v>
      </c>
      <c r="S78" s="23">
        <f>'Annual Raw'!T18</f>
        <v>0</v>
      </c>
      <c r="T78" s="23">
        <f>'Annual Raw'!U18</f>
        <v>0</v>
      </c>
      <c r="U78" s="23">
        <f>'Annual Raw'!V18</f>
        <v>0</v>
      </c>
      <c r="V78" s="23">
        <f>'Annual Raw'!W18</f>
        <v>0</v>
      </c>
      <c r="W78" s="23">
        <f>'Annual Raw'!X18</f>
        <v>0</v>
      </c>
      <c r="X78" s="23">
        <f>'Annual Raw'!Y18</f>
        <v>0</v>
      </c>
      <c r="Y78" s="23">
        <f>'Annual Raw'!Z18</f>
        <v>0</v>
      </c>
      <c r="Z78" s="23">
        <f>'Annual Raw'!AA18</f>
        <v>29.82</v>
      </c>
      <c r="AA78" s="23">
        <f>'Annual Raw'!AB18</f>
        <v>49.55</v>
      </c>
      <c r="AB78" s="76">
        <f t="shared" si="497"/>
        <v>0</v>
      </c>
      <c r="AC78" s="76">
        <f t="shared" si="498"/>
        <v>0</v>
      </c>
      <c r="AD78" s="76">
        <f t="shared" si="499"/>
        <v>0</v>
      </c>
      <c r="AE78" s="76">
        <f t="shared" si="500"/>
        <v>0</v>
      </c>
      <c r="AI78" s="23">
        <f>'QTR Raw'!C18</f>
        <v>0</v>
      </c>
      <c r="AJ78" s="23">
        <f>'QTR Raw'!D18</f>
        <v>0</v>
      </c>
      <c r="AK78" s="23">
        <f>'QTR Raw'!E18</f>
        <v>0</v>
      </c>
      <c r="AL78" s="23">
        <f>'QTR Raw'!F18</f>
        <v>0</v>
      </c>
      <c r="AM78" s="23">
        <f>'QTR Raw'!G18</f>
        <v>0</v>
      </c>
      <c r="AN78" s="23">
        <f>'QTR Raw'!H18</f>
        <v>0</v>
      </c>
      <c r="AO78" s="23">
        <f>'QTR Raw'!I18</f>
        <v>0</v>
      </c>
      <c r="AP78" s="23">
        <f>'QTR Raw'!J18</f>
        <v>0</v>
      </c>
      <c r="AQ78" s="23">
        <f>'QTR Raw'!K18</f>
        <v>0</v>
      </c>
      <c r="AR78" s="23">
        <f>'QTR Raw'!L18</f>
        <v>0</v>
      </c>
      <c r="AS78" s="23">
        <f>'QTR Raw'!M18</f>
        <v>0</v>
      </c>
      <c r="AT78" s="23">
        <f>'QTR Raw'!N18</f>
        <v>0</v>
      </c>
      <c r="AU78" s="23">
        <f>'QTR Raw'!O18</f>
        <v>0</v>
      </c>
      <c r="AV78" s="23">
        <f>'QTR Raw'!P18</f>
        <v>0</v>
      </c>
      <c r="AW78" s="23">
        <f>'QTR Raw'!Q18</f>
        <v>0</v>
      </c>
      <c r="AX78" s="23">
        <f>'QTR Raw'!R18</f>
        <v>0</v>
      </c>
      <c r="AY78" s="23">
        <f>'QTR Raw'!S18</f>
        <v>0</v>
      </c>
      <c r="AZ78" s="23">
        <f>'QTR Raw'!T18</f>
        <v>0</v>
      </c>
      <c r="BA78" s="23">
        <f>'QTR Raw'!U18</f>
        <v>0</v>
      </c>
      <c r="BB78" s="23">
        <f>'QTR Raw'!V18</f>
        <v>0</v>
      </c>
      <c r="BC78" s="23">
        <f>'QTR Raw'!W18</f>
        <v>0</v>
      </c>
      <c r="BD78" s="23">
        <f>'QTR Raw'!X18</f>
        <v>0</v>
      </c>
      <c r="BE78" s="23">
        <f>'QTR Raw'!Y18</f>
        <v>0</v>
      </c>
      <c r="BF78" s="23">
        <f>'QTR Raw'!Z18</f>
        <v>0</v>
      </c>
      <c r="BG78" s="23">
        <f>'QTR Raw'!AA18</f>
        <v>0</v>
      </c>
      <c r="BH78" s="23">
        <f>'QTR Raw'!AB18</f>
        <v>0</v>
      </c>
      <c r="BI78" s="23">
        <f>'QTR Raw'!AC18</f>
        <v>0</v>
      </c>
      <c r="BJ78" s="23">
        <f>'QTR Raw'!AD18</f>
        <v>0</v>
      </c>
      <c r="BK78" s="23">
        <f>'QTR Raw'!AE18</f>
        <v>0</v>
      </c>
      <c r="BL78" s="23">
        <f>'QTR Raw'!AF18</f>
        <v>0</v>
      </c>
      <c r="BM78" s="23">
        <f>'QTR Raw'!AG18</f>
        <v>0</v>
      </c>
      <c r="BN78" s="23">
        <f>'QTR Raw'!AH18</f>
        <v>0</v>
      </c>
      <c r="BO78" s="23">
        <f>'QTR Raw'!AI18</f>
        <v>0</v>
      </c>
      <c r="BP78" s="23">
        <f>'QTR Raw'!AJ18</f>
        <v>0</v>
      </c>
      <c r="BQ78" s="23">
        <f>'QTR Raw'!AK18</f>
        <v>0</v>
      </c>
      <c r="BR78" s="23">
        <f>'QTR Raw'!AL18</f>
        <v>0</v>
      </c>
      <c r="BS78" s="23">
        <f>'QTR Raw'!AM18</f>
        <v>0</v>
      </c>
      <c r="BT78" s="23">
        <f>'QTR Raw'!AN18</f>
        <v>0</v>
      </c>
      <c r="BU78" s="23">
        <f>'QTR Raw'!AO18</f>
        <v>0</v>
      </c>
      <c r="BV78" s="23">
        <f>'QTR Raw'!AP18</f>
        <v>0</v>
      </c>
      <c r="BW78" s="23">
        <f>'QTR Raw'!AQ18</f>
        <v>0</v>
      </c>
      <c r="BX78" s="23">
        <f>'QTR Raw'!AR18</f>
        <v>0</v>
      </c>
      <c r="BY78" s="23">
        <f>'QTR Raw'!AS18</f>
        <v>0</v>
      </c>
      <c r="BZ78" s="23">
        <f>'QTR Raw'!AT18</f>
        <v>0</v>
      </c>
      <c r="CA78" s="23">
        <f>'QTR Raw'!AU18</f>
        <v>0</v>
      </c>
      <c r="CB78" s="23">
        <f>'QTR Raw'!AV18</f>
        <v>0</v>
      </c>
      <c r="CC78" s="23">
        <f>'QTR Raw'!AW18</f>
        <v>0</v>
      </c>
      <c r="CD78" s="23">
        <f>'QTR Raw'!AX18</f>
        <v>0</v>
      </c>
      <c r="CE78" s="23">
        <f>'QTR Raw'!AY18</f>
        <v>0</v>
      </c>
      <c r="CF78" s="23">
        <f>'QTR Raw'!AZ18</f>
        <v>0</v>
      </c>
      <c r="CG78" s="23">
        <f>'QTR Raw'!BA18</f>
        <v>0</v>
      </c>
      <c r="CH78" s="23">
        <f>'QTR Raw'!BB18</f>
        <v>0</v>
      </c>
      <c r="CI78" s="23">
        <f>'QTR Raw'!BC18</f>
        <v>0</v>
      </c>
      <c r="CJ78" s="23">
        <f>'QTR Raw'!BD18</f>
        <v>0</v>
      </c>
      <c r="CK78" s="23">
        <f>'QTR Raw'!BE18</f>
        <v>0</v>
      </c>
      <c r="CL78" s="23">
        <f>'QTR Raw'!BF18</f>
        <v>0</v>
      </c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E78" s="123"/>
      <c r="DF78" s="23">
        <v>0</v>
      </c>
    </row>
    <row r="79" spans="1:111" s="22" customFormat="1" x14ac:dyDescent="0.2">
      <c r="A79" s="33" t="s">
        <v>348</v>
      </c>
      <c r="B79" s="22">
        <f t="shared" ref="B79:AE79" si="504">+SUM(B71:B78)</f>
        <v>0</v>
      </c>
      <c r="C79" s="22">
        <f t="shared" si="504"/>
        <v>0</v>
      </c>
      <c r="D79" s="22">
        <f t="shared" si="504"/>
        <v>0</v>
      </c>
      <c r="E79" s="22">
        <f t="shared" si="504"/>
        <v>0</v>
      </c>
      <c r="F79" s="22">
        <f t="shared" si="504"/>
        <v>0</v>
      </c>
      <c r="G79" s="22">
        <f t="shared" si="504"/>
        <v>0</v>
      </c>
      <c r="H79" s="22">
        <f t="shared" si="504"/>
        <v>0</v>
      </c>
      <c r="I79" s="22">
        <f t="shared" si="504"/>
        <v>0</v>
      </c>
      <c r="J79" s="22">
        <f t="shared" si="504"/>
        <v>0</v>
      </c>
      <c r="K79" s="22">
        <f t="shared" si="504"/>
        <v>0</v>
      </c>
      <c r="L79" s="22">
        <f t="shared" si="504"/>
        <v>0</v>
      </c>
      <c r="M79" s="22">
        <f t="shared" si="504"/>
        <v>0</v>
      </c>
      <c r="N79" s="22">
        <f t="shared" si="504"/>
        <v>0</v>
      </c>
      <c r="O79" s="22">
        <f t="shared" si="504"/>
        <v>2.7028999999999998E-3</v>
      </c>
      <c r="P79" s="22">
        <f t="shared" si="504"/>
        <v>34.080000000000005</v>
      </c>
      <c r="Q79" s="22">
        <f t="shared" si="504"/>
        <v>270.46999999999997</v>
      </c>
      <c r="R79" s="22">
        <f t="shared" si="504"/>
        <v>892.62</v>
      </c>
      <c r="S79" s="22">
        <f t="shared" si="504"/>
        <v>1118.47</v>
      </c>
      <c r="T79" s="22">
        <f t="shared" si="504"/>
        <v>4543.22</v>
      </c>
      <c r="U79" s="22">
        <f t="shared" si="504"/>
        <v>7162.0999999999995</v>
      </c>
      <c r="V79" s="22">
        <f t="shared" si="504"/>
        <v>5975.9699999999993</v>
      </c>
      <c r="W79" s="22">
        <f t="shared" si="504"/>
        <v>7051.35</v>
      </c>
      <c r="X79" s="22">
        <f t="shared" si="504"/>
        <v>8775.11</v>
      </c>
      <c r="Y79" s="22">
        <f t="shared" si="504"/>
        <v>10896.16</v>
      </c>
      <c r="Z79" s="22">
        <f t="shared" si="504"/>
        <v>16700.57</v>
      </c>
      <c r="AA79" s="22">
        <f t="shared" ref="AA79" si="505">+SUM(AA71:AA78)</f>
        <v>19599.189999999999</v>
      </c>
      <c r="AB79" s="21">
        <f t="shared" si="504"/>
        <v>21139.80784606513</v>
      </c>
      <c r="AC79" s="21">
        <f t="shared" si="504"/>
        <v>25115.215094109972</v>
      </c>
      <c r="AD79" s="21">
        <f t="shared" si="504"/>
        <v>29338.706730810078</v>
      </c>
      <c r="AE79" s="21">
        <f t="shared" si="504"/>
        <v>33456.559045208567</v>
      </c>
      <c r="AI79" s="22">
        <f t="shared" ref="AI79:BN79" si="506">+SUM(AI71:AI78)</f>
        <v>0</v>
      </c>
      <c r="AJ79" s="22">
        <f t="shared" si="506"/>
        <v>0</v>
      </c>
      <c r="AK79" s="22">
        <f t="shared" si="506"/>
        <v>0</v>
      </c>
      <c r="AL79" s="22">
        <f t="shared" si="506"/>
        <v>0</v>
      </c>
      <c r="AM79" s="22">
        <f t="shared" si="506"/>
        <v>0</v>
      </c>
      <c r="AN79" s="22">
        <f t="shared" si="506"/>
        <v>0</v>
      </c>
      <c r="AO79" s="22">
        <f t="shared" si="506"/>
        <v>0</v>
      </c>
      <c r="AP79" s="22">
        <f t="shared" si="506"/>
        <v>0</v>
      </c>
      <c r="AQ79" s="22">
        <f t="shared" si="506"/>
        <v>0</v>
      </c>
      <c r="AR79" s="22">
        <f t="shared" si="506"/>
        <v>0</v>
      </c>
      <c r="AS79" s="22">
        <f t="shared" si="506"/>
        <v>5.22</v>
      </c>
      <c r="AT79" s="22">
        <f t="shared" si="506"/>
        <v>28.85</v>
      </c>
      <c r="AU79" s="22">
        <f t="shared" si="506"/>
        <v>28.27</v>
      </c>
      <c r="AV79" s="22">
        <f t="shared" si="506"/>
        <v>36.519999999999996</v>
      </c>
      <c r="AW79" s="22">
        <f t="shared" si="506"/>
        <v>32.54</v>
      </c>
      <c r="AX79" s="22">
        <f t="shared" si="506"/>
        <v>24.62</v>
      </c>
      <c r="AY79" s="22">
        <f t="shared" si="506"/>
        <v>30.18</v>
      </c>
      <c r="AZ79" s="22">
        <f t="shared" si="506"/>
        <v>25.32</v>
      </c>
      <c r="BA79" s="22">
        <f t="shared" si="506"/>
        <v>36.68</v>
      </c>
      <c r="BB79" s="22">
        <f t="shared" si="506"/>
        <v>47.88</v>
      </c>
      <c r="BC79" s="22">
        <f t="shared" si="506"/>
        <v>43.989999999999995</v>
      </c>
      <c r="BD79" s="22">
        <f t="shared" si="506"/>
        <v>59.730000000000004</v>
      </c>
      <c r="BE79" s="22">
        <f t="shared" si="506"/>
        <v>250.54999999999998</v>
      </c>
      <c r="BF79" s="22">
        <f t="shared" si="506"/>
        <v>96.88000000000001</v>
      </c>
      <c r="BG79" s="22">
        <f t="shared" si="506"/>
        <v>47.75</v>
      </c>
      <c r="BH79" s="22">
        <f t="shared" si="506"/>
        <v>559.67000000000007</v>
      </c>
      <c r="BI79" s="22">
        <f t="shared" si="506"/>
        <v>1605.9</v>
      </c>
      <c r="BJ79" s="22">
        <f t="shared" si="506"/>
        <v>1409.95</v>
      </c>
      <c r="BK79" s="22">
        <f t="shared" si="506"/>
        <v>1750.9</v>
      </c>
      <c r="BL79" s="22">
        <f t="shared" si="506"/>
        <v>1584.34</v>
      </c>
      <c r="BM79" s="22">
        <f t="shared" si="506"/>
        <v>1515.92</v>
      </c>
      <c r="BN79" s="22">
        <f t="shared" si="506"/>
        <v>1386.73</v>
      </c>
      <c r="BO79" s="22">
        <f t="shared" ref="BO79:CK79" si="507">+SUM(BO71:BO78)</f>
        <v>1051.52</v>
      </c>
      <c r="BP79" s="22">
        <f t="shared" si="507"/>
        <v>1159.8</v>
      </c>
      <c r="BQ79" s="22">
        <f t="shared" si="507"/>
        <v>1176.71</v>
      </c>
      <c r="BR79" s="22">
        <f t="shared" si="507"/>
        <v>1249.24</v>
      </c>
      <c r="BS79" s="22">
        <f t="shared" si="507"/>
        <v>1396.6100000000001</v>
      </c>
      <c r="BT79" s="22">
        <f t="shared" si="507"/>
        <v>1323.68</v>
      </c>
      <c r="BU79" s="22">
        <f t="shared" si="507"/>
        <v>1461.91</v>
      </c>
      <c r="BV79" s="22">
        <f t="shared" si="507"/>
        <v>1365.45</v>
      </c>
      <c r="BW79" s="22">
        <f t="shared" si="507"/>
        <v>1840.7800000000002</v>
      </c>
      <c r="BX79" s="22">
        <f t="shared" si="507"/>
        <v>1795.48</v>
      </c>
      <c r="BY79" s="22">
        <f t="shared" si="507"/>
        <v>1737.19</v>
      </c>
      <c r="BZ79" s="22">
        <f t="shared" si="507"/>
        <v>863.3</v>
      </c>
      <c r="CA79" s="22">
        <f t="shared" si="507"/>
        <v>2394.6</v>
      </c>
      <c r="CB79" s="22">
        <f t="shared" si="507"/>
        <v>2146.96</v>
      </c>
      <c r="CC79" s="22">
        <f t="shared" si="507"/>
        <v>2354.63</v>
      </c>
      <c r="CD79" s="22">
        <f t="shared" si="507"/>
        <v>1946.33</v>
      </c>
      <c r="CE79" s="22">
        <f t="shared" si="507"/>
        <v>3562</v>
      </c>
      <c r="CF79" s="22">
        <f t="shared" si="507"/>
        <v>3978.3599999999997</v>
      </c>
      <c r="CG79" s="22">
        <f t="shared" si="507"/>
        <v>3825.75</v>
      </c>
      <c r="CH79" s="22">
        <f t="shared" si="507"/>
        <v>3968.72</v>
      </c>
      <c r="CI79" s="22">
        <f t="shared" si="507"/>
        <v>4816.55</v>
      </c>
      <c r="CJ79" s="22">
        <f t="shared" si="507"/>
        <v>4450.9399999999996</v>
      </c>
      <c r="CK79" s="22">
        <f t="shared" si="507"/>
        <v>4503.5599999999995</v>
      </c>
      <c r="CL79" s="22">
        <f t="shared" ref="CL79:DB79" si="508">+SUM(CL71:CL78)</f>
        <v>4824</v>
      </c>
      <c r="CM79" s="21">
        <f t="shared" si="508"/>
        <v>5196.8205655139445</v>
      </c>
      <c r="CN79" s="21">
        <f t="shared" si="508"/>
        <v>5053.8187335436587</v>
      </c>
      <c r="CO79" s="21">
        <f t="shared" si="508"/>
        <v>5322.5911108344453</v>
      </c>
      <c r="CP79" s="21">
        <f t="shared" si="508"/>
        <v>5566.577436173081</v>
      </c>
      <c r="CQ79" s="21">
        <f t="shared" si="508"/>
        <v>6059.6940941812063</v>
      </c>
      <c r="CR79" s="21">
        <f t="shared" si="508"/>
        <v>6032.2894926664358</v>
      </c>
      <c r="CS79" s="21">
        <f t="shared" si="508"/>
        <v>6324.0110460142369</v>
      </c>
      <c r="CT79" s="21">
        <f t="shared" si="508"/>
        <v>6699.2204612480928</v>
      </c>
      <c r="CU79" s="21">
        <f t="shared" si="508"/>
        <v>7108.8128769207615</v>
      </c>
      <c r="CV79" s="21">
        <f t="shared" si="508"/>
        <v>7032.6108369742733</v>
      </c>
      <c r="CW79" s="21">
        <f t="shared" si="508"/>
        <v>7480.9975888641202</v>
      </c>
      <c r="CX79" s="21">
        <f t="shared" si="508"/>
        <v>7716.28542805092</v>
      </c>
      <c r="CY79" s="21">
        <f t="shared" si="508"/>
        <v>8094.73179893221</v>
      </c>
      <c r="CZ79" s="21">
        <f t="shared" si="508"/>
        <v>8091.7634155219412</v>
      </c>
      <c r="DA79" s="21">
        <f t="shared" si="508"/>
        <v>8435.1760312042625</v>
      </c>
      <c r="DB79" s="21">
        <f t="shared" si="508"/>
        <v>8834.8877995501516</v>
      </c>
      <c r="DE79" s="126"/>
      <c r="DF79" s="22">
        <v>0</v>
      </c>
      <c r="DG79" s="22">
        <v>4772.4306506019757</v>
      </c>
    </row>
    <row r="80" spans="1:111" s="44" customFormat="1" x14ac:dyDescent="0.2">
      <c r="A80" s="43" t="s">
        <v>349</v>
      </c>
      <c r="B80" s="44" t="e">
        <f t="shared" ref="B80:AE80" si="509">B79/B61</f>
        <v>#DIV/0!</v>
      </c>
      <c r="C80" s="44" t="e">
        <f t="shared" si="509"/>
        <v>#DIV/0!</v>
      </c>
      <c r="D80" s="44" t="e">
        <f t="shared" si="509"/>
        <v>#DIV/0!</v>
      </c>
      <c r="E80" s="44" t="e">
        <f t="shared" si="509"/>
        <v>#DIV/0!</v>
      </c>
      <c r="F80" s="44" t="e">
        <f t="shared" si="509"/>
        <v>#DIV/0!</v>
      </c>
      <c r="G80" s="44" t="e">
        <f t="shared" si="509"/>
        <v>#DIV/0!</v>
      </c>
      <c r="H80" s="44" t="e">
        <f t="shared" si="509"/>
        <v>#DIV/0!</v>
      </c>
      <c r="I80" s="44" t="e">
        <f t="shared" si="509"/>
        <v>#DIV/0!</v>
      </c>
      <c r="J80" s="44" t="e">
        <f t="shared" si="509"/>
        <v>#DIV/0!</v>
      </c>
      <c r="K80" s="44" t="e">
        <f t="shared" si="509"/>
        <v>#DIV/0!</v>
      </c>
      <c r="L80" s="44" t="e">
        <f t="shared" si="509"/>
        <v>#DIV/0!</v>
      </c>
      <c r="M80" s="44" t="e">
        <f t="shared" si="509"/>
        <v>#DIV/0!</v>
      </c>
      <c r="N80" s="44" t="e">
        <f t="shared" si="509"/>
        <v>#DIV/0!</v>
      </c>
      <c r="O80" s="44" t="e">
        <f t="shared" si="509"/>
        <v>#DIV/0!</v>
      </c>
      <c r="P80" s="44">
        <f t="shared" si="509"/>
        <v>0.25181025565243093</v>
      </c>
      <c r="Q80" s="44">
        <f t="shared" si="509"/>
        <v>0.12310822435947034</v>
      </c>
      <c r="R80" s="44">
        <f t="shared" si="509"/>
        <v>0.31039986646775924</v>
      </c>
      <c r="S80" s="44">
        <f t="shared" si="509"/>
        <v>0.28355321867521194</v>
      </c>
      <c r="T80" s="44">
        <f t="shared" si="509"/>
        <v>0.62189461292596626</v>
      </c>
      <c r="U80" s="44">
        <f t="shared" si="509"/>
        <v>0.62737605948163799</v>
      </c>
      <c r="V80" s="44">
        <f t="shared" si="509"/>
        <v>0.60203217100378481</v>
      </c>
      <c r="W80" s="44">
        <f t="shared" si="509"/>
        <v>0.62636797447395165</v>
      </c>
      <c r="X80" s="44">
        <f t="shared" si="509"/>
        <v>0.66014404877256128</v>
      </c>
      <c r="Y80" s="44">
        <f t="shared" si="509"/>
        <v>0.65610428147520128</v>
      </c>
      <c r="Z80" s="44">
        <f t="shared" si="509"/>
        <v>0.70267626369067482</v>
      </c>
      <c r="AA80" s="44">
        <f t="shared" ref="AA80" si="510">AA79/AA61</f>
        <v>0.71042368737456063</v>
      </c>
      <c r="AB80" s="52">
        <f t="shared" si="509"/>
        <v>0.63784870188588727</v>
      </c>
      <c r="AC80" s="52">
        <f t="shared" si="509"/>
        <v>0.6324269315228791</v>
      </c>
      <c r="AD80" s="52">
        <f t="shared" si="509"/>
        <v>0.63359032003716009</v>
      </c>
      <c r="AE80" s="52">
        <f t="shared" si="509"/>
        <v>0.6389819290304547</v>
      </c>
      <c r="AI80" s="44" t="e">
        <f t="shared" ref="AI80:BN80" si="511">AI79/AI61</f>
        <v>#DIV/0!</v>
      </c>
      <c r="AJ80" s="44" t="e">
        <f t="shared" si="511"/>
        <v>#DIV/0!</v>
      </c>
      <c r="AK80" s="44" t="e">
        <f t="shared" si="511"/>
        <v>#DIV/0!</v>
      </c>
      <c r="AL80" s="44" t="e">
        <f t="shared" si="511"/>
        <v>#DIV/0!</v>
      </c>
      <c r="AM80" s="44" t="e">
        <f t="shared" si="511"/>
        <v>#DIV/0!</v>
      </c>
      <c r="AN80" s="44" t="e">
        <f t="shared" si="511"/>
        <v>#DIV/0!</v>
      </c>
      <c r="AO80" s="44" t="e">
        <f t="shared" si="511"/>
        <v>#DIV/0!</v>
      </c>
      <c r="AP80" s="44" t="e">
        <f t="shared" si="511"/>
        <v>#DIV/0!</v>
      </c>
      <c r="AQ80" s="44" t="e">
        <f t="shared" si="511"/>
        <v>#DIV/0!</v>
      </c>
      <c r="AR80" s="44" t="e">
        <f t="shared" si="511"/>
        <v>#DIV/0!</v>
      </c>
      <c r="AS80" s="44">
        <f t="shared" si="511"/>
        <v>0.45589519650655025</v>
      </c>
      <c r="AT80" s="44">
        <f t="shared" si="511"/>
        <v>0.23288666451404588</v>
      </c>
      <c r="AU80" s="44">
        <f t="shared" si="511"/>
        <v>6.0386628217451672E-2</v>
      </c>
      <c r="AV80" s="44">
        <f t="shared" si="511"/>
        <v>6.4724230823762927E-2</v>
      </c>
      <c r="AW80" s="44">
        <f t="shared" si="511"/>
        <v>6.1804368471035133E-2</v>
      </c>
      <c r="AX80" s="44">
        <f t="shared" si="511"/>
        <v>3.8582084874318308E-2</v>
      </c>
      <c r="AY80" s="44">
        <f t="shared" si="511"/>
        <v>4.7752408980870555E-2</v>
      </c>
      <c r="AZ80" s="44">
        <f t="shared" si="511"/>
        <v>3.7088032810897904E-2</v>
      </c>
      <c r="BA80" s="44">
        <f t="shared" si="511"/>
        <v>5.0300320890814841E-2</v>
      </c>
      <c r="BB80" s="44">
        <f t="shared" si="511"/>
        <v>5.7367424696268966E-2</v>
      </c>
      <c r="BC80" s="44">
        <f t="shared" si="511"/>
        <v>7.2294898764133572E-2</v>
      </c>
      <c r="BD80" s="44">
        <f t="shared" si="511"/>
        <v>8.0165888226767595E-2</v>
      </c>
      <c r="BE80" s="44">
        <f t="shared" si="511"/>
        <v>0.14068097339666924</v>
      </c>
      <c r="BF80" s="44">
        <f t="shared" si="511"/>
        <v>0.11961379855297924</v>
      </c>
      <c r="BG80" s="44">
        <f t="shared" si="511"/>
        <v>7.6929273400998865E-2</v>
      </c>
      <c r="BH80" s="44">
        <f t="shared" si="511"/>
        <v>0.40586678269697962</v>
      </c>
      <c r="BI80" s="44">
        <f t="shared" si="511"/>
        <v>0.58544321102422481</v>
      </c>
      <c r="BJ80" s="44">
        <f t="shared" si="511"/>
        <v>0.55388598186646554</v>
      </c>
      <c r="BK80" s="44">
        <f t="shared" si="511"/>
        <v>0.61261406258747131</v>
      </c>
      <c r="BL80" s="44">
        <f t="shared" si="511"/>
        <v>0.61091231587876915</v>
      </c>
      <c r="BM80" s="44">
        <f t="shared" si="511"/>
        <v>0.54578184855554601</v>
      </c>
      <c r="BN80" s="44">
        <f t="shared" si="511"/>
        <v>0.43512626452795139</v>
      </c>
      <c r="BO80" s="44">
        <f t="shared" ref="BO80:CK80" si="512">BO79/BO61</f>
        <v>0.42980408827268224</v>
      </c>
      <c r="BP80" s="44">
        <f t="shared" si="512"/>
        <v>0.5378932283333101</v>
      </c>
      <c r="BQ80" s="44">
        <f t="shared" si="512"/>
        <v>0.45310009164349913</v>
      </c>
      <c r="BR80" s="44">
        <f t="shared" si="512"/>
        <v>0.45816600100491084</v>
      </c>
      <c r="BS80" s="44">
        <f t="shared" si="512"/>
        <v>0.49356280812114578</v>
      </c>
      <c r="BT80" s="44">
        <f t="shared" si="512"/>
        <v>0.52083857970284564</v>
      </c>
      <c r="BU80" s="44">
        <f t="shared" si="512"/>
        <v>0.50208125837139816</v>
      </c>
      <c r="BV80" s="44">
        <f t="shared" si="512"/>
        <v>0.45901644855163326</v>
      </c>
      <c r="BW80" s="44">
        <f t="shared" si="512"/>
        <v>0.58775559727703497</v>
      </c>
      <c r="BX80" s="44">
        <f t="shared" si="512"/>
        <v>0.55220391944591385</v>
      </c>
      <c r="BY80" s="44">
        <f t="shared" si="512"/>
        <v>0.48911507165582685</v>
      </c>
      <c r="BZ80" s="44">
        <f t="shared" si="512"/>
        <v>0.25711358505625942</v>
      </c>
      <c r="CA80" s="44">
        <f t="shared" si="512"/>
        <v>0.65356408863754845</v>
      </c>
      <c r="CB80" s="44">
        <f t="shared" si="512"/>
        <v>0.58438649162871847</v>
      </c>
      <c r="CC80" s="44">
        <f t="shared" si="512"/>
        <v>0.51605727272926527</v>
      </c>
      <c r="CD80" s="44">
        <f t="shared" si="512"/>
        <v>0.41351009698630714</v>
      </c>
      <c r="CE80" s="44">
        <f t="shared" si="512"/>
        <v>0.66226027460932779</v>
      </c>
      <c r="CF80" s="44">
        <f t="shared" si="512"/>
        <v>0.64336238821417591</v>
      </c>
      <c r="CG80" s="44">
        <f t="shared" si="512"/>
        <v>0.65618857478054149</v>
      </c>
      <c r="CH80" s="44">
        <f t="shared" si="512"/>
        <v>0.62258533111201053</v>
      </c>
      <c r="CI80" s="44">
        <f t="shared" si="512"/>
        <v>0.70631356976103055</v>
      </c>
      <c r="CJ80" s="44">
        <f t="shared" si="512"/>
        <v>0.67481120647439363</v>
      </c>
      <c r="CK80" s="44">
        <f t="shared" si="512"/>
        <v>0.66921162318991323</v>
      </c>
      <c r="CL80" s="44">
        <f t="shared" ref="CL80:DB80" si="513">CL79/CL61</f>
        <v>0.64810224538408523</v>
      </c>
      <c r="CM80" s="52">
        <f t="shared" si="513"/>
        <v>0.6455692827131394</v>
      </c>
      <c r="CN80" s="52">
        <f t="shared" si="513"/>
        <v>0.63603097445594758</v>
      </c>
      <c r="CO80" s="52">
        <f t="shared" si="513"/>
        <v>0.63594806296754003</v>
      </c>
      <c r="CP80" s="52">
        <f t="shared" si="513"/>
        <v>0.63422562372423386</v>
      </c>
      <c r="CQ80" s="52">
        <f t="shared" si="513"/>
        <v>0.63477837702001627</v>
      </c>
      <c r="CR80" s="52">
        <f t="shared" si="513"/>
        <v>0.63107717036144673</v>
      </c>
      <c r="CS80" s="52">
        <f t="shared" si="513"/>
        <v>0.63257861126483073</v>
      </c>
      <c r="CT80" s="52">
        <f t="shared" si="513"/>
        <v>0.63138439911766753</v>
      </c>
      <c r="CU80" s="52">
        <f t="shared" si="513"/>
        <v>0.63898814191210729</v>
      </c>
      <c r="CV80" s="52">
        <f t="shared" si="513"/>
        <v>0.63629562131877992</v>
      </c>
      <c r="CW80" s="52">
        <f t="shared" si="513"/>
        <v>0.62802251488422323</v>
      </c>
      <c r="CX80" s="52">
        <f t="shared" si="513"/>
        <v>0.63165613980141266</v>
      </c>
      <c r="CY80" s="52">
        <f t="shared" si="513"/>
        <v>0.63794855448581056</v>
      </c>
      <c r="CZ80" s="52">
        <f t="shared" si="513"/>
        <v>0.63802925011848621</v>
      </c>
      <c r="DA80" s="52">
        <f t="shared" si="513"/>
        <v>0.63977670085098415</v>
      </c>
      <c r="DB80" s="52">
        <f t="shared" si="513"/>
        <v>0.64004801826198265</v>
      </c>
      <c r="DE80" s="128"/>
      <c r="DF80" s="44" t="e">
        <v>#DIV/0!</v>
      </c>
      <c r="DG80" s="44">
        <v>0.66823043263433701</v>
      </c>
    </row>
    <row r="81" spans="1:111" s="26" customFormat="1" x14ac:dyDescent="0.2">
      <c r="A81" s="34" t="s">
        <v>13</v>
      </c>
      <c r="B81" s="26">
        <f t="shared" ref="B81:AE81" si="514">B67-B79</f>
        <v>0</v>
      </c>
      <c r="C81" s="26">
        <f t="shared" si="514"/>
        <v>0</v>
      </c>
      <c r="D81" s="26">
        <f t="shared" si="514"/>
        <v>0</v>
      </c>
      <c r="E81" s="26">
        <f t="shared" si="514"/>
        <v>0</v>
      </c>
      <c r="F81" s="26">
        <f t="shared" si="514"/>
        <v>0</v>
      </c>
      <c r="G81" s="26">
        <f t="shared" si="514"/>
        <v>0</v>
      </c>
      <c r="H81" s="26">
        <f t="shared" si="514"/>
        <v>0</v>
      </c>
      <c r="I81" s="26">
        <f t="shared" si="514"/>
        <v>0</v>
      </c>
      <c r="J81" s="26">
        <f t="shared" si="514"/>
        <v>0</v>
      </c>
      <c r="K81" s="26">
        <f t="shared" si="514"/>
        <v>0</v>
      </c>
      <c r="L81" s="26">
        <f t="shared" si="514"/>
        <v>0</v>
      </c>
      <c r="M81" s="26">
        <f t="shared" si="514"/>
        <v>0</v>
      </c>
      <c r="N81" s="26">
        <f t="shared" si="514"/>
        <v>0</v>
      </c>
      <c r="O81" s="26">
        <f t="shared" si="514"/>
        <v>-2.7028999999999998E-3</v>
      </c>
      <c r="P81" s="26">
        <f t="shared" si="514"/>
        <v>101.25999999999999</v>
      </c>
      <c r="Q81" s="26">
        <f t="shared" si="514"/>
        <v>1926.5400000000002</v>
      </c>
      <c r="R81" s="26">
        <f t="shared" si="514"/>
        <v>1983.0900000000001</v>
      </c>
      <c r="S81" s="26">
        <f t="shared" si="514"/>
        <v>2826.01</v>
      </c>
      <c r="T81" s="26">
        <f t="shared" si="514"/>
        <v>2762.2299999999996</v>
      </c>
      <c r="U81" s="26">
        <f t="shared" si="514"/>
        <v>4253.8599999999997</v>
      </c>
      <c r="V81" s="26">
        <f t="shared" si="514"/>
        <v>3950.3600000000006</v>
      </c>
      <c r="W81" s="26">
        <f t="shared" si="514"/>
        <v>4206.17</v>
      </c>
      <c r="X81" s="26">
        <f t="shared" si="514"/>
        <v>4517.6099999999988</v>
      </c>
      <c r="Y81" s="26">
        <f t="shared" si="514"/>
        <v>5711.2000000000007</v>
      </c>
      <c r="Z81" s="26">
        <f t="shared" si="514"/>
        <v>7066.52</v>
      </c>
      <c r="AA81" s="26">
        <f t="shared" ref="AA81" si="515">AA67-AA79</f>
        <v>7988.84</v>
      </c>
      <c r="AB81" s="27">
        <f t="shared" si="514"/>
        <v>10554.629078782695</v>
      </c>
      <c r="AC81" s="27">
        <f t="shared" si="514"/>
        <v>12862.480334243588</v>
      </c>
      <c r="AD81" s="27">
        <f t="shared" si="514"/>
        <v>14941.308718795281</v>
      </c>
      <c r="AE81" s="27">
        <f t="shared" si="514"/>
        <v>16611.402267039353</v>
      </c>
      <c r="AI81" s="26">
        <f t="shared" ref="AI81:BN81" si="516">AI67-AI79</f>
        <v>0</v>
      </c>
      <c r="AJ81" s="26">
        <f t="shared" si="516"/>
        <v>0</v>
      </c>
      <c r="AK81" s="26">
        <f t="shared" si="516"/>
        <v>0</v>
      </c>
      <c r="AL81" s="26">
        <f t="shared" si="516"/>
        <v>0</v>
      </c>
      <c r="AM81" s="26">
        <f t="shared" si="516"/>
        <v>0</v>
      </c>
      <c r="AN81" s="26">
        <f t="shared" si="516"/>
        <v>0</v>
      </c>
      <c r="AO81" s="26">
        <f t="shared" si="516"/>
        <v>0</v>
      </c>
      <c r="AP81" s="26">
        <f t="shared" si="516"/>
        <v>0</v>
      </c>
      <c r="AQ81" s="26">
        <f t="shared" si="516"/>
        <v>0</v>
      </c>
      <c r="AR81" s="26">
        <f t="shared" si="516"/>
        <v>0</v>
      </c>
      <c r="AS81" s="26">
        <f t="shared" si="516"/>
        <v>6.2299999999999995</v>
      </c>
      <c r="AT81" s="26">
        <f t="shared" si="516"/>
        <v>95.03</v>
      </c>
      <c r="AU81" s="26">
        <f t="shared" si="516"/>
        <v>439.88</v>
      </c>
      <c r="AV81" s="26">
        <f t="shared" si="516"/>
        <v>527.72</v>
      </c>
      <c r="AW81" s="26">
        <f t="shared" si="516"/>
        <v>474.81</v>
      </c>
      <c r="AX81" s="26">
        <f t="shared" si="516"/>
        <v>484.14</v>
      </c>
      <c r="AY81" s="26">
        <f t="shared" si="516"/>
        <v>578.35</v>
      </c>
      <c r="AZ81" s="26">
        <f t="shared" si="516"/>
        <v>473.08000000000004</v>
      </c>
      <c r="BA81" s="26">
        <f t="shared" si="516"/>
        <v>471.39000000000004</v>
      </c>
      <c r="BB81" s="26">
        <f t="shared" si="516"/>
        <v>460.27</v>
      </c>
      <c r="BC81" s="26">
        <f t="shared" si="516"/>
        <v>452.29</v>
      </c>
      <c r="BD81" s="26">
        <f t="shared" si="516"/>
        <v>446.07000000000005</v>
      </c>
      <c r="BE81" s="26">
        <f t="shared" si="516"/>
        <v>1436.96</v>
      </c>
      <c r="BF81" s="26">
        <f t="shared" si="516"/>
        <v>490.69000000000005</v>
      </c>
      <c r="BG81" s="26">
        <f t="shared" si="516"/>
        <v>505.02</v>
      </c>
      <c r="BH81" s="26">
        <f t="shared" si="516"/>
        <v>556.90999999999985</v>
      </c>
      <c r="BI81" s="26">
        <f t="shared" si="516"/>
        <v>892.82000000000016</v>
      </c>
      <c r="BJ81" s="26">
        <f t="shared" si="516"/>
        <v>871.3</v>
      </c>
      <c r="BK81" s="26">
        <f t="shared" si="516"/>
        <v>1106.7199999999998</v>
      </c>
      <c r="BL81" s="26">
        <f t="shared" si="516"/>
        <v>1003.6100000000004</v>
      </c>
      <c r="BM81" s="26">
        <f t="shared" si="516"/>
        <v>1055.7999999999997</v>
      </c>
      <c r="BN81" s="26">
        <f t="shared" si="516"/>
        <v>1087.73</v>
      </c>
      <c r="BO81" s="26">
        <f t="shared" ref="BO81:CK81" si="517">BO67-BO79</f>
        <v>1394.69</v>
      </c>
      <c r="BP81" s="26">
        <f t="shared" si="517"/>
        <v>995.81999999999994</v>
      </c>
      <c r="BQ81" s="26">
        <f t="shared" si="517"/>
        <v>1115.48</v>
      </c>
      <c r="BR81" s="26">
        <f t="shared" si="517"/>
        <v>1027.18</v>
      </c>
      <c r="BS81" s="26">
        <f t="shared" si="517"/>
        <v>1390.38</v>
      </c>
      <c r="BT81" s="26">
        <f t="shared" si="517"/>
        <v>1155.72</v>
      </c>
      <c r="BU81" s="26">
        <f t="shared" si="517"/>
        <v>1151.3899999999996</v>
      </c>
      <c r="BV81" s="26">
        <f t="shared" si="517"/>
        <v>1191.1499999999999</v>
      </c>
      <c r="BW81" s="26">
        <f t="shared" si="517"/>
        <v>1207.9299999999998</v>
      </c>
      <c r="BX81" s="26">
        <f t="shared" si="517"/>
        <v>1236.6100000000001</v>
      </c>
      <c r="BY81" s="26">
        <f t="shared" si="517"/>
        <v>1540.1699999999996</v>
      </c>
      <c r="BZ81" s="26">
        <f t="shared" si="517"/>
        <v>1568.4799999999998</v>
      </c>
      <c r="CA81" s="26">
        <f t="shared" si="517"/>
        <v>1269.2999999999997</v>
      </c>
      <c r="CB81" s="26">
        <f t="shared" si="517"/>
        <v>1350.1399999999999</v>
      </c>
      <c r="CC81" s="26">
        <f t="shared" si="517"/>
        <v>1470.6399999999994</v>
      </c>
      <c r="CD81" s="26">
        <f t="shared" si="517"/>
        <v>1621.1200000000003</v>
      </c>
      <c r="CE81" s="26">
        <f t="shared" si="517"/>
        <v>1650.6800000000003</v>
      </c>
      <c r="CF81" s="26">
        <f t="shared" si="517"/>
        <v>1715.1400000000003</v>
      </c>
      <c r="CG81" s="26">
        <f t="shared" si="517"/>
        <v>1660.7399999999998</v>
      </c>
      <c r="CH81" s="26">
        <f t="shared" si="517"/>
        <v>2039.9600000000005</v>
      </c>
      <c r="CI81" s="26">
        <f t="shared" si="517"/>
        <v>1810.6899999999996</v>
      </c>
      <c r="CJ81" s="26">
        <f t="shared" si="517"/>
        <v>1955.42</v>
      </c>
      <c r="CK81" s="26">
        <f t="shared" si="517"/>
        <v>1995.4000000000005</v>
      </c>
      <c r="CL81" s="26">
        <f t="shared" ref="CL81:DB81" si="518">CL67-CL79</f>
        <v>2227.3300000000008</v>
      </c>
      <c r="CM81" s="27">
        <f t="shared" si="518"/>
        <v>2486.1107861580931</v>
      </c>
      <c r="CN81" s="27">
        <f t="shared" si="518"/>
        <v>2571.7150576133099</v>
      </c>
      <c r="CO81" s="27">
        <f t="shared" si="518"/>
        <v>2685.2826211708707</v>
      </c>
      <c r="CP81" s="27">
        <f t="shared" si="518"/>
        <v>2811.5206138404183</v>
      </c>
      <c r="CQ81" s="27">
        <f t="shared" si="518"/>
        <v>3069.8497999577321</v>
      </c>
      <c r="CR81" s="27">
        <f t="shared" si="518"/>
        <v>3113.9386717673988</v>
      </c>
      <c r="CS81" s="27">
        <f t="shared" si="518"/>
        <v>3234.6753406012449</v>
      </c>
      <c r="CT81" s="27">
        <f t="shared" si="518"/>
        <v>3444.0165219172068</v>
      </c>
      <c r="CU81" s="27">
        <f t="shared" si="518"/>
        <v>3530.4509497907347</v>
      </c>
      <c r="CV81" s="27">
        <f t="shared" si="518"/>
        <v>3537.064386949708</v>
      </c>
      <c r="CW81" s="27">
        <f t="shared" si="518"/>
        <v>3909.1326309143551</v>
      </c>
      <c r="CX81" s="27">
        <f t="shared" si="518"/>
        <v>3964.6607511404836</v>
      </c>
      <c r="CY81" s="27">
        <f t="shared" si="518"/>
        <v>4038.9706620323623</v>
      </c>
      <c r="CZ81" s="27">
        <f t="shared" si="518"/>
        <v>4035.7407349966843</v>
      </c>
      <c r="DA81" s="27">
        <f t="shared" si="518"/>
        <v>4172.2313814093504</v>
      </c>
      <c r="DB81" s="27">
        <f t="shared" si="518"/>
        <v>4364.45948860096</v>
      </c>
      <c r="DE81" s="121"/>
      <c r="DF81" s="26">
        <v>0</v>
      </c>
      <c r="DG81" s="26">
        <v>2516.7992282185169</v>
      </c>
    </row>
    <row r="82" spans="1:111" s="168" customFormat="1" x14ac:dyDescent="0.2">
      <c r="A82" s="165" t="s">
        <v>14</v>
      </c>
      <c r="B82" s="166" t="e">
        <f t="shared" ref="B82:AE82" si="519">B81/B61</f>
        <v>#DIV/0!</v>
      </c>
      <c r="C82" s="166" t="e">
        <f t="shared" si="519"/>
        <v>#DIV/0!</v>
      </c>
      <c r="D82" s="166" t="e">
        <f t="shared" si="519"/>
        <v>#DIV/0!</v>
      </c>
      <c r="E82" s="166" t="e">
        <f t="shared" si="519"/>
        <v>#DIV/0!</v>
      </c>
      <c r="F82" s="166" t="e">
        <f t="shared" si="519"/>
        <v>#DIV/0!</v>
      </c>
      <c r="G82" s="166" t="e">
        <f t="shared" si="519"/>
        <v>#DIV/0!</v>
      </c>
      <c r="H82" s="166" t="e">
        <f t="shared" si="519"/>
        <v>#DIV/0!</v>
      </c>
      <c r="I82" s="166" t="e">
        <f t="shared" si="519"/>
        <v>#DIV/0!</v>
      </c>
      <c r="J82" s="166" t="e">
        <f t="shared" si="519"/>
        <v>#DIV/0!</v>
      </c>
      <c r="K82" s="166" t="e">
        <f t="shared" si="519"/>
        <v>#DIV/0!</v>
      </c>
      <c r="L82" s="166" t="e">
        <f t="shared" si="519"/>
        <v>#DIV/0!</v>
      </c>
      <c r="M82" s="166" t="e">
        <f t="shared" si="519"/>
        <v>#DIV/0!</v>
      </c>
      <c r="N82" s="166" t="e">
        <f t="shared" si="519"/>
        <v>#DIV/0!</v>
      </c>
      <c r="O82" s="166" t="e">
        <f t="shared" si="519"/>
        <v>#DIV/0!</v>
      </c>
      <c r="P82" s="166">
        <f t="shared" si="519"/>
        <v>0.74818974434756902</v>
      </c>
      <c r="Q82" s="166">
        <f t="shared" si="519"/>
        <v>0.87689177564052967</v>
      </c>
      <c r="R82" s="166">
        <f t="shared" si="519"/>
        <v>0.68960013353224081</v>
      </c>
      <c r="S82" s="166">
        <f t="shared" si="519"/>
        <v>0.71644678132478812</v>
      </c>
      <c r="T82" s="166">
        <f t="shared" si="519"/>
        <v>0.37810538707403374</v>
      </c>
      <c r="U82" s="166">
        <f t="shared" si="519"/>
        <v>0.37262394051836201</v>
      </c>
      <c r="V82" s="166">
        <f t="shared" si="519"/>
        <v>0.39796782899621519</v>
      </c>
      <c r="W82" s="166">
        <f t="shared" si="519"/>
        <v>0.37363202552604835</v>
      </c>
      <c r="X82" s="166">
        <f t="shared" si="519"/>
        <v>0.33985595122743872</v>
      </c>
      <c r="Y82" s="166">
        <f t="shared" si="519"/>
        <v>0.34389571852479867</v>
      </c>
      <c r="Z82" s="166">
        <f t="shared" si="519"/>
        <v>0.29732373630932524</v>
      </c>
      <c r="AA82" s="166">
        <f t="shared" ref="AA82" si="520">AA81/AA61</f>
        <v>0.28957631262543937</v>
      </c>
      <c r="AB82" s="167">
        <f t="shared" si="519"/>
        <v>0.31846346503294692</v>
      </c>
      <c r="AC82" s="167">
        <f t="shared" si="519"/>
        <v>0.32389047591580344</v>
      </c>
      <c r="AD82" s="167">
        <f t="shared" si="519"/>
        <v>0.32266823005439704</v>
      </c>
      <c r="AE82" s="167">
        <f t="shared" si="519"/>
        <v>0.31725874290152972</v>
      </c>
      <c r="AI82" s="166" t="e">
        <f t="shared" ref="AI82:BN82" si="521">AI81/AI61</f>
        <v>#DIV/0!</v>
      </c>
      <c r="AJ82" s="166" t="e">
        <f t="shared" si="521"/>
        <v>#DIV/0!</v>
      </c>
      <c r="AK82" s="166" t="e">
        <f t="shared" si="521"/>
        <v>#DIV/0!</v>
      </c>
      <c r="AL82" s="166" t="e">
        <f t="shared" si="521"/>
        <v>#DIV/0!</v>
      </c>
      <c r="AM82" s="166" t="e">
        <f t="shared" si="521"/>
        <v>#DIV/0!</v>
      </c>
      <c r="AN82" s="166" t="e">
        <f t="shared" si="521"/>
        <v>#DIV/0!</v>
      </c>
      <c r="AO82" s="166" t="e">
        <f t="shared" si="521"/>
        <v>#DIV/0!</v>
      </c>
      <c r="AP82" s="166" t="e">
        <f t="shared" si="521"/>
        <v>#DIV/0!</v>
      </c>
      <c r="AQ82" s="166" t="e">
        <f t="shared" si="521"/>
        <v>#DIV/0!</v>
      </c>
      <c r="AR82" s="166" t="e">
        <f t="shared" si="521"/>
        <v>#DIV/0!</v>
      </c>
      <c r="AS82" s="166">
        <f t="shared" si="521"/>
        <v>0.54410480349344981</v>
      </c>
      <c r="AT82" s="166">
        <f t="shared" si="521"/>
        <v>0.76711333548595417</v>
      </c>
      <c r="AU82" s="166">
        <f t="shared" si="521"/>
        <v>0.93961337178254833</v>
      </c>
      <c r="AV82" s="166">
        <f t="shared" si="521"/>
        <v>0.93527576917623712</v>
      </c>
      <c r="AW82" s="166">
        <f t="shared" si="521"/>
        <v>0.90182336182336187</v>
      </c>
      <c r="AX82" s="166">
        <f t="shared" si="521"/>
        <v>0.75869742368206605</v>
      </c>
      <c r="AY82" s="166">
        <f t="shared" si="521"/>
        <v>0.91509628012215005</v>
      </c>
      <c r="AZ82" s="166">
        <f t="shared" si="521"/>
        <v>0.69295444558371178</v>
      </c>
      <c r="BA82" s="166">
        <f t="shared" si="521"/>
        <v>0.64643043251693599</v>
      </c>
      <c r="BB82" s="166">
        <f t="shared" si="521"/>
        <v>0.55147252641920874</v>
      </c>
      <c r="BC82" s="166">
        <f t="shared" si="521"/>
        <v>0.74331120168288189</v>
      </c>
      <c r="BD82" s="166">
        <f t="shared" si="521"/>
        <v>0.59868738927363507</v>
      </c>
      <c r="BE82" s="166">
        <f t="shared" si="521"/>
        <v>0.80683668542038656</v>
      </c>
      <c r="BF82" s="166">
        <f t="shared" si="521"/>
        <v>0.60583500012346592</v>
      </c>
      <c r="BG82" s="166">
        <f t="shared" si="521"/>
        <v>0.81362977283711935</v>
      </c>
      <c r="BH82" s="166">
        <f t="shared" si="521"/>
        <v>0.40386525979912241</v>
      </c>
      <c r="BI82" s="166">
        <f t="shared" si="521"/>
        <v>0.32548440604436674</v>
      </c>
      <c r="BJ82" s="166">
        <f t="shared" si="521"/>
        <v>0.34228224830685583</v>
      </c>
      <c r="BK82" s="166">
        <f t="shared" si="521"/>
        <v>0.38722499020321327</v>
      </c>
      <c r="BL82" s="166">
        <f t="shared" si="521"/>
        <v>0.38698619572761639</v>
      </c>
      <c r="BM82" s="166">
        <f t="shared" si="521"/>
        <v>0.38012327543996072</v>
      </c>
      <c r="BN82" s="166">
        <f t="shared" si="521"/>
        <v>0.34130644877877353</v>
      </c>
      <c r="BO82" s="166">
        <f t="shared" ref="BO82:CK82" si="522">BO81/BO61</f>
        <v>0.57007328807157953</v>
      </c>
      <c r="BP82" s="166">
        <f t="shared" si="522"/>
        <v>0.46184241648463259</v>
      </c>
      <c r="BQ82" s="166">
        <f t="shared" si="522"/>
        <v>0.42952306874802659</v>
      </c>
      <c r="BR82" s="166">
        <f t="shared" si="522"/>
        <v>0.37672421064985456</v>
      </c>
      <c r="BS82" s="166">
        <f t="shared" si="522"/>
        <v>0.49136112240029689</v>
      </c>
      <c r="BT82" s="166">
        <f t="shared" si="522"/>
        <v>0.45475006295643416</v>
      </c>
      <c r="BU82" s="166">
        <f t="shared" si="522"/>
        <v>0.39543565614589404</v>
      </c>
      <c r="BV82" s="166">
        <f t="shared" si="522"/>
        <v>0.40042289552329113</v>
      </c>
      <c r="BW82" s="166">
        <f t="shared" si="522"/>
        <v>0.38568846826826053</v>
      </c>
      <c r="BX82" s="166">
        <f t="shared" si="522"/>
        <v>0.38032219174037674</v>
      </c>
      <c r="BY82" s="166">
        <f t="shared" si="522"/>
        <v>0.43364304417602828</v>
      </c>
      <c r="BZ82" s="166">
        <f t="shared" si="522"/>
        <v>0.46713484986568021</v>
      </c>
      <c r="CA82" s="166">
        <f t="shared" si="522"/>
        <v>0.34643318203776835</v>
      </c>
      <c r="CB82" s="166">
        <f t="shared" si="522"/>
        <v>0.36749803340891213</v>
      </c>
      <c r="CC82" s="166">
        <f t="shared" si="522"/>
        <v>0.32231580654564251</v>
      </c>
      <c r="CD82" s="166">
        <f t="shared" si="522"/>
        <v>0.34441717921752346</v>
      </c>
      <c r="CE82" s="166">
        <f t="shared" si="522"/>
        <v>0.3069005587007651</v>
      </c>
      <c r="CF82" s="166">
        <f t="shared" si="522"/>
        <v>0.27736468457396063</v>
      </c>
      <c r="CG82" s="166">
        <f t="shared" si="522"/>
        <v>0.28484836010743941</v>
      </c>
      <c r="CH82" s="166">
        <f t="shared" si="522"/>
        <v>0.32001480881877714</v>
      </c>
      <c r="CI82" s="166">
        <f t="shared" si="522"/>
        <v>0.26552509942398606</v>
      </c>
      <c r="CJ82" s="166">
        <f t="shared" si="522"/>
        <v>0.29646306833256769</v>
      </c>
      <c r="CK82" s="166">
        <f t="shared" si="522"/>
        <v>0.29650873373801023</v>
      </c>
      <c r="CL82" s="166">
        <f t="shared" ref="CL82:DB82" si="523">CL81/CL61</f>
        <v>0.29924079067399151</v>
      </c>
      <c r="CM82" s="167">
        <f t="shared" si="523"/>
        <v>0.30883436068891013</v>
      </c>
      <c r="CN82" s="167">
        <f t="shared" si="523"/>
        <v>0.32365435334280507</v>
      </c>
      <c r="CO82" s="167">
        <f t="shared" si="523"/>
        <v>0.32084002807916057</v>
      </c>
      <c r="CP82" s="167">
        <f t="shared" si="523"/>
        <v>0.32032940085216077</v>
      </c>
      <c r="CQ82" s="167">
        <f t="shared" si="523"/>
        <v>0.32157964468595807</v>
      </c>
      <c r="CR82" s="167">
        <f t="shared" si="523"/>
        <v>0.32576944592050877</v>
      </c>
      <c r="CS82" s="167">
        <f t="shared" si="523"/>
        <v>0.32355832713792548</v>
      </c>
      <c r="CT82" s="167">
        <f t="shared" si="523"/>
        <v>0.32458975112410265</v>
      </c>
      <c r="CU82" s="167">
        <f t="shared" si="523"/>
        <v>0.31734078974600666</v>
      </c>
      <c r="CV82" s="167">
        <f t="shared" si="523"/>
        <v>0.32002603782736899</v>
      </c>
      <c r="CW82" s="167">
        <f t="shared" si="523"/>
        <v>0.32816790497797405</v>
      </c>
      <c r="CX82" s="167">
        <f t="shared" si="523"/>
        <v>0.32454765042564482</v>
      </c>
      <c r="CY82" s="167">
        <f t="shared" si="523"/>
        <v>0.31831264573756896</v>
      </c>
      <c r="CZ82" s="167">
        <f t="shared" si="523"/>
        <v>0.31821501724620965</v>
      </c>
      <c r="DA82" s="167">
        <f t="shared" si="523"/>
        <v>0.31644821856834821</v>
      </c>
      <c r="DB82" s="167">
        <f t="shared" si="523"/>
        <v>0.31618552604663369</v>
      </c>
      <c r="DE82" s="169"/>
      <c r="DF82" s="168" t="e">
        <v>#DIV/0!</v>
      </c>
      <c r="DG82" s="168">
        <v>0.35239942919109557</v>
      </c>
    </row>
    <row r="83" spans="1:111" s="38" customFormat="1" x14ac:dyDescent="0.2">
      <c r="A83" s="39" t="s">
        <v>449</v>
      </c>
      <c r="B83" s="39"/>
      <c r="C83" s="39" t="e">
        <f t="shared" ref="C83:E83" si="524">+IF(B81&lt;0,1-C81/B81,C81/B81-1)</f>
        <v>#DIV/0!</v>
      </c>
      <c r="D83" s="39" t="e">
        <f t="shared" si="524"/>
        <v>#DIV/0!</v>
      </c>
      <c r="E83" s="39" t="e">
        <f t="shared" si="524"/>
        <v>#DIV/0!</v>
      </c>
      <c r="F83" s="39" t="e">
        <f t="shared" ref="F83:Y83" si="525">+IF(E81&lt;0,1-F81/E81,F81/E81-1)</f>
        <v>#DIV/0!</v>
      </c>
      <c r="G83" s="39" t="e">
        <f t="shared" si="525"/>
        <v>#DIV/0!</v>
      </c>
      <c r="H83" s="39" t="e">
        <f t="shared" si="525"/>
        <v>#DIV/0!</v>
      </c>
      <c r="I83" s="39" t="e">
        <f t="shared" si="525"/>
        <v>#DIV/0!</v>
      </c>
      <c r="J83" s="39" t="e">
        <f t="shared" si="525"/>
        <v>#DIV/0!</v>
      </c>
      <c r="K83" s="39" t="e">
        <f t="shared" si="525"/>
        <v>#DIV/0!</v>
      </c>
      <c r="L83" s="39" t="e">
        <f t="shared" si="525"/>
        <v>#DIV/0!</v>
      </c>
      <c r="M83" s="39" t="e">
        <f t="shared" si="525"/>
        <v>#DIV/0!</v>
      </c>
      <c r="N83" s="39" t="e">
        <f t="shared" si="525"/>
        <v>#DIV/0!</v>
      </c>
      <c r="O83" s="39" t="e">
        <f t="shared" si="525"/>
        <v>#DIV/0!</v>
      </c>
      <c r="P83" s="39">
        <f t="shared" si="525"/>
        <v>37464.465167042807</v>
      </c>
      <c r="Q83" s="39">
        <f t="shared" si="525"/>
        <v>18.025676476397397</v>
      </c>
      <c r="R83" s="39">
        <f t="shared" si="525"/>
        <v>2.9353140863932259E-2</v>
      </c>
      <c r="S83" s="39">
        <f t="shared" si="525"/>
        <v>0.42505383013378117</v>
      </c>
      <c r="T83" s="39">
        <f t="shared" si="525"/>
        <v>-2.256892226142182E-2</v>
      </c>
      <c r="U83" s="39">
        <f t="shared" si="525"/>
        <v>0.54000934027941194</v>
      </c>
      <c r="V83" s="39">
        <f t="shared" si="525"/>
        <v>-7.1346964874255181E-2</v>
      </c>
      <c r="W83" s="39">
        <f t="shared" si="525"/>
        <v>6.4756123492542228E-2</v>
      </c>
      <c r="X83" s="39">
        <f t="shared" si="525"/>
        <v>7.4043607367272113E-2</v>
      </c>
      <c r="Y83" s="39">
        <f t="shared" si="525"/>
        <v>0.26420828712527245</v>
      </c>
      <c r="Z83" s="39">
        <f>+IF(Y81&lt;0,1-Z81/Y81,Z81/Y81-1)</f>
        <v>0.23730914693934713</v>
      </c>
      <c r="AA83" s="39">
        <f>+IF(Z81&lt;0,1-AA81/Z81,AA81/Z81-1)</f>
        <v>0.13051969003130259</v>
      </c>
      <c r="AB83" s="40">
        <f t="shared" ref="AB83:AE83" si="526">+IF(AA81&lt;0,1-AB81/AA81,AB81/AA81-1)</f>
        <v>0.32117166932654739</v>
      </c>
      <c r="AC83" s="40">
        <f t="shared" si="526"/>
        <v>0.21865773190459348</v>
      </c>
      <c r="AD83" s="40">
        <f t="shared" si="526"/>
        <v>0.16161955785598048</v>
      </c>
      <c r="AE83" s="40">
        <f t="shared" si="526"/>
        <v>0.11177692527985816</v>
      </c>
      <c r="AI83" s="39"/>
      <c r="AJ83" s="39"/>
      <c r="AK83" s="39"/>
      <c r="AL83" s="39"/>
      <c r="AM83" s="39" t="e">
        <f>+IF(AI81&lt;0,1-AM81/AI81,AM81/AI81-1)</f>
        <v>#DIV/0!</v>
      </c>
      <c r="AN83" s="39" t="e">
        <f t="shared" ref="AN83" si="527">+IF(AJ81&lt;0,1-AN81/AJ81,AN81/AJ81-1)</f>
        <v>#DIV/0!</v>
      </c>
      <c r="AO83" s="39" t="e">
        <f t="shared" ref="AO83" si="528">+IF(AK81&lt;0,1-AO81/AK81,AO81/AK81-1)</f>
        <v>#DIV/0!</v>
      </c>
      <c r="AP83" s="39" t="e">
        <f t="shared" ref="AP83" si="529">+IF(AL81&lt;0,1-AP81/AL81,AP81/AL81-1)</f>
        <v>#DIV/0!</v>
      </c>
      <c r="AQ83" s="39" t="e">
        <f t="shared" ref="AQ83" si="530">+IF(AM81&lt;0,1-AQ81/AM81,AQ81/AM81-1)</f>
        <v>#DIV/0!</v>
      </c>
      <c r="AR83" s="39" t="e">
        <f t="shared" ref="AR83" si="531">+IF(AN81&lt;0,1-AR81/AN81,AR81/AN81-1)</f>
        <v>#DIV/0!</v>
      </c>
      <c r="AS83" s="39" t="e">
        <f t="shared" ref="AS83" si="532">+IF(AO81&lt;0,1-AS81/AO81,AS81/AO81-1)</f>
        <v>#DIV/0!</v>
      </c>
      <c r="AT83" s="39" t="e">
        <f t="shared" ref="AT83" si="533">+IF(AP81&lt;0,1-AT81/AP81,AT81/AP81-1)</f>
        <v>#DIV/0!</v>
      </c>
      <c r="AU83" s="39" t="e">
        <f t="shared" ref="AU83" si="534">+IF(AQ81&lt;0,1-AU81/AQ81,AU81/AQ81-1)</f>
        <v>#DIV/0!</v>
      </c>
      <c r="AV83" s="39" t="e">
        <f t="shared" ref="AV83" si="535">+IF(AR81&lt;0,1-AV81/AR81,AV81/AR81-1)</f>
        <v>#DIV/0!</v>
      </c>
      <c r="AW83" s="39">
        <f t="shared" ref="AW83" si="536">+IF(AS81&lt;0,1-AW81/AS81,AW81/AS81-1)</f>
        <v>75.213483146067418</v>
      </c>
      <c r="AX83" s="39">
        <f t="shared" ref="AX83" si="537">+IF(AT81&lt;0,1-AX81/AT81,AX81/AT81-1)</f>
        <v>4.0946017047248233</v>
      </c>
      <c r="AY83" s="39">
        <f t="shared" ref="AY83" si="538">+IF(AU81&lt;0,1-AY81/AU81,AY81/AU81-1)</f>
        <v>0.31479039738110393</v>
      </c>
      <c r="AZ83" s="39">
        <f t="shared" ref="AZ83" si="539">+IF(AV81&lt;0,1-AZ81/AV81,AZ81/AV81-1)</f>
        <v>-0.10353975593117559</v>
      </c>
      <c r="BA83" s="39">
        <f t="shared" ref="BA83" si="540">+IF(AW81&lt;0,1-BA81/AW81,BA81/AW81-1)</f>
        <v>-7.2028811524609271E-3</v>
      </c>
      <c r="BB83" s="39">
        <f t="shared" ref="BB83" si="541">+IF(AX81&lt;0,1-BB81/AX81,BB81/AX81-1)</f>
        <v>-4.9303920353616748E-2</v>
      </c>
      <c r="BC83" s="39">
        <f t="shared" ref="BC83" si="542">+IF(AY81&lt;0,1-BC81/AY81,BC81/AY81-1)</f>
        <v>-0.21796490014696979</v>
      </c>
      <c r="BD83" s="39">
        <f t="shared" ref="BD83" si="543">+IF(AZ81&lt;0,1-BD81/AZ81,BD81/AZ81-1)</f>
        <v>-5.709393760040582E-2</v>
      </c>
      <c r="BE83" s="39">
        <f t="shared" ref="BE83" si="544">+IF(BA81&lt;0,1-BE81/BA81,BE81/BA81-1)</f>
        <v>2.0483463798553214</v>
      </c>
      <c r="BF83" s="39">
        <f t="shared" ref="BF83" si="545">+IF(BB81&lt;0,1-BF81/BB81,BF81/BB81-1)</f>
        <v>6.6091641862385364E-2</v>
      </c>
      <c r="BG83" s="39">
        <f t="shared" ref="BG83" si="546">+IF(BC81&lt;0,1-BG81/BC81,BG81/BC81-1)</f>
        <v>0.11658449225054723</v>
      </c>
      <c r="BH83" s="39">
        <f t="shared" ref="BH83" si="547">+IF(BD81&lt;0,1-BH81/BD81,BH81/BD81-1)</f>
        <v>0.2484811800838429</v>
      </c>
      <c r="BI83" s="39">
        <f t="shared" ref="BI83" si="548">+IF(BE81&lt;0,1-BI81/BE81,BI81/BE81-1)</f>
        <v>-0.37867442378354299</v>
      </c>
      <c r="BJ83" s="39">
        <f t="shared" ref="BJ83" si="549">+IF(BF81&lt;0,1-BJ81/BF81,BJ81/BF81-1)</f>
        <v>0.77566284212027936</v>
      </c>
      <c r="BK83" s="39">
        <f t="shared" ref="BK83" si="550">+IF(BG81&lt;0,1-BK81/BG81,BK81/BG81-1)</f>
        <v>1.1914379628529561</v>
      </c>
      <c r="BL83" s="39">
        <f t="shared" ref="BL83" si="551">+IF(BH81&lt;0,1-BL81/BH81,BL81/BH81-1)</f>
        <v>0.80210446930383839</v>
      </c>
      <c r="BM83" s="39">
        <f t="shared" ref="BM83" si="552">+IF(BI81&lt;0,1-BM81/BI81,BM81/BI81-1)</f>
        <v>0.18254519388006485</v>
      </c>
      <c r="BN83" s="39">
        <f t="shared" ref="BN83" si="553">+IF(BJ81&lt;0,1-BN81/BJ81,BN81/BJ81-1)</f>
        <v>0.24839894410650754</v>
      </c>
      <c r="BO83" s="39">
        <f t="shared" ref="BO83" si="554">+IF(BK81&lt;0,1-BO81/BK81,BO81/BK81-1)</f>
        <v>0.26020131559924842</v>
      </c>
      <c r="BP83" s="39">
        <f t="shared" ref="BP83" si="555">+IF(BL81&lt;0,1-BP81/BL81,BP81/BL81-1)</f>
        <v>-7.7619792548903055E-3</v>
      </c>
      <c r="BQ83" s="39">
        <f t="shared" ref="BQ83" si="556">+IF(BM81&lt;0,1-BQ81/BM81,BQ81/BM81-1)</f>
        <v>5.6525857169918758E-2</v>
      </c>
      <c r="BR83" s="39">
        <f t="shared" ref="BR83" si="557">+IF(BN81&lt;0,1-BR81/BN81,BR81/BN81-1)</f>
        <v>-5.5666387798442574E-2</v>
      </c>
      <c r="BS83" s="39">
        <f t="shared" ref="BS83" si="558">+IF(BO81&lt;0,1-BS81/BO81,BS81/BO81-1)</f>
        <v>-3.0902924664262255E-3</v>
      </c>
      <c r="BT83" s="39">
        <f t="shared" ref="BT83" si="559">+IF(BP81&lt;0,1-BT81/BP81,BT81/BP81-1)</f>
        <v>0.16057118756401767</v>
      </c>
      <c r="BU83" s="39">
        <f t="shared" ref="BU83" si="560">+IF(BQ81&lt;0,1-BU81/BQ81,BU81/BQ81-1)</f>
        <v>3.2192419406891659E-2</v>
      </c>
      <c r="BV83" s="39">
        <f t="shared" ref="BV83" si="561">+IF(BR81&lt;0,1-BV81/BR81,BV81/BR81-1)</f>
        <v>0.15963122334936397</v>
      </c>
      <c r="BW83" s="39">
        <f t="shared" ref="BW83" si="562">+IF(BS81&lt;0,1-BW81/BS81,BW81/BS81-1)</f>
        <v>-0.13122311885959248</v>
      </c>
      <c r="BX83" s="39">
        <f t="shared" ref="BX83" si="563">+IF(BT81&lt;0,1-BX81/BT81,BX81/BT81-1)</f>
        <v>6.9991001280587106E-2</v>
      </c>
      <c r="BY83" s="39">
        <f t="shared" ref="BY83" si="564">+IF(BU81&lt;0,1-BY81/BU81,BY81/BU81-1)</f>
        <v>0.33766143530862713</v>
      </c>
      <c r="BZ83" s="39">
        <f t="shared" ref="BZ83" si="565">+IF(BV81&lt;0,1-BZ81/BV81,BZ81/BV81-1)</f>
        <v>0.31677790370650216</v>
      </c>
      <c r="CA83" s="39">
        <f t="shared" ref="CA83" si="566">+IF(BW81&lt;0,1-CA81/BW81,CA81/BW81-1)</f>
        <v>5.0805924184348372E-2</v>
      </c>
      <c r="CB83" s="39">
        <f t="shared" ref="CB83" si="567">+IF(BX81&lt;0,1-CB81/BX81,CB81/BX81-1)</f>
        <v>9.1807441311326787E-2</v>
      </c>
      <c r="CC83" s="39">
        <f t="shared" ref="CC83" si="568">+IF(BY81&lt;0,1-CC81/BY81,CC81/BY81-1)</f>
        <v>-4.5144367180246503E-2</v>
      </c>
      <c r="CD83" s="39">
        <f t="shared" ref="CD83" si="569">+IF(BZ81&lt;0,1-CD81/BZ81,CD81/BZ81-1)</f>
        <v>3.3561154748546818E-2</v>
      </c>
      <c r="CE83" s="39">
        <f t="shared" ref="CE83" si="570">+IF(CA81&lt;0,1-CE81/CA81,CE81/CA81-1)</f>
        <v>0.30046482313085998</v>
      </c>
      <c r="CF83" s="39">
        <f t="shared" ref="CF83" si="571">+IF(CB81&lt;0,1-CF81/CB81,CF81/CB81-1)</f>
        <v>0.27034233486897685</v>
      </c>
      <c r="CG83" s="39">
        <f t="shared" ref="CG83" si="572">+IF(CC81&lt;0,1-CG81/CC81,CG81/CC81-1)</f>
        <v>0.1292634499265628</v>
      </c>
      <c r="CH83" s="39">
        <f t="shared" ref="CH83:CL83" si="573">+IF(CD81&lt;0,1-CH81/CD81,CH81/CD81-1)</f>
        <v>0.25836458744571655</v>
      </c>
      <c r="CI83" s="39">
        <f t="shared" si="573"/>
        <v>9.6935808272953672E-2</v>
      </c>
      <c r="CJ83" s="39">
        <f t="shared" si="573"/>
        <v>0.14009352006250197</v>
      </c>
      <c r="CK83" s="39">
        <f t="shared" si="573"/>
        <v>0.20151257872996431</v>
      </c>
      <c r="CL83" s="39">
        <f t="shared" si="573"/>
        <v>9.1849840192945065E-2</v>
      </c>
      <c r="CM83" s="40">
        <f t="shared" ref="CM83" si="574">+IF(CI81&lt;0,1-CM81/CI81,CM81/CI81-1)</f>
        <v>0.37301845493049268</v>
      </c>
      <c r="CN83" s="40">
        <f t="shared" ref="CN83" si="575">+IF(CJ81&lt;0,1-CN81/CJ81,CN81/CJ81-1)</f>
        <v>0.31517272893460735</v>
      </c>
      <c r="CO83" s="40">
        <f t="shared" ref="CO83" si="576">+IF(CK81&lt;0,1-CO81/CK81,CO81/CK81-1)</f>
        <v>0.34573650454589044</v>
      </c>
      <c r="CP83" s="40">
        <f t="shared" ref="CP83" si="577">+IF(CL81&lt;0,1-CP81/CL81,CP81/CL81-1)</f>
        <v>0.26228291893900635</v>
      </c>
      <c r="CQ83" s="40">
        <f t="shared" ref="CQ83" si="578">+IF(CM81&lt;0,1-CQ81/CM81,CQ81/CM81-1)</f>
        <v>0.23480008093352867</v>
      </c>
      <c r="CR83" s="40">
        <f t="shared" ref="CR83" si="579">+IF(CN81&lt;0,1-CR81/CN81,CR81/CN81-1)</f>
        <v>0.2108412487413367</v>
      </c>
      <c r="CS83" s="40">
        <f t="shared" ref="CS83" si="580">+IF(CO81&lt;0,1-CS81/CO81,CS81/CO81-1)</f>
        <v>0.20459400254518512</v>
      </c>
      <c r="CT83" s="40">
        <f t="shared" ref="CT83" si="581">+IF(CP81&lt;0,1-CT81/CP81,CT81/CP81-1)</f>
        <v>0.22496577295687192</v>
      </c>
      <c r="CU83" s="40">
        <f t="shared" ref="CU83" si="582">+IF(CQ81&lt;0,1-CU81/CQ81,CU81/CQ81-1)</f>
        <v>0.15004028856374152</v>
      </c>
      <c r="CV83" s="40">
        <f t="shared" ref="CV83" si="583">+IF(CR81&lt;0,1-CV81/CR81,CV81/CR81-1)</f>
        <v>0.13588119734617421</v>
      </c>
      <c r="CW83" s="40">
        <f t="shared" ref="CW83" si="584">+IF(CS81&lt;0,1-CW81/CS81,CW81/CS81-1)</f>
        <v>0.20850849599878107</v>
      </c>
      <c r="CX83" s="40">
        <f t="shared" ref="CX83" si="585">+IF(CT81&lt;0,1-CX81/CT81,CX81/CT81-1)</f>
        <v>0.15117355735954652</v>
      </c>
      <c r="CY83" s="40">
        <f t="shared" ref="CY83" si="586">+IF(CU81&lt;0,1-CY81/CU81,CY81/CU81-1)</f>
        <v>0.14403817514353778</v>
      </c>
      <c r="CZ83" s="40">
        <f t="shared" ref="CZ83" si="587">+IF(CV81&lt;0,1-CZ81/CV81,CZ81/CV81-1)</f>
        <v>0.14098594017312327</v>
      </c>
      <c r="DA83" s="40">
        <f t="shared" ref="DA83" si="588">+IF(CW81&lt;0,1-DA81/CW81,DA81/CW81-1)</f>
        <v>6.7303613188856248E-2</v>
      </c>
      <c r="DB83" s="40">
        <f t="shared" ref="DB83" si="589">+IF(CX81&lt;0,1-DB81/CX81,DB81/CX81-1)</f>
        <v>0.10084059205960294</v>
      </c>
      <c r="DE83" s="122"/>
      <c r="DF83" s="38" t="e">
        <v>#DIV/0!</v>
      </c>
      <c r="DG83" s="38">
        <v>0.23374930303462627</v>
      </c>
    </row>
    <row r="84" spans="1:111" s="38" customFormat="1" x14ac:dyDescent="0.2">
      <c r="A84" s="39" t="s">
        <v>450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40"/>
      <c r="AC84" s="40"/>
      <c r="AD84" s="40"/>
      <c r="AE84" s="40"/>
      <c r="AI84" s="39"/>
      <c r="AJ84" s="39" t="e">
        <f>+IF(AI81&lt;0,1-AJ81/AI81,AJ81/AI81-1)</f>
        <v>#DIV/0!</v>
      </c>
      <c r="AK84" s="39" t="e">
        <f t="shared" ref="AK84:AM84" si="590">+IF(AJ81&lt;0,1-AK81/AJ81,AK81/AJ81-1)</f>
        <v>#DIV/0!</v>
      </c>
      <c r="AL84" s="39" t="e">
        <f t="shared" si="590"/>
        <v>#DIV/0!</v>
      </c>
      <c r="AM84" s="39" t="e">
        <f t="shared" si="590"/>
        <v>#DIV/0!</v>
      </c>
      <c r="AN84" s="39" t="e">
        <f t="shared" ref="AN84" si="591">+IF(AM81&lt;0,1-AN81/AM81,AN81/AM81-1)</f>
        <v>#DIV/0!</v>
      </c>
      <c r="AO84" s="39" t="e">
        <f t="shared" ref="AO84" si="592">+IF(AN81&lt;0,1-AO81/AN81,AO81/AN81-1)</f>
        <v>#DIV/0!</v>
      </c>
      <c r="AP84" s="39" t="e">
        <f t="shared" ref="AP84" si="593">+IF(AO81&lt;0,1-AP81/AO81,AP81/AO81-1)</f>
        <v>#DIV/0!</v>
      </c>
      <c r="AQ84" s="39" t="e">
        <f t="shared" ref="AQ84" si="594">+IF(AP81&lt;0,1-AQ81/AP81,AQ81/AP81-1)</f>
        <v>#DIV/0!</v>
      </c>
      <c r="AR84" s="39" t="e">
        <f t="shared" ref="AR84" si="595">+IF(AQ81&lt;0,1-AR81/AQ81,AR81/AQ81-1)</f>
        <v>#DIV/0!</v>
      </c>
      <c r="AS84" s="39" t="e">
        <f t="shared" ref="AS84" si="596">+IF(AR81&lt;0,1-AS81/AR81,AS81/AR81-1)</f>
        <v>#DIV/0!</v>
      </c>
      <c r="AT84" s="39">
        <f t="shared" ref="AT84" si="597">+IF(AS81&lt;0,1-AT81/AS81,AT81/AS81-1)</f>
        <v>14.253611556982344</v>
      </c>
      <c r="AU84" s="39">
        <f t="shared" ref="AU84" si="598">+IF(AT81&lt;0,1-AU81/AT81,AU81/AT81-1)</f>
        <v>3.6288540460907077</v>
      </c>
      <c r="AV84" s="39">
        <f t="shared" ref="AV84" si="599">+IF(AU81&lt;0,1-AV81/AU81,AV81/AU81-1)</f>
        <v>0.19969082477039191</v>
      </c>
      <c r="AW84" s="39">
        <f t="shared" ref="AW84" si="600">+IF(AV81&lt;0,1-AW81/AV81,AW81/AV81-1)</f>
        <v>-0.10026150231183206</v>
      </c>
      <c r="AX84" s="39">
        <f t="shared" ref="AX84" si="601">+IF(AW81&lt;0,1-AX81/AW81,AX81/AW81-1)</f>
        <v>1.9649965249257662E-2</v>
      </c>
      <c r="AY84" s="39">
        <f t="shared" ref="AY84" si="602">+IF(AX81&lt;0,1-AY81/AX81,AY81/AX81-1)</f>
        <v>0.19459247325153894</v>
      </c>
      <c r="AZ84" s="39">
        <f t="shared" ref="AZ84" si="603">+IF(AY81&lt;0,1-AZ81/AY81,AZ81/AY81-1)</f>
        <v>-0.18201780928503497</v>
      </c>
      <c r="BA84" s="39">
        <f t="shared" ref="BA84" si="604">+IF(AZ81&lt;0,1-BA81/AZ81,BA81/AZ81-1)</f>
        <v>-3.5723344888813902E-3</v>
      </c>
      <c r="BB84" s="39">
        <f t="shared" ref="BB84" si="605">+IF(BA81&lt;0,1-BB81/BA81,BB81/BA81-1)</f>
        <v>-2.3589808863149542E-2</v>
      </c>
      <c r="BC84" s="39">
        <f t="shared" ref="BC84" si="606">+IF(BB81&lt;0,1-BC81/BB81,BC81/BB81-1)</f>
        <v>-1.7337649640428388E-2</v>
      </c>
      <c r="BD84" s="39">
        <f t="shared" ref="BD84" si="607">+IF(BC81&lt;0,1-BD81/BC81,BD81/BC81-1)</f>
        <v>-1.37522386079727E-2</v>
      </c>
      <c r="BE84" s="39">
        <f t="shared" ref="BE84" si="608">+IF(BD81&lt;0,1-BE81/BD81,BE81/BD81-1)</f>
        <v>2.2213778106575197</v>
      </c>
      <c r="BF84" s="39">
        <f t="shared" ref="BF84" si="609">+IF(BE81&lt;0,1-BF81/BE81,BF81/BE81-1)</f>
        <v>-0.65852215788887647</v>
      </c>
      <c r="BG84" s="39">
        <f t="shared" ref="BG84" si="610">+IF(BF81&lt;0,1-BG81/BF81,BG81/BF81-1)</f>
        <v>2.9203774277038352E-2</v>
      </c>
      <c r="BH84" s="39">
        <f t="shared" ref="BH84" si="611">+IF(BG81&lt;0,1-BH81/BG81,BH81/BG81-1)</f>
        <v>0.10274840600372248</v>
      </c>
      <c r="BI84" s="39">
        <f t="shared" ref="BI84" si="612">+IF(BH81&lt;0,1-BI81/BH81,BI81/BH81-1)</f>
        <v>0.60316747768939405</v>
      </c>
      <c r="BJ84" s="39">
        <f t="shared" ref="BJ84" si="613">+IF(BI81&lt;0,1-BJ81/BI81,BJ81/BI81-1)</f>
        <v>-2.4103402701552645E-2</v>
      </c>
      <c r="BK84" s="39">
        <f t="shared" ref="BK84" si="614">+IF(BJ81&lt;0,1-BK81/BJ81,BK81/BJ81-1)</f>
        <v>0.27019396304372756</v>
      </c>
      <c r="BL84" s="39">
        <f t="shared" ref="BL84" si="615">+IF(BK81&lt;0,1-BL81/BK81,BL81/BK81-1)</f>
        <v>-9.3167196761601345E-2</v>
      </c>
      <c r="BM84" s="39">
        <f t="shared" ref="BM84" si="616">+IF(BL81&lt;0,1-BM81/BL81,BM81/BL81-1)</f>
        <v>5.2002271798805566E-2</v>
      </c>
      <c r="BN84" s="39">
        <f t="shared" ref="BN84" si="617">+IF(BM81&lt;0,1-BN81/BM81,BN81/BM81-1)</f>
        <v>3.0242470164804303E-2</v>
      </c>
      <c r="BO84" s="39">
        <f t="shared" ref="BO84" si="618">+IF(BN81&lt;0,1-BO81/BN81,BO81/BN81-1)</f>
        <v>0.28220238478298842</v>
      </c>
      <c r="BP84" s="39">
        <f t="shared" ref="BP84" si="619">+IF(BO81&lt;0,1-BP81/BO81,BP81/BO81-1)</f>
        <v>-0.28599186916088892</v>
      </c>
      <c r="BQ84" s="39">
        <f t="shared" ref="BQ84" si="620">+IF(BP81&lt;0,1-BQ81/BP81,BQ81/BP81-1)</f>
        <v>0.12016227832339177</v>
      </c>
      <c r="BR84" s="39">
        <f t="shared" ref="BR84" si="621">+IF(BQ81&lt;0,1-BR81/BQ81,BR81/BQ81-1)</f>
        <v>-7.9158747803636076E-2</v>
      </c>
      <c r="BS84" s="39">
        <f t="shared" ref="BS84" si="622">+IF(BR81&lt;0,1-BS81/BR81,BS81/BR81-1)</f>
        <v>0.35358943904671047</v>
      </c>
      <c r="BT84" s="39">
        <f t="shared" ref="BT84" si="623">+IF(BS81&lt;0,1-BT81/BS81,BT81/BS81-1)</f>
        <v>-0.16877400422905975</v>
      </c>
      <c r="BU84" s="39">
        <f t="shared" ref="BU84" si="624">+IF(BT81&lt;0,1-BU81/BT81,BU81/BT81-1)</f>
        <v>-3.7465822171462992E-3</v>
      </c>
      <c r="BV84" s="39">
        <f t="shared" ref="BV84" si="625">+IF(BU81&lt;0,1-BV81/BU81,BV81/BU81-1)</f>
        <v>3.4532174154717543E-2</v>
      </c>
      <c r="BW84" s="39">
        <f t="shared" ref="BW84" si="626">+IF(BV81&lt;0,1-BW81/BV81,BW81/BV81-1)</f>
        <v>1.4087226629727612E-2</v>
      </c>
      <c r="BX84" s="39">
        <f t="shared" ref="BX84" si="627">+IF(BW81&lt;0,1-BX81/BW81,BX81/BW81-1)</f>
        <v>2.3743097696058868E-2</v>
      </c>
      <c r="BY84" s="39">
        <f t="shared" ref="BY84" si="628">+IF(BX81&lt;0,1-BY81/BX81,BY81/BX81-1)</f>
        <v>0.24547755557532236</v>
      </c>
      <c r="BZ84" s="39">
        <f t="shared" ref="BZ84" si="629">+IF(BY81&lt;0,1-BZ81/BY81,BZ81/BY81-1)</f>
        <v>1.8381087801996099E-2</v>
      </c>
      <c r="CA84" s="39">
        <f t="shared" ref="CA84" si="630">+IF(BZ81&lt;0,1-CA81/BZ81,CA81/BZ81-1)</f>
        <v>-0.19074518004692442</v>
      </c>
      <c r="CB84" s="39">
        <f t="shared" ref="CB84" si="631">+IF(CA81&lt;0,1-CB81/CA81,CB81/CA81-1)</f>
        <v>6.3688647285905731E-2</v>
      </c>
      <c r="CC84" s="39">
        <f t="shared" ref="CC84" si="632">+IF(CB81&lt;0,1-CC81/CB81,CC81/CB81-1)</f>
        <v>8.9250003703319258E-2</v>
      </c>
      <c r="CD84" s="39">
        <f t="shared" ref="CD84" si="633">+IF(CC81&lt;0,1-CD81/CC81,CD81/CC81-1)</f>
        <v>0.10232279823750279</v>
      </c>
      <c r="CE84" s="39">
        <f t="shared" ref="CE84" si="634">+IF(CD81&lt;0,1-CE81/CD81,CE81/CD81-1)</f>
        <v>1.8234307145676976E-2</v>
      </c>
      <c r="CF84" s="39">
        <f t="shared" ref="CF84" si="635">+IF(CE81&lt;0,1-CF81/CE81,CF81/CE81-1)</f>
        <v>3.9050573097147767E-2</v>
      </c>
      <c r="CG84" s="39">
        <f t="shared" ref="CG84" si="636">+IF(CF81&lt;0,1-CG81/CF81,CG81/CF81-1)</f>
        <v>-3.1717527432163273E-2</v>
      </c>
      <c r="CH84" s="39">
        <f t="shared" ref="CH84:CI84" si="637">+IF(CG81&lt;0,1-CH81/CG81,CH81/CG81-1)</f>
        <v>0.22834399123282445</v>
      </c>
      <c r="CI84" s="39">
        <f t="shared" si="637"/>
        <v>-0.11238945861683602</v>
      </c>
      <c r="CJ84" s="39">
        <f>+IF(CI81&gt;1,CJ81/CI81-1,1-CJ81/CI81)</f>
        <v>7.9930855088391928E-2</v>
      </c>
      <c r="CK84" s="39">
        <f>+IF(CJ81&gt;1,CK81/CJ81-1,1-CK81/CJ81)</f>
        <v>2.0445735443025193E-2</v>
      </c>
      <c r="CL84" s="39">
        <f>+IF(CK81&gt;1,CL81/CK81-1,1-CL81/CK81)</f>
        <v>0.11623233436904901</v>
      </c>
      <c r="CM84" s="40">
        <f t="shared" ref="CM84:DB84" si="638">+IF(CL81&gt;1,CM81/CL81-1,1-CM81/CL81)</f>
        <v>0.11618430414805725</v>
      </c>
      <c r="CN84" s="40">
        <f t="shared" si="638"/>
        <v>3.4433007544086625E-2</v>
      </c>
      <c r="CO84" s="40">
        <f t="shared" si="638"/>
        <v>4.4160243655826159E-2</v>
      </c>
      <c r="CP84" s="40">
        <f t="shared" si="638"/>
        <v>4.7011063816628562E-2</v>
      </c>
      <c r="CQ84" s="40">
        <f t="shared" si="638"/>
        <v>9.1882373134887674E-2</v>
      </c>
      <c r="CR84" s="40">
        <f t="shared" si="638"/>
        <v>1.4361898686467978E-2</v>
      </c>
      <c r="CS84" s="40">
        <f t="shared" si="638"/>
        <v>3.8772975822712219E-2</v>
      </c>
      <c r="CT84" s="40">
        <f t="shared" si="638"/>
        <v>6.4717833869859298E-2</v>
      </c>
      <c r="CU84" s="40">
        <f t="shared" si="638"/>
        <v>2.5096984095015928E-2</v>
      </c>
      <c r="CV84" s="40">
        <f t="shared" si="638"/>
        <v>1.873255641567706E-3</v>
      </c>
      <c r="CW84" s="40">
        <f t="shared" si="638"/>
        <v>0.10519125558964193</v>
      </c>
      <c r="CX84" s="40">
        <f t="shared" si="638"/>
        <v>1.4204716357536507E-2</v>
      </c>
      <c r="CY84" s="40">
        <f t="shared" si="638"/>
        <v>1.8743069219857578E-2</v>
      </c>
      <c r="CZ84" s="40">
        <f t="shared" si="638"/>
        <v>-7.9969064049911776E-4</v>
      </c>
      <c r="DA84" s="40">
        <f t="shared" si="638"/>
        <v>3.38204694937565E-2</v>
      </c>
      <c r="DB84" s="40">
        <f t="shared" si="638"/>
        <v>4.6073213496293786E-2</v>
      </c>
      <c r="DE84" s="122"/>
      <c r="DG84" s="38">
        <v>0.26130060550191248</v>
      </c>
    </row>
    <row r="85" spans="1:111" s="23" customFormat="1" x14ac:dyDescent="0.2">
      <c r="A85" s="23" t="s">
        <v>15</v>
      </c>
      <c r="B85" s="23">
        <f>'Annual Raw'!C27</f>
        <v>0</v>
      </c>
      <c r="C85" s="23">
        <f>'Annual Raw'!D27</f>
        <v>0</v>
      </c>
      <c r="D85" s="23">
        <f>'Annual Raw'!E27</f>
        <v>0</v>
      </c>
      <c r="E85" s="23">
        <f>'Annual Raw'!F27</f>
        <v>0</v>
      </c>
      <c r="F85" s="23">
        <f>'Annual Raw'!G27</f>
        <v>0</v>
      </c>
      <c r="G85" s="23">
        <f>'Annual Raw'!H27</f>
        <v>0</v>
      </c>
      <c r="H85" s="23">
        <f>'Annual Raw'!I27</f>
        <v>0</v>
      </c>
      <c r="I85" s="23">
        <f>'Annual Raw'!J27</f>
        <v>0</v>
      </c>
      <c r="J85" s="23">
        <f>'Annual Raw'!K27</f>
        <v>0</v>
      </c>
      <c r="K85" s="23">
        <f>'Annual Raw'!L27</f>
        <v>0</v>
      </c>
      <c r="L85" s="23">
        <f>'Annual Raw'!M27</f>
        <v>0</v>
      </c>
      <c r="M85" s="23">
        <f>'Annual Raw'!N27</f>
        <v>0</v>
      </c>
      <c r="N85" s="23">
        <f>'Annual Raw'!O27</f>
        <v>0</v>
      </c>
      <c r="O85" s="23">
        <f>'Annual Raw'!P27</f>
        <v>0</v>
      </c>
      <c r="P85" s="23">
        <f>'Annual Raw'!Q27</f>
        <v>37.07</v>
      </c>
      <c r="Q85" s="23">
        <f>'Annual Raw'!R27</f>
        <v>559.65</v>
      </c>
      <c r="R85" s="23">
        <f>'Annual Raw'!S27</f>
        <v>569.25</v>
      </c>
      <c r="S85" s="23">
        <f>'Annual Raw'!T27</f>
        <v>579.41</v>
      </c>
      <c r="T85" s="23">
        <f>'Annual Raw'!U27</f>
        <v>882.15</v>
      </c>
      <c r="U85" s="23">
        <f>'Annual Raw'!V27</f>
        <v>1174.02</v>
      </c>
      <c r="V85" s="23">
        <f>'Annual Raw'!W27</f>
        <v>1328.88</v>
      </c>
      <c r="W85" s="23">
        <f>'Annual Raw'!X27</f>
        <v>1427.15</v>
      </c>
      <c r="X85" s="23">
        <f>'Annual Raw'!Y27</f>
        <v>1607.74</v>
      </c>
      <c r="Y85" s="23">
        <f>'Annual Raw'!Z27</f>
        <v>1776.08</v>
      </c>
      <c r="Z85" s="75">
        <f>'Annual Raw'!AA27</f>
        <v>1905.95</v>
      </c>
      <c r="AA85" s="75">
        <f>'Annual Raw'!AB27</f>
        <v>1978.23</v>
      </c>
      <c r="AB85" s="76">
        <f>+SUM(CM85:CP85)</f>
        <v>2799.3155127095424</v>
      </c>
      <c r="AC85" s="76">
        <f>+SUM(CQ85:CT85)</f>
        <v>3819.712686373417</v>
      </c>
      <c r="AD85" s="76">
        <f>+SUM(CU85:CX85)</f>
        <v>4680.9598217428174</v>
      </c>
      <c r="AE85" s="76">
        <f>+SUM(CY85:DB85)</f>
        <v>5270.8472504327165</v>
      </c>
      <c r="AI85" s="23">
        <f>'QTR Raw'!C28</f>
        <v>0</v>
      </c>
      <c r="AJ85" s="23">
        <f>'QTR Raw'!D28</f>
        <v>0</v>
      </c>
      <c r="AK85" s="23">
        <f>'QTR Raw'!E28</f>
        <v>0</v>
      </c>
      <c r="AL85" s="23">
        <f>'QTR Raw'!F28</f>
        <v>0</v>
      </c>
      <c r="AM85" s="23">
        <f>'QTR Raw'!G28</f>
        <v>0</v>
      </c>
      <c r="AN85" s="23">
        <f>'QTR Raw'!H28</f>
        <v>0</v>
      </c>
      <c r="AO85" s="23">
        <f>'QTR Raw'!I28</f>
        <v>0</v>
      </c>
      <c r="AP85" s="23">
        <f>'QTR Raw'!J28</f>
        <v>0</v>
      </c>
      <c r="AQ85" s="23">
        <f>'QTR Raw'!K28</f>
        <v>0</v>
      </c>
      <c r="AR85" s="23">
        <f>'QTR Raw'!L28</f>
        <v>0</v>
      </c>
      <c r="AS85" s="23">
        <f>'QTR Raw'!M28</f>
        <v>0</v>
      </c>
      <c r="AT85" s="23">
        <f>'QTR Raw'!N28</f>
        <v>37.07</v>
      </c>
      <c r="AU85" s="23">
        <f>'QTR Raw'!O28</f>
        <v>138.57</v>
      </c>
      <c r="AV85" s="23">
        <f>'QTR Raw'!P28</f>
        <v>140.61000000000001</v>
      </c>
      <c r="AW85" s="23">
        <f>'QTR Raw'!Q28</f>
        <v>140.61000000000001</v>
      </c>
      <c r="AX85" s="23">
        <f>'QTR Raw'!R28</f>
        <v>139.86000000000001</v>
      </c>
      <c r="AY85" s="23">
        <f>'QTR Raw'!S28</f>
        <v>139.76</v>
      </c>
      <c r="AZ85" s="23">
        <f>'QTR Raw'!T28</f>
        <v>141.18</v>
      </c>
      <c r="BA85" s="23">
        <f>'QTR Raw'!U28</f>
        <v>145.68</v>
      </c>
      <c r="BB85" s="23">
        <f>'QTR Raw'!V28</f>
        <v>142.63</v>
      </c>
      <c r="BC85" s="23">
        <f>'QTR Raw'!W28</f>
        <v>144.56</v>
      </c>
      <c r="BD85" s="23">
        <f>'QTR Raw'!X28</f>
        <v>145.99</v>
      </c>
      <c r="BE85" s="23">
        <f>'QTR Raw'!Y28</f>
        <v>146.02000000000001</v>
      </c>
      <c r="BF85" s="23">
        <f>'QTR Raw'!Z28</f>
        <v>142.84</v>
      </c>
      <c r="BG85" s="23">
        <f>'QTR Raw'!AA28</f>
        <v>146.06</v>
      </c>
      <c r="BH85" s="23">
        <f>'QTR Raw'!AB28</f>
        <v>192.14</v>
      </c>
      <c r="BI85" s="23">
        <f>'QTR Raw'!AC28</f>
        <v>267.64</v>
      </c>
      <c r="BJ85" s="23">
        <f>'QTR Raw'!AD28</f>
        <v>276.31</v>
      </c>
      <c r="BK85" s="23">
        <f>'QTR Raw'!AE28</f>
        <v>285.25</v>
      </c>
      <c r="BL85" s="23">
        <f>'QTR Raw'!AF28</f>
        <v>291.33</v>
      </c>
      <c r="BM85" s="23">
        <f>'QTR Raw'!AG28</f>
        <v>293.54000000000002</v>
      </c>
      <c r="BN85" s="23">
        <f>'QTR Raw'!AH28</f>
        <v>303.89999999999998</v>
      </c>
      <c r="BO85" s="23">
        <f>'QTR Raw'!AI28</f>
        <v>377.83</v>
      </c>
      <c r="BP85" s="23">
        <f>'QTR Raw'!AJ28</f>
        <v>313.89</v>
      </c>
      <c r="BQ85" s="23">
        <f>'QTR Raw'!AK28</f>
        <v>325.29000000000002</v>
      </c>
      <c r="BR85" s="23">
        <f>'QTR Raw'!AL28</f>
        <v>311.87</v>
      </c>
      <c r="BS85" s="23">
        <f>'QTR Raw'!AM28</f>
        <v>342.12</v>
      </c>
      <c r="BT85" s="23">
        <f>'QTR Raw'!AN28</f>
        <v>352.76</v>
      </c>
      <c r="BU85" s="23">
        <f>'QTR Raw'!AO28</f>
        <v>362.74</v>
      </c>
      <c r="BV85" s="23">
        <f>'QTR Raw'!AP28</f>
        <v>369.53</v>
      </c>
      <c r="BW85" s="23">
        <f>'QTR Raw'!AQ28</f>
        <v>383.98</v>
      </c>
      <c r="BX85" s="23">
        <f>'QTR Raw'!AR28</f>
        <v>397.84</v>
      </c>
      <c r="BY85" s="23">
        <f>'QTR Raw'!AS28</f>
        <v>410.37</v>
      </c>
      <c r="BZ85" s="23">
        <f>'QTR Raw'!AT28</f>
        <v>415.55</v>
      </c>
      <c r="CA85" s="23">
        <f>'QTR Raw'!AU28</f>
        <v>418.88</v>
      </c>
      <c r="CB85" s="23">
        <f>'QTR Raw'!AV28</f>
        <v>432.05</v>
      </c>
      <c r="CC85" s="23">
        <f>'QTR Raw'!AW28</f>
        <v>457.64</v>
      </c>
      <c r="CD85" s="23">
        <f>'QTR Raw'!AX28</f>
        <v>467.51</v>
      </c>
      <c r="CE85" s="23">
        <f>'QTR Raw'!AY28</f>
        <v>497.85</v>
      </c>
      <c r="CF85" s="23">
        <f>'QTR Raw'!AZ28</f>
        <v>484.07</v>
      </c>
      <c r="CG85" s="23">
        <f>'QTR Raw'!BA28</f>
        <v>462.38</v>
      </c>
      <c r="CH85" s="23">
        <f>'QTR Raw'!BB28</f>
        <v>461.65</v>
      </c>
      <c r="CI85" s="23">
        <f>'QTR Raw'!BC28</f>
        <v>464.82</v>
      </c>
      <c r="CJ85" s="23">
        <f>'QTR Raw'!BD28</f>
        <v>509.41</v>
      </c>
      <c r="CK85" s="23">
        <f>'QTR Raw'!BE28</f>
        <v>496.19</v>
      </c>
      <c r="CL85" s="23">
        <f>'QTR Raw'!BF28</f>
        <v>507.81</v>
      </c>
      <c r="CM85" s="24">
        <f t="shared" ref="CM85:DB85" si="639">CM86*CL187</f>
        <v>603.06105068576596</v>
      </c>
      <c r="CN85" s="24">
        <f t="shared" si="639"/>
        <v>668.14774391142544</v>
      </c>
      <c r="CO85" s="24">
        <f t="shared" si="639"/>
        <v>732.36935025752643</v>
      </c>
      <c r="CP85" s="24">
        <f t="shared" si="639"/>
        <v>795.73736785482492</v>
      </c>
      <c r="CQ85" s="24">
        <f t="shared" si="639"/>
        <v>858.26314200895126</v>
      </c>
      <c r="CR85" s="24">
        <f t="shared" si="639"/>
        <v>923.28069266910438</v>
      </c>
      <c r="CS85" s="24">
        <f t="shared" si="639"/>
        <v>987.43407544440072</v>
      </c>
      <c r="CT85" s="24">
        <f t="shared" si="639"/>
        <v>1050.7347762509607</v>
      </c>
      <c r="CU85" s="24">
        <f t="shared" si="639"/>
        <v>1113.194128342127</v>
      </c>
      <c r="CV85" s="24">
        <f t="shared" si="639"/>
        <v>1151.5635362754117</v>
      </c>
      <c r="CW85" s="24">
        <f t="shared" si="639"/>
        <v>1189.4229648298942</v>
      </c>
      <c r="CX85" s="24">
        <f t="shared" si="639"/>
        <v>1226.7791922953843</v>
      </c>
      <c r="CY85" s="24">
        <f t="shared" si="639"/>
        <v>1263.6389068693966</v>
      </c>
      <c r="CZ85" s="24">
        <f t="shared" si="639"/>
        <v>1300.0087078545944</v>
      </c>
      <c r="DA85" s="24">
        <f t="shared" si="639"/>
        <v>1335.8951068403176</v>
      </c>
      <c r="DB85" s="24">
        <f t="shared" si="639"/>
        <v>1371.3045288684084</v>
      </c>
      <c r="DE85" s="123"/>
      <c r="DF85" s="23">
        <v>0</v>
      </c>
      <c r="DG85" s="23">
        <v>955.15474999999992</v>
      </c>
    </row>
    <row r="86" spans="1:111" s="46" customFormat="1" x14ac:dyDescent="0.2">
      <c r="A86" s="46" t="s">
        <v>483</v>
      </c>
      <c r="B86" s="46" t="e">
        <f t="shared" ref="B86:D86" si="640">+B85/B187</f>
        <v>#DIV/0!</v>
      </c>
      <c r="C86" s="46" t="e">
        <f t="shared" si="640"/>
        <v>#DIV/0!</v>
      </c>
      <c r="D86" s="46" t="e">
        <f t="shared" si="640"/>
        <v>#DIV/0!</v>
      </c>
      <c r="E86" s="46" t="e">
        <f t="shared" ref="E86:AE86" si="641">+E85/E187</f>
        <v>#DIV/0!</v>
      </c>
      <c r="F86" s="46" t="e">
        <f t="shared" si="641"/>
        <v>#DIV/0!</v>
      </c>
      <c r="G86" s="46" t="e">
        <f t="shared" si="641"/>
        <v>#DIV/0!</v>
      </c>
      <c r="H86" s="46" t="e">
        <f t="shared" si="641"/>
        <v>#DIV/0!</v>
      </c>
      <c r="I86" s="46" t="e">
        <f t="shared" si="641"/>
        <v>#DIV/0!</v>
      </c>
      <c r="J86" s="46" t="e">
        <f t="shared" si="641"/>
        <v>#DIV/0!</v>
      </c>
      <c r="K86" s="46" t="e">
        <f t="shared" si="641"/>
        <v>#DIV/0!</v>
      </c>
      <c r="L86" s="46" t="e">
        <f t="shared" si="641"/>
        <v>#DIV/0!</v>
      </c>
      <c r="M86" s="46" t="e">
        <f t="shared" si="641"/>
        <v>#DIV/0!</v>
      </c>
      <c r="N86" s="46" t="e">
        <f t="shared" si="641"/>
        <v>#DIV/0!</v>
      </c>
      <c r="O86" s="46" t="e">
        <f t="shared" si="641"/>
        <v>#DIV/0!</v>
      </c>
      <c r="P86" s="46">
        <f t="shared" si="641"/>
        <v>3.6132646874774597E-3</v>
      </c>
      <c r="Q86" s="46">
        <f t="shared" si="641"/>
        <v>5.742055361354987E-2</v>
      </c>
      <c r="R86" s="46">
        <f t="shared" si="641"/>
        <v>5.9714315385995226E-2</v>
      </c>
      <c r="S86" s="46">
        <f t="shared" si="641"/>
        <v>6.4589306496274521E-2</v>
      </c>
      <c r="T86" s="46">
        <f t="shared" si="641"/>
        <v>3.7031113439504722E-2</v>
      </c>
      <c r="U86" s="46">
        <f t="shared" si="641"/>
        <v>4.8249822970552081E-2</v>
      </c>
      <c r="V86" s="46">
        <f t="shared" si="641"/>
        <v>5.0348340438558875E-2</v>
      </c>
      <c r="W86" s="46">
        <f t="shared" si="641"/>
        <v>4.8095134106279414E-2</v>
      </c>
      <c r="X86" s="46">
        <f t="shared" si="641"/>
        <v>5.0168425289849085E-2</v>
      </c>
      <c r="Y86" s="46">
        <f t="shared" si="641"/>
        <v>4.6346889274805625E-2</v>
      </c>
      <c r="Z86" s="46">
        <f>+Z85/Z187</f>
        <v>4.8925133341171143E-2</v>
      </c>
      <c r="AA86" s="46">
        <f>+AA85/AA187</f>
        <v>4.2813595307067423E-2</v>
      </c>
      <c r="AB86" s="110">
        <f t="shared" si="641"/>
        <v>4.3350978681450318E-2</v>
      </c>
      <c r="AC86" s="110">
        <f t="shared" si="641"/>
        <v>4.5606559197108792E-2</v>
      </c>
      <c r="AD86" s="110">
        <f t="shared" si="641"/>
        <v>4.9235623508607843E-2</v>
      </c>
      <c r="AE86" s="110">
        <f t="shared" si="641"/>
        <v>4.9818136453252407E-2</v>
      </c>
      <c r="AI86" s="46" t="e">
        <f t="shared" ref="AI86:BN86" si="642">+AI85/AH187</f>
        <v>#DIV/0!</v>
      </c>
      <c r="AJ86" s="46" t="e">
        <f t="shared" si="642"/>
        <v>#DIV/0!</v>
      </c>
      <c r="AK86" s="46" t="e">
        <f t="shared" si="642"/>
        <v>#DIV/0!</v>
      </c>
      <c r="AL86" s="46" t="e">
        <f t="shared" si="642"/>
        <v>#DIV/0!</v>
      </c>
      <c r="AM86" s="46" t="e">
        <f t="shared" si="642"/>
        <v>#DIV/0!</v>
      </c>
      <c r="AN86" s="46" t="e">
        <f t="shared" si="642"/>
        <v>#DIV/0!</v>
      </c>
      <c r="AO86" s="46" t="e">
        <f t="shared" si="642"/>
        <v>#DIV/0!</v>
      </c>
      <c r="AP86" s="46" t="e">
        <f t="shared" si="642"/>
        <v>#DIV/0!</v>
      </c>
      <c r="AQ86" s="46" t="e">
        <f t="shared" si="642"/>
        <v>#DIV/0!</v>
      </c>
      <c r="AR86" s="46" t="e">
        <f t="shared" si="642"/>
        <v>#DIV/0!</v>
      </c>
      <c r="AS86" s="46" t="e">
        <f t="shared" si="642"/>
        <v>#DIV/0!</v>
      </c>
      <c r="AT86" s="46" t="e">
        <f t="shared" si="642"/>
        <v>#DIV/0!</v>
      </c>
      <c r="AU86" s="46">
        <f t="shared" si="642"/>
        <v>1.3493682596100006E-2</v>
      </c>
      <c r="AV86" s="46">
        <f t="shared" si="642"/>
        <v>1.3692333909487063E-2</v>
      </c>
      <c r="AW86" s="46">
        <f t="shared" si="642"/>
        <v>1.4024312398764833E-2</v>
      </c>
      <c r="AX86" s="46">
        <f t="shared" si="642"/>
        <v>1.3949508086844815E-2</v>
      </c>
      <c r="AY86" s="46">
        <f t="shared" si="642"/>
        <v>1.3892064148415274E-2</v>
      </c>
      <c r="AZ86" s="46">
        <f t="shared" si="642"/>
        <v>1.4033211337101234E-2</v>
      </c>
      <c r="BA86" s="46">
        <f t="shared" si="642"/>
        <v>1.5380229943305991E-2</v>
      </c>
      <c r="BB86" s="46">
        <f t="shared" si="642"/>
        <v>1.5058224854569834E-2</v>
      </c>
      <c r="BC86" s="46">
        <f t="shared" si="642"/>
        <v>1.516434155854101E-2</v>
      </c>
      <c r="BD86" s="46">
        <f t="shared" si="642"/>
        <v>1.5314348534389888E-2</v>
      </c>
      <c r="BE86" s="46">
        <f t="shared" si="642"/>
        <v>1.5778184784781542E-2</v>
      </c>
      <c r="BF86" s="46">
        <f t="shared" si="642"/>
        <v>1.5434570022313351E-2</v>
      </c>
      <c r="BG86" s="46">
        <f t="shared" si="642"/>
        <v>1.6281931804500886E-2</v>
      </c>
      <c r="BH86" s="46">
        <f t="shared" si="642"/>
        <v>2.1418666143480758E-2</v>
      </c>
      <c r="BI86" s="46">
        <f t="shared" si="642"/>
        <v>1.0745107611666574E-2</v>
      </c>
      <c r="BJ86" s="46">
        <f t="shared" si="642"/>
        <v>1.1093187431548315E-2</v>
      </c>
      <c r="BK86" s="46">
        <f t="shared" si="642"/>
        <v>1.1974295877819783E-2</v>
      </c>
      <c r="BL86" s="46">
        <f t="shared" si="642"/>
        <v>1.222952363921205E-2</v>
      </c>
      <c r="BM86" s="46">
        <f t="shared" si="642"/>
        <v>1.2417336554491567E-2</v>
      </c>
      <c r="BN86" s="46">
        <f t="shared" si="642"/>
        <v>1.2855585538291159E-2</v>
      </c>
      <c r="BO86" s="46">
        <f t="shared" ref="BO86:CL86" si="643">+BO85/BN187</f>
        <v>1.5678992109254559E-2</v>
      </c>
      <c r="BP86" s="46">
        <f t="shared" si="643"/>
        <v>1.3025643366524399E-2</v>
      </c>
      <c r="BQ86" s="46">
        <f t="shared" si="643"/>
        <v>1.3729939447966025E-2</v>
      </c>
      <c r="BR86" s="46">
        <f t="shared" si="643"/>
        <v>1.3163503998392707E-2</v>
      </c>
      <c r="BS86" s="46">
        <f t="shared" si="643"/>
        <v>1.3062512361125853E-2</v>
      </c>
      <c r="BT86" s="46">
        <f t="shared" si="643"/>
        <v>1.346875909187056E-2</v>
      </c>
      <c r="BU86" s="46">
        <f t="shared" si="643"/>
        <v>1.3062937183815989E-2</v>
      </c>
      <c r="BV86" s="46">
        <f t="shared" si="643"/>
        <v>1.3307457621259089E-2</v>
      </c>
      <c r="BW86" s="46">
        <f t="shared" si="643"/>
        <v>1.32404705025572E-2</v>
      </c>
      <c r="BX86" s="46">
        <f t="shared" si="643"/>
        <v>1.3718393626588249E-2</v>
      </c>
      <c r="BY86" s="46">
        <f t="shared" si="643"/>
        <v>1.366210907914182E-2</v>
      </c>
      <c r="BZ86" s="46">
        <f t="shared" si="643"/>
        <v>1.3834562535851509E-2</v>
      </c>
      <c r="CA86" s="46">
        <f t="shared" si="643"/>
        <v>1.3342409195457948E-2</v>
      </c>
      <c r="CB86" s="46">
        <f t="shared" si="643"/>
        <v>1.3761907689308649E-2</v>
      </c>
      <c r="CC86" s="46">
        <f t="shared" si="643"/>
        <v>1.3062657025045797E-2</v>
      </c>
      <c r="CD86" s="46">
        <f t="shared" si="643"/>
        <v>1.3344381578924834E-2</v>
      </c>
      <c r="CE86" s="46">
        <f t="shared" si="643"/>
        <v>1.3262440480852379E-2</v>
      </c>
      <c r="CF86" s="46">
        <f t="shared" si="643"/>
        <v>1.2895349128384474E-2</v>
      </c>
      <c r="CG86" s="46">
        <f t="shared" si="643"/>
        <v>1.255877674830949E-2</v>
      </c>
      <c r="CH86" s="46">
        <f t="shared" si="643"/>
        <v>1.2538949102160725E-2</v>
      </c>
      <c r="CI86" s="46">
        <f t="shared" si="643"/>
        <v>1.1931782302601416E-2</v>
      </c>
      <c r="CJ86" s="46">
        <f t="shared" si="643"/>
        <v>1.3234302305643512E-2</v>
      </c>
      <c r="CK86" s="46">
        <f t="shared" si="643"/>
        <v>1.3022546098170246E-2</v>
      </c>
      <c r="CL86" s="46">
        <f t="shared" si="643"/>
        <v>1.3291301749794995E-2</v>
      </c>
      <c r="CM86" s="47">
        <f>+CL86</f>
        <v>1.3291301749794995E-2</v>
      </c>
      <c r="CN86" s="47">
        <f t="shared" ref="CN86:DB86" si="644">+CM86</f>
        <v>1.3291301749794995E-2</v>
      </c>
      <c r="CO86" s="47">
        <f t="shared" si="644"/>
        <v>1.3291301749794995E-2</v>
      </c>
      <c r="CP86" s="47">
        <f t="shared" si="644"/>
        <v>1.3291301749794995E-2</v>
      </c>
      <c r="CQ86" s="47">
        <f t="shared" si="644"/>
        <v>1.3291301749794995E-2</v>
      </c>
      <c r="CR86" s="47">
        <f t="shared" si="644"/>
        <v>1.3291301749794995E-2</v>
      </c>
      <c r="CS86" s="47">
        <f t="shared" si="644"/>
        <v>1.3291301749794995E-2</v>
      </c>
      <c r="CT86" s="47">
        <f t="shared" si="644"/>
        <v>1.3291301749794995E-2</v>
      </c>
      <c r="CU86" s="47">
        <f t="shared" si="644"/>
        <v>1.3291301749794995E-2</v>
      </c>
      <c r="CV86" s="47">
        <f t="shared" si="644"/>
        <v>1.3291301749794995E-2</v>
      </c>
      <c r="CW86" s="47">
        <f t="shared" si="644"/>
        <v>1.3291301749794995E-2</v>
      </c>
      <c r="CX86" s="47">
        <f t="shared" si="644"/>
        <v>1.3291301749794995E-2</v>
      </c>
      <c r="CY86" s="47">
        <f t="shared" si="644"/>
        <v>1.3291301749794995E-2</v>
      </c>
      <c r="CZ86" s="47">
        <f t="shared" si="644"/>
        <v>1.3291301749794995E-2</v>
      </c>
      <c r="DA86" s="47">
        <f t="shared" si="644"/>
        <v>1.3291301749794995E-2</v>
      </c>
      <c r="DB86" s="47">
        <f t="shared" si="644"/>
        <v>1.3291301749794995E-2</v>
      </c>
      <c r="DE86" s="130"/>
      <c r="DF86" s="46" t="e">
        <v>#DIV/0!</v>
      </c>
      <c r="DG86" s="46">
        <v>2.5000000000000001E-2</v>
      </c>
    </row>
    <row r="87" spans="1:111" s="26" customFormat="1" x14ac:dyDescent="0.2">
      <c r="A87" s="34" t="s">
        <v>16</v>
      </c>
      <c r="B87" s="26">
        <f>B81-B85</f>
        <v>0</v>
      </c>
      <c r="C87" s="26">
        <f t="shared" ref="C87:T87" si="645">C81-C85</f>
        <v>0</v>
      </c>
      <c r="D87" s="26">
        <f>D81-D85</f>
        <v>0</v>
      </c>
      <c r="E87" s="26">
        <f t="shared" si="645"/>
        <v>0</v>
      </c>
      <c r="F87" s="26">
        <f t="shared" si="645"/>
        <v>0</v>
      </c>
      <c r="G87" s="26">
        <f t="shared" si="645"/>
        <v>0</v>
      </c>
      <c r="H87" s="26">
        <f t="shared" si="645"/>
        <v>0</v>
      </c>
      <c r="I87" s="26">
        <f t="shared" si="645"/>
        <v>0</v>
      </c>
      <c r="J87" s="26">
        <f t="shared" si="645"/>
        <v>0</v>
      </c>
      <c r="K87" s="26">
        <f t="shared" si="645"/>
        <v>0</v>
      </c>
      <c r="L87" s="26">
        <f t="shared" si="645"/>
        <v>0</v>
      </c>
      <c r="M87" s="26">
        <f t="shared" si="645"/>
        <v>0</v>
      </c>
      <c r="N87" s="26">
        <f t="shared" si="645"/>
        <v>0</v>
      </c>
      <c r="O87" s="26">
        <f t="shared" si="645"/>
        <v>-2.7028999999999998E-3</v>
      </c>
      <c r="P87" s="26">
        <f t="shared" si="645"/>
        <v>64.19</v>
      </c>
      <c r="Q87" s="26">
        <f t="shared" si="645"/>
        <v>1366.8900000000003</v>
      </c>
      <c r="R87" s="26">
        <f t="shared" si="645"/>
        <v>1413.8400000000001</v>
      </c>
      <c r="S87" s="26">
        <f t="shared" si="645"/>
        <v>2246.6000000000004</v>
      </c>
      <c r="T87" s="26">
        <f t="shared" si="645"/>
        <v>1880.0799999999995</v>
      </c>
      <c r="U87" s="26">
        <f t="shared" ref="U87:Y87" si="646">U81-U85</f>
        <v>3079.8399999999997</v>
      </c>
      <c r="V87" s="26">
        <f t="shared" si="646"/>
        <v>2621.4800000000005</v>
      </c>
      <c r="W87" s="26">
        <f t="shared" si="646"/>
        <v>2779.02</v>
      </c>
      <c r="X87" s="26">
        <f t="shared" si="646"/>
        <v>2909.869999999999</v>
      </c>
      <c r="Y87" s="26">
        <f t="shared" si="646"/>
        <v>3935.1200000000008</v>
      </c>
      <c r="Z87" s="26">
        <f>Z81-Z85</f>
        <v>5160.5700000000006</v>
      </c>
      <c r="AA87" s="26">
        <f>AA81-AA85</f>
        <v>6010.6100000000006</v>
      </c>
      <c r="AB87" s="27">
        <f t="shared" ref="AB87:AD87" si="647">AB81-AB85</f>
        <v>7755.3135660731523</v>
      </c>
      <c r="AC87" s="27">
        <f t="shared" si="647"/>
        <v>9042.7676478701705</v>
      </c>
      <c r="AD87" s="27">
        <f t="shared" si="647"/>
        <v>10260.348897052463</v>
      </c>
      <c r="AE87" s="27">
        <f t="shared" ref="AE87" si="648">AE81-AE85</f>
        <v>11340.555016606637</v>
      </c>
      <c r="AI87" s="26">
        <f t="shared" ref="AI87" si="649">AI81-AI85</f>
        <v>0</v>
      </c>
      <c r="AJ87" s="26">
        <f t="shared" ref="AJ87" si="650">AJ81-AJ85</f>
        <v>0</v>
      </c>
      <c r="AK87" s="26">
        <f t="shared" ref="AK87:AM87" si="651">AK81-AK85</f>
        <v>0</v>
      </c>
      <c r="AL87" s="26">
        <f t="shared" si="651"/>
        <v>0</v>
      </c>
      <c r="AM87" s="26">
        <f t="shared" si="651"/>
        <v>0</v>
      </c>
      <c r="AN87" s="26">
        <f t="shared" ref="AN87:AO87" si="652">AN81-AN85</f>
        <v>0</v>
      </c>
      <c r="AO87" s="26">
        <f t="shared" si="652"/>
        <v>0</v>
      </c>
      <c r="AP87" s="26">
        <f t="shared" ref="AP87:CD87" si="653">AP81-AP85</f>
        <v>0</v>
      </c>
      <c r="AQ87" s="26">
        <f t="shared" si="653"/>
        <v>0</v>
      </c>
      <c r="AR87" s="26">
        <f t="shared" si="653"/>
        <v>0</v>
      </c>
      <c r="AS87" s="26">
        <f t="shared" si="653"/>
        <v>6.2299999999999995</v>
      </c>
      <c r="AT87" s="26">
        <f t="shared" si="653"/>
        <v>57.96</v>
      </c>
      <c r="AU87" s="26">
        <f t="shared" si="653"/>
        <v>301.31</v>
      </c>
      <c r="AV87" s="26">
        <f t="shared" si="653"/>
        <v>387.11</v>
      </c>
      <c r="AW87" s="26">
        <f t="shared" si="653"/>
        <v>334.2</v>
      </c>
      <c r="AX87" s="26">
        <f t="shared" si="653"/>
        <v>344.28</v>
      </c>
      <c r="AY87" s="26">
        <f t="shared" si="653"/>
        <v>438.59000000000003</v>
      </c>
      <c r="AZ87" s="26">
        <f t="shared" si="653"/>
        <v>331.90000000000003</v>
      </c>
      <c r="BA87" s="26">
        <f t="shared" si="653"/>
        <v>325.71000000000004</v>
      </c>
      <c r="BB87" s="26">
        <f t="shared" si="653"/>
        <v>317.64</v>
      </c>
      <c r="BC87" s="26">
        <f t="shared" si="653"/>
        <v>307.73</v>
      </c>
      <c r="BD87" s="26">
        <f t="shared" si="653"/>
        <v>300.08000000000004</v>
      </c>
      <c r="BE87" s="26">
        <f t="shared" si="653"/>
        <v>1290.94</v>
      </c>
      <c r="BF87" s="26">
        <f t="shared" si="653"/>
        <v>347.85</v>
      </c>
      <c r="BG87" s="26">
        <f t="shared" si="653"/>
        <v>358.96</v>
      </c>
      <c r="BH87" s="26">
        <f t="shared" si="653"/>
        <v>364.76999999999987</v>
      </c>
      <c r="BI87" s="26">
        <f t="shared" si="653"/>
        <v>625.18000000000018</v>
      </c>
      <c r="BJ87" s="26">
        <f t="shared" si="653"/>
        <v>594.99</v>
      </c>
      <c r="BK87" s="26">
        <f t="shared" si="653"/>
        <v>821.4699999999998</v>
      </c>
      <c r="BL87" s="26">
        <f t="shared" si="653"/>
        <v>712.28000000000043</v>
      </c>
      <c r="BM87" s="26">
        <f t="shared" si="653"/>
        <v>762.25999999999976</v>
      </c>
      <c r="BN87" s="26">
        <f t="shared" si="653"/>
        <v>783.83</v>
      </c>
      <c r="BO87" s="26">
        <f t="shared" si="653"/>
        <v>1016.8600000000001</v>
      </c>
      <c r="BP87" s="26">
        <f t="shared" si="653"/>
        <v>681.93</v>
      </c>
      <c r="BQ87" s="26">
        <f t="shared" si="653"/>
        <v>790.19</v>
      </c>
      <c r="BR87" s="26">
        <f t="shared" si="653"/>
        <v>715.31000000000006</v>
      </c>
      <c r="BS87" s="26">
        <f t="shared" si="653"/>
        <v>1048.2600000000002</v>
      </c>
      <c r="BT87" s="26">
        <f t="shared" si="653"/>
        <v>802.96</v>
      </c>
      <c r="BU87" s="26">
        <f t="shared" si="653"/>
        <v>788.64999999999964</v>
      </c>
      <c r="BV87" s="26">
        <f t="shared" si="653"/>
        <v>821.61999999999989</v>
      </c>
      <c r="BW87" s="26">
        <f t="shared" si="653"/>
        <v>823.94999999999982</v>
      </c>
      <c r="BX87" s="26">
        <f t="shared" si="653"/>
        <v>838.77000000000021</v>
      </c>
      <c r="BY87" s="26">
        <f t="shared" si="653"/>
        <v>1129.7999999999997</v>
      </c>
      <c r="BZ87" s="26">
        <f t="shared" si="653"/>
        <v>1152.9299999999998</v>
      </c>
      <c r="CA87" s="26">
        <f t="shared" si="653"/>
        <v>850.41999999999973</v>
      </c>
      <c r="CB87" s="26">
        <f t="shared" si="653"/>
        <v>918.08999999999992</v>
      </c>
      <c r="CC87" s="26">
        <f t="shared" si="653"/>
        <v>1012.9999999999994</v>
      </c>
      <c r="CD87" s="26">
        <f t="shared" si="653"/>
        <v>1153.6100000000004</v>
      </c>
      <c r="CE87" s="26">
        <f t="shared" ref="CE87:CF87" si="654">CE81-CE85</f>
        <v>1152.8300000000004</v>
      </c>
      <c r="CF87" s="26">
        <f t="shared" si="654"/>
        <v>1231.0700000000004</v>
      </c>
      <c r="CG87" s="26">
        <f t="shared" ref="CG87:CH87" si="655">CG81-CG85</f>
        <v>1198.3599999999997</v>
      </c>
      <c r="CH87" s="26">
        <f t="shared" si="655"/>
        <v>1578.3100000000004</v>
      </c>
      <c r="CI87" s="26">
        <f t="shared" ref="CI87:CJ87" si="656">CI81-CI85</f>
        <v>1345.8699999999997</v>
      </c>
      <c r="CJ87" s="26">
        <f t="shared" si="656"/>
        <v>1446.01</v>
      </c>
      <c r="CK87" s="26">
        <f t="shared" ref="CK87" si="657">CK81-CK85</f>
        <v>1499.2100000000005</v>
      </c>
      <c r="CL87" s="26">
        <f t="shared" ref="CL87" si="658">CL81-CL85</f>
        <v>1719.5200000000009</v>
      </c>
      <c r="CM87" s="27">
        <f t="shared" ref="CM87:DB87" si="659">CM81-CM85</f>
        <v>1883.049735472327</v>
      </c>
      <c r="CN87" s="27">
        <f t="shared" si="659"/>
        <v>1903.5673137018844</v>
      </c>
      <c r="CO87" s="27">
        <f t="shared" si="659"/>
        <v>1952.9132709133441</v>
      </c>
      <c r="CP87" s="27">
        <f t="shared" si="659"/>
        <v>2015.7832459855933</v>
      </c>
      <c r="CQ87" s="27">
        <f t="shared" si="659"/>
        <v>2211.5866579487811</v>
      </c>
      <c r="CR87" s="27">
        <f t="shared" si="659"/>
        <v>2190.6579790982942</v>
      </c>
      <c r="CS87" s="27">
        <f t="shared" si="659"/>
        <v>2247.2412651568443</v>
      </c>
      <c r="CT87" s="27">
        <f t="shared" si="659"/>
        <v>2393.281745666246</v>
      </c>
      <c r="CU87" s="27">
        <f t="shared" si="659"/>
        <v>2417.2568214486078</v>
      </c>
      <c r="CV87" s="27">
        <f t="shared" si="659"/>
        <v>2385.5008506742961</v>
      </c>
      <c r="CW87" s="27">
        <f t="shared" si="659"/>
        <v>2719.7096660844609</v>
      </c>
      <c r="CX87" s="27">
        <f t="shared" si="659"/>
        <v>2737.8815588450993</v>
      </c>
      <c r="CY87" s="27">
        <f t="shared" si="659"/>
        <v>2775.3317551629657</v>
      </c>
      <c r="CZ87" s="27">
        <f t="shared" si="659"/>
        <v>2735.7320271420899</v>
      </c>
      <c r="DA87" s="27">
        <f t="shared" si="659"/>
        <v>2836.3362745690329</v>
      </c>
      <c r="DB87" s="27">
        <f t="shared" si="659"/>
        <v>2993.1549597325516</v>
      </c>
      <c r="DE87" s="121"/>
      <c r="DF87" s="26">
        <v>0</v>
      </c>
      <c r="DG87" s="26">
        <v>1561.644478218517</v>
      </c>
    </row>
    <row r="88" spans="1:111" s="23" customFormat="1" x14ac:dyDescent="0.2">
      <c r="A88" s="23" t="s">
        <v>17</v>
      </c>
      <c r="B88" s="23">
        <f>'Annual Raw'!C23</f>
        <v>0</v>
      </c>
      <c r="C88" s="23">
        <f>'Annual Raw'!D23</f>
        <v>0</v>
      </c>
      <c r="D88" s="23">
        <f>'Annual Raw'!E23</f>
        <v>0</v>
      </c>
      <c r="E88" s="23">
        <f>'Annual Raw'!F23</f>
        <v>0</v>
      </c>
      <c r="F88" s="23">
        <f>'Annual Raw'!G23</f>
        <v>0</v>
      </c>
      <c r="G88" s="23">
        <f>'Annual Raw'!H23</f>
        <v>0</v>
      </c>
      <c r="H88" s="23">
        <f>'Annual Raw'!I23</f>
        <v>0</v>
      </c>
      <c r="I88" s="23">
        <f>'Annual Raw'!J23</f>
        <v>0</v>
      </c>
      <c r="J88" s="23">
        <f>'Annual Raw'!K23</f>
        <v>0</v>
      </c>
      <c r="K88" s="23">
        <f>'Annual Raw'!L23</f>
        <v>0</v>
      </c>
      <c r="L88" s="23">
        <f>'Annual Raw'!M23</f>
        <v>0</v>
      </c>
      <c r="M88" s="23">
        <f>'Annual Raw'!N23</f>
        <v>0</v>
      </c>
      <c r="N88" s="23">
        <f>'Annual Raw'!O23</f>
        <v>0</v>
      </c>
      <c r="O88" s="23">
        <f>'Annual Raw'!P23</f>
        <v>0</v>
      </c>
      <c r="P88" s="23">
        <f>'Annual Raw'!Q23</f>
        <v>3.29</v>
      </c>
      <c r="Q88" s="23">
        <f>'Annual Raw'!R23</f>
        <v>70.38</v>
      </c>
      <c r="R88" s="23">
        <f>'Annual Raw'!S23</f>
        <v>22.1</v>
      </c>
      <c r="S88" s="23">
        <f>'Annual Raw'!T23</f>
        <v>110.71</v>
      </c>
      <c r="T88" s="23">
        <f>'Annual Raw'!U23</f>
        <v>351.19</v>
      </c>
      <c r="U88" s="23">
        <f>'Annual Raw'!V23</f>
        <v>322.3</v>
      </c>
      <c r="V88" s="23">
        <f>'Annual Raw'!W23</f>
        <v>1115.4100000000001</v>
      </c>
      <c r="W88" s="23">
        <f>'Annual Raw'!X23</f>
        <v>1286.42</v>
      </c>
      <c r="X88" s="23">
        <f>'Annual Raw'!Y23</f>
        <v>1583.32</v>
      </c>
      <c r="Y88" s="23">
        <f>'Annual Raw'!Z23</f>
        <v>610.95000000000005</v>
      </c>
      <c r="Z88" s="75">
        <f>'Annual Raw'!AA23</f>
        <v>679.46</v>
      </c>
      <c r="AA88" s="75">
        <f>'Annual Raw'!AB23</f>
        <v>737.13</v>
      </c>
      <c r="AB88" s="76">
        <f t="shared" ref="AB88:AB89" si="660">+SUM(CM88:CP88)</f>
        <v>0</v>
      </c>
      <c r="AC88" s="76">
        <f t="shared" ref="AC88:AC89" si="661">+SUM(CQ88:CT88)</f>
        <v>0</v>
      </c>
      <c r="AD88" s="76">
        <f t="shared" ref="AD88:AD89" si="662">+SUM(CU88:CX88)</f>
        <v>0</v>
      </c>
      <c r="AE88" s="76">
        <f t="shared" ref="AE88:AE89" si="663">+SUM(CY88:DB88)</f>
        <v>0</v>
      </c>
      <c r="AI88" s="23">
        <f>'QTR Raw'!C23</f>
        <v>0</v>
      </c>
      <c r="AJ88" s="23">
        <f>'QTR Raw'!D23</f>
        <v>0</v>
      </c>
      <c r="AK88" s="23">
        <f>'QTR Raw'!E23</f>
        <v>0</v>
      </c>
      <c r="AL88" s="23">
        <f>'QTR Raw'!F23</f>
        <v>0</v>
      </c>
      <c r="AM88" s="23">
        <f>'QTR Raw'!G23</f>
        <v>0</v>
      </c>
      <c r="AN88" s="23">
        <f>'QTR Raw'!H23</f>
        <v>0</v>
      </c>
      <c r="AO88" s="23">
        <f>'QTR Raw'!I23</f>
        <v>0</v>
      </c>
      <c r="AP88" s="23">
        <f>'QTR Raw'!J23</f>
        <v>0</v>
      </c>
      <c r="AQ88" s="23">
        <f>'QTR Raw'!K23</f>
        <v>0</v>
      </c>
      <c r="AR88" s="23">
        <f>'QTR Raw'!L23</f>
        <v>0</v>
      </c>
      <c r="AS88" s="23">
        <f>'QTR Raw'!M23</f>
        <v>0</v>
      </c>
      <c r="AT88" s="23">
        <f>'QTR Raw'!N23</f>
        <v>3.29</v>
      </c>
      <c r="AU88" s="23">
        <f>'QTR Raw'!O23</f>
        <v>1.3</v>
      </c>
      <c r="AV88" s="23">
        <f>'QTR Raw'!P23</f>
        <v>57.07</v>
      </c>
      <c r="AW88" s="23">
        <f>'QTR Raw'!Q23</f>
        <v>2.78</v>
      </c>
      <c r="AX88" s="23">
        <f>'QTR Raw'!R23</f>
        <v>9.23</v>
      </c>
      <c r="AY88" s="23">
        <f>'QTR Raw'!S23</f>
        <v>5.3</v>
      </c>
      <c r="AZ88" s="23">
        <f>'QTR Raw'!T23</f>
        <v>5.74</v>
      </c>
      <c r="BA88" s="23">
        <f>'QTR Raw'!U23</f>
        <v>5.21</v>
      </c>
      <c r="BB88" s="23">
        <f>'QTR Raw'!V23</f>
        <v>5.85</v>
      </c>
      <c r="BC88" s="23">
        <f>'QTR Raw'!W23</f>
        <v>10.26</v>
      </c>
      <c r="BD88" s="23">
        <f>'QTR Raw'!X23</f>
        <v>6.83</v>
      </c>
      <c r="BE88" s="23">
        <f>'QTR Raw'!Y23</f>
        <v>25.52</v>
      </c>
      <c r="BF88" s="23">
        <f>'QTR Raw'!Z23</f>
        <v>68.099999999999994</v>
      </c>
      <c r="BG88" s="23">
        <f>'QTR Raw'!AA23</f>
        <v>74.28</v>
      </c>
      <c r="BH88" s="23">
        <f>'QTR Raw'!AB23</f>
        <v>66.42</v>
      </c>
      <c r="BI88" s="23">
        <f>'QTR Raw'!AC23</f>
        <v>91.05</v>
      </c>
      <c r="BJ88" s="23">
        <f>'QTR Raw'!AD23</f>
        <v>55.62</v>
      </c>
      <c r="BK88" s="23">
        <f>'QTR Raw'!AE23</f>
        <v>31.66</v>
      </c>
      <c r="BL88" s="23">
        <f>'QTR Raw'!AF23</f>
        <v>44.92</v>
      </c>
      <c r="BM88" s="23">
        <f>'QTR Raw'!AG23</f>
        <v>58.2</v>
      </c>
      <c r="BN88" s="23">
        <f>'QTR Raw'!AH23</f>
        <v>130.55000000000001</v>
      </c>
      <c r="BO88" s="23">
        <f>'QTR Raw'!AI23</f>
        <v>96.33</v>
      </c>
      <c r="BP88" s="23">
        <f>'QTR Raw'!AJ23</f>
        <v>150.26</v>
      </c>
      <c r="BQ88" s="23">
        <f>'QTR Raw'!AK23</f>
        <v>137.02000000000001</v>
      </c>
      <c r="BR88" s="23">
        <f>'QTR Raw'!AL23</f>
        <v>148.99</v>
      </c>
      <c r="BS88" s="23">
        <f>'QTR Raw'!AM23</f>
        <v>106.07</v>
      </c>
      <c r="BT88" s="23">
        <f>'QTR Raw'!AN23</f>
        <v>133.76</v>
      </c>
      <c r="BU88" s="23">
        <f>'QTR Raw'!AO23</f>
        <v>173.5</v>
      </c>
      <c r="BV88" s="23">
        <f>'QTR Raw'!AP23</f>
        <v>190.62</v>
      </c>
      <c r="BW88" s="23">
        <f>'QTR Raw'!AQ23</f>
        <v>117.86</v>
      </c>
      <c r="BX88" s="23">
        <f>'QTR Raw'!AR23</f>
        <v>125.09</v>
      </c>
      <c r="BY88" s="23">
        <f>'QTR Raw'!AS23</f>
        <v>167.61</v>
      </c>
      <c r="BZ88" s="23">
        <f>'QTR Raw'!AT23</f>
        <v>137.18</v>
      </c>
      <c r="CA88" s="23">
        <f>'QTR Raw'!AU23</f>
        <v>108.34</v>
      </c>
      <c r="CB88" s="23">
        <f>'QTR Raw'!AV23</f>
        <v>92.59</v>
      </c>
      <c r="CC88" s="23">
        <f>'QTR Raw'!AW23</f>
        <v>261.69</v>
      </c>
      <c r="CD88" s="23">
        <f>'QTR Raw'!AX23</f>
        <v>148.33000000000001</v>
      </c>
      <c r="CE88" s="23">
        <f>'QTR Raw'!AY23</f>
        <v>111.42</v>
      </c>
      <c r="CF88" s="23">
        <f>'QTR Raw'!AZ23</f>
        <v>176.1</v>
      </c>
      <c r="CG88" s="23">
        <f>'QTR Raw'!BA23</f>
        <v>170.13</v>
      </c>
      <c r="CH88" s="23">
        <f>'QTR Raw'!BB23</f>
        <v>221.81</v>
      </c>
      <c r="CI88" s="23">
        <f>'QTR Raw'!BC23</f>
        <v>206.21</v>
      </c>
      <c r="CJ88" s="23">
        <f>'QTR Raw'!BD23</f>
        <v>171.32</v>
      </c>
      <c r="CK88" s="23">
        <f>'QTR Raw'!BE23</f>
        <v>214.79</v>
      </c>
      <c r="CL88" s="23">
        <f>'QTR Raw'!BF23</f>
        <v>144.81</v>
      </c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E88" s="123"/>
      <c r="DF88" s="23">
        <v>0</v>
      </c>
    </row>
    <row r="89" spans="1:111" s="23" customFormat="1" x14ac:dyDescent="0.2">
      <c r="A89" s="23" t="s">
        <v>18</v>
      </c>
      <c r="B89" s="23">
        <f>'Annual Raw'!C25</f>
        <v>0</v>
      </c>
      <c r="C89" s="23">
        <f>'Annual Raw'!D25</f>
        <v>0</v>
      </c>
      <c r="D89" s="23">
        <f>'Annual Raw'!E25</f>
        <v>0</v>
      </c>
      <c r="E89" s="23">
        <f>'Annual Raw'!F25</f>
        <v>0</v>
      </c>
      <c r="F89" s="23">
        <f>'Annual Raw'!G25</f>
        <v>0</v>
      </c>
      <c r="G89" s="23">
        <f>'Annual Raw'!H25</f>
        <v>0</v>
      </c>
      <c r="H89" s="23">
        <f>'Annual Raw'!I25</f>
        <v>0</v>
      </c>
      <c r="I89" s="23">
        <f>'Annual Raw'!J25</f>
        <v>0</v>
      </c>
      <c r="J89" s="23">
        <f>'Annual Raw'!K25</f>
        <v>0</v>
      </c>
      <c r="K89" s="23">
        <f>'Annual Raw'!L25</f>
        <v>0</v>
      </c>
      <c r="L89" s="23">
        <f>'Annual Raw'!M25</f>
        <v>0</v>
      </c>
      <c r="M89" s="23">
        <f>'Annual Raw'!N25</f>
        <v>0</v>
      </c>
      <c r="N89" s="23">
        <f>'Annual Raw'!O25</f>
        <v>0</v>
      </c>
      <c r="O89" s="23">
        <f>'Annual Raw'!P25</f>
        <v>0</v>
      </c>
      <c r="P89" s="23">
        <f>'Annual Raw'!Q25</f>
        <v>72.53</v>
      </c>
      <c r="Q89" s="23">
        <f>'Annual Raw'!R25</f>
        <v>957.29</v>
      </c>
      <c r="R89" s="23">
        <f>'Annual Raw'!S25</f>
        <v>904.01</v>
      </c>
      <c r="S89" s="23">
        <f>'Annual Raw'!T25</f>
        <v>885.63</v>
      </c>
      <c r="T89" s="23">
        <f>'Annual Raw'!U25</f>
        <v>1391.03</v>
      </c>
      <c r="U89" s="23">
        <f>'Annual Raw'!V25</f>
        <v>2295.46</v>
      </c>
      <c r="V89" s="23">
        <f>'Annual Raw'!W25</f>
        <v>2116.9899999999998</v>
      </c>
      <c r="W89" s="23">
        <f>'Annual Raw'!X25</f>
        <v>2364.9499999999998</v>
      </c>
      <c r="X89" s="23">
        <f>'Annual Raw'!Y25</f>
        <v>2781.47</v>
      </c>
      <c r="Y89" s="23">
        <f>'Annual Raw'!Z25</f>
        <v>2766.51</v>
      </c>
      <c r="Z89" s="23">
        <f>'Annual Raw'!AA25</f>
        <v>3259.16</v>
      </c>
      <c r="AA89" s="23">
        <f>'Annual Raw'!AB25</f>
        <v>3632.9</v>
      </c>
      <c r="AB89" s="76">
        <f t="shared" si="660"/>
        <v>2566.1314646442383</v>
      </c>
      <c r="AC89" s="76">
        <f t="shared" si="661"/>
        <v>3409.1274703380727</v>
      </c>
      <c r="AD89" s="76">
        <f t="shared" si="662"/>
        <v>2949.1292742582132</v>
      </c>
      <c r="AE89" s="76">
        <f t="shared" si="663"/>
        <v>3287.9040961720998</v>
      </c>
      <c r="AI89" s="23">
        <f>'QTR Raw'!C25</f>
        <v>0</v>
      </c>
      <c r="AJ89" s="23">
        <f>'QTR Raw'!D25</f>
        <v>0</v>
      </c>
      <c r="AK89" s="23">
        <f>'QTR Raw'!E25</f>
        <v>0</v>
      </c>
      <c r="AL89" s="23">
        <f>'QTR Raw'!F25</f>
        <v>0</v>
      </c>
      <c r="AM89" s="23">
        <f>'QTR Raw'!G25</f>
        <v>0</v>
      </c>
      <c r="AN89" s="23">
        <f>'QTR Raw'!H25</f>
        <v>0</v>
      </c>
      <c r="AO89" s="23">
        <f>'QTR Raw'!I25</f>
        <v>0</v>
      </c>
      <c r="AP89" s="23">
        <f>'QTR Raw'!J25</f>
        <v>0</v>
      </c>
      <c r="AQ89" s="23">
        <f>'QTR Raw'!K25</f>
        <v>0</v>
      </c>
      <c r="AR89" s="23">
        <f>'QTR Raw'!L25</f>
        <v>0</v>
      </c>
      <c r="AS89" s="23">
        <f>'QTR Raw'!M25</f>
        <v>0.06</v>
      </c>
      <c r="AT89" s="23">
        <f>'QTR Raw'!N25</f>
        <v>72.47</v>
      </c>
      <c r="AU89" s="23">
        <f>'QTR Raw'!O25</f>
        <v>257.04000000000002</v>
      </c>
      <c r="AV89" s="23">
        <f>'QTR Raw'!P25</f>
        <v>235.62</v>
      </c>
      <c r="AW89" s="23">
        <f>'QTR Raw'!Q25</f>
        <v>237.86</v>
      </c>
      <c r="AX89" s="23">
        <f>'QTR Raw'!R25</f>
        <v>226.77</v>
      </c>
      <c r="AY89" s="23">
        <f>'QTR Raw'!S25</f>
        <v>232.13</v>
      </c>
      <c r="AZ89" s="23">
        <f>'QTR Raw'!T25</f>
        <v>254.35</v>
      </c>
      <c r="BA89" s="23">
        <f>'QTR Raw'!U25</f>
        <v>207.52</v>
      </c>
      <c r="BB89" s="23">
        <f>'QTR Raw'!V25</f>
        <v>210.01</v>
      </c>
      <c r="BC89" s="23">
        <f>'QTR Raw'!W25</f>
        <v>207.35</v>
      </c>
      <c r="BD89" s="23">
        <f>'QTR Raw'!X25</f>
        <v>215.84</v>
      </c>
      <c r="BE89" s="23">
        <f>'QTR Raw'!Y25</f>
        <v>236.17</v>
      </c>
      <c r="BF89" s="23">
        <f>'QTR Raw'!Z25</f>
        <v>226.27</v>
      </c>
      <c r="BG89" s="23">
        <f>'QTR Raw'!AA25</f>
        <v>211.04</v>
      </c>
      <c r="BH89" s="23">
        <f>'QTR Raw'!AB25</f>
        <v>286.69</v>
      </c>
      <c r="BI89" s="23">
        <f>'QTR Raw'!AC25</f>
        <v>457.79</v>
      </c>
      <c r="BJ89" s="23">
        <f>'QTR Raw'!AD25</f>
        <v>435.51</v>
      </c>
      <c r="BK89" s="23">
        <f>'QTR Raw'!AE25</f>
        <v>531.96</v>
      </c>
      <c r="BL89" s="23">
        <f>'QTR Raw'!AF25</f>
        <v>493</v>
      </c>
      <c r="BM89" s="23">
        <f>'QTR Raw'!AG25</f>
        <v>515.91999999999996</v>
      </c>
      <c r="BN89" s="23">
        <f>'QTR Raw'!AH25</f>
        <v>697.61</v>
      </c>
      <c r="BO89" s="23">
        <f>'QTR Raw'!AI25</f>
        <v>631.22</v>
      </c>
      <c r="BP89" s="23">
        <f>'QTR Raw'!AJ25</f>
        <v>536.41</v>
      </c>
      <c r="BQ89" s="23">
        <f>'QTR Raw'!AK25</f>
        <v>455.18</v>
      </c>
      <c r="BR89" s="23">
        <f>'QTR Raw'!AL25</f>
        <v>494.18</v>
      </c>
      <c r="BS89" s="23">
        <f>'QTR Raw'!AM25</f>
        <v>614.34</v>
      </c>
      <c r="BT89" s="23">
        <f>'QTR Raw'!AN25</f>
        <v>540.36</v>
      </c>
      <c r="BU89" s="23">
        <f>'QTR Raw'!AO25</f>
        <v>560.24</v>
      </c>
      <c r="BV89" s="23">
        <f>'QTR Raw'!AP25</f>
        <v>650.01</v>
      </c>
      <c r="BW89" s="23">
        <f>'QTR Raw'!AQ25</f>
        <v>739.98</v>
      </c>
      <c r="BX89" s="23">
        <f>'QTR Raw'!AR25</f>
        <v>713.91</v>
      </c>
      <c r="BY89" s="23">
        <f>'QTR Raw'!AS25</f>
        <v>697.09</v>
      </c>
      <c r="BZ89" s="23">
        <f>'QTR Raw'!AT25</f>
        <v>630.49</v>
      </c>
      <c r="CA89" s="23">
        <f>'QTR Raw'!AU25</f>
        <v>615.66999999999996</v>
      </c>
      <c r="CB89" s="23">
        <f>'QTR Raw'!AV25</f>
        <v>640.80999999999995</v>
      </c>
      <c r="CC89" s="23">
        <f>'QTR Raw'!AW25</f>
        <v>760.04</v>
      </c>
      <c r="CD89" s="23">
        <f>'QTR Raw'!AX25</f>
        <v>749.99</v>
      </c>
      <c r="CE89" s="23">
        <f>'QTR Raw'!AY25</f>
        <v>810.93</v>
      </c>
      <c r="CF89" s="23">
        <f>'QTR Raw'!AZ25</f>
        <v>812.94</v>
      </c>
      <c r="CG89" s="23">
        <f>'QTR Raw'!BA25</f>
        <v>809.12</v>
      </c>
      <c r="CH89" s="23">
        <f>'QTR Raw'!BB25</f>
        <v>826.17</v>
      </c>
      <c r="CI89" s="23">
        <f>'QTR Raw'!BC25</f>
        <v>894.03</v>
      </c>
      <c r="CJ89" s="23">
        <f>'QTR Raw'!BD25</f>
        <v>871.66</v>
      </c>
      <c r="CK89" s="23">
        <f>'QTR Raw'!BE25</f>
        <v>912.95</v>
      </c>
      <c r="CL89" s="23">
        <f>'QTR Raw'!BF25</f>
        <v>954.26</v>
      </c>
      <c r="CM89" s="24">
        <f t="shared" ref="CM89:DB89" si="664">CM90*CL235</f>
        <v>469.86268999999993</v>
      </c>
      <c r="CN89" s="24">
        <f t="shared" si="664"/>
        <v>616.24973277147626</v>
      </c>
      <c r="CO89" s="24">
        <f t="shared" si="664"/>
        <v>689.81242277360593</v>
      </c>
      <c r="CP89" s="24">
        <f t="shared" si="664"/>
        <v>790.206619099156</v>
      </c>
      <c r="CQ89" s="24">
        <f t="shared" si="664"/>
        <v>787.40838140194978</v>
      </c>
      <c r="CR89" s="24">
        <f t="shared" si="664"/>
        <v>846.54428151755462</v>
      </c>
      <c r="CS89" s="24">
        <f t="shared" si="664"/>
        <v>867.95682132143497</v>
      </c>
      <c r="CT89" s="24">
        <f t="shared" si="664"/>
        <v>907.21798609713323</v>
      </c>
      <c r="CU89" s="24">
        <f t="shared" si="664"/>
        <v>713.08284154293847</v>
      </c>
      <c r="CV89" s="24">
        <f t="shared" si="664"/>
        <v>726.24413197153649</v>
      </c>
      <c r="CW89" s="24">
        <f t="shared" si="664"/>
        <v>736.63258007317654</v>
      </c>
      <c r="CX89" s="24">
        <f t="shared" si="664"/>
        <v>773.16972067056167</v>
      </c>
      <c r="CY89" s="24">
        <f t="shared" si="664"/>
        <v>792.71600041700731</v>
      </c>
      <c r="CZ89" s="24">
        <f t="shared" si="664"/>
        <v>816.99330477410422</v>
      </c>
      <c r="DA89" s="24">
        <f t="shared" si="664"/>
        <v>826.85782238660749</v>
      </c>
      <c r="DB89" s="24">
        <f t="shared" si="664"/>
        <v>851.33696859438089</v>
      </c>
      <c r="DE89" s="123"/>
      <c r="DF89" s="23">
        <v>0</v>
      </c>
      <c r="DG89" s="23">
        <v>779.73557131005509</v>
      </c>
    </row>
    <row r="90" spans="1:111" s="46" customFormat="1" x14ac:dyDescent="0.2">
      <c r="A90" s="46" t="s">
        <v>482</v>
      </c>
      <c r="B90" s="46" t="e">
        <f t="shared" ref="B90:D90" si="665">+B89/B181</f>
        <v>#DIV/0!</v>
      </c>
      <c r="C90" s="46" t="e">
        <f t="shared" si="665"/>
        <v>#DIV/0!</v>
      </c>
      <c r="D90" s="46" t="e">
        <f t="shared" si="665"/>
        <v>#DIV/0!</v>
      </c>
      <c r="E90" s="46" t="e">
        <f t="shared" ref="E90:AE90" si="666">+E89/E181</f>
        <v>#DIV/0!</v>
      </c>
      <c r="F90" s="46" t="e">
        <f t="shared" si="666"/>
        <v>#DIV/0!</v>
      </c>
      <c r="G90" s="46" t="e">
        <f t="shared" si="666"/>
        <v>#DIV/0!</v>
      </c>
      <c r="H90" s="46" t="e">
        <f t="shared" si="666"/>
        <v>#DIV/0!</v>
      </c>
      <c r="I90" s="46" t="e">
        <f t="shared" si="666"/>
        <v>#DIV/0!</v>
      </c>
      <c r="J90" s="46" t="e">
        <f t="shared" si="666"/>
        <v>#DIV/0!</v>
      </c>
      <c r="K90" s="46" t="e">
        <f t="shared" si="666"/>
        <v>#DIV/0!</v>
      </c>
      <c r="L90" s="46" t="e">
        <f t="shared" si="666"/>
        <v>#DIV/0!</v>
      </c>
      <c r="M90" s="46" t="e">
        <f t="shared" si="666"/>
        <v>#DIV/0!</v>
      </c>
      <c r="N90" s="46" t="e">
        <f t="shared" si="666"/>
        <v>#DIV/0!</v>
      </c>
      <c r="O90" s="46" t="e">
        <f t="shared" si="666"/>
        <v>#DIV/0!</v>
      </c>
      <c r="P90" s="46">
        <f t="shared" si="666"/>
        <v>7.4763946728239805E-3</v>
      </c>
      <c r="Q90" s="46">
        <f t="shared" si="666"/>
        <v>0.11150792957442966</v>
      </c>
      <c r="R90" s="46">
        <f t="shared" si="666"/>
        <v>0.10072748058176162</v>
      </c>
      <c r="S90" s="46">
        <f t="shared" si="666"/>
        <v>7.2137506241360866E-2</v>
      </c>
      <c r="T90" s="46">
        <f t="shared" si="666"/>
        <v>5.9079584557583734E-2</v>
      </c>
      <c r="U90" s="46">
        <f t="shared" si="666"/>
        <v>8.3395004205245024E-2</v>
      </c>
      <c r="V90" s="46">
        <f t="shared" si="666"/>
        <v>7.1062157694956926E-2</v>
      </c>
      <c r="W90" s="46">
        <f t="shared" si="666"/>
        <v>7.1948081896597627E-2</v>
      </c>
      <c r="X90" s="46">
        <f t="shared" si="666"/>
        <v>8.1332290802845944E-2</v>
      </c>
      <c r="Y90" s="46">
        <f t="shared" si="666"/>
        <v>7.4752620115123763E-2</v>
      </c>
      <c r="Z90" s="46">
        <f>+Z89/Z181</f>
        <v>8.1061371812422386E-2</v>
      </c>
      <c r="AA90" s="46">
        <f>+AA89/AA181</f>
        <v>7.0796932711051516E-2</v>
      </c>
      <c r="AB90" s="110">
        <f t="shared" si="666"/>
        <v>5.2478789504457474E-2</v>
      </c>
      <c r="AC90" s="110">
        <f t="shared" si="666"/>
        <v>6.9718518078549993E-2</v>
      </c>
      <c r="AD90" s="110">
        <f t="shared" si="666"/>
        <v>6.0311303819614186E-2</v>
      </c>
      <c r="AE90" s="110">
        <f t="shared" si="666"/>
        <v>6.7239433891505759E-2</v>
      </c>
      <c r="AI90" s="46" t="e">
        <f t="shared" ref="AI90:BN90" si="667">(AI89-AI88)/AH235</f>
        <v>#DIV/0!</v>
      </c>
      <c r="AJ90" s="46" t="e">
        <f t="shared" si="667"/>
        <v>#DIV/0!</v>
      </c>
      <c r="AK90" s="46" t="e">
        <f t="shared" si="667"/>
        <v>#DIV/0!</v>
      </c>
      <c r="AL90" s="46" t="e">
        <f t="shared" si="667"/>
        <v>#DIV/0!</v>
      </c>
      <c r="AM90" s="46" t="e">
        <f t="shared" si="667"/>
        <v>#DIV/0!</v>
      </c>
      <c r="AN90" s="46" t="e">
        <f t="shared" si="667"/>
        <v>#DIV/0!</v>
      </c>
      <c r="AO90" s="46" t="e">
        <f t="shared" si="667"/>
        <v>#DIV/0!</v>
      </c>
      <c r="AP90" s="46" t="e">
        <f t="shared" si="667"/>
        <v>#DIV/0!</v>
      </c>
      <c r="AQ90" s="46" t="e">
        <f t="shared" si="667"/>
        <v>#DIV/0!</v>
      </c>
      <c r="AR90" s="46" t="e">
        <f t="shared" si="667"/>
        <v>#DIV/0!</v>
      </c>
      <c r="AS90" s="46" t="e">
        <f t="shared" si="667"/>
        <v>#DIV/0!</v>
      </c>
      <c r="AT90" s="46" t="e">
        <f t="shared" si="667"/>
        <v>#DIV/0!</v>
      </c>
      <c r="AU90" s="46">
        <f t="shared" si="667"/>
        <v>2.8790860416000576E-2</v>
      </c>
      <c r="AV90" s="46">
        <f t="shared" si="667"/>
        <v>1.7819022758711365E-2</v>
      </c>
      <c r="AW90" s="46">
        <f t="shared" si="667"/>
        <v>3.0783574760297208E-2</v>
      </c>
      <c r="AX90" s="46">
        <f t="shared" si="667"/>
        <v>2.8813775878767614E-2</v>
      </c>
      <c r="AY90" s="46">
        <f t="shared" si="667"/>
        <v>2.9200566426364569E-2</v>
      </c>
      <c r="AZ90" s="46">
        <f t="shared" si="667"/>
        <v>3.252604557614313E-2</v>
      </c>
      <c r="BA90" s="46">
        <f t="shared" si="667"/>
        <v>2.3746977486677468E-2</v>
      </c>
      <c r="BB90" s="46">
        <f t="shared" si="667"/>
        <v>2.4188971397398548E-2</v>
      </c>
      <c r="BC90" s="46">
        <f t="shared" si="667"/>
        <v>2.4146735308459261E-2</v>
      </c>
      <c r="BD90" s="46">
        <f t="shared" si="667"/>
        <v>2.6049403760309849E-2</v>
      </c>
      <c r="BE90" s="46">
        <f t="shared" si="667"/>
        <v>2.6641456458640293E-2</v>
      </c>
      <c r="BF90" s="46">
        <f t="shared" si="667"/>
        <v>2.1476828610567929E-2</v>
      </c>
      <c r="BG90" s="46">
        <f t="shared" si="667"/>
        <v>1.52980182824518E-2</v>
      </c>
      <c r="BH90" s="46">
        <f t="shared" si="667"/>
        <v>2.5286104677603959E-2</v>
      </c>
      <c r="BI90" s="46">
        <f t="shared" si="667"/>
        <v>2.0768539010240998E-2</v>
      </c>
      <c r="BJ90" s="46">
        <f t="shared" si="667"/>
        <v>2.2294143005562282E-2</v>
      </c>
      <c r="BK90" s="46">
        <f t="shared" si="667"/>
        <v>2.9394017909023663E-2</v>
      </c>
      <c r="BL90" s="46">
        <f t="shared" si="667"/>
        <v>2.6689228960131609E-2</v>
      </c>
      <c r="BM90" s="46">
        <f t="shared" si="667"/>
        <v>2.8868671260308097E-2</v>
      </c>
      <c r="BN90" s="46">
        <f t="shared" si="667"/>
        <v>3.6220340477667631E-2</v>
      </c>
      <c r="BO90" s="46">
        <f t="shared" ref="BO90:CL90" si="668">(BO89-BO88)/BN235</f>
        <v>2.5573306495760405E-2</v>
      </c>
      <c r="BP90" s="46">
        <f t="shared" si="668"/>
        <v>1.8762259871437554E-2</v>
      </c>
      <c r="BQ90" s="46">
        <f t="shared" si="668"/>
        <v>1.4373545015136584E-2</v>
      </c>
      <c r="BR90" s="46">
        <f t="shared" si="668"/>
        <v>1.5851897168052229E-2</v>
      </c>
      <c r="BS90" s="46">
        <f t="shared" si="668"/>
        <v>1.9935065036938721E-2</v>
      </c>
      <c r="BT90" s="46">
        <f t="shared" si="668"/>
        <v>1.6224350404979618E-2</v>
      </c>
      <c r="BU90" s="46">
        <f t="shared" si="668"/>
        <v>1.4266731887698829E-2</v>
      </c>
      <c r="BV90" s="46">
        <f t="shared" si="668"/>
        <v>1.7098900594773207E-2</v>
      </c>
      <c r="BW90" s="46">
        <f t="shared" si="668"/>
        <v>2.2119539092121842E-2</v>
      </c>
      <c r="BX90" s="46">
        <f t="shared" si="668"/>
        <v>2.1086361687555944E-2</v>
      </c>
      <c r="BY90" s="46">
        <f t="shared" si="668"/>
        <v>1.690498973050928E-2</v>
      </c>
      <c r="BZ90" s="46">
        <f t="shared" si="668"/>
        <v>1.5968543792693021E-2</v>
      </c>
      <c r="CA90" s="46">
        <f t="shared" si="668"/>
        <v>1.6137523136875193E-2</v>
      </c>
      <c r="CB90" s="46">
        <f t="shared" si="668"/>
        <v>1.7546627254411921E-2</v>
      </c>
      <c r="CC90" s="46">
        <f t="shared" si="668"/>
        <v>1.5179135731962683E-2</v>
      </c>
      <c r="CD90" s="46">
        <f t="shared" si="668"/>
        <v>1.8503029025098511E-2</v>
      </c>
      <c r="CE90" s="46">
        <f t="shared" si="668"/>
        <v>2.0371285023839451E-2</v>
      </c>
      <c r="CF90" s="46">
        <f t="shared" si="668"/>
        <v>1.7930856386024312E-2</v>
      </c>
      <c r="CG90" s="46">
        <f t="shared" si="668"/>
        <v>2.0201295305828371E-2</v>
      </c>
      <c r="CH90" s="46">
        <f t="shared" si="668"/>
        <v>1.9565526484805699E-2</v>
      </c>
      <c r="CI90" s="46">
        <f t="shared" si="668"/>
        <v>2.0054400133419983E-2</v>
      </c>
      <c r="CJ90" s="46">
        <f t="shared" si="668"/>
        <v>2.1006560720194214E-2</v>
      </c>
      <c r="CK90" s="46">
        <f t="shared" si="668"/>
        <v>1.7881286758048644E-2</v>
      </c>
      <c r="CL90" s="46">
        <f t="shared" si="668"/>
        <v>2.0762166810987498E-2</v>
      </c>
      <c r="CM90" s="47">
        <v>1.0999999999999999E-2</v>
      </c>
      <c r="CN90" s="47">
        <f t="shared" ref="CN90" si="669">+CM90</f>
        <v>1.0999999999999999E-2</v>
      </c>
      <c r="CO90" s="47">
        <f t="shared" ref="CO90" si="670">+CN90</f>
        <v>1.0999999999999999E-2</v>
      </c>
      <c r="CP90" s="47">
        <f t="shared" ref="CP90" si="671">+CO90</f>
        <v>1.0999999999999999E-2</v>
      </c>
      <c r="CQ90" s="47">
        <v>0.01</v>
      </c>
      <c r="CR90" s="47">
        <f t="shared" ref="CR90:DB90" si="672">+CQ90</f>
        <v>0.01</v>
      </c>
      <c r="CS90" s="47">
        <f t="shared" si="672"/>
        <v>0.01</v>
      </c>
      <c r="CT90" s="47">
        <f t="shared" si="672"/>
        <v>0.01</v>
      </c>
      <c r="CU90" s="47">
        <v>7.4999999999999997E-3</v>
      </c>
      <c r="CV90" s="47">
        <f t="shared" si="672"/>
        <v>7.4999999999999997E-3</v>
      </c>
      <c r="CW90" s="47">
        <f t="shared" si="672"/>
        <v>7.4999999999999997E-3</v>
      </c>
      <c r="CX90" s="47">
        <f t="shared" si="672"/>
        <v>7.4999999999999997E-3</v>
      </c>
      <c r="CY90" s="47">
        <f t="shared" si="672"/>
        <v>7.4999999999999997E-3</v>
      </c>
      <c r="CZ90" s="47">
        <f t="shared" si="672"/>
        <v>7.4999999999999997E-3</v>
      </c>
      <c r="DA90" s="47">
        <f t="shared" si="672"/>
        <v>7.4999999999999997E-3</v>
      </c>
      <c r="DB90" s="47">
        <f t="shared" si="672"/>
        <v>7.4999999999999997E-3</v>
      </c>
      <c r="DE90" s="130"/>
      <c r="DF90" s="46" t="e">
        <v>#DIV/0!</v>
      </c>
      <c r="DG90" s="46">
        <v>0.02</v>
      </c>
    </row>
    <row r="91" spans="1:111" s="26" customFormat="1" x14ac:dyDescent="0.2">
      <c r="A91" s="26" t="s">
        <v>20</v>
      </c>
      <c r="B91" s="26">
        <f>B87+B88-B89</f>
        <v>0</v>
      </c>
      <c r="C91" s="26">
        <f t="shared" ref="C91:T91" si="673">C87+C88-C89</f>
        <v>0</v>
      </c>
      <c r="D91" s="26">
        <f>D87+D88-D89</f>
        <v>0</v>
      </c>
      <c r="E91" s="26">
        <f t="shared" si="673"/>
        <v>0</v>
      </c>
      <c r="F91" s="26">
        <f t="shared" si="673"/>
        <v>0</v>
      </c>
      <c r="G91" s="26">
        <f t="shared" si="673"/>
        <v>0</v>
      </c>
      <c r="H91" s="26">
        <f t="shared" si="673"/>
        <v>0</v>
      </c>
      <c r="I91" s="26">
        <f t="shared" si="673"/>
        <v>0</v>
      </c>
      <c r="J91" s="26">
        <f t="shared" si="673"/>
        <v>0</v>
      </c>
      <c r="K91" s="26">
        <f t="shared" si="673"/>
        <v>0</v>
      </c>
      <c r="L91" s="26">
        <f t="shared" si="673"/>
        <v>0</v>
      </c>
      <c r="M91" s="26">
        <f t="shared" si="673"/>
        <v>0</v>
      </c>
      <c r="N91" s="26">
        <f t="shared" si="673"/>
        <v>0</v>
      </c>
      <c r="O91" s="26">
        <f t="shared" si="673"/>
        <v>-2.7028999999999998E-3</v>
      </c>
      <c r="P91" s="26">
        <f t="shared" si="673"/>
        <v>-5.0499999999999972</v>
      </c>
      <c r="Q91" s="26">
        <f t="shared" si="673"/>
        <v>479.98000000000047</v>
      </c>
      <c r="R91" s="26">
        <f t="shared" si="673"/>
        <v>531.93000000000006</v>
      </c>
      <c r="S91" s="26">
        <f t="shared" si="673"/>
        <v>1471.6800000000003</v>
      </c>
      <c r="T91" s="26">
        <f t="shared" si="673"/>
        <v>840.23999999999955</v>
      </c>
      <c r="U91" s="26">
        <f t="shared" ref="U91:Y91" si="674">U87+U88-U89</f>
        <v>1106.6799999999998</v>
      </c>
      <c r="V91" s="26">
        <f t="shared" si="674"/>
        <v>1619.9000000000005</v>
      </c>
      <c r="W91" s="26">
        <f t="shared" si="674"/>
        <v>1700.4900000000002</v>
      </c>
      <c r="X91" s="26">
        <f t="shared" si="674"/>
        <v>1711.7199999999989</v>
      </c>
      <c r="Y91" s="26">
        <f t="shared" si="674"/>
        <v>1779.5600000000004</v>
      </c>
      <c r="Z91" s="26">
        <f>Z87+Z88-Z89</f>
        <v>2580.8700000000008</v>
      </c>
      <c r="AA91" s="26">
        <f>AA87+AA88-AA89</f>
        <v>3114.8400000000006</v>
      </c>
      <c r="AB91" s="27">
        <f t="shared" ref="AB91:AD91" si="675">AB87+AB88-AB89</f>
        <v>5189.1821014289144</v>
      </c>
      <c r="AC91" s="27">
        <f t="shared" si="675"/>
        <v>5633.6401775320974</v>
      </c>
      <c r="AD91" s="27">
        <f t="shared" si="675"/>
        <v>7311.2196227942495</v>
      </c>
      <c r="AE91" s="27">
        <f t="shared" ref="AE91" si="676">AE87+AE88-AE89</f>
        <v>8052.6509204345366</v>
      </c>
      <c r="AI91" s="26">
        <f>AI87+AI88-AI89</f>
        <v>0</v>
      </c>
      <c r="AJ91" s="26">
        <f t="shared" ref="AJ91" si="677">AJ87+AJ88-AJ89</f>
        <v>0</v>
      </c>
      <c r="AK91" s="26">
        <f t="shared" ref="AK91:AM91" si="678">AK87+AK88-AK89</f>
        <v>0</v>
      </c>
      <c r="AL91" s="26">
        <f t="shared" si="678"/>
        <v>0</v>
      </c>
      <c r="AM91" s="26">
        <f t="shared" si="678"/>
        <v>0</v>
      </c>
      <c r="AN91" s="26">
        <f t="shared" ref="AN91:AO91" si="679">AN87+AN88-AN89</f>
        <v>0</v>
      </c>
      <c r="AO91" s="26">
        <f t="shared" si="679"/>
        <v>0</v>
      </c>
      <c r="AP91" s="26">
        <f t="shared" ref="AP91:CD91" si="680">AP87+AP88-AP89</f>
        <v>0</v>
      </c>
      <c r="AQ91" s="26">
        <f t="shared" si="680"/>
        <v>0</v>
      </c>
      <c r="AR91" s="26">
        <f t="shared" si="680"/>
        <v>0</v>
      </c>
      <c r="AS91" s="26">
        <f t="shared" si="680"/>
        <v>6.17</v>
      </c>
      <c r="AT91" s="26">
        <f t="shared" si="680"/>
        <v>-11.219999999999999</v>
      </c>
      <c r="AU91" s="26">
        <f t="shared" si="680"/>
        <v>45.569999999999993</v>
      </c>
      <c r="AV91" s="26">
        <f t="shared" si="680"/>
        <v>208.56</v>
      </c>
      <c r="AW91" s="26">
        <f t="shared" si="680"/>
        <v>99.119999999999948</v>
      </c>
      <c r="AX91" s="26">
        <f t="shared" si="680"/>
        <v>126.73999999999998</v>
      </c>
      <c r="AY91" s="26">
        <f t="shared" si="680"/>
        <v>211.76000000000005</v>
      </c>
      <c r="AZ91" s="26">
        <f t="shared" si="680"/>
        <v>83.290000000000049</v>
      </c>
      <c r="BA91" s="26">
        <f t="shared" si="680"/>
        <v>123.4</v>
      </c>
      <c r="BB91" s="26">
        <f t="shared" si="680"/>
        <v>113.48000000000002</v>
      </c>
      <c r="BC91" s="26">
        <f t="shared" si="680"/>
        <v>110.64000000000001</v>
      </c>
      <c r="BD91" s="26">
        <f t="shared" si="680"/>
        <v>91.070000000000022</v>
      </c>
      <c r="BE91" s="26">
        <f t="shared" si="680"/>
        <v>1080.29</v>
      </c>
      <c r="BF91" s="26">
        <f t="shared" si="680"/>
        <v>189.68000000000004</v>
      </c>
      <c r="BG91" s="26">
        <f t="shared" si="680"/>
        <v>222.20000000000002</v>
      </c>
      <c r="BH91" s="26">
        <f t="shared" si="680"/>
        <v>144.49999999999989</v>
      </c>
      <c r="BI91" s="26">
        <f t="shared" si="680"/>
        <v>258.44000000000011</v>
      </c>
      <c r="BJ91" s="26">
        <f t="shared" si="680"/>
        <v>215.10000000000002</v>
      </c>
      <c r="BK91" s="26">
        <f t="shared" si="680"/>
        <v>321.16999999999973</v>
      </c>
      <c r="BL91" s="26">
        <f t="shared" si="680"/>
        <v>264.20000000000039</v>
      </c>
      <c r="BM91" s="26">
        <f t="shared" si="680"/>
        <v>304.53999999999985</v>
      </c>
      <c r="BN91" s="26">
        <f t="shared" si="680"/>
        <v>216.7700000000001</v>
      </c>
      <c r="BO91" s="26">
        <f t="shared" si="680"/>
        <v>481.97</v>
      </c>
      <c r="BP91" s="26">
        <f t="shared" si="680"/>
        <v>295.77999999999997</v>
      </c>
      <c r="BQ91" s="26">
        <f t="shared" si="680"/>
        <v>472.03000000000003</v>
      </c>
      <c r="BR91" s="26">
        <f t="shared" si="680"/>
        <v>370.12000000000006</v>
      </c>
      <c r="BS91" s="26">
        <f t="shared" si="680"/>
        <v>539.99000000000012</v>
      </c>
      <c r="BT91" s="26">
        <f t="shared" si="680"/>
        <v>396.36</v>
      </c>
      <c r="BU91" s="26">
        <f t="shared" si="680"/>
        <v>401.90999999999963</v>
      </c>
      <c r="BV91" s="26">
        <f t="shared" si="680"/>
        <v>362.2299999999999</v>
      </c>
      <c r="BW91" s="26">
        <f t="shared" si="680"/>
        <v>201.82999999999981</v>
      </c>
      <c r="BX91" s="26">
        <f t="shared" si="680"/>
        <v>249.95000000000027</v>
      </c>
      <c r="BY91" s="26">
        <f t="shared" si="680"/>
        <v>600.31999999999982</v>
      </c>
      <c r="BZ91" s="26">
        <f t="shared" si="680"/>
        <v>659.61999999999989</v>
      </c>
      <c r="CA91" s="26">
        <f t="shared" si="680"/>
        <v>343.0899999999998</v>
      </c>
      <c r="CB91" s="26">
        <f t="shared" si="680"/>
        <v>369.87</v>
      </c>
      <c r="CC91" s="26">
        <f t="shared" si="680"/>
        <v>514.64999999999941</v>
      </c>
      <c r="CD91" s="26">
        <f t="shared" si="680"/>
        <v>551.95000000000027</v>
      </c>
      <c r="CE91" s="26">
        <f t="shared" ref="CE91:CF91" si="681">CE87+CE88-CE89</f>
        <v>453.3200000000005</v>
      </c>
      <c r="CF91" s="26">
        <f t="shared" si="681"/>
        <v>594.23000000000025</v>
      </c>
      <c r="CG91" s="26">
        <f t="shared" ref="CG91:CH91" si="682">CG87+CG88-CG89</f>
        <v>559.36999999999978</v>
      </c>
      <c r="CH91" s="26">
        <f t="shared" si="682"/>
        <v>973.95000000000039</v>
      </c>
      <c r="CI91" s="26">
        <f t="shared" ref="CI91:CJ91" si="683">CI87+CI88-CI89</f>
        <v>658.04999999999973</v>
      </c>
      <c r="CJ91" s="26">
        <f t="shared" si="683"/>
        <v>745.67</v>
      </c>
      <c r="CK91" s="26">
        <f t="shared" ref="CK91" si="684">CK87+CK88-CK89</f>
        <v>801.05000000000041</v>
      </c>
      <c r="CL91" s="26">
        <f t="shared" ref="CL91" si="685">CL87+CL88-CL89</f>
        <v>910.07000000000085</v>
      </c>
      <c r="CM91" s="27">
        <f t="shared" ref="CM91:DB91" si="686">CM87+CM88-CM89</f>
        <v>1413.1870454723271</v>
      </c>
      <c r="CN91" s="27">
        <f t="shared" si="686"/>
        <v>1287.317580930408</v>
      </c>
      <c r="CO91" s="27">
        <f t="shared" si="686"/>
        <v>1263.1008481397382</v>
      </c>
      <c r="CP91" s="27">
        <f t="shared" si="686"/>
        <v>1225.5766268864372</v>
      </c>
      <c r="CQ91" s="27">
        <f t="shared" si="686"/>
        <v>1424.1782765468313</v>
      </c>
      <c r="CR91" s="27">
        <f t="shared" si="686"/>
        <v>1344.1136975807394</v>
      </c>
      <c r="CS91" s="27">
        <f t="shared" si="686"/>
        <v>1379.2844438354093</v>
      </c>
      <c r="CT91" s="27">
        <f t="shared" si="686"/>
        <v>1486.0637595691128</v>
      </c>
      <c r="CU91" s="27">
        <f t="shared" si="686"/>
        <v>1704.1739799056693</v>
      </c>
      <c r="CV91" s="27">
        <f t="shared" si="686"/>
        <v>1659.2567187027596</v>
      </c>
      <c r="CW91" s="27">
        <f t="shared" si="686"/>
        <v>1983.0770860112843</v>
      </c>
      <c r="CX91" s="27">
        <f t="shared" si="686"/>
        <v>1964.7118381745377</v>
      </c>
      <c r="CY91" s="27">
        <f t="shared" si="686"/>
        <v>1982.6157547459584</v>
      </c>
      <c r="CZ91" s="27">
        <f t="shared" si="686"/>
        <v>1918.7387223679857</v>
      </c>
      <c r="DA91" s="27">
        <f t="shared" si="686"/>
        <v>2009.4784521824254</v>
      </c>
      <c r="DB91" s="27">
        <f t="shared" si="686"/>
        <v>2141.8179911381708</v>
      </c>
      <c r="DE91" s="121"/>
      <c r="DF91" s="26">
        <v>0</v>
      </c>
      <c r="DG91" s="26">
        <v>781.90890690846186</v>
      </c>
    </row>
    <row r="92" spans="1:111" s="23" customFormat="1" x14ac:dyDescent="0.2">
      <c r="A92" s="23" t="s">
        <v>21</v>
      </c>
      <c r="B92" s="23">
        <f>'Annual Raw'!C30</f>
        <v>0</v>
      </c>
      <c r="C92" s="23">
        <f>'Annual Raw'!D30</f>
        <v>0</v>
      </c>
      <c r="D92" s="23">
        <f>'Annual Raw'!E30</f>
        <v>0</v>
      </c>
      <c r="E92" s="23">
        <f>'Annual Raw'!F30</f>
        <v>0</v>
      </c>
      <c r="F92" s="23">
        <f>'Annual Raw'!G30</f>
        <v>0</v>
      </c>
      <c r="G92" s="23">
        <f>'Annual Raw'!H30</f>
        <v>0</v>
      </c>
      <c r="H92" s="23">
        <f>'Annual Raw'!I30</f>
        <v>0</v>
      </c>
      <c r="I92" s="23">
        <f>'Annual Raw'!J30</f>
        <v>0</v>
      </c>
      <c r="J92" s="23">
        <f>'Annual Raw'!K30</f>
        <v>0</v>
      </c>
      <c r="K92" s="23">
        <f>'Annual Raw'!L30</f>
        <v>0</v>
      </c>
      <c r="L92" s="23">
        <f>'Annual Raw'!M30</f>
        <v>0</v>
      </c>
      <c r="M92" s="23">
        <f>'Annual Raw'!N30</f>
        <v>0</v>
      </c>
      <c r="N92" s="23">
        <f>'Annual Raw'!O30</f>
        <v>0</v>
      </c>
      <c r="O92" s="23">
        <f>'Annual Raw'!P30</f>
        <v>0</v>
      </c>
      <c r="P92" s="23">
        <f>'Annual Raw'!Q30</f>
        <v>1.7</v>
      </c>
      <c r="Q92" s="23">
        <f>'Annual Raw'!R30</f>
        <v>112.04</v>
      </c>
      <c r="R92" s="23">
        <f>'Annual Raw'!S30</f>
        <v>115.5</v>
      </c>
      <c r="S92" s="23">
        <f>'Annual Raw'!T30</f>
        <v>328.74</v>
      </c>
      <c r="T92" s="23">
        <f>'Annual Raw'!U30</f>
        <v>281.04000000000002</v>
      </c>
      <c r="U92" s="23">
        <f>'Annual Raw'!V30</f>
        <v>400.19</v>
      </c>
      <c r="V92" s="23">
        <f>'Annual Raw'!W30</f>
        <v>330.33</v>
      </c>
      <c r="W92" s="23">
        <f>'Annual Raw'!X30</f>
        <v>464.74</v>
      </c>
      <c r="X92" s="23">
        <f>'Annual Raw'!Y30</f>
        <v>431.12</v>
      </c>
      <c r="Y92" s="23">
        <f>'Annual Raw'!Z30</f>
        <v>583.95000000000005</v>
      </c>
      <c r="Z92" s="23">
        <f>'Annual Raw'!AA30</f>
        <v>153.16</v>
      </c>
      <c r="AA92" s="23">
        <f>'Annual Raw'!AB30</f>
        <v>722.09</v>
      </c>
      <c r="AB92" s="24">
        <f>+SUM(CM92:CP92)</f>
        <v>1386.1593607189088</v>
      </c>
      <c r="AC92" s="24">
        <f>+SUM(CQ92:CT92)</f>
        <v>1524.43158876139</v>
      </c>
      <c r="AD92" s="24">
        <f>+SUM(CU92:CX92)</f>
        <v>1982.0676067850293</v>
      </c>
      <c r="AE92" s="24">
        <f>+SUM(CY92:DB92)</f>
        <v>2183.5309438077406</v>
      </c>
      <c r="AI92" s="23">
        <f>'QTR Raw'!C29</f>
        <v>0</v>
      </c>
      <c r="AJ92" s="23">
        <f>'QTR Raw'!D29</f>
        <v>0</v>
      </c>
      <c r="AK92" s="23">
        <f>'QTR Raw'!E29</f>
        <v>0</v>
      </c>
      <c r="AL92" s="23">
        <f>'QTR Raw'!F29</f>
        <v>0</v>
      </c>
      <c r="AM92" s="23">
        <f>'QTR Raw'!G29</f>
        <v>0</v>
      </c>
      <c r="AN92" s="23">
        <f>'QTR Raw'!H29</f>
        <v>0</v>
      </c>
      <c r="AO92" s="23">
        <f>'QTR Raw'!I29</f>
        <v>0</v>
      </c>
      <c r="AP92" s="23">
        <f>'QTR Raw'!J29</f>
        <v>0</v>
      </c>
      <c r="AQ92" s="23">
        <f>'QTR Raw'!K29</f>
        <v>0</v>
      </c>
      <c r="AR92" s="23">
        <f>'QTR Raw'!L29</f>
        <v>0</v>
      </c>
      <c r="AS92" s="23">
        <f>'QTR Raw'!M29</f>
        <v>0</v>
      </c>
      <c r="AT92" s="23">
        <f>'QTR Raw'!N29</f>
        <v>1.7</v>
      </c>
      <c r="AU92" s="23">
        <f>'QTR Raw'!O29</f>
        <v>14.68</v>
      </c>
      <c r="AV92" s="23">
        <f>'QTR Raw'!P29</f>
        <v>46.36</v>
      </c>
      <c r="AW92" s="23">
        <f>'QTR Raw'!Q29</f>
        <v>24.34</v>
      </c>
      <c r="AX92" s="23">
        <f>'QTR Raw'!R29</f>
        <v>26.66</v>
      </c>
      <c r="AY92" s="23">
        <f>'QTR Raw'!S29</f>
        <v>89.05</v>
      </c>
      <c r="AZ92" s="23">
        <f>'QTR Raw'!T29</f>
        <v>-16.25</v>
      </c>
      <c r="BA92" s="23">
        <f>'QTR Raw'!U29</f>
        <v>24.12</v>
      </c>
      <c r="BB92" s="23">
        <f>'QTR Raw'!V29</f>
        <v>18.579999999999998</v>
      </c>
      <c r="BC92" s="23">
        <f>'QTR Raw'!W29</f>
        <v>26.54</v>
      </c>
      <c r="BD92" s="23">
        <f>'QTR Raw'!X29</f>
        <v>24.38</v>
      </c>
      <c r="BE92" s="23">
        <f>'QTR Raw'!Y29</f>
        <v>238.41</v>
      </c>
      <c r="BF92" s="23">
        <f>'QTR Raw'!Z29</f>
        <v>39.409999999999997</v>
      </c>
      <c r="BG92" s="23">
        <f>'QTR Raw'!AA29</f>
        <v>52.86</v>
      </c>
      <c r="BH92" s="23">
        <f>'QTR Raw'!AB29</f>
        <v>89.75</v>
      </c>
      <c r="BI92" s="23">
        <f>'QTR Raw'!AC29</f>
        <v>112.72</v>
      </c>
      <c r="BJ92" s="23">
        <f>'QTR Raw'!AD29</f>
        <v>73.7</v>
      </c>
      <c r="BK92" s="23">
        <f>'QTR Raw'!AE29</f>
        <v>136.69</v>
      </c>
      <c r="BL92" s="23">
        <f>'QTR Raw'!AF29</f>
        <v>62.82</v>
      </c>
      <c r="BM92" s="23">
        <f>'QTR Raw'!AG29</f>
        <v>131.1</v>
      </c>
      <c r="BN92" s="23">
        <f>'QTR Raw'!AH29</f>
        <v>212.27</v>
      </c>
      <c r="BO92" s="23">
        <f>'QTR Raw'!AI29</f>
        <v>149.04</v>
      </c>
      <c r="BP92" s="23">
        <f>'QTR Raw'!AJ29</f>
        <v>105.35</v>
      </c>
      <c r="BQ92" s="23">
        <f>'QTR Raw'!AK29</f>
        <v>31.55</v>
      </c>
      <c r="BR92" s="23">
        <f>'QTR Raw'!AL29</f>
        <v>138.29</v>
      </c>
      <c r="BS92" s="23">
        <f>'QTR Raw'!AM29</f>
        <v>97.3</v>
      </c>
      <c r="BT92" s="23">
        <f>'QTR Raw'!AN29</f>
        <v>98</v>
      </c>
      <c r="BU92" s="23">
        <f>'QTR Raw'!AO29</f>
        <v>118.16</v>
      </c>
      <c r="BV92" s="23">
        <f>'QTR Raw'!AP29</f>
        <v>122.6</v>
      </c>
      <c r="BW92" s="23">
        <f>'QTR Raw'!AQ29</f>
        <v>34.26</v>
      </c>
      <c r="BX92" s="23">
        <f>'QTR Raw'!AR29</f>
        <v>55.19</v>
      </c>
      <c r="BY92" s="23">
        <f>'QTR Raw'!AS29</f>
        <v>122.17</v>
      </c>
      <c r="BZ92" s="23">
        <f>'QTR Raw'!AT29</f>
        <v>223.71</v>
      </c>
      <c r="CA92" s="23">
        <f>'QTR Raw'!AU29</f>
        <v>160.46</v>
      </c>
      <c r="CB92" s="23">
        <f>'QTR Raw'!AV29</f>
        <v>84.9</v>
      </c>
      <c r="CC92" s="23">
        <f>'QTR Raw'!AW29</f>
        <v>166.18</v>
      </c>
      <c r="CD92" s="23">
        <f>'QTR Raw'!AX29</f>
        <v>168.59</v>
      </c>
      <c r="CE92" s="23">
        <f>'QTR Raw'!AY29</f>
        <v>136.57</v>
      </c>
      <c r="CF92" s="23">
        <f>'QTR Raw'!AZ29</f>
        <v>-178.92</v>
      </c>
      <c r="CG92" s="23">
        <f>'QTR Raw'!BA29</f>
        <v>-66.069999999999993</v>
      </c>
      <c r="CH92" s="23">
        <f>'QTR Raw'!BB29</f>
        <v>287.41000000000003</v>
      </c>
      <c r="CI92" s="23">
        <f>'QTR Raw'!BC29</f>
        <v>117.12</v>
      </c>
      <c r="CJ92" s="23">
        <f>'QTR Raw'!BD29</f>
        <v>187.44</v>
      </c>
      <c r="CK92" s="23">
        <f>'QTR Raw'!BE29</f>
        <v>226.17</v>
      </c>
      <c r="CL92" s="23">
        <f>'QTR Raw'!BF29</f>
        <v>240.98</v>
      </c>
      <c r="CM92" s="24">
        <f t="shared" ref="CM92:DB92" si="687">+CM91*CM93</f>
        <v>355.3391638440653</v>
      </c>
      <c r="CN92" s="24">
        <f t="shared" si="687"/>
        <v>348.04232778924802</v>
      </c>
      <c r="CO92" s="24">
        <f t="shared" si="687"/>
        <v>347.6718895769713</v>
      </c>
      <c r="CP92" s="24">
        <f t="shared" si="687"/>
        <v>335.10597950862422</v>
      </c>
      <c r="CQ92" s="24">
        <f t="shared" si="687"/>
        <v>381.14128276948264</v>
      </c>
      <c r="CR92" s="24">
        <f t="shared" si="687"/>
        <v>365.1500612529079</v>
      </c>
      <c r="CS92" s="24">
        <f t="shared" si="687"/>
        <v>375.15427036887286</v>
      </c>
      <c r="CT92" s="24">
        <f t="shared" si="687"/>
        <v>402.9859743701266</v>
      </c>
      <c r="CU92" s="24">
        <f t="shared" si="687"/>
        <v>461.17362218616472</v>
      </c>
      <c r="CV92" s="24">
        <f t="shared" si="687"/>
        <v>450.25961372759247</v>
      </c>
      <c r="CW92" s="24">
        <f t="shared" si="687"/>
        <v>537.98161039478089</v>
      </c>
      <c r="CX92" s="24">
        <f t="shared" si="687"/>
        <v>532.65276047649127</v>
      </c>
      <c r="CY92" s="24">
        <f t="shared" si="687"/>
        <v>537.47352561608807</v>
      </c>
      <c r="CZ92" s="24">
        <f t="shared" si="687"/>
        <v>520.38665529513105</v>
      </c>
      <c r="DA92" s="24">
        <f t="shared" si="687"/>
        <v>544.92140683287403</v>
      </c>
      <c r="DB92" s="24">
        <f t="shared" si="687"/>
        <v>580.74935606364738</v>
      </c>
      <c r="DE92" s="123"/>
      <c r="DF92" s="23">
        <v>0</v>
      </c>
      <c r="DG92" s="23">
        <v>235.90012998942336</v>
      </c>
    </row>
    <row r="93" spans="1:111" s="90" customFormat="1" x14ac:dyDescent="0.2">
      <c r="A93" s="90" t="s">
        <v>106</v>
      </c>
      <c r="B93" s="90" t="e">
        <f t="shared" ref="B93:E93" si="688">B92/B91</f>
        <v>#DIV/0!</v>
      </c>
      <c r="C93" s="90" t="e">
        <f t="shared" si="688"/>
        <v>#DIV/0!</v>
      </c>
      <c r="D93" s="90" t="e">
        <f t="shared" si="688"/>
        <v>#DIV/0!</v>
      </c>
      <c r="E93" s="90" t="e">
        <f t="shared" si="688"/>
        <v>#DIV/0!</v>
      </c>
      <c r="F93" s="90" t="e">
        <f t="shared" ref="F93:T93" si="689">F92/F91</f>
        <v>#DIV/0!</v>
      </c>
      <c r="G93" s="90" t="e">
        <f t="shared" si="689"/>
        <v>#DIV/0!</v>
      </c>
      <c r="H93" s="90" t="e">
        <f t="shared" si="689"/>
        <v>#DIV/0!</v>
      </c>
      <c r="I93" s="90" t="e">
        <f t="shared" si="689"/>
        <v>#DIV/0!</v>
      </c>
      <c r="J93" s="90" t="e">
        <f t="shared" si="689"/>
        <v>#DIV/0!</v>
      </c>
      <c r="K93" s="90" t="e">
        <f t="shared" si="689"/>
        <v>#DIV/0!</v>
      </c>
      <c r="L93" s="90" t="e">
        <f t="shared" si="689"/>
        <v>#DIV/0!</v>
      </c>
      <c r="M93" s="90" t="e">
        <f t="shared" si="689"/>
        <v>#DIV/0!</v>
      </c>
      <c r="N93" s="90" t="e">
        <f t="shared" si="689"/>
        <v>#DIV/0!</v>
      </c>
      <c r="O93" s="90">
        <f t="shared" si="689"/>
        <v>0</v>
      </c>
      <c r="P93" s="90">
        <f t="shared" si="689"/>
        <v>-0.33663366336633682</v>
      </c>
      <c r="Q93" s="90">
        <f t="shared" si="689"/>
        <v>0.23342639276636504</v>
      </c>
      <c r="R93" s="90">
        <f t="shared" si="689"/>
        <v>0.21713383339913145</v>
      </c>
      <c r="S93" s="90">
        <f t="shared" si="689"/>
        <v>0.2233773646444879</v>
      </c>
      <c r="T93" s="90">
        <f t="shared" si="689"/>
        <v>0.33447586403884627</v>
      </c>
      <c r="U93" s="90">
        <f t="shared" ref="U93:Y93" si="690">U92/U91</f>
        <v>0.36161311309502298</v>
      </c>
      <c r="V93" s="90">
        <f t="shared" si="690"/>
        <v>0.20391999506142347</v>
      </c>
      <c r="W93" s="90">
        <f t="shared" si="690"/>
        <v>0.27329769654628955</v>
      </c>
      <c r="X93" s="90">
        <f t="shared" si="690"/>
        <v>0.25186362255509093</v>
      </c>
      <c r="Y93" s="90">
        <f t="shared" si="690"/>
        <v>0.32814291173098964</v>
      </c>
      <c r="Z93" s="90">
        <f>Z92/Z91</f>
        <v>5.9344329625281377E-2</v>
      </c>
      <c r="AA93" s="90">
        <f>AA92/AA91</f>
        <v>0.23182250131627946</v>
      </c>
      <c r="AB93" s="91">
        <f t="shared" ref="AB93:AD93" si="691">AB92/AB91</f>
        <v>0.26712482499644991</v>
      </c>
      <c r="AC93" s="91">
        <f t="shared" si="691"/>
        <v>0.27059441865688888</v>
      </c>
      <c r="AD93" s="91">
        <f t="shared" si="691"/>
        <v>0.27109944838827177</v>
      </c>
      <c r="AE93" s="91">
        <f t="shared" ref="AE93" si="692">AE92/AE91</f>
        <v>0.27115678617916711</v>
      </c>
      <c r="AI93" s="90" t="e">
        <f t="shared" ref="AI93" si="693">AI92/AI91</f>
        <v>#DIV/0!</v>
      </c>
      <c r="AJ93" s="90" t="e">
        <f t="shared" ref="AJ93" si="694">AJ92/AJ91</f>
        <v>#DIV/0!</v>
      </c>
      <c r="AK93" s="90" t="e">
        <f t="shared" ref="AK93:AM93" si="695">AK92/AK91</f>
        <v>#DIV/0!</v>
      </c>
      <c r="AL93" s="90" t="e">
        <f t="shared" si="695"/>
        <v>#DIV/0!</v>
      </c>
      <c r="AM93" s="90" t="e">
        <f t="shared" si="695"/>
        <v>#DIV/0!</v>
      </c>
      <c r="AN93" s="90" t="e">
        <f t="shared" ref="AN93:AO93" si="696">AN92/AN91</f>
        <v>#DIV/0!</v>
      </c>
      <c r="AO93" s="90" t="e">
        <f t="shared" si="696"/>
        <v>#DIV/0!</v>
      </c>
      <c r="AP93" s="90" t="e">
        <f t="shared" ref="AP93:CD93" si="697">AP92/AP91</f>
        <v>#DIV/0!</v>
      </c>
      <c r="AQ93" s="90" t="e">
        <f t="shared" si="697"/>
        <v>#DIV/0!</v>
      </c>
      <c r="AR93" s="90" t="e">
        <f t="shared" si="697"/>
        <v>#DIV/0!</v>
      </c>
      <c r="AS93" s="90">
        <f t="shared" si="697"/>
        <v>0</v>
      </c>
      <c r="AT93" s="90">
        <f t="shared" si="697"/>
        <v>-0.15151515151515152</v>
      </c>
      <c r="AU93" s="90">
        <f t="shared" si="697"/>
        <v>0.32214175992977839</v>
      </c>
      <c r="AV93" s="90">
        <f t="shared" si="697"/>
        <v>0.22228615266589949</v>
      </c>
      <c r="AW93" s="90">
        <f t="shared" si="697"/>
        <v>0.24556093623890246</v>
      </c>
      <c r="AX93" s="90">
        <f t="shared" si="697"/>
        <v>0.2103519015306928</v>
      </c>
      <c r="AY93" s="90">
        <f t="shared" si="697"/>
        <v>0.42052323384964102</v>
      </c>
      <c r="AZ93" s="90">
        <f t="shared" si="697"/>
        <v>-0.1951014527554327</v>
      </c>
      <c r="BA93" s="90">
        <f t="shared" si="697"/>
        <v>0.19546191247974068</v>
      </c>
      <c r="BB93" s="90">
        <f t="shared" si="697"/>
        <v>0.16372929150511098</v>
      </c>
      <c r="BC93" s="90">
        <f t="shared" si="697"/>
        <v>0.23987707881417206</v>
      </c>
      <c r="BD93" s="90">
        <f t="shared" si="697"/>
        <v>0.2677061600966289</v>
      </c>
      <c r="BE93" s="90">
        <f t="shared" si="697"/>
        <v>0.2206907404493238</v>
      </c>
      <c r="BF93" s="90">
        <f t="shared" si="697"/>
        <v>0.20777098270771821</v>
      </c>
      <c r="BG93" s="90">
        <f t="shared" si="697"/>
        <v>0.23789378937893788</v>
      </c>
      <c r="BH93" s="90">
        <f t="shared" si="697"/>
        <v>0.62110726643598668</v>
      </c>
      <c r="BI93" s="90">
        <f t="shared" si="697"/>
        <v>0.43615539390187258</v>
      </c>
      <c r="BJ93" s="90">
        <f t="shared" si="697"/>
        <v>0.34263133426313341</v>
      </c>
      <c r="BK93" s="90">
        <f t="shared" si="697"/>
        <v>0.42560014945356078</v>
      </c>
      <c r="BL93" s="90">
        <f t="shared" si="697"/>
        <v>0.23777441332323962</v>
      </c>
      <c r="BM93" s="90">
        <f t="shared" si="697"/>
        <v>0.4304853221251726</v>
      </c>
      <c r="BN93" s="90">
        <f t="shared" si="697"/>
        <v>0.97924066983438629</v>
      </c>
      <c r="BO93" s="90">
        <f t="shared" si="697"/>
        <v>0.30923086499159697</v>
      </c>
      <c r="BP93" s="90">
        <f t="shared" si="697"/>
        <v>0.35617688822773685</v>
      </c>
      <c r="BQ93" s="90">
        <f t="shared" si="697"/>
        <v>6.6838972099230981E-2</v>
      </c>
      <c r="BR93" s="90">
        <f t="shared" si="697"/>
        <v>0.37363557765049166</v>
      </c>
      <c r="BS93" s="90">
        <f t="shared" si="697"/>
        <v>0.18018852200966681</v>
      </c>
      <c r="BT93" s="90">
        <f t="shared" si="697"/>
        <v>0.24724997477041072</v>
      </c>
      <c r="BU93" s="90">
        <f t="shared" si="697"/>
        <v>0.29399616829638503</v>
      </c>
      <c r="BV93" s="90">
        <f t="shared" si="697"/>
        <v>0.33845899014438346</v>
      </c>
      <c r="BW93" s="90">
        <f t="shared" si="697"/>
        <v>0.16974681662785526</v>
      </c>
      <c r="BX93" s="90">
        <f t="shared" si="697"/>
        <v>0.2208041608321662</v>
      </c>
      <c r="BY93" s="90">
        <f t="shared" si="697"/>
        <v>0.20350812899786785</v>
      </c>
      <c r="BZ93" s="90">
        <f t="shared" si="697"/>
        <v>0.33914981352900159</v>
      </c>
      <c r="CA93" s="90">
        <f t="shared" si="697"/>
        <v>0.46769069340406338</v>
      </c>
      <c r="CB93" s="90">
        <f t="shared" si="697"/>
        <v>0.22954010868683591</v>
      </c>
      <c r="CC93" s="90">
        <f t="shared" si="697"/>
        <v>0.32289905761196969</v>
      </c>
      <c r="CD93" s="90">
        <f t="shared" si="697"/>
        <v>0.30544433372588081</v>
      </c>
      <c r="CE93" s="90">
        <f t="shared" ref="CE93:CF93" si="698">CE92/CE91</f>
        <v>0.30126621371216766</v>
      </c>
      <c r="CF93" s="90">
        <f t="shared" si="698"/>
        <v>-0.30109553539875117</v>
      </c>
      <c r="CG93" s="90">
        <f t="shared" ref="CG93:CH93" si="699">CG92/CG91</f>
        <v>-0.11811502225718222</v>
      </c>
      <c r="CH93" s="90">
        <f t="shared" si="699"/>
        <v>0.29509728425483844</v>
      </c>
      <c r="CI93" s="90">
        <f t="shared" ref="CI93:CJ93" si="700">CI92/CI91</f>
        <v>0.17798039662639625</v>
      </c>
      <c r="CJ93" s="90">
        <f t="shared" si="700"/>
        <v>0.25137125001676347</v>
      </c>
      <c r="CK93" s="90">
        <f t="shared" ref="CK93" si="701">CK92/CK91</f>
        <v>0.28234192622183368</v>
      </c>
      <c r="CL93" s="90">
        <f t="shared" ref="CL93" si="702">CL92/CL91</f>
        <v>0.26479281813486849</v>
      </c>
      <c r="CM93" s="91">
        <f>AVERAGE(CI93:CL93)*1.03</f>
        <v>0.2514452456824644</v>
      </c>
      <c r="CN93" s="91">
        <f t="shared" ref="CN93:CP93" si="703">AVERAGE(CJ93:CM93)*1.03</f>
        <v>0.27036244431440193</v>
      </c>
      <c r="CO93" s="91">
        <f t="shared" si="703"/>
        <v>0.27525267684604388</v>
      </c>
      <c r="CP93" s="91">
        <f t="shared" si="703"/>
        <v>0.27342719513177804</v>
      </c>
      <c r="CQ93" s="91">
        <f>AVERAGE(CM93:CP93)</f>
        <v>0.26762189049367202</v>
      </c>
      <c r="CR93" s="91">
        <f t="shared" ref="CR93:DB93" si="704">AVERAGE(CN93:CQ93)</f>
        <v>0.27166605169647395</v>
      </c>
      <c r="CS93" s="91">
        <f t="shared" si="704"/>
        <v>0.27199195354199196</v>
      </c>
      <c r="CT93" s="91">
        <f t="shared" si="704"/>
        <v>0.27117677271597901</v>
      </c>
      <c r="CU93" s="91">
        <f t="shared" si="704"/>
        <v>0.27061416711202924</v>
      </c>
      <c r="CV93" s="91">
        <f t="shared" si="704"/>
        <v>0.27136223626661854</v>
      </c>
      <c r="CW93" s="91">
        <f t="shared" si="704"/>
        <v>0.2712862824091547</v>
      </c>
      <c r="CX93" s="91">
        <f t="shared" si="704"/>
        <v>0.27110986462594538</v>
      </c>
      <c r="CY93" s="91">
        <f t="shared" si="704"/>
        <v>0.27109313760343695</v>
      </c>
      <c r="CZ93" s="91">
        <f t="shared" si="704"/>
        <v>0.27121288022628887</v>
      </c>
      <c r="DA93" s="91">
        <f t="shared" si="704"/>
        <v>0.27117554121620646</v>
      </c>
      <c r="DB93" s="91">
        <f t="shared" si="704"/>
        <v>0.27114785591796942</v>
      </c>
      <c r="DE93" s="127"/>
      <c r="DF93" s="90" t="e">
        <v>#DIV/0!</v>
      </c>
      <c r="DG93" s="90">
        <v>0.30169771427995795</v>
      </c>
    </row>
    <row r="94" spans="1:111" s="26" customFormat="1" x14ac:dyDescent="0.2">
      <c r="A94" s="26" t="s">
        <v>22</v>
      </c>
      <c r="B94" s="26">
        <f t="shared" ref="B94:E94" si="705">B91-B92</f>
        <v>0</v>
      </c>
      <c r="C94" s="26">
        <f t="shared" si="705"/>
        <v>0</v>
      </c>
      <c r="D94" s="26">
        <f t="shared" si="705"/>
        <v>0</v>
      </c>
      <c r="E94" s="26">
        <f t="shared" si="705"/>
        <v>0</v>
      </c>
      <c r="F94" s="26">
        <f t="shared" ref="F94:T94" si="706">F91-F92</f>
        <v>0</v>
      </c>
      <c r="G94" s="26">
        <f t="shared" si="706"/>
        <v>0</v>
      </c>
      <c r="H94" s="26">
        <f t="shared" si="706"/>
        <v>0</v>
      </c>
      <c r="I94" s="26">
        <f t="shared" si="706"/>
        <v>0</v>
      </c>
      <c r="J94" s="26">
        <f t="shared" si="706"/>
        <v>0</v>
      </c>
      <c r="K94" s="26">
        <f t="shared" si="706"/>
        <v>0</v>
      </c>
      <c r="L94" s="26">
        <f t="shared" si="706"/>
        <v>0</v>
      </c>
      <c r="M94" s="26">
        <f t="shared" si="706"/>
        <v>0</v>
      </c>
      <c r="N94" s="26">
        <f t="shared" si="706"/>
        <v>0</v>
      </c>
      <c r="O94" s="26">
        <f t="shared" si="706"/>
        <v>-2.7028999999999998E-3</v>
      </c>
      <c r="P94" s="26">
        <f t="shared" si="706"/>
        <v>-6.7499999999999973</v>
      </c>
      <c r="Q94" s="26">
        <f t="shared" si="706"/>
        <v>367.94000000000045</v>
      </c>
      <c r="R94" s="26">
        <f t="shared" si="706"/>
        <v>416.43000000000006</v>
      </c>
      <c r="S94" s="26">
        <f t="shared" si="706"/>
        <v>1142.9400000000003</v>
      </c>
      <c r="T94" s="26">
        <f t="shared" si="706"/>
        <v>559.19999999999959</v>
      </c>
      <c r="U94" s="26">
        <f t="shared" ref="U94:Y94" si="707">U91-U92</f>
        <v>706.48999999999978</v>
      </c>
      <c r="V94" s="26">
        <f t="shared" si="707"/>
        <v>1289.5700000000006</v>
      </c>
      <c r="W94" s="26">
        <f t="shared" si="707"/>
        <v>1235.7500000000002</v>
      </c>
      <c r="X94" s="26">
        <f t="shared" si="707"/>
        <v>1280.599999999999</v>
      </c>
      <c r="Y94" s="26">
        <f t="shared" si="707"/>
        <v>1195.6100000000004</v>
      </c>
      <c r="Z94" s="26">
        <f>Z91-Z92</f>
        <v>2427.7100000000009</v>
      </c>
      <c r="AA94" s="26">
        <f>AA91-AA92</f>
        <v>2392.7500000000005</v>
      </c>
      <c r="AB94" s="27">
        <f t="shared" ref="AB94:AD94" si="708">AB91-AB92</f>
        <v>3803.0227407100056</v>
      </c>
      <c r="AC94" s="27">
        <f t="shared" si="708"/>
        <v>4109.2085887707071</v>
      </c>
      <c r="AD94" s="27">
        <f t="shared" si="708"/>
        <v>5329.1520160092205</v>
      </c>
      <c r="AE94" s="27">
        <f t="shared" ref="AE94" si="709">AE91-AE92</f>
        <v>5869.1199766267964</v>
      </c>
      <c r="AI94" s="26">
        <f>AI91-AI92</f>
        <v>0</v>
      </c>
      <c r="AJ94" s="26">
        <f t="shared" ref="AJ94" si="710">AJ91-AJ92</f>
        <v>0</v>
      </c>
      <c r="AK94" s="26">
        <f t="shared" ref="AK94:AM94" si="711">AK91-AK92</f>
        <v>0</v>
      </c>
      <c r="AL94" s="26">
        <f t="shared" si="711"/>
        <v>0</v>
      </c>
      <c r="AM94" s="26">
        <f t="shared" si="711"/>
        <v>0</v>
      </c>
      <c r="AN94" s="26">
        <f t="shared" ref="AN94:AO94" si="712">AN91-AN92</f>
        <v>0</v>
      </c>
      <c r="AO94" s="26">
        <f t="shared" si="712"/>
        <v>0</v>
      </c>
      <c r="AP94" s="26">
        <f t="shared" ref="AP94:CD94" si="713">AP91-AP92</f>
        <v>0</v>
      </c>
      <c r="AQ94" s="26">
        <f t="shared" si="713"/>
        <v>0</v>
      </c>
      <c r="AR94" s="26">
        <f t="shared" si="713"/>
        <v>0</v>
      </c>
      <c r="AS94" s="26">
        <f t="shared" si="713"/>
        <v>6.17</v>
      </c>
      <c r="AT94" s="26">
        <f t="shared" si="713"/>
        <v>-12.919999999999998</v>
      </c>
      <c r="AU94" s="26">
        <f t="shared" si="713"/>
        <v>30.889999999999993</v>
      </c>
      <c r="AV94" s="26">
        <f t="shared" si="713"/>
        <v>162.19999999999999</v>
      </c>
      <c r="AW94" s="26">
        <f t="shared" si="713"/>
        <v>74.779999999999944</v>
      </c>
      <c r="AX94" s="26">
        <f t="shared" si="713"/>
        <v>100.07999999999998</v>
      </c>
      <c r="AY94" s="26">
        <f t="shared" si="713"/>
        <v>122.71000000000005</v>
      </c>
      <c r="AZ94" s="26">
        <f t="shared" si="713"/>
        <v>99.540000000000049</v>
      </c>
      <c r="BA94" s="26">
        <f t="shared" si="713"/>
        <v>99.28</v>
      </c>
      <c r="BB94" s="26">
        <f t="shared" si="713"/>
        <v>94.90000000000002</v>
      </c>
      <c r="BC94" s="26">
        <f t="shared" si="713"/>
        <v>84.100000000000023</v>
      </c>
      <c r="BD94" s="26">
        <f t="shared" si="713"/>
        <v>66.690000000000026</v>
      </c>
      <c r="BE94" s="26">
        <f t="shared" si="713"/>
        <v>841.88</v>
      </c>
      <c r="BF94" s="26">
        <f t="shared" si="713"/>
        <v>150.27000000000004</v>
      </c>
      <c r="BG94" s="26">
        <f t="shared" si="713"/>
        <v>169.34000000000003</v>
      </c>
      <c r="BH94" s="26">
        <f t="shared" si="713"/>
        <v>54.749999999999886</v>
      </c>
      <c r="BI94" s="26">
        <f t="shared" si="713"/>
        <v>145.72000000000011</v>
      </c>
      <c r="BJ94" s="26">
        <f t="shared" si="713"/>
        <v>141.40000000000003</v>
      </c>
      <c r="BK94" s="26">
        <f t="shared" si="713"/>
        <v>184.47999999999973</v>
      </c>
      <c r="BL94" s="26">
        <f t="shared" si="713"/>
        <v>201.38000000000039</v>
      </c>
      <c r="BM94" s="26">
        <f t="shared" si="713"/>
        <v>173.43999999999986</v>
      </c>
      <c r="BN94" s="26">
        <f t="shared" si="713"/>
        <v>4.5000000000000853</v>
      </c>
      <c r="BO94" s="26">
        <f t="shared" si="713"/>
        <v>332.93000000000006</v>
      </c>
      <c r="BP94" s="26">
        <f t="shared" si="713"/>
        <v>190.42999999999998</v>
      </c>
      <c r="BQ94" s="26">
        <f t="shared" si="713"/>
        <v>440.48</v>
      </c>
      <c r="BR94" s="26">
        <f t="shared" si="713"/>
        <v>231.83000000000007</v>
      </c>
      <c r="BS94" s="26">
        <f t="shared" si="713"/>
        <v>442.69000000000011</v>
      </c>
      <c r="BT94" s="26">
        <f t="shared" si="713"/>
        <v>298.36</v>
      </c>
      <c r="BU94" s="26">
        <f t="shared" si="713"/>
        <v>283.74999999999966</v>
      </c>
      <c r="BV94" s="26">
        <f t="shared" si="713"/>
        <v>239.62999999999991</v>
      </c>
      <c r="BW94" s="26">
        <f t="shared" si="713"/>
        <v>167.56999999999982</v>
      </c>
      <c r="BX94" s="26">
        <f t="shared" si="713"/>
        <v>194.76000000000028</v>
      </c>
      <c r="BY94" s="26">
        <f t="shared" si="713"/>
        <v>478.14999999999981</v>
      </c>
      <c r="BZ94" s="26">
        <f t="shared" si="713"/>
        <v>435.90999999999985</v>
      </c>
      <c r="CA94" s="26">
        <f t="shared" si="713"/>
        <v>182.6299999999998</v>
      </c>
      <c r="CB94" s="26">
        <f t="shared" si="713"/>
        <v>284.97000000000003</v>
      </c>
      <c r="CC94" s="26">
        <f t="shared" si="713"/>
        <v>348.4699999999994</v>
      </c>
      <c r="CD94" s="26">
        <f t="shared" si="713"/>
        <v>383.36000000000024</v>
      </c>
      <c r="CE94" s="26">
        <f t="shared" ref="CE94:CF94" si="714">CE91-CE92</f>
        <v>316.75000000000051</v>
      </c>
      <c r="CF94" s="26">
        <f t="shared" si="714"/>
        <v>773.1500000000002</v>
      </c>
      <c r="CG94" s="26">
        <f t="shared" ref="CG94:CH94" si="715">CG91-CG92</f>
        <v>625.43999999999983</v>
      </c>
      <c r="CH94" s="26">
        <f t="shared" si="715"/>
        <v>686.54000000000042</v>
      </c>
      <c r="CI94" s="26">
        <f t="shared" ref="CI94:CJ94" si="716">CI91-CI92</f>
        <v>540.92999999999972</v>
      </c>
      <c r="CJ94" s="26">
        <f t="shared" si="716"/>
        <v>558.23</v>
      </c>
      <c r="CK94" s="26">
        <f t="shared" ref="CK94" si="717">CK91-CK92</f>
        <v>574.88000000000045</v>
      </c>
      <c r="CL94" s="26">
        <f t="shared" ref="CL94" si="718">CL91-CL92</f>
        <v>669.09000000000083</v>
      </c>
      <c r="CM94" s="27">
        <f t="shared" ref="CM94:DB94" si="719">CM91-CM92</f>
        <v>1057.8478816282618</v>
      </c>
      <c r="CN94" s="27">
        <f t="shared" si="719"/>
        <v>939.27525314115996</v>
      </c>
      <c r="CO94" s="27">
        <f t="shared" si="719"/>
        <v>915.42895856276687</v>
      </c>
      <c r="CP94" s="27">
        <f t="shared" si="719"/>
        <v>890.47064737781307</v>
      </c>
      <c r="CQ94" s="27">
        <f t="shared" si="719"/>
        <v>1043.0369937773487</v>
      </c>
      <c r="CR94" s="27">
        <f t="shared" si="719"/>
        <v>978.96363632783152</v>
      </c>
      <c r="CS94" s="27">
        <f t="shared" si="719"/>
        <v>1004.1301734665365</v>
      </c>
      <c r="CT94" s="27">
        <f t="shared" si="719"/>
        <v>1083.0777851989862</v>
      </c>
      <c r="CU94" s="27">
        <f t="shared" si="719"/>
        <v>1243.0003577195046</v>
      </c>
      <c r="CV94" s="27">
        <f t="shared" si="719"/>
        <v>1208.9971049751671</v>
      </c>
      <c r="CW94" s="27">
        <f t="shared" si="719"/>
        <v>1445.0954756165033</v>
      </c>
      <c r="CX94" s="27">
        <f t="shared" si="719"/>
        <v>1432.0590776980464</v>
      </c>
      <c r="CY94" s="27">
        <f t="shared" si="719"/>
        <v>1445.1422291298704</v>
      </c>
      <c r="CZ94" s="27">
        <f t="shared" si="719"/>
        <v>1398.3520670728547</v>
      </c>
      <c r="DA94" s="27">
        <f t="shared" si="719"/>
        <v>1464.5570453495513</v>
      </c>
      <c r="DB94" s="27">
        <f t="shared" si="719"/>
        <v>1561.0686350745234</v>
      </c>
      <c r="DE94" s="121"/>
      <c r="DF94" s="26">
        <v>0</v>
      </c>
      <c r="DG94" s="26">
        <v>546.0087769190385</v>
      </c>
    </row>
    <row r="95" spans="1:111" s="45" customFormat="1" x14ac:dyDescent="0.2">
      <c r="A95" s="45" t="s">
        <v>107</v>
      </c>
      <c r="B95" s="45" t="e">
        <f t="shared" ref="B95:AE95" si="720">+B94/B61</f>
        <v>#DIV/0!</v>
      </c>
      <c r="C95" s="45" t="e">
        <f t="shared" si="720"/>
        <v>#DIV/0!</v>
      </c>
      <c r="D95" s="45" t="e">
        <f t="shared" si="720"/>
        <v>#DIV/0!</v>
      </c>
      <c r="E95" s="45" t="e">
        <f t="shared" si="720"/>
        <v>#DIV/0!</v>
      </c>
      <c r="F95" s="45" t="e">
        <f t="shared" si="720"/>
        <v>#DIV/0!</v>
      </c>
      <c r="G95" s="45" t="e">
        <f t="shared" si="720"/>
        <v>#DIV/0!</v>
      </c>
      <c r="H95" s="45" t="e">
        <f t="shared" si="720"/>
        <v>#DIV/0!</v>
      </c>
      <c r="I95" s="45" t="e">
        <f t="shared" si="720"/>
        <v>#DIV/0!</v>
      </c>
      <c r="J95" s="45" t="e">
        <f t="shared" si="720"/>
        <v>#DIV/0!</v>
      </c>
      <c r="K95" s="45" t="e">
        <f t="shared" si="720"/>
        <v>#DIV/0!</v>
      </c>
      <c r="L95" s="45" t="e">
        <f t="shared" si="720"/>
        <v>#DIV/0!</v>
      </c>
      <c r="M95" s="45" t="e">
        <f t="shared" si="720"/>
        <v>#DIV/0!</v>
      </c>
      <c r="N95" s="45" t="e">
        <f t="shared" si="720"/>
        <v>#DIV/0!</v>
      </c>
      <c r="O95" s="45" t="e">
        <f t="shared" si="720"/>
        <v>#DIV/0!</v>
      </c>
      <c r="P95" s="45">
        <f t="shared" si="720"/>
        <v>-4.9874390424117017E-2</v>
      </c>
      <c r="Q95" s="45">
        <f t="shared" si="720"/>
        <v>0.16747306566651968</v>
      </c>
      <c r="R95" s="45">
        <f t="shared" si="720"/>
        <v>0.14480945575179696</v>
      </c>
      <c r="S95" s="45">
        <f t="shared" si="720"/>
        <v>0.28975682472721381</v>
      </c>
      <c r="T95" s="45">
        <f t="shared" si="720"/>
        <v>7.6545592673962534E-2</v>
      </c>
      <c r="U95" s="45">
        <f t="shared" si="720"/>
        <v>6.1886166384605396E-2</v>
      </c>
      <c r="V95" s="45">
        <f t="shared" si="720"/>
        <v>0.12991407700529808</v>
      </c>
      <c r="W95" s="45">
        <f t="shared" si="720"/>
        <v>0.1097710685834891</v>
      </c>
      <c r="X95" s="45">
        <f t="shared" si="720"/>
        <v>9.6338446909285613E-2</v>
      </c>
      <c r="Y95" s="45">
        <f t="shared" si="720"/>
        <v>7.1992779105167853E-2</v>
      </c>
      <c r="Z95" s="45">
        <f t="shared" si="720"/>
        <v>0.10214586640602619</v>
      </c>
      <c r="AA95" s="45">
        <f t="shared" ref="AA95" si="721">+AA94/AA61</f>
        <v>8.673145563492575E-2</v>
      </c>
      <c r="AB95" s="48">
        <f t="shared" si="720"/>
        <v>0.11474811578554178</v>
      </c>
      <c r="AC95" s="48">
        <f t="shared" si="720"/>
        <v>0.10347409604280809</v>
      </c>
      <c r="AD95" s="48">
        <f t="shared" si="720"/>
        <v>0.11508684286359919</v>
      </c>
      <c r="AE95" s="48">
        <f t="shared" si="720"/>
        <v>0.1120934642235199</v>
      </c>
      <c r="AI95" s="45" t="e">
        <f t="shared" ref="AI95:BN95" si="722">+AI94/AI61</f>
        <v>#DIV/0!</v>
      </c>
      <c r="AJ95" s="45" t="e">
        <f t="shared" si="722"/>
        <v>#DIV/0!</v>
      </c>
      <c r="AK95" s="45" t="e">
        <f t="shared" si="722"/>
        <v>#DIV/0!</v>
      </c>
      <c r="AL95" s="45" t="e">
        <f t="shared" si="722"/>
        <v>#DIV/0!</v>
      </c>
      <c r="AM95" s="45" t="e">
        <f t="shared" si="722"/>
        <v>#DIV/0!</v>
      </c>
      <c r="AN95" s="45" t="e">
        <f t="shared" si="722"/>
        <v>#DIV/0!</v>
      </c>
      <c r="AO95" s="45" t="e">
        <f t="shared" si="722"/>
        <v>#DIV/0!</v>
      </c>
      <c r="AP95" s="45" t="e">
        <f t="shared" si="722"/>
        <v>#DIV/0!</v>
      </c>
      <c r="AQ95" s="45" t="e">
        <f t="shared" si="722"/>
        <v>#DIV/0!</v>
      </c>
      <c r="AR95" s="45" t="e">
        <f t="shared" si="722"/>
        <v>#DIV/0!</v>
      </c>
      <c r="AS95" s="45">
        <f t="shared" si="722"/>
        <v>0.53886462882096076</v>
      </c>
      <c r="AT95" s="45">
        <f t="shared" si="722"/>
        <v>-0.10429447852760736</v>
      </c>
      <c r="AU95" s="45">
        <f t="shared" si="722"/>
        <v>6.5983125066752094E-2</v>
      </c>
      <c r="AV95" s="45">
        <f t="shared" si="722"/>
        <v>0.28746632638593506</v>
      </c>
      <c r="AW95" s="45">
        <f t="shared" si="722"/>
        <v>0.14203228869895526</v>
      </c>
      <c r="AX95" s="45">
        <f t="shared" si="722"/>
        <v>0.15683570488309406</v>
      </c>
      <c r="AY95" s="45">
        <f t="shared" si="722"/>
        <v>0.1941583202797425</v>
      </c>
      <c r="AZ95" s="45">
        <f t="shared" si="722"/>
        <v>0.14580342756701339</v>
      </c>
      <c r="BA95" s="45">
        <f t="shared" si="722"/>
        <v>0.13614547050272893</v>
      </c>
      <c r="BB95" s="45">
        <f t="shared" si="722"/>
        <v>0.11370444034410872</v>
      </c>
      <c r="BC95" s="45">
        <f t="shared" si="722"/>
        <v>0.13821325269524062</v>
      </c>
      <c r="BD95" s="45">
        <f t="shared" si="722"/>
        <v>8.9507167015622516E-2</v>
      </c>
      <c r="BE95" s="45">
        <f t="shared" si="722"/>
        <v>0.47270603824860469</v>
      </c>
      <c r="BF95" s="45">
        <f t="shared" si="722"/>
        <v>0.18553226164901107</v>
      </c>
      <c r="BG95" s="45">
        <f t="shared" si="722"/>
        <v>0.27282100853874663</v>
      </c>
      <c r="BH95" s="45">
        <f t="shared" si="722"/>
        <v>3.9704122702055832E-2</v>
      </c>
      <c r="BI95" s="45">
        <f t="shared" si="722"/>
        <v>5.3123348097920235E-2</v>
      </c>
      <c r="BJ95" s="45">
        <f t="shared" si="722"/>
        <v>5.5547698738195143E-2</v>
      </c>
      <c r="BK95" s="45">
        <f t="shared" si="722"/>
        <v>6.4546828640205917E-2</v>
      </c>
      <c r="BL95" s="45">
        <f t="shared" si="722"/>
        <v>7.7650960129559798E-2</v>
      </c>
      <c r="BM95" s="45">
        <f t="shared" si="722"/>
        <v>6.2444194821279365E-2</v>
      </c>
      <c r="BN95" s="45">
        <f t="shared" si="722"/>
        <v>1.4120039159575537E-3</v>
      </c>
      <c r="BO95" s="45">
        <f t="shared" ref="BO95:CT95" si="723">+BO94/BO61</f>
        <v>0.13608364568303422</v>
      </c>
      <c r="BP95" s="45">
        <f t="shared" si="723"/>
        <v>8.8317819858175745E-2</v>
      </c>
      <c r="BQ95" s="45">
        <f t="shared" si="723"/>
        <v>0.16960978352111267</v>
      </c>
      <c r="BR95" s="45">
        <f t="shared" si="723"/>
        <v>8.5024994406974252E-2</v>
      </c>
      <c r="BS95" s="45">
        <f t="shared" si="723"/>
        <v>0.15644691039527861</v>
      </c>
      <c r="BT95" s="45">
        <f t="shared" si="723"/>
        <v>0.11739801057668094</v>
      </c>
      <c r="BU95" s="45">
        <f t="shared" si="723"/>
        <v>9.7451660541951327E-2</v>
      </c>
      <c r="BV95" s="45">
        <f t="shared" si="723"/>
        <v>8.0555210052677018E-2</v>
      </c>
      <c r="BW95" s="45">
        <f t="shared" si="723"/>
        <v>5.3504604263253965E-2</v>
      </c>
      <c r="BX95" s="45">
        <f t="shared" si="723"/>
        <v>5.9898876819171665E-2</v>
      </c>
      <c r="BY95" s="45">
        <f t="shared" si="723"/>
        <v>0.13462567221330626</v>
      </c>
      <c r="BZ95" s="45">
        <f t="shared" si="723"/>
        <v>0.12982553325828103</v>
      </c>
      <c r="CA95" s="45">
        <f t="shared" si="723"/>
        <v>4.9845656689165345E-2</v>
      </c>
      <c r="CB95" s="45">
        <f t="shared" si="723"/>
        <v>7.7566707586278233E-2</v>
      </c>
      <c r="CC95" s="45">
        <f t="shared" si="723"/>
        <v>7.6373136258336444E-2</v>
      </c>
      <c r="CD95" s="45">
        <f t="shared" si="723"/>
        <v>8.1447252408723497E-2</v>
      </c>
      <c r="CE95" s="45">
        <f t="shared" si="723"/>
        <v>5.889133688447639E-2</v>
      </c>
      <c r="CF95" s="45">
        <f t="shared" si="723"/>
        <v>0.12503032165208536</v>
      </c>
      <c r="CG95" s="45">
        <f t="shared" si="723"/>
        <v>0.10727480421113292</v>
      </c>
      <c r="CH95" s="45">
        <f t="shared" si="723"/>
        <v>0.10769964452560019</v>
      </c>
      <c r="CI95" s="45">
        <f t="shared" si="723"/>
        <v>7.9323623608357444E-2</v>
      </c>
      <c r="CJ95" s="45">
        <f t="shared" si="723"/>
        <v>8.4633776188895102E-2</v>
      </c>
      <c r="CK95" s="45">
        <f t="shared" si="723"/>
        <v>8.542494780560661E-2</v>
      </c>
      <c r="CL95" s="45">
        <f t="shared" ref="CL95" si="724">+CL94/CL61</f>
        <v>8.9891942654236751E-2</v>
      </c>
      <c r="CM95" s="48">
        <f t="shared" si="723"/>
        <v>0.13140998222916969</v>
      </c>
      <c r="CN95" s="48">
        <f t="shared" si="723"/>
        <v>0.1182092564128899</v>
      </c>
      <c r="CO95" s="48">
        <f t="shared" si="723"/>
        <v>0.10937629076886117</v>
      </c>
      <c r="CP95" s="48">
        <f t="shared" si="723"/>
        <v>0.10145539305199666</v>
      </c>
      <c r="CQ95" s="48">
        <f t="shared" si="723"/>
        <v>0.10926250067929967</v>
      </c>
      <c r="CR95" s="48">
        <f t="shared" si="723"/>
        <v>0.10241577468249707</v>
      </c>
      <c r="CS95" s="48">
        <f t="shared" si="723"/>
        <v>0.10044120195851176</v>
      </c>
      <c r="CT95" s="48">
        <f t="shared" si="723"/>
        <v>0.10207731191431102</v>
      </c>
      <c r="CU95" s="48">
        <f t="shared" ref="CU95:DB95" si="725">+CU94/CU61</f>
        <v>0.11172927220435039</v>
      </c>
      <c r="CV95" s="48">
        <f t="shared" si="725"/>
        <v>0.10938747812380825</v>
      </c>
      <c r="CW95" s="48">
        <f t="shared" si="725"/>
        <v>0.1213143680457044</v>
      </c>
      <c r="CX95" s="48">
        <f t="shared" si="725"/>
        <v>0.11722854441049456</v>
      </c>
      <c r="CY95" s="48">
        <f t="shared" si="725"/>
        <v>0.11389214849853528</v>
      </c>
      <c r="CZ95" s="48">
        <f t="shared" si="725"/>
        <v>0.1102589726047471</v>
      </c>
      <c r="DA95" s="48">
        <f t="shared" si="725"/>
        <v>0.11108119987248569</v>
      </c>
      <c r="DB95" s="48">
        <f t="shared" si="725"/>
        <v>0.1130924250448615</v>
      </c>
      <c r="DE95" s="129"/>
      <c r="DF95" s="45" t="e">
        <v>#DIV/0!</v>
      </c>
      <c r="DG95" s="45">
        <v>7.6451541768706971E-2</v>
      </c>
    </row>
    <row r="96" spans="1:111" s="39" customFormat="1" x14ac:dyDescent="0.2">
      <c r="A96" s="39" t="s">
        <v>451</v>
      </c>
      <c r="C96" s="39" t="e">
        <f t="shared" ref="C96:E96" si="726">+IF(B94&lt;0,1-C94/B94,C94/B94-1)</f>
        <v>#DIV/0!</v>
      </c>
      <c r="D96" s="39" t="e">
        <f t="shared" si="726"/>
        <v>#DIV/0!</v>
      </c>
      <c r="E96" s="39" t="e">
        <f t="shared" si="726"/>
        <v>#DIV/0!</v>
      </c>
      <c r="F96" s="39" t="e">
        <f t="shared" ref="F96:AE96" si="727">+IF(E94&lt;0,1-F94/E94,F94/E94-1)</f>
        <v>#DIV/0!</v>
      </c>
      <c r="G96" s="39" t="e">
        <f t="shared" si="727"/>
        <v>#DIV/0!</v>
      </c>
      <c r="H96" s="39" t="e">
        <f t="shared" si="727"/>
        <v>#DIV/0!</v>
      </c>
      <c r="I96" s="39" t="e">
        <f t="shared" si="727"/>
        <v>#DIV/0!</v>
      </c>
      <c r="J96" s="39" t="e">
        <f t="shared" si="727"/>
        <v>#DIV/0!</v>
      </c>
      <c r="K96" s="39" t="e">
        <f t="shared" si="727"/>
        <v>#DIV/0!</v>
      </c>
      <c r="L96" s="39" t="e">
        <f t="shared" si="727"/>
        <v>#DIV/0!</v>
      </c>
      <c r="M96" s="39" t="e">
        <f t="shared" si="727"/>
        <v>#DIV/0!</v>
      </c>
      <c r="N96" s="39" t="e">
        <f t="shared" si="727"/>
        <v>#DIV/0!</v>
      </c>
      <c r="O96" s="39" t="e">
        <f t="shared" si="727"/>
        <v>#DIV/0!</v>
      </c>
      <c r="P96" s="39">
        <f t="shared" si="727"/>
        <v>-2496.3176958082054</v>
      </c>
      <c r="Q96" s="39">
        <f t="shared" si="727"/>
        <v>55.509629629629721</v>
      </c>
      <c r="R96" s="39">
        <f t="shared" si="727"/>
        <v>0.13178779148774145</v>
      </c>
      <c r="S96" s="39">
        <f t="shared" si="727"/>
        <v>1.7446149412866512</v>
      </c>
      <c r="T96" s="39">
        <f t="shared" si="727"/>
        <v>-0.5107354716783038</v>
      </c>
      <c r="U96" s="39">
        <f t="shared" si="727"/>
        <v>0.26339413447782589</v>
      </c>
      <c r="V96" s="39">
        <f t="shared" si="727"/>
        <v>0.82531953743152919</v>
      </c>
      <c r="W96" s="39">
        <f t="shared" si="727"/>
        <v>-4.173484184650722E-2</v>
      </c>
      <c r="X96" s="39">
        <f t="shared" si="727"/>
        <v>3.6293748735584774E-2</v>
      </c>
      <c r="Y96" s="39">
        <f t="shared" si="727"/>
        <v>-6.6367327815085697E-2</v>
      </c>
      <c r="Z96" s="39">
        <f>+IF(Y94&lt;0,1-Z94/Y94,Z94/Y94-1)</f>
        <v>1.0305199856140383</v>
      </c>
      <c r="AA96" s="39">
        <f>+IF(Z94&lt;0,1-AA94/Z94,AA94/Z94-1)</f>
        <v>-1.440040202495374E-2</v>
      </c>
      <c r="AB96" s="40">
        <f t="shared" si="727"/>
        <v>0.58939410331626996</v>
      </c>
      <c r="AC96" s="40">
        <f t="shared" si="727"/>
        <v>8.0511179905155661E-2</v>
      </c>
      <c r="AD96" s="40">
        <f t="shared" si="727"/>
        <v>0.29688038484399892</v>
      </c>
      <c r="AE96" s="40">
        <f t="shared" si="727"/>
        <v>0.10132342988067644</v>
      </c>
      <c r="AM96" s="39" t="e">
        <f>+IF(AI94&lt;0,1-AM94/AI94,AM94/AI94-1)</f>
        <v>#DIV/0!</v>
      </c>
      <c r="AN96" s="39" t="e">
        <f t="shared" ref="AN96" si="728">+IF(AJ94&lt;0,1-AN94/AJ94,AN94/AJ94-1)</f>
        <v>#DIV/0!</v>
      </c>
      <c r="AO96" s="39" t="e">
        <f t="shared" ref="AO96" si="729">+IF(AK94&lt;0,1-AO94/AK94,AO94/AK94-1)</f>
        <v>#DIV/0!</v>
      </c>
      <c r="AP96" s="39" t="e">
        <f t="shared" ref="AP96" si="730">+IF(AL94&lt;0,1-AP94/AL94,AP94/AL94-1)</f>
        <v>#DIV/0!</v>
      </c>
      <c r="AQ96" s="39" t="e">
        <f t="shared" ref="AQ96" si="731">+IF(AM94&lt;0,1-AQ94/AM94,AQ94/AM94-1)</f>
        <v>#DIV/0!</v>
      </c>
      <c r="AR96" s="39" t="e">
        <f t="shared" ref="AR96" si="732">+IF(AN94&lt;0,1-AR94/AN94,AR94/AN94-1)</f>
        <v>#DIV/0!</v>
      </c>
      <c r="AS96" s="39" t="e">
        <f t="shared" ref="AS96" si="733">+IF(AO94&lt;0,1-AS94/AO94,AS94/AO94-1)</f>
        <v>#DIV/0!</v>
      </c>
      <c r="AT96" s="39" t="e">
        <f t="shared" ref="AT96" si="734">+IF(AP94&lt;0,1-AT94/AP94,AT94/AP94-1)</f>
        <v>#DIV/0!</v>
      </c>
      <c r="AU96" s="39" t="e">
        <f t="shared" ref="AU96" si="735">+IF(AQ94&lt;0,1-AU94/AQ94,AU94/AQ94-1)</f>
        <v>#DIV/0!</v>
      </c>
      <c r="AV96" s="39" t="e">
        <f t="shared" ref="AV96" si="736">+IF(AR94&lt;0,1-AV94/AR94,AV94/AR94-1)</f>
        <v>#DIV/0!</v>
      </c>
      <c r="AW96" s="39">
        <f t="shared" ref="AW96" si="737">+IF(AS94&lt;0,1-AW94/AS94,AW94/AS94-1)</f>
        <v>11.119935170178273</v>
      </c>
      <c r="AX96" s="39">
        <f t="shared" ref="AX96" si="738">+IF(AT94&lt;0,1-AX94/AT94,AX94/AT94-1)</f>
        <v>8.7461300309597512</v>
      </c>
      <c r="AY96" s="39">
        <f t="shared" ref="AY96" si="739">+IF(AU94&lt;0,1-AY94/AU94,AY94/AU94-1)</f>
        <v>2.9724830042084842</v>
      </c>
      <c r="AZ96" s="39">
        <f t="shared" ref="AZ96" si="740">+IF(AV94&lt;0,1-AZ94/AV94,AZ94/AV94-1)</f>
        <v>-0.38631319358816241</v>
      </c>
      <c r="BA96" s="39">
        <f t="shared" ref="BA96" si="741">+IF(AW94&lt;0,1-BA94/AW94,BA94/AW94-1)</f>
        <v>0.32762770794330143</v>
      </c>
      <c r="BB96" s="39">
        <f t="shared" ref="BB96" si="742">+IF(AX94&lt;0,1-BB94/AX94,BB94/AX94-1)</f>
        <v>-5.1758593125499242E-2</v>
      </c>
      <c r="BC96" s="39">
        <f t="shared" ref="BC96" si="743">+IF(AY94&lt;0,1-BC94/AY94,BC94/AY94-1)</f>
        <v>-0.31464428326949734</v>
      </c>
      <c r="BD96" s="39">
        <f t="shared" ref="BD96" si="744">+IF(AZ94&lt;0,1-BD94/AZ94,BD94/AZ94-1)</f>
        <v>-0.33001808318264025</v>
      </c>
      <c r="BE96" s="39">
        <f t="shared" ref="BE96" si="745">+IF(BA94&lt;0,1-BE94/BA94,BE94/BA94-1)</f>
        <v>7.4798549556809029</v>
      </c>
      <c r="BF96" s="39">
        <f t="shared" ref="BF96" si="746">+IF(BB94&lt;0,1-BF94/BB94,BF94/BB94-1)</f>
        <v>0.58345626975763976</v>
      </c>
      <c r="BG96" s="39">
        <f t="shared" ref="BG96" si="747">+IF(BC94&lt;0,1-BG94/BC94,BG94/BC94-1)</f>
        <v>1.0135552913198573</v>
      </c>
      <c r="BH96" s="39">
        <f t="shared" ref="BH96" si="748">+IF(BD94&lt;0,1-BH94/BD94,BH94/BD94-1)</f>
        <v>-0.1790373369320758</v>
      </c>
      <c r="BI96" s="39">
        <f t="shared" ref="BI96" si="749">+IF(BE94&lt;0,1-BI94/BE94,BI94/BE94-1)</f>
        <v>-0.82691119874566432</v>
      </c>
      <c r="BJ96" s="39">
        <f t="shared" ref="BJ96" si="750">+IF(BF94&lt;0,1-BJ94/BF94,BJ94/BF94-1)</f>
        <v>-5.9027084581087408E-2</v>
      </c>
      <c r="BK96" s="39">
        <f t="shared" ref="BK96" si="751">+IF(BG94&lt;0,1-BK94/BG94,BK94/BG94-1)</f>
        <v>8.9405928900435194E-2</v>
      </c>
      <c r="BL96" s="39">
        <f t="shared" ref="BL96" si="752">+IF(BH94&lt;0,1-BL94/BH94,BL94/BH94-1)</f>
        <v>2.6781735159817499</v>
      </c>
      <c r="BM96" s="39">
        <f t="shared" ref="BM96" si="753">+IF(BI94&lt;0,1-BM94/BI94,BM94/BI94-1)</f>
        <v>0.19022783420257827</v>
      </c>
      <c r="BN96" s="39">
        <f t="shared" ref="BN96" si="754">+IF(BJ94&lt;0,1-BN94/BJ94,BN94/BJ94-1)</f>
        <v>-0.96817538896746758</v>
      </c>
      <c r="BO96" s="39">
        <f t="shared" ref="BO96" si="755">+IF(BK94&lt;0,1-BO94/BK94,BO94/BK94-1)</f>
        <v>0.80469427580225794</v>
      </c>
      <c r="BP96" s="39">
        <f t="shared" ref="BP96" si="756">+IF(BL94&lt;0,1-BP94/BL94,BP94/BL94-1)</f>
        <v>-5.4374813784886289E-2</v>
      </c>
      <c r="BQ96" s="39">
        <f t="shared" ref="BQ96" si="757">+IF(BM94&lt;0,1-BQ94/BM94,BQ94/BM94-1)</f>
        <v>1.539667896678969</v>
      </c>
      <c r="BR96" s="39">
        <f t="shared" ref="BR96" si="758">+IF(BN94&lt;0,1-BR94/BN94,BR94/BN94-1)</f>
        <v>50.517777777776814</v>
      </c>
      <c r="BS96" s="39">
        <f t="shared" ref="BS96" si="759">+IF(BO94&lt;0,1-BS94/BO94,BS94/BO94-1)</f>
        <v>0.32967891148289441</v>
      </c>
      <c r="BT96" s="39">
        <f t="shared" ref="BT96" si="760">+IF(BP94&lt;0,1-BT94/BP94,BT94/BP94-1)</f>
        <v>0.56676994171086514</v>
      </c>
      <c r="BU96" s="39">
        <f t="shared" ref="BU96" si="761">+IF(BQ94&lt;0,1-BU94/BQ94,BU94/BQ94-1)</f>
        <v>-0.35581638212858779</v>
      </c>
      <c r="BV96" s="39">
        <f t="shared" ref="BV96" si="762">+IF(BR94&lt;0,1-BV94/BR94,BV94/BR94-1)</f>
        <v>3.3645343570719133E-2</v>
      </c>
      <c r="BW96" s="39">
        <f t="shared" ref="BW96" si="763">+IF(BS94&lt;0,1-BW94/BS94,BW94/BS94-1)</f>
        <v>-0.62147326571641603</v>
      </c>
      <c r="BX96" s="39">
        <f t="shared" ref="BX96" si="764">+IF(BT94&lt;0,1-BX94/BT94,BX94/BT94-1)</f>
        <v>-0.34723153237699333</v>
      </c>
      <c r="BY96" s="39">
        <f t="shared" ref="BY96" si="765">+IF(BU94&lt;0,1-BY94/BU94,BY94/BU94-1)</f>
        <v>0.68511013215859173</v>
      </c>
      <c r="BZ96" s="39">
        <f t="shared" ref="BZ96" si="766">+IF(BV94&lt;0,1-BZ94/BV94,BZ94/BV94-1)</f>
        <v>0.81909610649751707</v>
      </c>
      <c r="CA96" s="39">
        <f t="shared" ref="CA96" si="767">+IF(BW94&lt;0,1-CA94/BW94,CA94/BW94-1)</f>
        <v>8.9872888941934681E-2</v>
      </c>
      <c r="CB96" s="39">
        <f t="shared" ref="CB96" si="768">+IF(BX94&lt;0,1-CB94/BX94,CB94/BX94-1)</f>
        <v>0.46318545902649233</v>
      </c>
      <c r="CC96" s="39">
        <f t="shared" ref="CC96" si="769">+IF(BY94&lt;0,1-CC94/BY94,CC94/BY94-1)</f>
        <v>-0.27121196277318926</v>
      </c>
      <c r="CD96" s="39">
        <f t="shared" ref="CD96" si="770">+IF(BZ94&lt;0,1-CD94/BZ94,CD94/BZ94-1)</f>
        <v>-0.12055240760707397</v>
      </c>
      <c r="CE96" s="39">
        <f t="shared" ref="CE96" si="771">+IF(CA94&lt;0,1-CE94/CA94,CE94/CA94-1)</f>
        <v>0.73438098888463488</v>
      </c>
      <c r="CF96" s="39">
        <f t="shared" ref="CF96" si="772">+IF(CB94&lt;0,1-CF94/CB94,CF94/CB94-1)</f>
        <v>1.7130926062392535</v>
      </c>
      <c r="CG96" s="39">
        <f t="shared" ref="CG96" si="773">+IF(CC94&lt;0,1-CG94/CC94,CG94/CC94-1)</f>
        <v>0.79481734439119833</v>
      </c>
      <c r="CH96" s="39">
        <f t="shared" ref="CH96:CL96" si="774">+IF(CD94&lt;0,1-CH94/CD94,CH94/CD94-1)</f>
        <v>0.79084933222036735</v>
      </c>
      <c r="CI96" s="39">
        <f t="shared" si="774"/>
        <v>0.70775059194948331</v>
      </c>
      <c r="CJ96" s="39">
        <f t="shared" si="774"/>
        <v>-0.27797969346181228</v>
      </c>
      <c r="CK96" s="39">
        <f t="shared" si="774"/>
        <v>-8.0839089281145138E-2</v>
      </c>
      <c r="CL96" s="39">
        <f t="shared" si="774"/>
        <v>-2.5417309989220649E-2</v>
      </c>
      <c r="CM96" s="40">
        <f t="shared" ref="CM96" si="775">+CM94/CI94-1</f>
        <v>0.95560956432119193</v>
      </c>
      <c r="CN96" s="40">
        <f t="shared" ref="CN96" si="776">+CN94/CJ94-1</f>
        <v>0.68259544120015025</v>
      </c>
      <c r="CO96" s="40">
        <f t="shared" ref="CO96" si="777">+CO94/CK94-1</f>
        <v>0.59238268606103217</v>
      </c>
      <c r="CP96" s="40">
        <f t="shared" ref="CP96" si="778">+CP94/CL94-1</f>
        <v>0.33086826492372023</v>
      </c>
      <c r="CQ96" s="40">
        <f t="shared" ref="CQ96" si="779">+CQ94/CM94-1</f>
        <v>-1.4000961866195594E-2</v>
      </c>
      <c r="CR96" s="40">
        <f t="shared" ref="CR96" si="780">+CR94/CN94-1</f>
        <v>4.2254262585907698E-2</v>
      </c>
      <c r="CS96" s="40">
        <f t="shared" ref="CS96" si="781">+CS94/CO94-1</f>
        <v>9.6895793031314348E-2</v>
      </c>
      <c r="CT96" s="40">
        <f t="shared" ref="CT96" si="782">+CT94/CP94-1</f>
        <v>0.21629813221620209</v>
      </c>
      <c r="CU96" s="40">
        <f t="shared" ref="CU96" si="783">+CU94/CQ94-1</f>
        <v>0.19171262873236206</v>
      </c>
      <c r="CV96" s="40">
        <f t="shared" ref="CV96" si="784">+CV94/CR94-1</f>
        <v>0.23497652018026827</v>
      </c>
      <c r="CW96" s="40">
        <f t="shared" ref="CW96" si="785">+CW94/CS94-1</f>
        <v>0.43915153015234276</v>
      </c>
      <c r="CX96" s="40">
        <f t="shared" ref="CX96" si="786">+CX94/CT94-1</f>
        <v>0.322212584606695</v>
      </c>
      <c r="CY96" s="40">
        <f t="shared" ref="CY96" si="787">+CY94/CU94-1</f>
        <v>0.1626241458057418</v>
      </c>
      <c r="CZ96" s="40">
        <f t="shared" ref="CZ96" si="788">+CZ94/CV94-1</f>
        <v>0.15662151821412085</v>
      </c>
      <c r="DA96" s="40">
        <f t="shared" ref="DA96" si="789">+DA94/CW94-1</f>
        <v>1.3467324520371582E-2</v>
      </c>
      <c r="DB96" s="40">
        <f t="shared" ref="DB96" si="790">+DB94/CX94-1</f>
        <v>9.0086756465279638E-2</v>
      </c>
      <c r="DE96" s="122"/>
      <c r="DF96" s="39" t="e">
        <v>#DIV/0!</v>
      </c>
      <c r="DG96" s="39">
        <v>-0.20469488024144522</v>
      </c>
    </row>
    <row r="97" spans="1:111" s="39" customFormat="1" x14ac:dyDescent="0.2">
      <c r="A97" s="39" t="s">
        <v>452</v>
      </c>
      <c r="AB97" s="40"/>
      <c r="AC97" s="40"/>
      <c r="AD97" s="40"/>
      <c r="AE97" s="40"/>
      <c r="AJ97" s="39" t="e">
        <f>+IF(AI94&lt;0,1-AJ94/AI94,AJ94/AI94-1)</f>
        <v>#DIV/0!</v>
      </c>
      <c r="AK97" s="39" t="e">
        <f t="shared" ref="AK97:AM97" si="791">+IF(AJ94&lt;0,1-AK94/AJ94,AK94/AJ94-1)</f>
        <v>#DIV/0!</v>
      </c>
      <c r="AL97" s="39" t="e">
        <f t="shared" si="791"/>
        <v>#DIV/0!</v>
      </c>
      <c r="AM97" s="39" t="e">
        <f t="shared" si="791"/>
        <v>#DIV/0!</v>
      </c>
      <c r="AN97" s="39" t="e">
        <f t="shared" ref="AN97" si="792">+IF(AM94&lt;0,1-AN94/AM94,AN94/AM94-1)</f>
        <v>#DIV/0!</v>
      </c>
      <c r="AO97" s="39" t="e">
        <f t="shared" ref="AO97" si="793">+IF(AN94&lt;0,1-AO94/AN94,AO94/AN94-1)</f>
        <v>#DIV/0!</v>
      </c>
      <c r="AP97" s="39" t="e">
        <f t="shared" ref="AP97" si="794">+IF(AO94&lt;0,1-AP94/AO94,AP94/AO94-1)</f>
        <v>#DIV/0!</v>
      </c>
      <c r="AQ97" s="39" t="e">
        <f t="shared" ref="AQ97" si="795">+IF(AP94&lt;0,1-AQ94/AP94,AQ94/AP94-1)</f>
        <v>#DIV/0!</v>
      </c>
      <c r="AR97" s="39" t="e">
        <f t="shared" ref="AR97" si="796">+IF(AQ94&lt;0,1-AR94/AQ94,AR94/AQ94-1)</f>
        <v>#DIV/0!</v>
      </c>
      <c r="AS97" s="39" t="e">
        <f t="shared" ref="AS97" si="797">+IF(AR94&lt;0,1-AS94/AR94,AS94/AR94-1)</f>
        <v>#DIV/0!</v>
      </c>
      <c r="AT97" s="39">
        <f t="shared" ref="AT97" si="798">+IF(AS94&lt;0,1-AT94/AS94,AT94/AS94-1)</f>
        <v>-3.0940032414910856</v>
      </c>
      <c r="AU97" s="39">
        <f t="shared" ref="AU97" si="799">+IF(AT94&lt;0,1-AU94/AT94,AU94/AT94-1)</f>
        <v>3.3908668730650153</v>
      </c>
      <c r="AV97" s="39">
        <f t="shared" ref="AV97" si="800">+IF(AU94&lt;0,1-AV94/AU94,AV94/AU94-1)</f>
        <v>4.2508902557461967</v>
      </c>
      <c r="AW97" s="39">
        <f t="shared" ref="AW97" si="801">+IF(AV94&lt;0,1-AW94/AV94,AW94/AV94-1)</f>
        <v>-0.53896424167694235</v>
      </c>
      <c r="AX97" s="39">
        <f t="shared" ref="AX97" si="802">+IF(AW94&lt;0,1-AX94/AW94,AX94/AW94-1)</f>
        <v>0.33832575554961308</v>
      </c>
      <c r="AY97" s="39">
        <f t="shared" ref="AY97" si="803">+IF(AX94&lt;0,1-AY94/AX94,AY94/AX94-1)</f>
        <v>0.22611910471622765</v>
      </c>
      <c r="AZ97" s="39">
        <f t="shared" ref="AZ97" si="804">+IF(AY94&lt;0,1-AZ94/AY94,AZ94/AY94-1)</f>
        <v>-0.18881916714204217</v>
      </c>
      <c r="BA97" s="39">
        <f t="shared" ref="BA97" si="805">+IF(AZ94&lt;0,1-BA94/AZ94,BA94/AZ94-1)</f>
        <v>-2.6120152702435728E-3</v>
      </c>
      <c r="BB97" s="39">
        <f t="shared" ref="BB97" si="806">+IF(BA94&lt;0,1-BB94/BA94,BB94/BA94-1)</f>
        <v>-4.4117647058823373E-2</v>
      </c>
      <c r="BC97" s="39">
        <f t="shared" ref="BC97" si="807">+IF(BB94&lt;0,1-BC94/BB94,BC94/BB94-1)</f>
        <v>-0.11380400421496306</v>
      </c>
      <c r="BD97" s="39">
        <f t="shared" ref="BD97" si="808">+IF(BC94&lt;0,1-BD94/BC94,BD94/BC94-1)</f>
        <v>-0.20701545778834707</v>
      </c>
      <c r="BE97" s="39">
        <f t="shared" ref="BE97" si="809">+IF(BD94&lt;0,1-BE94/BD94,BE94/BD94-1)</f>
        <v>11.62378167641325</v>
      </c>
      <c r="BF97" s="39">
        <f t="shared" ref="BF97" si="810">+IF(BE94&lt;0,1-BF94/BE94,BF94/BE94-1)</f>
        <v>-0.82150662802299612</v>
      </c>
      <c r="BG97" s="39">
        <f t="shared" ref="BG97" si="811">+IF(BF94&lt;0,1-BG94/BF94,BG94/BF94-1)</f>
        <v>0.12690490450522396</v>
      </c>
      <c r="BH97" s="39">
        <f t="shared" ref="BH97" si="812">+IF(BG94&lt;0,1-BH94/BG94,BH94/BG94-1)</f>
        <v>-0.6766859572457784</v>
      </c>
      <c r="BI97" s="39">
        <f t="shared" ref="BI97" si="813">+IF(BH94&lt;0,1-BI94/BH94,BI94/BH94-1)</f>
        <v>1.6615525114155325</v>
      </c>
      <c r="BJ97" s="39">
        <f t="shared" ref="BJ97" si="814">+IF(BI94&lt;0,1-BJ94/BI94,BJ94/BI94-1)</f>
        <v>-2.9645896239363645E-2</v>
      </c>
      <c r="BK97" s="39">
        <f t="shared" ref="BK97" si="815">+IF(BJ94&lt;0,1-BK94/BJ94,BK94/BJ94-1)</f>
        <v>0.30466760961810246</v>
      </c>
      <c r="BL97" s="39">
        <f t="shared" ref="BL97" si="816">+IF(BK94&lt;0,1-BL94/BK94,BL94/BK94-1)</f>
        <v>9.1608846487427842E-2</v>
      </c>
      <c r="BM97" s="39">
        <f t="shared" ref="BM97" si="817">+IF(BL94&lt;0,1-BM94/BL94,BM94/BL94-1)</f>
        <v>-0.13874267553878483</v>
      </c>
      <c r="BN97" s="39">
        <f t="shared" ref="BN97" si="818">+IF(BM94&lt;0,1-BN94/BM94,BN94/BM94-1)</f>
        <v>-0.97405442804427989</v>
      </c>
      <c r="BO97" s="39">
        <f t="shared" ref="BO97" si="819">+IF(BN94&lt;0,1-BO94/BN94,BO94/BN94-1)</f>
        <v>72.984444444443056</v>
      </c>
      <c r="BP97" s="39">
        <f t="shared" ref="BP97" si="820">+IF(BO94&lt;0,1-BP94/BO94,BP94/BO94-1)</f>
        <v>-0.42801790166100995</v>
      </c>
      <c r="BQ97" s="39">
        <f t="shared" ref="BQ97" si="821">+IF(BP94&lt;0,1-BQ94/BP94,BQ94/BP94-1)</f>
        <v>1.3130809221236155</v>
      </c>
      <c r="BR97" s="39">
        <f t="shared" ref="BR97" si="822">+IF(BQ94&lt;0,1-BR94/BQ94,BR94/BQ94-1)</f>
        <v>-0.47368779513258252</v>
      </c>
      <c r="BS97" s="39">
        <f t="shared" ref="BS97" si="823">+IF(BR94&lt;0,1-BS94/BR94,BS94/BR94-1)</f>
        <v>0.90954578786179519</v>
      </c>
      <c r="BT97" s="39">
        <f t="shared" ref="BT97" si="824">+IF(BS94&lt;0,1-BT94/BS94,BT94/BS94-1)</f>
        <v>-0.3260295014570016</v>
      </c>
      <c r="BU97" s="39">
        <f t="shared" ref="BU97" si="825">+IF(BT94&lt;0,1-BU94/BT94,BU94/BT94-1)</f>
        <v>-4.8967690038880352E-2</v>
      </c>
      <c r="BV97" s="39">
        <f t="shared" ref="BV97" si="826">+IF(BU94&lt;0,1-BV94/BU94,BV94/BU94-1)</f>
        <v>-0.15548898678414025</v>
      </c>
      <c r="BW97" s="39">
        <f t="shared" ref="BW97" si="827">+IF(BV94&lt;0,1-BW94/BV94,BW94/BV94-1)</f>
        <v>-0.30071360013353965</v>
      </c>
      <c r="BX97" s="39">
        <f t="shared" ref="BX97" si="828">+IF(BW94&lt;0,1-BX94/BW94,BX94/BW94-1)</f>
        <v>0.16226054783076016</v>
      </c>
      <c r="BY97" s="39">
        <f t="shared" ref="BY97" si="829">+IF(BX94&lt;0,1-BY94/BX94,BY94/BX94-1)</f>
        <v>1.4550729102485067</v>
      </c>
      <c r="BZ97" s="39">
        <f t="shared" ref="BZ97" si="830">+IF(BY94&lt;0,1-BZ94/BY94,BZ94/BY94-1)</f>
        <v>-8.8340478929206268E-2</v>
      </c>
      <c r="CA97" s="39">
        <f t="shared" ref="CA97" si="831">+IF(BZ94&lt;0,1-CA94/BZ94,CA94/BZ94-1)</f>
        <v>-0.58103737009933276</v>
      </c>
      <c r="CB97" s="39">
        <f t="shared" ref="CB97" si="832">+IF(CA94&lt;0,1-CB94/CA94,CB94/CA94-1)</f>
        <v>0.56036795707167686</v>
      </c>
      <c r="CC97" s="39">
        <f t="shared" ref="CC97" si="833">+IF(CB94&lt;0,1-CC94/CB94,CC94/CB94-1)</f>
        <v>0.22283047338316098</v>
      </c>
      <c r="CD97" s="39">
        <f t="shared" ref="CD97" si="834">+IF(CC94&lt;0,1-CD94/CC94,CD94/CC94-1)</f>
        <v>0.10012339656211688</v>
      </c>
      <c r="CE97" s="39">
        <f t="shared" ref="CE97" si="835">+IF(CD94&lt;0,1-CE94/CD94,CE94/CD94-1)</f>
        <v>-0.17375313021702754</v>
      </c>
      <c r="CF97" s="39">
        <f t="shared" ref="CF97" si="836">+IF(CE94&lt;0,1-CF94/CE94,CF94/CE94-1)</f>
        <v>1.4408839779005493</v>
      </c>
      <c r="CG97" s="39">
        <f t="shared" ref="CG97" si="837">+IF(CF94&lt;0,1-CG94/CF94,CG94/CF94-1)</f>
        <v>-0.19104960227640222</v>
      </c>
      <c r="CH97" s="39">
        <f t="shared" ref="CH97:CL97" si="838">+IF(CG94&lt;0,1-CH94/CG94,CH94/CG94-1)</f>
        <v>9.7691225377335433E-2</v>
      </c>
      <c r="CI97" s="39">
        <f t="shared" si="838"/>
        <v>-0.21209252192152039</v>
      </c>
      <c r="CJ97" s="39">
        <f t="shared" si="838"/>
        <v>3.1981956999982186E-2</v>
      </c>
      <c r="CK97" s="39">
        <f t="shared" si="838"/>
        <v>2.982641563513333E-2</v>
      </c>
      <c r="CL97" s="39">
        <f t="shared" si="838"/>
        <v>0.1638776788199281</v>
      </c>
      <c r="CM97" s="40">
        <f t="shared" ref="CM97" si="839">+CM94/CL94-1</f>
        <v>0.58102479730418999</v>
      </c>
      <c r="CN97" s="40">
        <f t="shared" ref="CN97" si="840">+CN94/CM94-1</f>
        <v>-0.11208854368039411</v>
      </c>
      <c r="CO97" s="40">
        <f t="shared" ref="CO97" si="841">+CO94/CN94-1</f>
        <v>-2.5387972799927883E-2</v>
      </c>
      <c r="CP97" s="40">
        <f t="shared" ref="CP97" si="842">+CP94/CO94-1</f>
        <v>-2.726406123762859E-2</v>
      </c>
      <c r="CQ97" s="40">
        <f t="shared" ref="CQ97" si="843">+CQ94/CP94-1</f>
        <v>0.17133225766486615</v>
      </c>
      <c r="CR97" s="40">
        <f t="shared" ref="CR97" si="844">+CR94/CQ94-1</f>
        <v>-6.1429611635802184E-2</v>
      </c>
      <c r="CS97" s="40">
        <f t="shared" ref="CS97" si="845">+CS94/CR94-1</f>
        <v>2.5707325793128177E-2</v>
      </c>
      <c r="CT97" s="40">
        <f t="shared" ref="CT97" si="846">+CT94/CS94-1</f>
        <v>7.8622885576578927E-2</v>
      </c>
      <c r="CU97" s="40">
        <f t="shared" ref="CU97" si="847">+CU94/CT94-1</f>
        <v>0.14765566675447683</v>
      </c>
      <c r="CV97" s="40">
        <f t="shared" ref="CV97" si="848">+CV94/CU94-1</f>
        <v>-2.7355786772839119E-2</v>
      </c>
      <c r="CW97" s="40">
        <f t="shared" ref="CW97" si="849">+CW94/CV94-1</f>
        <v>0.19528447973097984</v>
      </c>
      <c r="CX97" s="40">
        <f t="shared" ref="CX97" si="850">+CX94/CW94-1</f>
        <v>-9.0211326091761412E-3</v>
      </c>
      <c r="CY97" s="40">
        <f t="shared" ref="CY97" si="851">+CY94/CX94-1</f>
        <v>9.135902027767262E-3</v>
      </c>
      <c r="CZ97" s="40">
        <f t="shared" ref="CZ97" si="852">+CZ94/CY94-1</f>
        <v>-3.2377548115238741E-2</v>
      </c>
      <c r="DA97" s="40">
        <f t="shared" ref="DA97" si="853">+DA94/CZ94-1</f>
        <v>4.7344999757666484E-2</v>
      </c>
      <c r="DB97" s="40">
        <f t="shared" ref="DB97" si="854">+DB94/DA94-1</f>
        <v>6.5898143081164262E-2</v>
      </c>
      <c r="DE97" s="122"/>
      <c r="DG97" s="39">
        <v>-5.0221303717231325E-2</v>
      </c>
    </row>
    <row r="98" spans="1:111" s="75" customFormat="1" x14ac:dyDescent="0.2">
      <c r="A98" s="23" t="s">
        <v>23</v>
      </c>
      <c r="B98" s="75">
        <f>'Annual Raw'!C32</f>
        <v>0</v>
      </c>
      <c r="C98" s="75">
        <f>'Annual Raw'!D32</f>
        <v>0</v>
      </c>
      <c r="D98" s="75">
        <f>'Annual Raw'!E32</f>
        <v>0</v>
      </c>
      <c r="E98" s="75">
        <f>'Annual Raw'!F32</f>
        <v>0</v>
      </c>
      <c r="F98" s="75">
        <f>'Annual Raw'!G32</f>
        <v>0</v>
      </c>
      <c r="G98" s="75">
        <f>'Annual Raw'!H32</f>
        <v>0</v>
      </c>
      <c r="H98" s="75">
        <f>'Annual Raw'!I32</f>
        <v>0</v>
      </c>
      <c r="I98" s="75">
        <f>'Annual Raw'!J32</f>
        <v>0</v>
      </c>
      <c r="J98" s="75">
        <f>'Annual Raw'!K32</f>
        <v>0</v>
      </c>
      <c r="K98" s="75">
        <f>'Annual Raw'!L32</f>
        <v>0</v>
      </c>
      <c r="L98" s="75">
        <f>'Annual Raw'!M32</f>
        <v>0</v>
      </c>
      <c r="M98" s="75">
        <f>'Annual Raw'!N32</f>
        <v>0</v>
      </c>
      <c r="N98" s="75">
        <f>'Annual Raw'!O32</f>
        <v>0</v>
      </c>
      <c r="O98" s="75">
        <f>'Annual Raw'!P32</f>
        <v>0</v>
      </c>
      <c r="P98" s="75">
        <f>'Annual Raw'!Q32</f>
        <v>0</v>
      </c>
      <c r="Q98" s="75">
        <f>'Annual Raw'!R32</f>
        <v>0</v>
      </c>
      <c r="R98" s="75">
        <f>'Annual Raw'!S32</f>
        <v>0</v>
      </c>
      <c r="S98" s="75">
        <f>'Annual Raw'!T32</f>
        <v>0</v>
      </c>
      <c r="T98" s="75">
        <f>'Annual Raw'!U32</f>
        <v>0</v>
      </c>
      <c r="U98" s="75">
        <f>'Annual Raw'!V32</f>
        <v>35.33</v>
      </c>
      <c r="V98" s="75">
        <f>'Annual Raw'!W32</f>
        <v>-65.53</v>
      </c>
      <c r="W98" s="75">
        <f>'Annual Raw'!X32</f>
        <v>-31.14</v>
      </c>
      <c r="X98" s="75">
        <f>'Annual Raw'!Y32</f>
        <v>-24.27</v>
      </c>
      <c r="Y98" s="75">
        <f>'Annual Raw'!Z32</f>
        <v>-58.33</v>
      </c>
      <c r="Z98" s="75">
        <f>'Annual Raw'!AA32</f>
        <v>138.28</v>
      </c>
      <c r="AA98" s="75">
        <f>'Annual Raw'!AB32</f>
        <v>-110.21</v>
      </c>
      <c r="AB98" s="76">
        <f t="shared" ref="AB98:AB99" si="855">+SUM(CM98:CP98)</f>
        <v>-155.47999999999999</v>
      </c>
      <c r="AC98" s="76">
        <f t="shared" ref="AC98:AC99" si="856">+SUM(CQ98:CT98)</f>
        <v>-155.47999999999999</v>
      </c>
      <c r="AD98" s="76">
        <f t="shared" ref="AD98:AD99" si="857">+SUM(CU98:CX98)</f>
        <v>-155.47999999999999</v>
      </c>
      <c r="AE98" s="76">
        <f t="shared" ref="AE98:AE99" si="858">+SUM(CY98:DB98)</f>
        <v>-155.47999999999999</v>
      </c>
      <c r="AI98" s="75">
        <f>'QTR Raw'!C34</f>
        <v>0</v>
      </c>
      <c r="AJ98" s="75">
        <f>'QTR Raw'!D34</f>
        <v>0</v>
      </c>
      <c r="AK98" s="75">
        <f>'QTR Raw'!E34</f>
        <v>0</v>
      </c>
      <c r="AL98" s="75">
        <f>'QTR Raw'!F34</f>
        <v>0</v>
      </c>
      <c r="AM98" s="75">
        <f>'QTR Raw'!G34</f>
        <v>0</v>
      </c>
      <c r="AN98" s="75">
        <f>'QTR Raw'!H34</f>
        <v>0</v>
      </c>
      <c r="AO98" s="75">
        <f>'QTR Raw'!I34</f>
        <v>0</v>
      </c>
      <c r="AP98" s="75">
        <f>'QTR Raw'!J34</f>
        <v>0</v>
      </c>
      <c r="AQ98" s="75">
        <f>'QTR Raw'!K34</f>
        <v>0</v>
      </c>
      <c r="AR98" s="75">
        <f>'QTR Raw'!L34</f>
        <v>0</v>
      </c>
      <c r="AS98" s="75">
        <f>'QTR Raw'!M34</f>
        <v>0</v>
      </c>
      <c r="AT98" s="75">
        <f>'QTR Raw'!N34</f>
        <v>0</v>
      </c>
      <c r="AU98" s="75">
        <f>'QTR Raw'!O34</f>
        <v>0</v>
      </c>
      <c r="AV98" s="75">
        <f>'QTR Raw'!P34</f>
        <v>0</v>
      </c>
      <c r="AW98" s="75">
        <f>'QTR Raw'!Q34</f>
        <v>0</v>
      </c>
      <c r="AX98" s="75">
        <f>'QTR Raw'!R34</f>
        <v>0</v>
      </c>
      <c r="AY98" s="75">
        <f>'QTR Raw'!S34</f>
        <v>0</v>
      </c>
      <c r="AZ98" s="75">
        <f>'QTR Raw'!T34</f>
        <v>0</v>
      </c>
      <c r="BA98" s="75">
        <f>'QTR Raw'!U34</f>
        <v>0</v>
      </c>
      <c r="BB98" s="75">
        <f>'QTR Raw'!V34</f>
        <v>0</v>
      </c>
      <c r="BC98" s="75">
        <f>'QTR Raw'!W34</f>
        <v>0</v>
      </c>
      <c r="BD98" s="75">
        <f>'QTR Raw'!X34</f>
        <v>0</v>
      </c>
      <c r="BE98" s="75">
        <f>'QTR Raw'!Y34</f>
        <v>0</v>
      </c>
      <c r="BF98" s="75">
        <f>'QTR Raw'!Z34</f>
        <v>0</v>
      </c>
      <c r="BG98" s="75">
        <f>'QTR Raw'!AA34</f>
        <v>0</v>
      </c>
      <c r="BH98" s="75">
        <f>'QTR Raw'!AB34</f>
        <v>0</v>
      </c>
      <c r="BI98" s="75">
        <f>'QTR Raw'!AC34</f>
        <v>0</v>
      </c>
      <c r="BJ98" s="75">
        <f>'QTR Raw'!AD34</f>
        <v>0</v>
      </c>
      <c r="BK98" s="75">
        <f>'QTR Raw'!AE34</f>
        <v>0</v>
      </c>
      <c r="BL98" s="75">
        <f>'QTR Raw'!AF34</f>
        <v>0</v>
      </c>
      <c r="BM98" s="75">
        <f>'QTR Raw'!AG34</f>
        <v>0</v>
      </c>
      <c r="BN98" s="75">
        <f>'QTR Raw'!AH34</f>
        <v>35.33</v>
      </c>
      <c r="BO98" s="75">
        <f>'QTR Raw'!AI34</f>
        <v>28.15</v>
      </c>
      <c r="BP98" s="75">
        <f>'QTR Raw'!AJ34</f>
        <v>-7.37</v>
      </c>
      <c r="BQ98" s="75">
        <f>'QTR Raw'!AK34</f>
        <v>-68.180000000000007</v>
      </c>
      <c r="BR98" s="75">
        <f>'QTR Raw'!AL34</f>
        <v>-18.13</v>
      </c>
      <c r="BS98" s="75">
        <f>'QTR Raw'!AM34</f>
        <v>2.1800000000000002</v>
      </c>
      <c r="BT98" s="75">
        <f>'QTR Raw'!AN34</f>
        <v>-16.27</v>
      </c>
      <c r="BU98" s="75">
        <f>'QTR Raw'!AO34</f>
        <v>-9.64</v>
      </c>
      <c r="BV98" s="75">
        <f>'QTR Raw'!AP34</f>
        <v>-7.41</v>
      </c>
      <c r="BW98" s="75">
        <f>'QTR Raw'!AQ34</f>
        <v>17.53</v>
      </c>
      <c r="BX98" s="75">
        <f>'QTR Raw'!AR34</f>
        <v>11.7</v>
      </c>
      <c r="BY98" s="75">
        <f>'QTR Raw'!AS34</f>
        <v>-3.35</v>
      </c>
      <c r="BZ98" s="75">
        <f>'QTR Raw'!AT34</f>
        <v>-50.15</v>
      </c>
      <c r="CA98" s="75">
        <f>'QTR Raw'!AU34</f>
        <v>-6.92</v>
      </c>
      <c r="CB98" s="75">
        <f>'QTR Raw'!AV34</f>
        <v>-8.2100000000000009</v>
      </c>
      <c r="CC98" s="75">
        <f>'QTR Raw'!AW34</f>
        <v>-23.35</v>
      </c>
      <c r="CD98" s="75">
        <f>'QTR Raw'!AX34</f>
        <v>-19.850000000000001</v>
      </c>
      <c r="CE98" s="75">
        <f>'QTR Raw'!AY34</f>
        <v>366.74</v>
      </c>
      <c r="CF98" s="75">
        <f>'QTR Raw'!AZ34</f>
        <v>-98.43</v>
      </c>
      <c r="CG98" s="75">
        <f>'QTR Raw'!BA34</f>
        <v>-63.52</v>
      </c>
      <c r="CH98" s="75">
        <f>'QTR Raw'!BB34</f>
        <v>-66.510000000000005</v>
      </c>
      <c r="CI98" s="75">
        <f>'QTR Raw'!BC34</f>
        <v>-26.46</v>
      </c>
      <c r="CJ98" s="75">
        <f>'QTR Raw'!BD34</f>
        <v>-23.13</v>
      </c>
      <c r="CK98" s="75">
        <f>'QTR Raw'!BE34</f>
        <v>-21.75</v>
      </c>
      <c r="CL98" s="75">
        <f>'QTR Raw'!BF34</f>
        <v>-38.869999999999997</v>
      </c>
      <c r="CM98" s="76">
        <f t="shared" ref="CM98:CM99" si="859">+CL98</f>
        <v>-38.869999999999997</v>
      </c>
      <c r="CN98" s="76">
        <f t="shared" ref="CN98:CN99" si="860">+CM98</f>
        <v>-38.869999999999997</v>
      </c>
      <c r="CO98" s="76">
        <f t="shared" ref="CO98:CO99" si="861">+CN98</f>
        <v>-38.869999999999997</v>
      </c>
      <c r="CP98" s="76">
        <f t="shared" ref="CP98:CP99" si="862">+CO98</f>
        <v>-38.869999999999997</v>
      </c>
      <c r="CQ98" s="76">
        <f t="shared" ref="CQ98:CQ99" si="863">+CP98</f>
        <v>-38.869999999999997</v>
      </c>
      <c r="CR98" s="76">
        <f t="shared" ref="CR98:CR99" si="864">+CQ98</f>
        <v>-38.869999999999997</v>
      </c>
      <c r="CS98" s="76">
        <f t="shared" ref="CS98:CS99" si="865">+CR98</f>
        <v>-38.869999999999997</v>
      </c>
      <c r="CT98" s="76">
        <f t="shared" ref="CT98:CT99" si="866">+CS98</f>
        <v>-38.869999999999997</v>
      </c>
      <c r="CU98" s="76">
        <f t="shared" ref="CU98:CU99" si="867">+CT98</f>
        <v>-38.869999999999997</v>
      </c>
      <c r="CV98" s="76">
        <f t="shared" ref="CV98:CV99" si="868">+CU98</f>
        <v>-38.869999999999997</v>
      </c>
      <c r="CW98" s="76">
        <f t="shared" ref="CW98:CW99" si="869">+CV98</f>
        <v>-38.869999999999997</v>
      </c>
      <c r="CX98" s="76">
        <f t="shared" ref="CX98:CX99" si="870">+CW98</f>
        <v>-38.869999999999997</v>
      </c>
      <c r="CY98" s="76">
        <f t="shared" ref="CY98:CY99" si="871">+CX98</f>
        <v>-38.869999999999997</v>
      </c>
      <c r="CZ98" s="76">
        <f t="shared" ref="CZ98:CZ99" si="872">+CY98</f>
        <v>-38.869999999999997</v>
      </c>
      <c r="DA98" s="76">
        <f t="shared" ref="DA98:DA99" si="873">+CZ98</f>
        <v>-38.869999999999997</v>
      </c>
      <c r="DB98" s="76">
        <f t="shared" ref="DB98:DB99" si="874">+DA98</f>
        <v>-38.869999999999997</v>
      </c>
      <c r="DE98" s="131"/>
      <c r="DF98" s="75">
        <v>0</v>
      </c>
      <c r="DG98" s="75">
        <v>-21.75</v>
      </c>
    </row>
    <row r="99" spans="1:111" s="75" customFormat="1" x14ac:dyDescent="0.2">
      <c r="A99" s="23" t="s">
        <v>24</v>
      </c>
      <c r="B99" s="75">
        <f>'Annual Raw'!C33+'Annual Raw'!C28</f>
        <v>0</v>
      </c>
      <c r="C99" s="75">
        <f>'Annual Raw'!D33+'Annual Raw'!D28</f>
        <v>0</v>
      </c>
      <c r="D99" s="75">
        <f>'Annual Raw'!E33+'Annual Raw'!E28</f>
        <v>0</v>
      </c>
      <c r="E99" s="75">
        <f>'Annual Raw'!F33+'Annual Raw'!F28</f>
        <v>0</v>
      </c>
      <c r="F99" s="75">
        <f>'Annual Raw'!G33+'Annual Raw'!G28</f>
        <v>0</v>
      </c>
      <c r="G99" s="75">
        <f>'Annual Raw'!H33+'Annual Raw'!H28</f>
        <v>0</v>
      </c>
      <c r="H99" s="75">
        <f>'Annual Raw'!I33+'Annual Raw'!I28</f>
        <v>0</v>
      </c>
      <c r="I99" s="75">
        <f>'Annual Raw'!J33+'Annual Raw'!J28</f>
        <v>0</v>
      </c>
      <c r="J99" s="75">
        <f>'Annual Raw'!K33+'Annual Raw'!K28</f>
        <v>0</v>
      </c>
      <c r="K99" s="75">
        <f>'Annual Raw'!L33+'Annual Raw'!L28</f>
        <v>0</v>
      </c>
      <c r="L99" s="75">
        <f>'Annual Raw'!M33+'Annual Raw'!M28</f>
        <v>0</v>
      </c>
      <c r="M99" s="75">
        <f>'Annual Raw'!N33+'Annual Raw'!N28</f>
        <v>0</v>
      </c>
      <c r="N99" s="75">
        <f>'Annual Raw'!O33+'Annual Raw'!O28</f>
        <v>0</v>
      </c>
      <c r="O99" s="75">
        <f>'Annual Raw'!P33+'Annual Raw'!P28</f>
        <v>0</v>
      </c>
      <c r="P99" s="75">
        <f>'Annual Raw'!Q33+'Annual Raw'!Q28</f>
        <v>0</v>
      </c>
      <c r="Q99" s="75">
        <f>'Annual Raw'!R33+'Annual Raw'!R28</f>
        <v>0</v>
      </c>
      <c r="R99" s="75">
        <f>'Annual Raw'!S33+'Annual Raw'!S28</f>
        <v>0</v>
      </c>
      <c r="S99" s="75">
        <f>'Annual Raw'!T33+'Annual Raw'!T28</f>
        <v>0</v>
      </c>
      <c r="T99" s="75">
        <f>'Annual Raw'!U33+'Annual Raw'!U28</f>
        <v>0</v>
      </c>
      <c r="U99" s="75">
        <f>'Annual Raw'!V33+'Annual Raw'!V28</f>
        <v>0</v>
      </c>
      <c r="V99" s="75">
        <f>'Annual Raw'!W33+'Annual Raw'!W28</f>
        <v>0</v>
      </c>
      <c r="W99" s="75">
        <f>'Annual Raw'!X33+'Annual Raw'!X28</f>
        <v>0</v>
      </c>
      <c r="X99" s="75">
        <f>'Annual Raw'!Y33+'Annual Raw'!Y28</f>
        <v>0</v>
      </c>
      <c r="Y99" s="75">
        <f>'Annual Raw'!Z33+'Annual Raw'!Z28</f>
        <v>0</v>
      </c>
      <c r="Z99" s="75">
        <f>'Annual Raw'!AA33+'Annual Raw'!AA28</f>
        <v>0</v>
      </c>
      <c r="AA99" s="75">
        <f>'Annual Raw'!AB33+'Annual Raw'!AB28</f>
        <v>0</v>
      </c>
      <c r="AB99" s="76">
        <f t="shared" si="855"/>
        <v>0</v>
      </c>
      <c r="AC99" s="76">
        <f t="shared" si="856"/>
        <v>0</v>
      </c>
      <c r="AD99" s="76">
        <f t="shared" si="857"/>
        <v>0</v>
      </c>
      <c r="AE99" s="76">
        <f t="shared" si="858"/>
        <v>0</v>
      </c>
      <c r="AI99" s="75">
        <f>'QTR Raw'!C35</f>
        <v>0</v>
      </c>
      <c r="AJ99" s="75">
        <f>'QTR Raw'!D35</f>
        <v>0</v>
      </c>
      <c r="AK99" s="75">
        <f>'QTR Raw'!E35</f>
        <v>0</v>
      </c>
      <c r="AL99" s="75">
        <f>'QTR Raw'!F35</f>
        <v>0</v>
      </c>
      <c r="AM99" s="75">
        <f>'QTR Raw'!G35</f>
        <v>0</v>
      </c>
      <c r="AN99" s="75">
        <f>'QTR Raw'!H35</f>
        <v>0</v>
      </c>
      <c r="AO99" s="75">
        <f>'QTR Raw'!I35</f>
        <v>0</v>
      </c>
      <c r="AP99" s="75">
        <f>'QTR Raw'!J35</f>
        <v>0</v>
      </c>
      <c r="AQ99" s="75">
        <f>'QTR Raw'!K35</f>
        <v>0</v>
      </c>
      <c r="AR99" s="75">
        <f>'QTR Raw'!L35</f>
        <v>0</v>
      </c>
      <c r="AS99" s="75">
        <f>'QTR Raw'!M35</f>
        <v>0</v>
      </c>
      <c r="AT99" s="75">
        <f>'QTR Raw'!N35</f>
        <v>0</v>
      </c>
      <c r="AU99" s="75">
        <f>'QTR Raw'!O35</f>
        <v>0</v>
      </c>
      <c r="AV99" s="75">
        <f>'QTR Raw'!P35</f>
        <v>0</v>
      </c>
      <c r="AW99" s="75">
        <f>'QTR Raw'!Q35</f>
        <v>0</v>
      </c>
      <c r="AX99" s="75">
        <f>'QTR Raw'!R35</f>
        <v>0</v>
      </c>
      <c r="AY99" s="75">
        <f>'QTR Raw'!S35</f>
        <v>0</v>
      </c>
      <c r="AZ99" s="75">
        <f>'QTR Raw'!T35</f>
        <v>0</v>
      </c>
      <c r="BA99" s="75">
        <f>'QTR Raw'!U35</f>
        <v>0</v>
      </c>
      <c r="BB99" s="75">
        <f>'QTR Raw'!V35</f>
        <v>0</v>
      </c>
      <c r="BC99" s="75">
        <f>'QTR Raw'!W35</f>
        <v>0</v>
      </c>
      <c r="BD99" s="75">
        <f>'QTR Raw'!X35</f>
        <v>0</v>
      </c>
      <c r="BE99" s="75">
        <f>'QTR Raw'!Y35</f>
        <v>0</v>
      </c>
      <c r="BF99" s="75">
        <f>'QTR Raw'!Z35</f>
        <v>0</v>
      </c>
      <c r="BG99" s="75">
        <f>'QTR Raw'!AA35</f>
        <v>0</v>
      </c>
      <c r="BH99" s="75">
        <f>'QTR Raw'!AB35</f>
        <v>0</v>
      </c>
      <c r="BI99" s="75">
        <f>'QTR Raw'!AC35</f>
        <v>0</v>
      </c>
      <c r="BJ99" s="75">
        <f>'QTR Raw'!AD35</f>
        <v>0</v>
      </c>
      <c r="BK99" s="75">
        <f>'QTR Raw'!AE35</f>
        <v>0</v>
      </c>
      <c r="BL99" s="75">
        <f>'QTR Raw'!AF35</f>
        <v>0</v>
      </c>
      <c r="BM99" s="75">
        <f>'QTR Raw'!AG35</f>
        <v>0</v>
      </c>
      <c r="BN99" s="75">
        <f>'QTR Raw'!AH35</f>
        <v>0</v>
      </c>
      <c r="BO99" s="75">
        <f>'QTR Raw'!AI35</f>
        <v>0</v>
      </c>
      <c r="BP99" s="75">
        <f>'QTR Raw'!AJ35</f>
        <v>0</v>
      </c>
      <c r="BQ99" s="75">
        <f>'QTR Raw'!AK35</f>
        <v>0</v>
      </c>
      <c r="BR99" s="75">
        <f>'QTR Raw'!AL35</f>
        <v>0</v>
      </c>
      <c r="BS99" s="75">
        <f>'QTR Raw'!AM35</f>
        <v>0</v>
      </c>
      <c r="BT99" s="75">
        <f>'QTR Raw'!AN35</f>
        <v>0</v>
      </c>
      <c r="BU99" s="75">
        <f>'QTR Raw'!AO35</f>
        <v>0</v>
      </c>
      <c r="BV99" s="75">
        <f>'QTR Raw'!AP35</f>
        <v>0</v>
      </c>
      <c r="BW99" s="75">
        <f>'QTR Raw'!AQ35</f>
        <v>0</v>
      </c>
      <c r="BX99" s="75">
        <f>'QTR Raw'!AR35</f>
        <v>0</v>
      </c>
      <c r="BY99" s="75">
        <f>'QTR Raw'!AS35</f>
        <v>0</v>
      </c>
      <c r="BZ99" s="75">
        <f>'QTR Raw'!AT35</f>
        <v>0</v>
      </c>
      <c r="CA99" s="75">
        <f>'QTR Raw'!AU35</f>
        <v>0</v>
      </c>
      <c r="CB99" s="75">
        <f>'QTR Raw'!AV35</f>
        <v>0</v>
      </c>
      <c r="CC99" s="75">
        <f>'QTR Raw'!AW35</f>
        <v>0</v>
      </c>
      <c r="CD99" s="75">
        <f>'QTR Raw'!AX35</f>
        <v>0</v>
      </c>
      <c r="CE99" s="75">
        <f>'QTR Raw'!AY35</f>
        <v>0</v>
      </c>
      <c r="CF99" s="75">
        <f>'QTR Raw'!AZ35</f>
        <v>0</v>
      </c>
      <c r="CG99" s="75">
        <f>'QTR Raw'!BA35</f>
        <v>0</v>
      </c>
      <c r="CH99" s="75">
        <f>'QTR Raw'!BB35</f>
        <v>0</v>
      </c>
      <c r="CI99" s="75">
        <f>'QTR Raw'!BC35</f>
        <v>0</v>
      </c>
      <c r="CJ99" s="75">
        <f>'QTR Raw'!BD35</f>
        <v>0</v>
      </c>
      <c r="CK99" s="75">
        <f>'QTR Raw'!BE35</f>
        <v>0</v>
      </c>
      <c r="CL99" s="75">
        <f>'QTR Raw'!BF35</f>
        <v>0</v>
      </c>
      <c r="CM99" s="76">
        <f t="shared" si="859"/>
        <v>0</v>
      </c>
      <c r="CN99" s="76">
        <f t="shared" si="860"/>
        <v>0</v>
      </c>
      <c r="CO99" s="76">
        <f t="shared" si="861"/>
        <v>0</v>
      </c>
      <c r="CP99" s="76">
        <f t="shared" si="862"/>
        <v>0</v>
      </c>
      <c r="CQ99" s="76">
        <f t="shared" si="863"/>
        <v>0</v>
      </c>
      <c r="CR99" s="76">
        <f t="shared" si="864"/>
        <v>0</v>
      </c>
      <c r="CS99" s="76">
        <f t="shared" si="865"/>
        <v>0</v>
      </c>
      <c r="CT99" s="76">
        <f t="shared" si="866"/>
        <v>0</v>
      </c>
      <c r="CU99" s="76">
        <f t="shared" si="867"/>
        <v>0</v>
      </c>
      <c r="CV99" s="76">
        <f t="shared" si="868"/>
        <v>0</v>
      </c>
      <c r="CW99" s="76">
        <f t="shared" si="869"/>
        <v>0</v>
      </c>
      <c r="CX99" s="76">
        <f t="shared" si="870"/>
        <v>0</v>
      </c>
      <c r="CY99" s="76">
        <f t="shared" si="871"/>
        <v>0</v>
      </c>
      <c r="CZ99" s="76">
        <f t="shared" si="872"/>
        <v>0</v>
      </c>
      <c r="DA99" s="76">
        <f t="shared" si="873"/>
        <v>0</v>
      </c>
      <c r="DB99" s="76">
        <f t="shared" si="874"/>
        <v>0</v>
      </c>
      <c r="DE99" s="131"/>
      <c r="DF99" s="75">
        <v>0</v>
      </c>
      <c r="DG99" s="75">
        <v>0</v>
      </c>
    </row>
    <row r="100" spans="1:111" s="23" customFormat="1" x14ac:dyDescent="0.2">
      <c r="A100" s="23" t="s">
        <v>19</v>
      </c>
      <c r="B100" s="75">
        <f>'Annual Raw'!C29+'Annual Raw'!C31+'Annual Raw'!C34+'Annual Raw'!C36</f>
        <v>0</v>
      </c>
      <c r="C100" s="75">
        <f>'Annual Raw'!D29+'Annual Raw'!D31+'Annual Raw'!D34+'Annual Raw'!D36</f>
        <v>0</v>
      </c>
      <c r="D100" s="75">
        <f>'Annual Raw'!E29+'Annual Raw'!E31+'Annual Raw'!E34+'Annual Raw'!E36</f>
        <v>0</v>
      </c>
      <c r="E100" s="75">
        <f>'Annual Raw'!F29+'Annual Raw'!F31+'Annual Raw'!F34+'Annual Raw'!F36</f>
        <v>0</v>
      </c>
      <c r="F100" s="75">
        <f>'Annual Raw'!G29+'Annual Raw'!G31+'Annual Raw'!G34+'Annual Raw'!G36</f>
        <v>0</v>
      </c>
      <c r="G100" s="75">
        <f>'Annual Raw'!H29+'Annual Raw'!H31+'Annual Raw'!H34+'Annual Raw'!H36</f>
        <v>0</v>
      </c>
      <c r="H100" s="75">
        <f>'Annual Raw'!I29+'Annual Raw'!I31+'Annual Raw'!I34+'Annual Raw'!I36</f>
        <v>0</v>
      </c>
      <c r="I100" s="75">
        <f>'Annual Raw'!J29+'Annual Raw'!J31+'Annual Raw'!J34+'Annual Raw'!J36</f>
        <v>0</v>
      </c>
      <c r="J100" s="75">
        <f>'Annual Raw'!K29+'Annual Raw'!K31+'Annual Raw'!K34+'Annual Raw'!K36</f>
        <v>0</v>
      </c>
      <c r="K100" s="75">
        <f>'Annual Raw'!L29+'Annual Raw'!L31+'Annual Raw'!L34+'Annual Raw'!L36</f>
        <v>0</v>
      </c>
      <c r="L100" s="75">
        <f>'Annual Raw'!M29+'Annual Raw'!M31+'Annual Raw'!M34+'Annual Raw'!M36</f>
        <v>0</v>
      </c>
      <c r="M100" s="75">
        <f>'Annual Raw'!N29+'Annual Raw'!N31+'Annual Raw'!N34+'Annual Raw'!N36</f>
        <v>0</v>
      </c>
      <c r="N100" s="75">
        <f>'Annual Raw'!O29+'Annual Raw'!O31+'Annual Raw'!O34+'Annual Raw'!O36</f>
        <v>0</v>
      </c>
      <c r="O100" s="75">
        <f>'Annual Raw'!P29+'Annual Raw'!P31+'Annual Raw'!P34+'Annual Raw'!P36</f>
        <v>0</v>
      </c>
      <c r="P100" s="75">
        <f>'Annual Raw'!Q29+'Annual Raw'!Q31+'Annual Raw'!Q34+'Annual Raw'!Q36</f>
        <v>0</v>
      </c>
      <c r="Q100" s="75">
        <f>'Annual Raw'!R29+'Annual Raw'!R31+'Annual Raw'!R34+'Annual Raw'!R36</f>
        <v>0</v>
      </c>
      <c r="R100" s="75">
        <f>'Annual Raw'!S29+'Annual Raw'!S31+'Annual Raw'!S34+'Annual Raw'!S36</f>
        <v>0</v>
      </c>
      <c r="S100" s="75">
        <f>'Annual Raw'!T29+'Annual Raw'!T31+'Annual Raw'!T34+'Annual Raw'!T36</f>
        <v>0</v>
      </c>
      <c r="T100" s="75">
        <f>'Annual Raw'!U29+'Annual Raw'!U31+'Annual Raw'!U34+'Annual Raw'!U36</f>
        <v>0</v>
      </c>
      <c r="U100" s="75">
        <f>'Annual Raw'!V29+'Annual Raw'!V31+'Annual Raw'!V34+'Annual Raw'!V36</f>
        <v>0</v>
      </c>
      <c r="V100" s="75">
        <f>'Annual Raw'!W29+'Annual Raw'!W31+'Annual Raw'!W34+'Annual Raw'!W36</f>
        <v>0</v>
      </c>
      <c r="W100" s="75">
        <f>'Annual Raw'!X29+'Annual Raw'!X31+'Annual Raw'!X34+'Annual Raw'!X36</f>
        <v>0</v>
      </c>
      <c r="X100" s="75">
        <f>'Annual Raw'!Y29+'Annual Raw'!Y31+'Annual Raw'!Y34+'Annual Raw'!Y36</f>
        <v>0</v>
      </c>
      <c r="Y100" s="75">
        <f>'Annual Raw'!Z29+'Annual Raw'!Z31+'Annual Raw'!Z34+'Annual Raw'!Z36</f>
        <v>0</v>
      </c>
      <c r="Z100" s="75">
        <f>'Annual Raw'!AA29+'Annual Raw'!AA31+'Annual Raw'!AA34+'Annual Raw'!AA36</f>
        <v>-1506.02</v>
      </c>
      <c r="AA100" s="75">
        <f>'Annual Raw'!AB29+'Annual Raw'!AB31+'Annual Raw'!AB34+'Annual Raw'!AB36</f>
        <v>0</v>
      </c>
      <c r="AB100" s="76">
        <f>+SUM(CM100:CP100)</f>
        <v>0</v>
      </c>
      <c r="AC100" s="76">
        <f>+SUM(CQ100:CT100)</f>
        <v>0</v>
      </c>
      <c r="AD100" s="76">
        <f>+SUM(CU100:CX100)</f>
        <v>0</v>
      </c>
      <c r="AE100" s="76">
        <f>+SUM(CY100:DB100)</f>
        <v>0</v>
      </c>
      <c r="AI100" s="75">
        <f>'QTR Raw'!C26+'QTR Raw'!C31+'QTR Raw'!C32+'QTR Raw'!C33+'QTR Raw'!C36+'QTR Raw'!C37+'QTR Raw'!C39</f>
        <v>0</v>
      </c>
      <c r="AJ100" s="75">
        <f>'QTR Raw'!D26+'QTR Raw'!D31+'QTR Raw'!D32+'QTR Raw'!D33+'QTR Raw'!D36+'QTR Raw'!D37+'QTR Raw'!D39</f>
        <v>0</v>
      </c>
      <c r="AK100" s="75">
        <f>'QTR Raw'!E26+'QTR Raw'!E31+'QTR Raw'!E32+'QTR Raw'!E33+'QTR Raw'!E36+'QTR Raw'!E37+'QTR Raw'!E39</f>
        <v>0</v>
      </c>
      <c r="AL100" s="75">
        <f>'QTR Raw'!F26+'QTR Raw'!F31+'QTR Raw'!F32+'QTR Raw'!F33+'QTR Raw'!F36+'QTR Raw'!F37+'QTR Raw'!F39</f>
        <v>0</v>
      </c>
      <c r="AM100" s="75">
        <f>'QTR Raw'!G26+'QTR Raw'!G31+'QTR Raw'!G32+'QTR Raw'!G33+'QTR Raw'!G36+'QTR Raw'!G37+'QTR Raw'!G39</f>
        <v>0</v>
      </c>
      <c r="AN100" s="75">
        <f>'QTR Raw'!H26+'QTR Raw'!H31+'QTR Raw'!H32+'QTR Raw'!H33+'QTR Raw'!H36+'QTR Raw'!H37+'QTR Raw'!H39</f>
        <v>0</v>
      </c>
      <c r="AO100" s="75">
        <f>'QTR Raw'!I26+'QTR Raw'!I31+'QTR Raw'!I32+'QTR Raw'!I33+'QTR Raw'!I36+'QTR Raw'!I37+'QTR Raw'!I39</f>
        <v>0</v>
      </c>
      <c r="AP100" s="75">
        <f>'QTR Raw'!J26+'QTR Raw'!J31+'QTR Raw'!J32+'QTR Raw'!J33+'QTR Raw'!J36+'QTR Raw'!J37+'QTR Raw'!J39</f>
        <v>0</v>
      </c>
      <c r="AQ100" s="75">
        <f>'QTR Raw'!K26+'QTR Raw'!K31+'QTR Raw'!K32+'QTR Raw'!K33+'QTR Raw'!K36+'QTR Raw'!K37+'QTR Raw'!K39</f>
        <v>0</v>
      </c>
      <c r="AR100" s="75">
        <f>'QTR Raw'!L26+'QTR Raw'!L31+'QTR Raw'!L32+'QTR Raw'!L33+'QTR Raw'!L36+'QTR Raw'!L37+'QTR Raw'!L39</f>
        <v>0</v>
      </c>
      <c r="AS100" s="75">
        <f>'QTR Raw'!M26+'QTR Raw'!M31+'QTR Raw'!M32+'QTR Raw'!M33+'QTR Raw'!M36+'QTR Raw'!M37+'QTR Raw'!M39</f>
        <v>0</v>
      </c>
      <c r="AT100" s="75">
        <f>'QTR Raw'!N26+'QTR Raw'!N31+'QTR Raw'!N32+'QTR Raw'!N33+'QTR Raw'!N36+'QTR Raw'!N37+'QTR Raw'!N39</f>
        <v>0</v>
      </c>
      <c r="AU100" s="75">
        <f>'QTR Raw'!O26+'QTR Raw'!O31+'QTR Raw'!O32+'QTR Raw'!O33+'QTR Raw'!O36+'QTR Raw'!O37+'QTR Raw'!O39</f>
        <v>0</v>
      </c>
      <c r="AV100" s="75">
        <f>'QTR Raw'!P26+'QTR Raw'!P31+'QTR Raw'!P32+'QTR Raw'!P33+'QTR Raw'!P36+'QTR Raw'!P37+'QTR Raw'!P39</f>
        <v>0</v>
      </c>
      <c r="AW100" s="75">
        <f>'QTR Raw'!Q26+'QTR Raw'!Q31+'QTR Raw'!Q32+'QTR Raw'!Q33+'QTR Raw'!Q36+'QTR Raw'!Q37+'QTR Raw'!Q39</f>
        <v>0</v>
      </c>
      <c r="AX100" s="75">
        <f>'QTR Raw'!R26+'QTR Raw'!R31+'QTR Raw'!R32+'QTR Raw'!R33+'QTR Raw'!R36+'QTR Raw'!R37+'QTR Raw'!R39</f>
        <v>0</v>
      </c>
      <c r="AY100" s="75">
        <f>'QTR Raw'!S26+'QTR Raw'!S31+'QTR Raw'!S32+'QTR Raw'!S33+'QTR Raw'!S36+'QTR Raw'!S37+'QTR Raw'!S39</f>
        <v>0</v>
      </c>
      <c r="AZ100" s="75">
        <f>'QTR Raw'!T26+'QTR Raw'!T31+'QTR Raw'!T32+'QTR Raw'!T33+'QTR Raw'!T36+'QTR Raw'!T37+'QTR Raw'!T39</f>
        <v>0</v>
      </c>
      <c r="BA100" s="75">
        <f>'QTR Raw'!U26+'QTR Raw'!U31+'QTR Raw'!U32+'QTR Raw'!U33+'QTR Raw'!U36+'QTR Raw'!U37+'QTR Raw'!U39</f>
        <v>0</v>
      </c>
      <c r="BB100" s="75">
        <f>'QTR Raw'!V26+'QTR Raw'!V31+'QTR Raw'!V32+'QTR Raw'!V33+'QTR Raw'!V36+'QTR Raw'!V37+'QTR Raw'!V39</f>
        <v>0</v>
      </c>
      <c r="BC100" s="75">
        <f>'QTR Raw'!W26+'QTR Raw'!W31+'QTR Raw'!W32+'QTR Raw'!W33+'QTR Raw'!W36+'QTR Raw'!W37+'QTR Raw'!W39</f>
        <v>0</v>
      </c>
      <c r="BD100" s="75">
        <f>'QTR Raw'!X26+'QTR Raw'!X31+'QTR Raw'!X32+'QTR Raw'!X33+'QTR Raw'!X36+'QTR Raw'!X37+'QTR Raw'!X39</f>
        <v>0</v>
      </c>
      <c r="BE100" s="75">
        <f>'QTR Raw'!Y26+'QTR Raw'!Y31+'QTR Raw'!Y32+'QTR Raw'!Y33+'QTR Raw'!Y36+'QTR Raw'!Y37+'QTR Raw'!Y39</f>
        <v>0</v>
      </c>
      <c r="BF100" s="75">
        <f>'QTR Raw'!Z26+'QTR Raw'!Z31+'QTR Raw'!Z32+'QTR Raw'!Z33+'QTR Raw'!Z36+'QTR Raw'!Z37+'QTR Raw'!Z39</f>
        <v>0</v>
      </c>
      <c r="BG100" s="75">
        <f>'QTR Raw'!AA26+'QTR Raw'!AA31+'QTR Raw'!AA32+'QTR Raw'!AA33+'QTR Raw'!AA36+'QTR Raw'!AA37+'QTR Raw'!AA39</f>
        <v>0</v>
      </c>
      <c r="BH100" s="75">
        <f>'QTR Raw'!AB26+'QTR Raw'!AB31+'QTR Raw'!AB32+'QTR Raw'!AB33+'QTR Raw'!AB36+'QTR Raw'!AB37+'QTR Raw'!AB39</f>
        <v>34.75</v>
      </c>
      <c r="BI100" s="75">
        <f>'QTR Raw'!AC26+'QTR Raw'!AC31+'QTR Raw'!AC32+'QTR Raw'!AC33+'QTR Raw'!AC36+'QTR Raw'!AC37+'QTR Raw'!AC39</f>
        <v>7.94</v>
      </c>
      <c r="BJ100" s="75">
        <f>'QTR Raw'!AD26+'QTR Raw'!AD31+'QTR Raw'!AD32+'QTR Raw'!AD33+'QTR Raw'!AD36+'QTR Raw'!AD37+'QTR Raw'!AD39</f>
        <v>5.3</v>
      </c>
      <c r="BK100" s="75">
        <f>'QTR Raw'!AE26+'QTR Raw'!AE31+'QTR Raw'!AE32+'QTR Raw'!AE33+'QTR Raw'!AE36+'QTR Raw'!AE37+'QTR Raw'!AE39</f>
        <v>28.94</v>
      </c>
      <c r="BL100" s="75">
        <f>'QTR Raw'!AF26+'QTR Raw'!AF31+'QTR Raw'!AF32+'QTR Raw'!AF33+'QTR Raw'!AF36+'QTR Raw'!AF37+'QTR Raw'!AF39</f>
        <v>29.05</v>
      </c>
      <c r="BM100" s="75">
        <f>'QTR Raw'!AG26+'QTR Raw'!AG31+'QTR Raw'!AG32+'QTR Raw'!AG33+'QTR Raw'!AG36+'QTR Raw'!AG37+'QTR Raw'!AG39</f>
        <v>30.23</v>
      </c>
      <c r="BN100" s="75">
        <f>'QTR Raw'!AH26+'QTR Raw'!AH31+'QTR Raw'!AH32+'QTR Raw'!AH33+'QTR Raw'!AH36+'QTR Raw'!AH37+'QTR Raw'!AH39</f>
        <v>54.47</v>
      </c>
      <c r="BO100" s="75">
        <f>'QTR Raw'!AI26+'QTR Raw'!AI31+'QTR Raw'!AI32+'QTR Raw'!AI33+'QTR Raw'!AI36+'QTR Raw'!AI37+'QTR Raw'!AI39</f>
        <v>22.47</v>
      </c>
      <c r="BP100" s="75">
        <f>'QTR Raw'!AJ26+'QTR Raw'!AJ31+'QTR Raw'!AJ32+'QTR Raw'!AJ33+'QTR Raw'!AJ36+'QTR Raw'!AJ37+'QTR Raw'!AJ39</f>
        <v>23.7</v>
      </c>
      <c r="BQ100" s="75">
        <f>'QTR Raw'!AK26+'QTR Raw'!AK31+'QTR Raw'!AK32+'QTR Raw'!AK33+'QTR Raw'!AK36+'QTR Raw'!AK37+'QTR Raw'!AK39</f>
        <v>23.01</v>
      </c>
      <c r="BR100" s="75">
        <f>'QTR Raw'!AL26+'QTR Raw'!AL31+'QTR Raw'!AL32+'QTR Raw'!AL33+'QTR Raw'!AL36+'QTR Raw'!AL37+'QTR Raw'!AL39</f>
        <v>24.72</v>
      </c>
      <c r="BS100" s="75">
        <f>'QTR Raw'!AM26+'QTR Raw'!AM31+'QTR Raw'!AM32+'QTR Raw'!AM33+'QTR Raw'!AM36+'QTR Raw'!AM37+'QTR Raw'!AM39</f>
        <v>-9.4499999999999993</v>
      </c>
      <c r="BT100" s="75">
        <f>'QTR Raw'!AN26+'QTR Raw'!AN31+'QTR Raw'!AN32+'QTR Raw'!AN33+'QTR Raw'!AN36+'QTR Raw'!AN37+'QTR Raw'!AN39</f>
        <v>-9.52</v>
      </c>
      <c r="BU100" s="75">
        <f>'QTR Raw'!AO26+'QTR Raw'!AO31+'QTR Raw'!AO32+'QTR Raw'!AO33+'QTR Raw'!AO36+'QTR Raw'!AO37+'QTR Raw'!AO39</f>
        <v>-7.08</v>
      </c>
      <c r="BV100" s="75">
        <f>'QTR Raw'!AP26+'QTR Raw'!AP31+'QTR Raw'!AP32+'QTR Raw'!AP33+'QTR Raw'!AP36+'QTR Raw'!AP37+'QTR Raw'!AP39</f>
        <v>-2.63</v>
      </c>
      <c r="BW100" s="75">
        <f>'QTR Raw'!AQ26+'QTR Raw'!AQ31+'QTR Raw'!AQ32+'QTR Raw'!AQ33+'QTR Raw'!AQ36+'QTR Raw'!AQ37+'QTR Raw'!AQ39</f>
        <v>0.89</v>
      </c>
      <c r="BX100" s="75">
        <f>'QTR Raw'!AR26+'QTR Raw'!AR31+'QTR Raw'!AR32+'QTR Raw'!AR33+'QTR Raw'!AR36+'QTR Raw'!AR37+'QTR Raw'!AR39</f>
        <v>-0.28999999999999998</v>
      </c>
      <c r="BY100" s="75">
        <f>'QTR Raw'!AS26+'QTR Raw'!AS31+'QTR Raw'!AS32+'QTR Raw'!AS33+'QTR Raw'!AS36+'QTR Raw'!AS37+'QTR Raw'!AS39</f>
        <v>-0.08</v>
      </c>
      <c r="BZ100" s="75">
        <f>'QTR Raw'!AT26+'QTR Raw'!AT31+'QTR Raw'!AT32+'QTR Raw'!AT33+'QTR Raw'!AT36+'QTR Raw'!AT37+'QTR Raw'!AT39</f>
        <v>3.69</v>
      </c>
      <c r="CA100" s="75">
        <f>'QTR Raw'!AU26+'QTR Raw'!AU31+'QTR Raw'!AU32+'QTR Raw'!AU33+'QTR Raw'!AU36+'QTR Raw'!AU37+'QTR Raw'!AU39</f>
        <v>-0.65</v>
      </c>
      <c r="CB100" s="75">
        <f>'QTR Raw'!AV26+'QTR Raw'!AV31+'QTR Raw'!AV32+'QTR Raw'!AV33+'QTR Raw'!AV36+'QTR Raw'!AV37+'QTR Raw'!AV39</f>
        <v>-0.88</v>
      </c>
      <c r="CC100" s="75">
        <f>'QTR Raw'!AW26+'QTR Raw'!AW31+'QTR Raw'!AW32+'QTR Raw'!AW33+'QTR Raw'!AW36+'QTR Raw'!AW37+'QTR Raw'!AW39</f>
        <v>-0.22</v>
      </c>
      <c r="CD100" s="75">
        <f>'QTR Raw'!AX26+'QTR Raw'!AX31+'QTR Raw'!AX32+'QTR Raw'!AX33+'QTR Raw'!AX36+'QTR Raw'!AX37+'QTR Raw'!AX39</f>
        <v>-2.0699999999999998</v>
      </c>
      <c r="CE100" s="75">
        <f>'QTR Raw'!AY26+'QTR Raw'!AY31+'QTR Raw'!AY32+'QTR Raw'!AY33+'QTR Raw'!AY36+'QTR Raw'!AY37+'QTR Raw'!AY39</f>
        <v>-1507.41</v>
      </c>
      <c r="CF100" s="75">
        <f>'QTR Raw'!AZ26+'QTR Raw'!AZ31+'QTR Raw'!AZ32+'QTR Raw'!AZ33+'QTR Raw'!AZ36+'QTR Raw'!AZ37+'QTR Raw'!AZ39</f>
        <v>0.24</v>
      </c>
      <c r="CG100" s="75">
        <f>'QTR Raw'!BA26+'QTR Raw'!BA31+'QTR Raw'!BA32+'QTR Raw'!BA33+'QTR Raw'!BA36+'QTR Raw'!BA37+'QTR Raw'!BA39</f>
        <v>-0.14000000000000001</v>
      </c>
      <c r="CH100" s="75">
        <f>'QTR Raw'!BB26+'QTR Raw'!BB31+'QTR Raw'!BB32+'QTR Raw'!BB33+'QTR Raw'!BB36+'QTR Raw'!BB37+'QTR Raw'!BB39</f>
        <v>27.12</v>
      </c>
      <c r="CI100" s="75">
        <f>'QTR Raw'!BC26+'QTR Raw'!BC31+'QTR Raw'!BC32+'QTR Raw'!BC33+'QTR Raw'!BC36+'QTR Raw'!BC37+'QTR Raw'!BC39</f>
        <v>-1.99</v>
      </c>
      <c r="CJ100" s="75">
        <f>'QTR Raw'!BD26+'QTR Raw'!BD31+'QTR Raw'!BD32+'QTR Raw'!BD33+'QTR Raw'!BD36+'QTR Raw'!BD37+'QTR Raw'!BD39</f>
        <v>-1.1299999999999999</v>
      </c>
      <c r="CK100" s="75">
        <f>'QTR Raw'!BE26+'QTR Raw'!BE31+'QTR Raw'!BE32+'QTR Raw'!BE33+'QTR Raw'!BE36+'QTR Raw'!BE37+'QTR Raw'!BE39</f>
        <v>-0.82</v>
      </c>
      <c r="CL100" s="75">
        <f>'QTR Raw'!BF26+'QTR Raw'!BF31+'QTR Raw'!BF32+'QTR Raw'!BF33+'QTR Raw'!BF36+'QTR Raw'!BF37+'QTR Raw'!BF39</f>
        <v>53.56</v>
      </c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E100" s="123"/>
      <c r="DF100" s="23">
        <v>0</v>
      </c>
    </row>
    <row r="101" spans="1:111" s="26" customFormat="1" x14ac:dyDescent="0.2">
      <c r="A101" s="35" t="s">
        <v>25</v>
      </c>
      <c r="B101" s="26">
        <f>B94+B98+B99+B100</f>
        <v>0</v>
      </c>
      <c r="C101" s="26">
        <f>C94+C98+C99+C100</f>
        <v>0</v>
      </c>
      <c r="D101" s="26">
        <f>D94+D98+D99+D100</f>
        <v>0</v>
      </c>
      <c r="E101" s="26">
        <f t="shared" ref="E101:U101" si="875">E94+E98+E99+E100</f>
        <v>0</v>
      </c>
      <c r="F101" s="26">
        <f t="shared" si="875"/>
        <v>0</v>
      </c>
      <c r="G101" s="26">
        <f t="shared" si="875"/>
        <v>0</v>
      </c>
      <c r="H101" s="26">
        <f t="shared" si="875"/>
        <v>0</v>
      </c>
      <c r="I101" s="26">
        <f t="shared" si="875"/>
        <v>0</v>
      </c>
      <c r="J101" s="26">
        <f t="shared" si="875"/>
        <v>0</v>
      </c>
      <c r="K101" s="26">
        <f t="shared" si="875"/>
        <v>0</v>
      </c>
      <c r="L101" s="26">
        <f t="shared" si="875"/>
        <v>0</v>
      </c>
      <c r="M101" s="26">
        <f t="shared" si="875"/>
        <v>0</v>
      </c>
      <c r="N101" s="26">
        <f t="shared" si="875"/>
        <v>0</v>
      </c>
      <c r="O101" s="26">
        <f t="shared" si="875"/>
        <v>-2.7028999999999998E-3</v>
      </c>
      <c r="P101" s="26">
        <f t="shared" si="875"/>
        <v>-6.7499999999999973</v>
      </c>
      <c r="Q101" s="26">
        <f t="shared" si="875"/>
        <v>367.94000000000045</v>
      </c>
      <c r="R101" s="26">
        <f t="shared" si="875"/>
        <v>416.43000000000006</v>
      </c>
      <c r="S101" s="26">
        <f t="shared" si="875"/>
        <v>1142.9400000000003</v>
      </c>
      <c r="T101" s="26">
        <f t="shared" si="875"/>
        <v>559.19999999999959</v>
      </c>
      <c r="U101" s="26">
        <f t="shared" si="875"/>
        <v>741.81999999999982</v>
      </c>
      <c r="V101" s="26">
        <f t="shared" ref="V101:AA101" si="876">V94+V98+V99+V100</f>
        <v>1224.0400000000006</v>
      </c>
      <c r="W101" s="26">
        <f t="shared" si="876"/>
        <v>1204.6100000000001</v>
      </c>
      <c r="X101" s="26">
        <f t="shared" si="876"/>
        <v>1256.329999999999</v>
      </c>
      <c r="Y101" s="26">
        <f t="shared" si="876"/>
        <v>1137.2800000000004</v>
      </c>
      <c r="Z101" s="26">
        <f t="shared" si="876"/>
        <v>1059.9700000000012</v>
      </c>
      <c r="AA101" s="26">
        <f t="shared" si="876"/>
        <v>2282.5400000000004</v>
      </c>
      <c r="AB101" s="27">
        <f t="shared" ref="AB101:AD101" si="877">AB94+AB98+AB99+AB100</f>
        <v>3647.5427407100055</v>
      </c>
      <c r="AC101" s="27">
        <f t="shared" si="877"/>
        <v>3953.7285887707071</v>
      </c>
      <c r="AD101" s="27">
        <f t="shared" si="877"/>
        <v>5173.6720160092209</v>
      </c>
      <c r="AE101" s="27">
        <f t="shared" ref="AE101" si="878">AE94+AE98+AE99+AE100</f>
        <v>5713.6399766267969</v>
      </c>
      <c r="AI101" s="26">
        <f t="shared" ref="AI101" si="879">AI94+AI98+AI99+AI100</f>
        <v>0</v>
      </c>
      <c r="AJ101" s="26">
        <f t="shared" ref="AJ101" si="880">AJ94+AJ98+AJ99+AJ100</f>
        <v>0</v>
      </c>
      <c r="AK101" s="26">
        <f t="shared" ref="AK101:AM101" si="881">AK94+AK98+AK99+AK100</f>
        <v>0</v>
      </c>
      <c r="AL101" s="26">
        <f t="shared" si="881"/>
        <v>0</v>
      </c>
      <c r="AM101" s="26">
        <f t="shared" si="881"/>
        <v>0</v>
      </c>
      <c r="AN101" s="26">
        <f t="shared" ref="AN101:AO101" si="882">AN94+AN98+AN99+AN100</f>
        <v>0</v>
      </c>
      <c r="AO101" s="26">
        <f t="shared" si="882"/>
        <v>0</v>
      </c>
      <c r="AP101" s="26">
        <f t="shared" ref="AP101:CD101" si="883">AP94+AP98+AP99+AP100</f>
        <v>0</v>
      </c>
      <c r="AQ101" s="26">
        <f t="shared" si="883"/>
        <v>0</v>
      </c>
      <c r="AR101" s="26">
        <f t="shared" si="883"/>
        <v>0</v>
      </c>
      <c r="AS101" s="26">
        <f t="shared" si="883"/>
        <v>6.17</v>
      </c>
      <c r="AT101" s="26">
        <f t="shared" si="883"/>
        <v>-12.919999999999998</v>
      </c>
      <c r="AU101" s="26">
        <f t="shared" si="883"/>
        <v>30.889999999999993</v>
      </c>
      <c r="AV101" s="26">
        <f t="shared" si="883"/>
        <v>162.19999999999999</v>
      </c>
      <c r="AW101" s="26">
        <f t="shared" si="883"/>
        <v>74.779999999999944</v>
      </c>
      <c r="AX101" s="26">
        <f t="shared" si="883"/>
        <v>100.07999999999998</v>
      </c>
      <c r="AY101" s="26">
        <f t="shared" si="883"/>
        <v>122.71000000000005</v>
      </c>
      <c r="AZ101" s="26">
        <f t="shared" si="883"/>
        <v>99.540000000000049</v>
      </c>
      <c r="BA101" s="26">
        <f t="shared" si="883"/>
        <v>99.28</v>
      </c>
      <c r="BB101" s="26">
        <f t="shared" si="883"/>
        <v>94.90000000000002</v>
      </c>
      <c r="BC101" s="26">
        <f t="shared" si="883"/>
        <v>84.100000000000023</v>
      </c>
      <c r="BD101" s="26">
        <f t="shared" si="883"/>
        <v>66.690000000000026</v>
      </c>
      <c r="BE101" s="26">
        <f t="shared" si="883"/>
        <v>841.88</v>
      </c>
      <c r="BF101" s="26">
        <f t="shared" si="883"/>
        <v>150.27000000000004</v>
      </c>
      <c r="BG101" s="26">
        <f t="shared" si="883"/>
        <v>169.34000000000003</v>
      </c>
      <c r="BH101" s="26">
        <f t="shared" si="883"/>
        <v>89.499999999999886</v>
      </c>
      <c r="BI101" s="26">
        <f t="shared" si="883"/>
        <v>153.66000000000011</v>
      </c>
      <c r="BJ101" s="26">
        <f t="shared" si="883"/>
        <v>146.70000000000005</v>
      </c>
      <c r="BK101" s="26">
        <f t="shared" si="883"/>
        <v>213.41999999999973</v>
      </c>
      <c r="BL101" s="26">
        <f t="shared" si="883"/>
        <v>230.4300000000004</v>
      </c>
      <c r="BM101" s="26">
        <f t="shared" si="883"/>
        <v>203.66999999999985</v>
      </c>
      <c r="BN101" s="26">
        <f t="shared" si="883"/>
        <v>94.300000000000082</v>
      </c>
      <c r="BO101" s="26">
        <f t="shared" si="883"/>
        <v>383.55000000000007</v>
      </c>
      <c r="BP101" s="26">
        <f t="shared" si="883"/>
        <v>206.75999999999996</v>
      </c>
      <c r="BQ101" s="26">
        <f t="shared" si="883"/>
        <v>395.31</v>
      </c>
      <c r="BR101" s="26">
        <f t="shared" si="883"/>
        <v>238.42000000000007</v>
      </c>
      <c r="BS101" s="26">
        <f t="shared" si="883"/>
        <v>435.42000000000013</v>
      </c>
      <c r="BT101" s="26">
        <f t="shared" si="883"/>
        <v>272.57000000000005</v>
      </c>
      <c r="BU101" s="26">
        <f t="shared" si="883"/>
        <v>267.02999999999969</v>
      </c>
      <c r="BV101" s="26">
        <f t="shared" si="883"/>
        <v>229.58999999999992</v>
      </c>
      <c r="BW101" s="26">
        <f t="shared" si="883"/>
        <v>185.98999999999981</v>
      </c>
      <c r="BX101" s="26">
        <f t="shared" si="883"/>
        <v>206.17000000000027</v>
      </c>
      <c r="BY101" s="26">
        <f t="shared" si="883"/>
        <v>474.7199999999998</v>
      </c>
      <c r="BZ101" s="26">
        <f t="shared" si="883"/>
        <v>389.44999999999987</v>
      </c>
      <c r="CA101" s="26">
        <f t="shared" si="883"/>
        <v>175.0599999999998</v>
      </c>
      <c r="CB101" s="26">
        <f t="shared" si="883"/>
        <v>275.88000000000005</v>
      </c>
      <c r="CC101" s="26">
        <f t="shared" si="883"/>
        <v>324.89999999999935</v>
      </c>
      <c r="CD101" s="26">
        <f t="shared" si="883"/>
        <v>361.44000000000023</v>
      </c>
      <c r="CE101" s="26">
        <f t="shared" ref="CE101:CF101" si="884">CE94+CE98+CE99+CE100</f>
        <v>-823.91999999999962</v>
      </c>
      <c r="CF101" s="26">
        <f t="shared" si="884"/>
        <v>674.96000000000026</v>
      </c>
      <c r="CG101" s="26">
        <f t="shared" ref="CG101:CH101" si="885">CG94+CG98+CG99+CG100</f>
        <v>561.77999999999986</v>
      </c>
      <c r="CH101" s="26">
        <f t="shared" si="885"/>
        <v>647.15000000000043</v>
      </c>
      <c r="CI101" s="26">
        <f t="shared" ref="CI101:CJ101" si="886">CI94+CI98+CI99+CI100</f>
        <v>512.47999999999968</v>
      </c>
      <c r="CJ101" s="26">
        <f t="shared" si="886"/>
        <v>533.97</v>
      </c>
      <c r="CK101" s="26">
        <f t="shared" ref="CK101" si="887">CK94+CK98+CK99+CK100</f>
        <v>552.3100000000004</v>
      </c>
      <c r="CL101" s="26">
        <f t="shared" ref="CL101" si="888">CL94+CL98+CL99+CL100</f>
        <v>683.78000000000088</v>
      </c>
      <c r="CM101" s="27">
        <f t="shared" ref="CM101:DB101" si="889">CM94+CM98+CM99+CM100</f>
        <v>1018.9778816282618</v>
      </c>
      <c r="CN101" s="27">
        <f t="shared" si="889"/>
        <v>900.40525314115996</v>
      </c>
      <c r="CO101" s="27">
        <f t="shared" si="889"/>
        <v>876.55895856276686</v>
      </c>
      <c r="CP101" s="27">
        <f t="shared" si="889"/>
        <v>851.60064737781306</v>
      </c>
      <c r="CQ101" s="27">
        <f t="shared" si="889"/>
        <v>1004.1669937773487</v>
      </c>
      <c r="CR101" s="27">
        <f t="shared" si="889"/>
        <v>940.09363632783152</v>
      </c>
      <c r="CS101" s="27">
        <f t="shared" si="889"/>
        <v>965.26017346653646</v>
      </c>
      <c r="CT101" s="27">
        <f t="shared" si="889"/>
        <v>1044.2077851989864</v>
      </c>
      <c r="CU101" s="27">
        <f t="shared" si="889"/>
        <v>1204.1303577195047</v>
      </c>
      <c r="CV101" s="27">
        <f t="shared" si="889"/>
        <v>1170.1271049751672</v>
      </c>
      <c r="CW101" s="27">
        <f t="shared" si="889"/>
        <v>1406.2254756165034</v>
      </c>
      <c r="CX101" s="27">
        <f t="shared" si="889"/>
        <v>1393.1890776980465</v>
      </c>
      <c r="CY101" s="27">
        <f t="shared" si="889"/>
        <v>1406.2722291298705</v>
      </c>
      <c r="CZ101" s="27">
        <f t="shared" si="889"/>
        <v>1359.4820670728548</v>
      </c>
      <c r="DA101" s="27">
        <f t="shared" si="889"/>
        <v>1425.6870453495515</v>
      </c>
      <c r="DB101" s="27">
        <f t="shared" si="889"/>
        <v>1522.1986350745235</v>
      </c>
      <c r="DE101" s="121"/>
      <c r="DF101" s="26">
        <v>0</v>
      </c>
      <c r="DG101" s="26">
        <v>524.2587769190385</v>
      </c>
    </row>
    <row r="102" spans="1:111" s="25" customFormat="1" x14ac:dyDescent="0.2">
      <c r="A102" s="151" t="s">
        <v>486</v>
      </c>
      <c r="AB102" s="17"/>
      <c r="AC102" s="17"/>
      <c r="AD102" s="17"/>
      <c r="AE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E102" s="119"/>
    </row>
    <row r="103" spans="1:111" s="1" customFormat="1" x14ac:dyDescent="0.2">
      <c r="AB103" s="20"/>
      <c r="AC103" s="20"/>
      <c r="AD103" s="20"/>
      <c r="AE103" s="20"/>
      <c r="BV103" s="183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E103" s="119"/>
    </row>
    <row r="104" spans="1:111" s="22" customFormat="1" x14ac:dyDescent="0.2">
      <c r="A104" s="22" t="s">
        <v>434</v>
      </c>
      <c r="B104" s="22">
        <f>'Annual Raw'!C35</f>
        <v>0</v>
      </c>
      <c r="C104" s="22">
        <f>'Annual Raw'!D35</f>
        <v>0</v>
      </c>
      <c r="D104" s="22">
        <f>'Annual Raw'!E35</f>
        <v>0</v>
      </c>
      <c r="E104" s="22">
        <f>'Annual Raw'!F35</f>
        <v>0</v>
      </c>
      <c r="F104" s="22">
        <f>'Annual Raw'!G35</f>
        <v>0</v>
      </c>
      <c r="G104" s="22">
        <f>'Annual Raw'!H35</f>
        <v>0</v>
      </c>
      <c r="H104" s="22">
        <f>'Annual Raw'!I35</f>
        <v>0</v>
      </c>
      <c r="I104" s="22">
        <f>'Annual Raw'!J35</f>
        <v>0</v>
      </c>
      <c r="J104" s="22">
        <f>'Annual Raw'!K35</f>
        <v>0</v>
      </c>
      <c r="K104" s="22">
        <f>'Annual Raw'!L35</f>
        <v>0</v>
      </c>
      <c r="L104" s="22">
        <f>'Annual Raw'!M35</f>
        <v>0</v>
      </c>
      <c r="M104" s="22">
        <f>'Annual Raw'!N35</f>
        <v>0</v>
      </c>
      <c r="N104" s="22">
        <f>'Annual Raw'!O35</f>
        <v>0</v>
      </c>
      <c r="O104" s="22">
        <f>'Annual Raw'!P35</f>
        <v>-2.7028999999999998E-3</v>
      </c>
      <c r="P104" s="22">
        <f>'Annual Raw'!Q35</f>
        <v>-6.75</v>
      </c>
      <c r="Q104" s="22">
        <f>'Annual Raw'!R35</f>
        <v>367.94</v>
      </c>
      <c r="R104" s="22">
        <f>'Annual Raw'!S35</f>
        <v>416.43</v>
      </c>
      <c r="S104" s="22">
        <f>'Annual Raw'!T35</f>
        <v>1142.94</v>
      </c>
      <c r="T104" s="22">
        <f>'Annual Raw'!U35</f>
        <v>559.20000000000005</v>
      </c>
      <c r="U104" s="22">
        <f>'Annual Raw'!V35</f>
        <v>741.82</v>
      </c>
      <c r="V104" s="22">
        <f>'Annual Raw'!W35</f>
        <v>1224.04</v>
      </c>
      <c r="W104" s="22">
        <f>'Annual Raw'!X35</f>
        <v>1204.6099999999999</v>
      </c>
      <c r="X104" s="22">
        <f>'Annual Raw'!Y35</f>
        <v>1256.33</v>
      </c>
      <c r="Y104" s="22">
        <f>'Annual Raw'!Z35</f>
        <v>1137.28</v>
      </c>
      <c r="Z104" s="22">
        <f>'Annual Raw'!AA35</f>
        <v>1059.97</v>
      </c>
      <c r="AA104" s="22">
        <f>'Annual Raw'!AB35</f>
        <v>2282.54</v>
      </c>
      <c r="AB104" s="21">
        <f t="shared" ref="AB104:AD104" si="890">+AB101</f>
        <v>3647.5427407100055</v>
      </c>
      <c r="AC104" s="21">
        <f t="shared" si="890"/>
        <v>3953.7285887707071</v>
      </c>
      <c r="AD104" s="21">
        <f t="shared" si="890"/>
        <v>5173.6720160092209</v>
      </c>
      <c r="AE104" s="21">
        <f t="shared" ref="AE104" si="891">+AE101</f>
        <v>5713.6399766267969</v>
      </c>
      <c r="AI104" s="22">
        <f>'QTR Raw'!C42</f>
        <v>0</v>
      </c>
      <c r="AJ104" s="22">
        <f>'QTR Raw'!D42</f>
        <v>0</v>
      </c>
      <c r="AK104" s="22">
        <f>'QTR Raw'!E42</f>
        <v>0</v>
      </c>
      <c r="AL104" s="22">
        <f>'QTR Raw'!F42</f>
        <v>0</v>
      </c>
      <c r="AM104" s="22">
        <f>'QTR Raw'!G42</f>
        <v>0</v>
      </c>
      <c r="AN104" s="22">
        <f>'QTR Raw'!H42</f>
        <v>0</v>
      </c>
      <c r="AO104" s="22">
        <f>'QTR Raw'!I42</f>
        <v>0</v>
      </c>
      <c r="AP104" s="22">
        <f>'QTR Raw'!J42</f>
        <v>0</v>
      </c>
      <c r="AQ104" s="22">
        <f>'QTR Raw'!K42</f>
        <v>0</v>
      </c>
      <c r="AR104" s="22">
        <f>'QTR Raw'!L42</f>
        <v>0</v>
      </c>
      <c r="AS104" s="22">
        <f>'QTR Raw'!M42</f>
        <v>6.17</v>
      </c>
      <c r="AT104" s="22">
        <f>'QTR Raw'!N42</f>
        <v>-12.92</v>
      </c>
      <c r="AU104" s="22">
        <f>'QTR Raw'!O42</f>
        <v>30.89</v>
      </c>
      <c r="AV104" s="22">
        <f>'QTR Raw'!P42</f>
        <v>162.19999999999999</v>
      </c>
      <c r="AW104" s="22">
        <f>'QTR Raw'!Q42</f>
        <v>74.78</v>
      </c>
      <c r="AX104" s="22">
        <f>'QTR Raw'!R42</f>
        <v>100.08</v>
      </c>
      <c r="AY104" s="22">
        <f>'QTR Raw'!S42</f>
        <v>122.71</v>
      </c>
      <c r="AZ104" s="22">
        <f>'QTR Raw'!T42</f>
        <v>99.54</v>
      </c>
      <c r="BA104" s="22">
        <f>'QTR Raw'!U42</f>
        <v>99.28</v>
      </c>
      <c r="BB104" s="22">
        <f>'QTR Raw'!V42</f>
        <v>94.9</v>
      </c>
      <c r="BC104" s="22">
        <f>'QTR Raw'!W42</f>
        <v>84.1</v>
      </c>
      <c r="BD104" s="22">
        <f>'QTR Raw'!X42</f>
        <v>66.69</v>
      </c>
      <c r="BE104" s="22">
        <f>'QTR Raw'!Y42</f>
        <v>841.88</v>
      </c>
      <c r="BF104" s="22">
        <f>'QTR Raw'!Z42</f>
        <v>150.27000000000001</v>
      </c>
      <c r="BG104" s="22">
        <f>'QTR Raw'!AA42</f>
        <v>169.34</v>
      </c>
      <c r="BH104" s="22">
        <f>'QTR Raw'!AB42</f>
        <v>89.5</v>
      </c>
      <c r="BI104" s="22">
        <f>'QTR Raw'!AC42</f>
        <v>153.66999999999999</v>
      </c>
      <c r="BJ104" s="22">
        <f>'QTR Raw'!AD42</f>
        <v>146.69999999999999</v>
      </c>
      <c r="BK104" s="22">
        <f>'QTR Raw'!AE42</f>
        <v>213.42</v>
      </c>
      <c r="BL104" s="22">
        <f>'QTR Raw'!AF42</f>
        <v>230.43</v>
      </c>
      <c r="BM104" s="22">
        <f>'QTR Raw'!AG42</f>
        <v>203.67</v>
      </c>
      <c r="BN104" s="22">
        <f>'QTR Raw'!AH42</f>
        <v>94.3</v>
      </c>
      <c r="BO104" s="22">
        <f>'QTR Raw'!AI42</f>
        <v>383.55</v>
      </c>
      <c r="BP104" s="22">
        <f>'QTR Raw'!AJ42</f>
        <v>206.76</v>
      </c>
      <c r="BQ104" s="22">
        <f>'QTR Raw'!AK42</f>
        <v>395.31</v>
      </c>
      <c r="BR104" s="22">
        <f>'QTR Raw'!AL42</f>
        <v>238.42</v>
      </c>
      <c r="BS104" s="22">
        <f>'QTR Raw'!AM42</f>
        <v>435.42</v>
      </c>
      <c r="BT104" s="22">
        <f>'QTR Raw'!AN42</f>
        <v>272.57</v>
      </c>
      <c r="BU104" s="22">
        <f>'QTR Raw'!AO42</f>
        <v>267.02999999999997</v>
      </c>
      <c r="BV104" s="22">
        <f>'QTR Raw'!AP42</f>
        <v>229.59</v>
      </c>
      <c r="BW104" s="22">
        <f>'QTR Raw'!AQ42</f>
        <v>185.99</v>
      </c>
      <c r="BX104" s="22">
        <f>'QTR Raw'!AR42</f>
        <v>206.17</v>
      </c>
      <c r="BY104" s="22">
        <f>'QTR Raw'!AS42</f>
        <v>474.72</v>
      </c>
      <c r="BZ104" s="22">
        <f>'QTR Raw'!AT42</f>
        <v>389.45</v>
      </c>
      <c r="CA104" s="22">
        <f>'QTR Raw'!AU42</f>
        <v>175.06</v>
      </c>
      <c r="CB104" s="22">
        <f>'QTR Raw'!AV42</f>
        <v>275.88</v>
      </c>
      <c r="CC104" s="22">
        <f>'QTR Raw'!AW42</f>
        <v>324.89999999999998</v>
      </c>
      <c r="CD104" s="22">
        <f>'QTR Raw'!AX42</f>
        <v>361.44</v>
      </c>
      <c r="CE104" s="22">
        <f>'QTR Raw'!AY42</f>
        <v>-823.92</v>
      </c>
      <c r="CF104" s="22">
        <f>'QTR Raw'!AZ42</f>
        <v>674.96</v>
      </c>
      <c r="CG104" s="22">
        <f>'QTR Raw'!BA42</f>
        <v>561.78</v>
      </c>
      <c r="CH104" s="22">
        <f>'QTR Raw'!BB42</f>
        <v>647.15</v>
      </c>
      <c r="CI104" s="22">
        <f>'QTR Raw'!BC42</f>
        <v>512.48</v>
      </c>
      <c r="CJ104" s="22">
        <f>'QTR Raw'!BD42</f>
        <v>533.97</v>
      </c>
      <c r="CK104" s="22">
        <f>'QTR Raw'!BE42</f>
        <v>552.30999999999995</v>
      </c>
      <c r="CL104" s="22">
        <f>'QTR Raw'!BF42</f>
        <v>683.78</v>
      </c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E104" s="119"/>
      <c r="DF104" s="22">
        <v>0</v>
      </c>
    </row>
    <row r="105" spans="1:111" s="25" customFormat="1" x14ac:dyDescent="0.2">
      <c r="A105" s="36" t="s">
        <v>435</v>
      </c>
      <c r="B105" s="25">
        <f t="shared" ref="B105:V105" si="892">B104-B101</f>
        <v>0</v>
      </c>
      <c r="C105" s="25">
        <f>C104-C101</f>
        <v>0</v>
      </c>
      <c r="D105" s="25">
        <f t="shared" si="892"/>
        <v>0</v>
      </c>
      <c r="E105" s="25">
        <f t="shared" si="892"/>
        <v>0</v>
      </c>
      <c r="F105" s="25">
        <f t="shared" si="892"/>
        <v>0</v>
      </c>
      <c r="G105" s="25">
        <f t="shared" si="892"/>
        <v>0</v>
      </c>
      <c r="H105" s="25">
        <f t="shared" si="892"/>
        <v>0</v>
      </c>
      <c r="I105" s="25">
        <f t="shared" si="892"/>
        <v>0</v>
      </c>
      <c r="J105" s="25">
        <f t="shared" si="892"/>
        <v>0</v>
      </c>
      <c r="K105" s="25">
        <f t="shared" si="892"/>
        <v>0</v>
      </c>
      <c r="L105" s="25">
        <f t="shared" si="892"/>
        <v>0</v>
      </c>
      <c r="M105" s="25">
        <f t="shared" si="892"/>
        <v>0</v>
      </c>
      <c r="N105" s="25">
        <f t="shared" si="892"/>
        <v>0</v>
      </c>
      <c r="O105" s="25">
        <f t="shared" si="892"/>
        <v>0</v>
      </c>
      <c r="P105" s="25">
        <f t="shared" si="892"/>
        <v>0</v>
      </c>
      <c r="Q105" s="25">
        <f t="shared" si="892"/>
        <v>-4.5474735088646412E-13</v>
      </c>
      <c r="R105" s="25">
        <f t="shared" si="892"/>
        <v>0</v>
      </c>
      <c r="S105" s="25">
        <f t="shared" si="892"/>
        <v>0</v>
      </c>
      <c r="T105" s="25">
        <f t="shared" si="892"/>
        <v>0</v>
      </c>
      <c r="U105" s="25">
        <f t="shared" si="892"/>
        <v>0</v>
      </c>
      <c r="V105" s="25">
        <f t="shared" si="892"/>
        <v>0</v>
      </c>
      <c r="W105" s="25">
        <f t="shared" ref="W105" si="893">W104-W101</f>
        <v>0</v>
      </c>
      <c r="X105" s="25">
        <f t="shared" ref="X105:Y105" si="894">X104-X101</f>
        <v>0</v>
      </c>
      <c r="Y105" s="25">
        <f t="shared" si="894"/>
        <v>0</v>
      </c>
      <c r="Z105" s="25">
        <f>Z104-Z101</f>
        <v>0</v>
      </c>
      <c r="AA105" s="25">
        <f>AA104-AA101</f>
        <v>0</v>
      </c>
      <c r="AB105" s="17">
        <f t="shared" ref="AB105:AD105" si="895">AB104-AB101</f>
        <v>0</v>
      </c>
      <c r="AC105" s="17">
        <f t="shared" si="895"/>
        <v>0</v>
      </c>
      <c r="AD105" s="17">
        <f t="shared" si="895"/>
        <v>0</v>
      </c>
      <c r="AE105" s="17">
        <f t="shared" ref="AE105" si="896">AE104-AE101</f>
        <v>0</v>
      </c>
      <c r="AI105" s="25">
        <f t="shared" ref="AI105" si="897">AI104-AI101</f>
        <v>0</v>
      </c>
      <c r="AJ105" s="25">
        <f t="shared" ref="AJ105" si="898">AJ104-AJ101</f>
        <v>0</v>
      </c>
      <c r="AK105" s="25">
        <f t="shared" ref="AK105:AM105" si="899">AK104-AK101</f>
        <v>0</v>
      </c>
      <c r="AL105" s="25">
        <f t="shared" si="899"/>
        <v>0</v>
      </c>
      <c r="AM105" s="25">
        <f t="shared" si="899"/>
        <v>0</v>
      </c>
      <c r="AN105" s="25">
        <f t="shared" ref="AN105:AO105" si="900">AN104-AN101</f>
        <v>0</v>
      </c>
      <c r="AO105" s="25">
        <f t="shared" si="900"/>
        <v>0</v>
      </c>
      <c r="AP105" s="25">
        <f t="shared" ref="AP105:CD105" si="901">AP104-AP101</f>
        <v>0</v>
      </c>
      <c r="AQ105" s="25">
        <f t="shared" si="901"/>
        <v>0</v>
      </c>
      <c r="AR105" s="25">
        <f t="shared" si="901"/>
        <v>0</v>
      </c>
      <c r="AS105" s="25">
        <f t="shared" si="901"/>
        <v>0</v>
      </c>
      <c r="AT105" s="25">
        <f t="shared" si="901"/>
        <v>0</v>
      </c>
      <c r="AU105" s="25">
        <f t="shared" si="901"/>
        <v>0</v>
      </c>
      <c r="AV105" s="25">
        <f t="shared" si="901"/>
        <v>0</v>
      </c>
      <c r="AW105" s="25">
        <f t="shared" si="901"/>
        <v>0</v>
      </c>
      <c r="AX105" s="25">
        <f t="shared" si="901"/>
        <v>0</v>
      </c>
      <c r="AY105" s="25">
        <f t="shared" si="901"/>
        <v>0</v>
      </c>
      <c r="AZ105" s="25">
        <f t="shared" si="901"/>
        <v>0</v>
      </c>
      <c r="BA105" s="25">
        <f t="shared" si="901"/>
        <v>0</v>
      </c>
      <c r="BB105" s="25">
        <f t="shared" si="901"/>
        <v>0</v>
      </c>
      <c r="BC105" s="25">
        <f t="shared" si="901"/>
        <v>0</v>
      </c>
      <c r="BD105" s="25">
        <f t="shared" si="901"/>
        <v>0</v>
      </c>
      <c r="BE105" s="25">
        <f t="shared" si="901"/>
        <v>0</v>
      </c>
      <c r="BF105" s="25">
        <f t="shared" si="901"/>
        <v>0</v>
      </c>
      <c r="BG105" s="25">
        <f t="shared" si="901"/>
        <v>0</v>
      </c>
      <c r="BH105" s="25">
        <f t="shared" si="901"/>
        <v>1.1368683772161603E-13</v>
      </c>
      <c r="BI105" s="25">
        <f t="shared" si="901"/>
        <v>9.9999999998772182E-3</v>
      </c>
      <c r="BJ105" s="25">
        <f t="shared" si="901"/>
        <v>0</v>
      </c>
      <c r="BK105" s="25">
        <f t="shared" si="901"/>
        <v>2.5579538487363607E-13</v>
      </c>
      <c r="BL105" s="25">
        <f t="shared" si="901"/>
        <v>-3.979039320256561E-13</v>
      </c>
      <c r="BM105" s="25">
        <f t="shared" si="901"/>
        <v>0</v>
      </c>
      <c r="BN105" s="25">
        <f t="shared" si="901"/>
        <v>0</v>
      </c>
      <c r="BO105" s="25">
        <f t="shared" si="901"/>
        <v>0</v>
      </c>
      <c r="BP105" s="25">
        <f t="shared" si="901"/>
        <v>0</v>
      </c>
      <c r="BQ105" s="25">
        <f t="shared" si="901"/>
        <v>0</v>
      </c>
      <c r="BR105" s="25">
        <f t="shared" si="901"/>
        <v>0</v>
      </c>
      <c r="BS105" s="25">
        <f t="shared" si="901"/>
        <v>0</v>
      </c>
      <c r="BT105" s="25">
        <f t="shared" si="901"/>
        <v>0</v>
      </c>
      <c r="BU105" s="25">
        <f t="shared" si="901"/>
        <v>0</v>
      </c>
      <c r="BV105" s="25">
        <f t="shared" si="901"/>
        <v>0</v>
      </c>
      <c r="BW105" s="25">
        <f t="shared" si="901"/>
        <v>0</v>
      </c>
      <c r="BX105" s="25">
        <f t="shared" si="901"/>
        <v>-2.8421709430404007E-13</v>
      </c>
      <c r="BY105" s="25">
        <f t="shared" si="901"/>
        <v>0</v>
      </c>
      <c r="BZ105" s="25">
        <f t="shared" si="901"/>
        <v>0</v>
      </c>
      <c r="CA105" s="25">
        <f t="shared" si="901"/>
        <v>0</v>
      </c>
      <c r="CB105" s="25">
        <f t="shared" si="901"/>
        <v>0</v>
      </c>
      <c r="CC105" s="25">
        <f t="shared" si="901"/>
        <v>6.2527760746888816E-13</v>
      </c>
      <c r="CD105" s="25">
        <f t="shared" si="901"/>
        <v>0</v>
      </c>
      <c r="CE105" s="25">
        <f t="shared" ref="CE105:CF105" si="902">CE104-CE101</f>
        <v>0</v>
      </c>
      <c r="CF105" s="25">
        <f t="shared" si="902"/>
        <v>0</v>
      </c>
      <c r="CG105" s="25">
        <f t="shared" ref="CG105:CH105" si="903">CG104-CG101</f>
        <v>0</v>
      </c>
      <c r="CH105" s="25">
        <f t="shared" si="903"/>
        <v>0</v>
      </c>
      <c r="CI105" s="25">
        <f t="shared" ref="CI105:CJ105" si="904">CI104-CI101</f>
        <v>0</v>
      </c>
      <c r="CJ105" s="25">
        <f t="shared" si="904"/>
        <v>0</v>
      </c>
      <c r="CK105" s="25">
        <f t="shared" ref="CK105" si="905">CK104-CK101</f>
        <v>0</v>
      </c>
      <c r="CL105" s="25">
        <f t="shared" ref="CL105" si="906">CL104-CL101</f>
        <v>-9.0949470177292824E-13</v>
      </c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  <c r="DF105" s="25">
        <v>0</v>
      </c>
    </row>
    <row r="106" spans="1:111" s="1" customFormat="1" x14ac:dyDescent="0.2">
      <c r="A106" s="150" t="s">
        <v>487</v>
      </c>
      <c r="AB106" s="20"/>
      <c r="AC106" s="20"/>
      <c r="AD106" s="20"/>
      <c r="AE106" s="20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1" s="38" customFormat="1" x14ac:dyDescent="0.2">
      <c r="A107" s="38" t="s">
        <v>350</v>
      </c>
      <c r="B107" s="39" t="e">
        <f t="shared" ref="B107:AE107" si="907">(B101-B100)/B173</f>
        <v>#DIV/0!</v>
      </c>
      <c r="C107" s="39" t="e">
        <f t="shared" si="907"/>
        <v>#DIV/0!</v>
      </c>
      <c r="D107" s="39" t="e">
        <f t="shared" si="907"/>
        <v>#DIV/0!</v>
      </c>
      <c r="E107" s="39" t="e">
        <f t="shared" si="907"/>
        <v>#DIV/0!</v>
      </c>
      <c r="F107" s="39" t="e">
        <f t="shared" si="907"/>
        <v>#DIV/0!</v>
      </c>
      <c r="G107" s="39" t="e">
        <f t="shared" si="907"/>
        <v>#DIV/0!</v>
      </c>
      <c r="H107" s="39" t="e">
        <f t="shared" si="907"/>
        <v>#DIV/0!</v>
      </c>
      <c r="I107" s="39" t="e">
        <f t="shared" si="907"/>
        <v>#DIV/0!</v>
      </c>
      <c r="J107" s="39" t="e">
        <f t="shared" si="907"/>
        <v>#DIV/0!</v>
      </c>
      <c r="K107" s="39" t="e">
        <f t="shared" si="907"/>
        <v>#DIV/0!</v>
      </c>
      <c r="L107" s="39" t="e">
        <f t="shared" si="907"/>
        <v>#DIV/0!</v>
      </c>
      <c r="M107" s="39" t="e">
        <f t="shared" si="907"/>
        <v>#DIV/0!</v>
      </c>
      <c r="N107" s="39" t="e">
        <f t="shared" si="907"/>
        <v>#DIV/0!</v>
      </c>
      <c r="O107" s="39">
        <f t="shared" si="907"/>
        <v>-5.7147266957170727E-2</v>
      </c>
      <c r="P107" s="39">
        <f t="shared" si="907"/>
        <v>-6.23124855758135E-3</v>
      </c>
      <c r="Q107" s="39">
        <f t="shared" si="907"/>
        <v>0.13771188819564284</v>
      </c>
      <c r="R107" s="39">
        <f t="shared" si="907"/>
        <v>0.14132895303967721</v>
      </c>
      <c r="S107" s="39">
        <f t="shared" si="907"/>
        <v>0.27162025352554509</v>
      </c>
      <c r="T107" s="39">
        <f t="shared" si="907"/>
        <v>0.12065115375902123</v>
      </c>
      <c r="U107" s="39">
        <f t="shared" si="907"/>
        <v>0.14212363541614778</v>
      </c>
      <c r="V107" s="39">
        <f t="shared" si="907"/>
        <v>0.20100565227815395</v>
      </c>
      <c r="W107" s="39">
        <f t="shared" si="907"/>
        <v>0.17567159629993134</v>
      </c>
      <c r="X107" s="39">
        <f t="shared" si="907"/>
        <v>0.1069292554282557</v>
      </c>
      <c r="Y107" s="39">
        <f t="shared" si="907"/>
        <v>8.9963651609177714E-2</v>
      </c>
      <c r="Z107" s="39">
        <f>(Z101-Z100)/Z173</f>
        <v>0.11627545517985162</v>
      </c>
      <c r="AA107" s="39">
        <f>(AA101-AA100)/AA173</f>
        <v>8.9766450077357091E-2</v>
      </c>
      <c r="AB107" s="40">
        <f t="shared" si="907"/>
        <v>0.1254525317516236</v>
      </c>
      <c r="AC107" s="40">
        <f t="shared" si="907"/>
        <v>0.11970544593113183</v>
      </c>
      <c r="AD107" s="40">
        <f t="shared" si="907"/>
        <v>0.13542763618847331</v>
      </c>
      <c r="AE107" s="40">
        <f t="shared" si="907"/>
        <v>0.13010346871280723</v>
      </c>
      <c r="AF107" s="39"/>
      <c r="AG107" s="39"/>
      <c r="AH107" s="39"/>
      <c r="AI107" s="39"/>
      <c r="AJ107" s="39"/>
      <c r="AK107" s="39"/>
      <c r="AL107" s="39" t="e">
        <f t="shared" ref="AL107:BQ107" si="908">(SUM(AI101:AL101)-SUM(AI100:AL100))/AL173</f>
        <v>#DIV/0!</v>
      </c>
      <c r="AM107" s="39" t="e">
        <f t="shared" si="908"/>
        <v>#DIV/0!</v>
      </c>
      <c r="AN107" s="39" t="e">
        <f t="shared" si="908"/>
        <v>#DIV/0!</v>
      </c>
      <c r="AO107" s="39" t="e">
        <f t="shared" si="908"/>
        <v>#DIV/0!</v>
      </c>
      <c r="AP107" s="39" t="e">
        <f t="shared" si="908"/>
        <v>#DIV/0!</v>
      </c>
      <c r="AQ107" s="39" t="e">
        <f t="shared" si="908"/>
        <v>#DIV/0!</v>
      </c>
      <c r="AR107" s="39" t="e">
        <f t="shared" si="908"/>
        <v>#DIV/0!</v>
      </c>
      <c r="AS107" s="39">
        <f t="shared" si="908"/>
        <v>1</v>
      </c>
      <c r="AT107" s="39">
        <f t="shared" si="908"/>
        <v>-6.2312485575813509E-3</v>
      </c>
      <c r="AU107" s="39">
        <f t="shared" si="908"/>
        <v>2.1666935932647596E-2</v>
      </c>
      <c r="AV107" s="39">
        <f t="shared" si="908"/>
        <v>7.4650364358196747E-2</v>
      </c>
      <c r="AW107" s="39">
        <f t="shared" si="908"/>
        <v>9.9165678056749432E-2</v>
      </c>
      <c r="AX107" s="39">
        <f t="shared" si="908"/>
        <v>0.13771563097675354</v>
      </c>
      <c r="AY107" s="39">
        <f t="shared" si="908"/>
        <v>0.16452557147560223</v>
      </c>
      <c r="AZ107" s="39">
        <f t="shared" si="908"/>
        <v>0.14043469650460441</v>
      </c>
      <c r="BA107" s="39">
        <f t="shared" si="908"/>
        <v>0.14404168090194738</v>
      </c>
      <c r="BB107" s="39">
        <f t="shared" si="908"/>
        <v>0.14132895303967724</v>
      </c>
      <c r="BC107" s="39">
        <f t="shared" si="908"/>
        <v>0.12466714841468608</v>
      </c>
      <c r="BD107" s="39">
        <f t="shared" si="908"/>
        <v>0.11520658838616601</v>
      </c>
      <c r="BE107" s="39">
        <f t="shared" si="908"/>
        <v>0.2834989468854921</v>
      </c>
      <c r="BF107" s="39">
        <f t="shared" si="908"/>
        <v>0.18871326461366239</v>
      </c>
      <c r="BG107" s="39">
        <f t="shared" si="908"/>
        <v>0.19727168907599474</v>
      </c>
      <c r="BH107" s="39">
        <f t="shared" si="908"/>
        <v>0.15655885631608354</v>
      </c>
      <c r="BI107" s="39">
        <f t="shared" si="908"/>
        <v>6.5648099527406398E-2</v>
      </c>
      <c r="BJ107" s="39">
        <f t="shared" si="908"/>
        <v>6.3560565369618849E-2</v>
      </c>
      <c r="BK107" s="39">
        <f t="shared" si="908"/>
        <v>6.3751317175974695E-2</v>
      </c>
      <c r="BL107" s="39">
        <f t="shared" si="908"/>
        <v>7.2602325932638601E-2</v>
      </c>
      <c r="BM107" s="39">
        <f t="shared" si="908"/>
        <v>7.3967573342116136E-2</v>
      </c>
      <c r="BN107" s="39">
        <f t="shared" si="908"/>
        <v>7.0494507563278352E-2</v>
      </c>
      <c r="BO107" s="39">
        <f t="shared" si="908"/>
        <v>8.7332296839519499E-2</v>
      </c>
      <c r="BP107" s="39">
        <f t="shared" si="908"/>
        <v>9.0325388922346705E-2</v>
      </c>
      <c r="BQ107" s="39">
        <f t="shared" si="908"/>
        <v>0.10890639200242352</v>
      </c>
      <c r="BR107" s="39">
        <f t="shared" ref="BR107:CW107" si="909">(SUM(BO101:BR101)-SUM(BO100:BR100))/BR173</f>
        <v>0.12670753693123213</v>
      </c>
      <c r="BS107" s="39">
        <f t="shared" si="909"/>
        <v>0.1297668551637145</v>
      </c>
      <c r="BT107" s="39">
        <f t="shared" si="909"/>
        <v>0.13607424719007966</v>
      </c>
      <c r="BU107" s="39">
        <f t="shared" si="909"/>
        <v>0.12250753337071443</v>
      </c>
      <c r="BV107" s="39">
        <f t="shared" si="909"/>
        <v>0.12441363809692903</v>
      </c>
      <c r="BW107" s="39">
        <f t="shared" si="909"/>
        <v>9.6399476770035228E-2</v>
      </c>
      <c r="BX107" s="39">
        <f t="shared" si="909"/>
        <v>8.4422831557698017E-2</v>
      </c>
      <c r="BY107" s="39">
        <f t="shared" si="909"/>
        <v>9.887897320966485E-2</v>
      </c>
      <c r="BZ107" s="39">
        <f t="shared" si="909"/>
        <v>0.10657093224457555</v>
      </c>
      <c r="CA107" s="39">
        <f t="shared" si="909"/>
        <v>0.10421888876682181</v>
      </c>
      <c r="CB107" s="39">
        <f t="shared" si="909"/>
        <v>0.11036146968196783</v>
      </c>
      <c r="CC107" s="39">
        <f t="shared" si="909"/>
        <v>9.5181485857161019E-2</v>
      </c>
      <c r="CD107" s="39">
        <f t="shared" si="909"/>
        <v>9.0265829743979148E-2</v>
      </c>
      <c r="CE107" s="39">
        <f t="shared" si="909"/>
        <v>0.13952713022831145</v>
      </c>
      <c r="CF107" s="39">
        <f t="shared" si="909"/>
        <v>9.7537219052266325E-2</v>
      </c>
      <c r="CG107" s="39">
        <f t="shared" si="909"/>
        <v>0.10598412772079645</v>
      </c>
      <c r="CH107" s="39">
        <f t="shared" si="909"/>
        <v>0.1151049927044345</v>
      </c>
      <c r="CI107" s="39">
        <f t="shared" si="909"/>
        <v>0.10500746655990877</v>
      </c>
      <c r="CJ107" s="39">
        <f t="shared" si="909"/>
        <v>9.5430047173623828E-2</v>
      </c>
      <c r="CK107" s="39">
        <f t="shared" si="909"/>
        <v>9.2860837211012348E-2</v>
      </c>
      <c r="CL107" s="39">
        <f t="shared" si="909"/>
        <v>8.7815022609344096E-2</v>
      </c>
      <c r="CM107" s="40">
        <f t="shared" si="909"/>
        <v>0.10350806461102716</v>
      </c>
      <c r="CN107" s="40">
        <f t="shared" si="909"/>
        <v>0.11345821683407398</v>
      </c>
      <c r="CO107" s="40">
        <f t="shared" si="909"/>
        <v>0.12139402508883274</v>
      </c>
      <c r="CP107" s="40">
        <f t="shared" si="909"/>
        <v>0.12545253175162346</v>
      </c>
      <c r="CQ107" s="40">
        <f t="shared" si="909"/>
        <v>0.12077202340236504</v>
      </c>
      <c r="CR107" s="40">
        <f t="shared" si="909"/>
        <v>0.11839129513943833</v>
      </c>
      <c r="CS107" s="40">
        <f t="shared" si="909"/>
        <v>0.11759162328657195</v>
      </c>
      <c r="CT107" s="40">
        <f t="shared" si="909"/>
        <v>0.11970544593113171</v>
      </c>
      <c r="CU107" s="40">
        <f t="shared" si="909"/>
        <v>0.12133610925601336</v>
      </c>
      <c r="CV107" s="40">
        <f t="shared" si="909"/>
        <v>0.12382331732578691</v>
      </c>
      <c r="CW107" s="40">
        <f t="shared" si="909"/>
        <v>0.13107262226789726</v>
      </c>
      <c r="CX107" s="40">
        <f t="shared" ref="CX107:DB107" si="910">(SUM(CU101:CX101)-SUM(CU100:CX100))/CX173</f>
        <v>0.13542763618847334</v>
      </c>
      <c r="CY107" s="40">
        <f t="shared" si="910"/>
        <v>0.13572286756881252</v>
      </c>
      <c r="CZ107" s="40">
        <f t="shared" si="910"/>
        <v>0.13584106053548425</v>
      </c>
      <c r="DA107" s="40">
        <f t="shared" si="910"/>
        <v>0.13173185687517339</v>
      </c>
      <c r="DB107" s="40">
        <f t="shared" si="910"/>
        <v>0.13010346871280731</v>
      </c>
      <c r="DE107" s="122"/>
      <c r="DF107" s="38" t="e">
        <v>#DIV/0!</v>
      </c>
      <c r="DG107" s="38">
        <v>8.6955196287562098E-2</v>
      </c>
    </row>
    <row r="108" spans="1:111" s="38" customFormat="1" x14ac:dyDescent="0.2">
      <c r="A108" s="38" t="s">
        <v>351</v>
      </c>
      <c r="B108" s="39" t="e">
        <f t="shared" ref="B108:AE108" si="911">+B87/B182</f>
        <v>#DIV/0!</v>
      </c>
      <c r="C108" s="39" t="e">
        <f t="shared" si="911"/>
        <v>#DIV/0!</v>
      </c>
      <c r="D108" s="39" t="e">
        <f t="shared" si="911"/>
        <v>#DIV/0!</v>
      </c>
      <c r="E108" s="39" t="e">
        <f t="shared" si="911"/>
        <v>#DIV/0!</v>
      </c>
      <c r="F108" s="39" t="e">
        <f t="shared" si="911"/>
        <v>#DIV/0!</v>
      </c>
      <c r="G108" s="39" t="e">
        <f t="shared" si="911"/>
        <v>#DIV/0!</v>
      </c>
      <c r="H108" s="39" t="e">
        <f t="shared" si="911"/>
        <v>#DIV/0!</v>
      </c>
      <c r="I108" s="39" t="e">
        <f t="shared" si="911"/>
        <v>#DIV/0!</v>
      </c>
      <c r="J108" s="39" t="e">
        <f t="shared" si="911"/>
        <v>#DIV/0!</v>
      </c>
      <c r="K108" s="39" t="e">
        <f t="shared" si="911"/>
        <v>#DIV/0!</v>
      </c>
      <c r="L108" s="39" t="e">
        <f t="shared" si="911"/>
        <v>#DIV/0!</v>
      </c>
      <c r="M108" s="39" t="e">
        <f t="shared" si="911"/>
        <v>#DIV/0!</v>
      </c>
      <c r="N108" s="39" t="e">
        <f t="shared" si="911"/>
        <v>#DIV/0!</v>
      </c>
      <c r="O108" s="39">
        <f t="shared" si="911"/>
        <v>-5.7147266957170727E-2</v>
      </c>
      <c r="P108" s="39">
        <f t="shared" si="911"/>
        <v>5.9520884236099192E-3</v>
      </c>
      <c r="Q108" s="39">
        <f t="shared" si="911"/>
        <v>0.12142836837598033</v>
      </c>
      <c r="R108" s="39">
        <f t="shared" si="911"/>
        <v>0.11859740599630579</v>
      </c>
      <c r="S108" s="39">
        <f t="shared" si="911"/>
        <v>0.13628287340542794</v>
      </c>
      <c r="T108" s="39">
        <f t="shared" si="911"/>
        <v>6.6717128219541108E-2</v>
      </c>
      <c r="U108" s="39">
        <f t="shared" si="911"/>
        <v>9.1101144680274568E-2</v>
      </c>
      <c r="V108" s="39">
        <f t="shared" si="911"/>
        <v>7.0881768902309766E-2</v>
      </c>
      <c r="W108" s="39">
        <f t="shared" si="911"/>
        <v>6.8078061628942699E-2</v>
      </c>
      <c r="X108" s="39">
        <f t="shared" si="911"/>
        <v>6.1814001220615519E-2</v>
      </c>
      <c r="Y108" s="39">
        <f t="shared" si="911"/>
        <v>7.7597412841142147E-2</v>
      </c>
      <c r="Z108" s="39">
        <f>+Z87/Z182</f>
        <v>8.1632191420898143E-2</v>
      </c>
      <c r="AA108" s="39">
        <f>+AA87/AA182</f>
        <v>7.7217487510600286E-2</v>
      </c>
      <c r="AB108" s="40">
        <f t="shared" si="911"/>
        <v>9.8079593114059116E-2</v>
      </c>
      <c r="AC108" s="40">
        <f t="shared" si="911"/>
        <v>0.10891572771342167</v>
      </c>
      <c r="AD108" s="40">
        <f t="shared" si="911"/>
        <v>0.11633176133417483</v>
      </c>
      <c r="AE108" s="40">
        <f t="shared" si="911"/>
        <v>0.12075638585762526</v>
      </c>
      <c r="AF108" s="39"/>
      <c r="AG108" s="39"/>
      <c r="AH108" s="39"/>
      <c r="AI108" s="39"/>
      <c r="AJ108" s="39"/>
      <c r="AK108" s="39"/>
      <c r="AL108" s="39" t="e">
        <f t="shared" ref="AL108:BQ108" si="912">+SUM(AI87:AL87)/AL182</f>
        <v>#DIV/0!</v>
      </c>
      <c r="AM108" s="39" t="e">
        <f t="shared" si="912"/>
        <v>#DIV/0!</v>
      </c>
      <c r="AN108" s="39" t="e">
        <f t="shared" si="912"/>
        <v>#DIV/0!</v>
      </c>
      <c r="AO108" s="39" t="e">
        <f t="shared" si="912"/>
        <v>#DIV/0!</v>
      </c>
      <c r="AP108" s="39" t="e">
        <f t="shared" si="912"/>
        <v>#DIV/0!</v>
      </c>
      <c r="AQ108" s="39" t="e">
        <f t="shared" si="912"/>
        <v>#DIV/0!</v>
      </c>
      <c r="AR108" s="39" t="e">
        <f t="shared" si="912"/>
        <v>#DIV/0!</v>
      </c>
      <c r="AS108" s="39">
        <f t="shared" si="912"/>
        <v>1.0097244732576984</v>
      </c>
      <c r="AT108" s="39">
        <f t="shared" si="912"/>
        <v>6.4312064298037673E-3</v>
      </c>
      <c r="AU108" s="39">
        <f t="shared" si="912"/>
        <v>3.6506520733806037E-2</v>
      </c>
      <c r="AV108" s="39">
        <f t="shared" si="912"/>
        <v>7.3255270688547577E-2</v>
      </c>
      <c r="AW108" s="39">
        <f t="shared" si="912"/>
        <v>0.10441819070829042</v>
      </c>
      <c r="AX108" s="39">
        <f t="shared" si="912"/>
        <v>0.12881902853734001</v>
      </c>
      <c r="AY108" s="39">
        <f t="shared" si="912"/>
        <v>0.14013594541314661</v>
      </c>
      <c r="AZ108" s="39">
        <f t="shared" si="912"/>
        <v>0.12456618005472773</v>
      </c>
      <c r="BA108" s="39">
        <f t="shared" si="912"/>
        <v>0.12278830933366067</v>
      </c>
      <c r="BB108" s="39">
        <f t="shared" si="912"/>
        <v>0.12181040743902977</v>
      </c>
      <c r="BC108" s="39">
        <f t="shared" si="912"/>
        <v>0.10974092014448732</v>
      </c>
      <c r="BD108" s="39">
        <f t="shared" si="912"/>
        <v>0.11023018511192968</v>
      </c>
      <c r="BE108" s="39">
        <f t="shared" si="912"/>
        <v>0.18178589619194396</v>
      </c>
      <c r="BF108" s="39">
        <f t="shared" si="912"/>
        <v>0.14344547526769125</v>
      </c>
      <c r="BG108" s="39">
        <f t="shared" si="912"/>
        <v>0.14514712867884866</v>
      </c>
      <c r="BH108" s="39">
        <f t="shared" si="912"/>
        <v>9.0321169803126378E-2</v>
      </c>
      <c r="BI108" s="39">
        <f t="shared" si="912"/>
        <v>6.4489744414215761E-2</v>
      </c>
      <c r="BJ108" s="39">
        <f t="shared" si="912"/>
        <v>7.4823603134284877E-2</v>
      </c>
      <c r="BK108" s="39">
        <f t="shared" si="912"/>
        <v>9.187158952384189E-2</v>
      </c>
      <c r="BL108" s="39">
        <f t="shared" si="912"/>
        <v>0.10176775804733261</v>
      </c>
      <c r="BM108" s="39">
        <f t="shared" si="912"/>
        <v>0.10603532065506428</v>
      </c>
      <c r="BN108" s="39">
        <f t="shared" si="912"/>
        <v>9.3084349985114792E-2</v>
      </c>
      <c r="BO108" s="39">
        <f t="shared" si="912"/>
        <v>9.7855399296685713E-2</v>
      </c>
      <c r="BP108" s="39">
        <f t="shared" si="912"/>
        <v>9.7143952004023593E-2</v>
      </c>
      <c r="BQ108" s="39">
        <f t="shared" si="912"/>
        <v>9.6834112913414386E-2</v>
      </c>
      <c r="BR108" s="39">
        <f t="shared" ref="BR108:CW108" si="913">+SUM(BO87:BR87)/BR182</f>
        <v>8.6640273157141054E-2</v>
      </c>
      <c r="BS108" s="39">
        <f t="shared" si="913"/>
        <v>8.647124502194857E-2</v>
      </c>
      <c r="BT108" s="39">
        <f t="shared" si="913"/>
        <v>8.4949864769893718E-2</v>
      </c>
      <c r="BU108" s="39">
        <f t="shared" si="913"/>
        <v>8.434092922378332E-2</v>
      </c>
      <c r="BV108" s="39">
        <f t="shared" si="913"/>
        <v>8.4796629584518585E-2</v>
      </c>
      <c r="BW108" s="39">
        <f t="shared" si="913"/>
        <v>7.8941997075138493E-2</v>
      </c>
      <c r="BX108" s="39">
        <f t="shared" si="913"/>
        <v>7.2473815903102229E-2</v>
      </c>
      <c r="BY108" s="39">
        <f t="shared" si="913"/>
        <v>7.9195419728230423E-2</v>
      </c>
      <c r="BZ108" s="39">
        <f t="shared" si="913"/>
        <v>8.3812696483305971E-2</v>
      </c>
      <c r="CA108" s="39">
        <f t="shared" si="913"/>
        <v>8.4062386044177664E-2</v>
      </c>
      <c r="CB108" s="39">
        <f t="shared" si="913"/>
        <v>8.2882122049430046E-2</v>
      </c>
      <c r="CC108" s="39">
        <f t="shared" si="913"/>
        <v>7.9961076683323681E-2</v>
      </c>
      <c r="CD108" s="39">
        <f t="shared" si="913"/>
        <v>7.7597412841142133E-2</v>
      </c>
      <c r="CE108" s="39">
        <f t="shared" si="913"/>
        <v>8.4940731333015829E-2</v>
      </c>
      <c r="CF108" s="39">
        <f t="shared" si="913"/>
        <v>7.4877806533483582E-2</v>
      </c>
      <c r="CG108" s="39">
        <f t="shared" si="913"/>
        <v>7.721410513471591E-2</v>
      </c>
      <c r="CH108" s="39">
        <f t="shared" si="913"/>
        <v>8.1632191420898143E-2</v>
      </c>
      <c r="CI108" s="39">
        <f t="shared" si="913"/>
        <v>8.4004787711623868E-2</v>
      </c>
      <c r="CJ108" s="39">
        <f t="shared" si="913"/>
        <v>7.9807855195153085E-2</v>
      </c>
      <c r="CK108" s="39">
        <f t="shared" si="913"/>
        <v>8.3458973019804567E-2</v>
      </c>
      <c r="CL108" s="39">
        <f t="shared" si="913"/>
        <v>7.9690852087177994E-2</v>
      </c>
      <c r="CM108" s="40">
        <f t="shared" si="913"/>
        <v>8.5655768625240825E-2</v>
      </c>
      <c r="CN108" s="40">
        <f t="shared" si="913"/>
        <v>9.0574508297132428E-2</v>
      </c>
      <c r="CO108" s="40">
        <f t="shared" si="913"/>
        <v>9.5359847349428511E-2</v>
      </c>
      <c r="CP108" s="40">
        <f t="shared" si="913"/>
        <v>9.8079593114059074E-2</v>
      </c>
      <c r="CQ108" s="40">
        <f t="shared" si="913"/>
        <v>0.10095247896809975</v>
      </c>
      <c r="CR108" s="40">
        <f t="shared" si="913"/>
        <v>0.10332467872237923</v>
      </c>
      <c r="CS108" s="40">
        <f t="shared" si="913"/>
        <v>0.10569830715432675</v>
      </c>
      <c r="CT108" s="40">
        <f t="shared" si="913"/>
        <v>0.1089157277134216</v>
      </c>
      <c r="CU108" s="40">
        <f t="shared" si="913"/>
        <v>0.10980047043042308</v>
      </c>
      <c r="CV108" s="40">
        <f t="shared" si="913"/>
        <v>0.11057755077252431</v>
      </c>
      <c r="CW108" s="40">
        <f t="shared" si="913"/>
        <v>0.11422904952440759</v>
      </c>
      <c r="CX108" s="40">
        <f t="shared" ref="CX108:DB108" si="914">+SUM(CU87:CX87)/CX182</f>
        <v>0.11633176133417483</v>
      </c>
      <c r="CY108" s="40">
        <f t="shared" si="914"/>
        <v>0.11850217755157605</v>
      </c>
      <c r="CZ108" s="40">
        <f t="shared" si="914"/>
        <v>0.12058132923301919</v>
      </c>
      <c r="DA108" s="40">
        <f t="shared" si="914"/>
        <v>0.11998294903526351</v>
      </c>
      <c r="DB108" s="40">
        <f t="shared" si="914"/>
        <v>0.1207563858576253</v>
      </c>
      <c r="DE108" s="122"/>
      <c r="DF108" s="38" t="e">
        <v>#DIV/0!</v>
      </c>
      <c r="DG108" s="38">
        <v>8.260620317379426E-2</v>
      </c>
    </row>
    <row r="109" spans="1:111" s="1" customFormat="1" x14ac:dyDescent="0.2">
      <c r="A109" s="150" t="s">
        <v>488</v>
      </c>
      <c r="AB109" s="20"/>
      <c r="AC109" s="20"/>
      <c r="AD109" s="20"/>
      <c r="AE109" s="20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E109" s="119"/>
    </row>
    <row r="110" spans="1:111" s="8" customFormat="1" x14ac:dyDescent="0.2">
      <c r="A110" s="12" t="s">
        <v>26</v>
      </c>
      <c r="AB110" s="58"/>
      <c r="AC110" s="58"/>
      <c r="AD110" s="58"/>
      <c r="AE110" s="58"/>
      <c r="CM110" s="54"/>
      <c r="CN110" s="54"/>
      <c r="CO110" s="54"/>
      <c r="CP110" s="54"/>
      <c r="CQ110" s="54"/>
      <c r="CR110" s="54"/>
      <c r="CS110" s="54"/>
      <c r="CT110" s="54"/>
      <c r="CU110" s="54"/>
      <c r="CV110" s="54"/>
      <c r="CW110" s="54"/>
      <c r="CX110" s="54"/>
      <c r="CY110" s="54"/>
      <c r="CZ110" s="54"/>
      <c r="DA110" s="54"/>
      <c r="DB110" s="54"/>
      <c r="DE110" s="132"/>
    </row>
    <row r="111" spans="1:111" s="9" customFormat="1" x14ac:dyDescent="0.2">
      <c r="A111" s="9" t="s">
        <v>453</v>
      </c>
      <c r="N111" s="9">
        <f>N61-SUM(AI61:AL61)</f>
        <v>0</v>
      </c>
      <c r="O111" s="9">
        <f>O61-SUM(AM61:AP61)</f>
        <v>0</v>
      </c>
      <c r="P111" s="9">
        <f>P61-SUM(AQ61:AT61)</f>
        <v>1.0000000000019327E-2</v>
      </c>
      <c r="Q111" s="9">
        <f>Q61-SUM(AU61:AX61)</f>
        <v>0</v>
      </c>
      <c r="R111" s="9">
        <f>R61-SUM(AY61:BB61)</f>
        <v>-2.8400000000001455</v>
      </c>
      <c r="S111" s="9">
        <f>S61-SUM(BC61:BF61)</f>
        <v>0</v>
      </c>
      <c r="T111" s="9">
        <f>T61-SUM(BG61:BJ61)</f>
        <v>17.1899999999996</v>
      </c>
      <c r="U111" s="9">
        <f>U61-SUM(BK61:BN61)</f>
        <v>0</v>
      </c>
      <c r="V111" s="9">
        <f>V61-SUM(BO61:BR61)</f>
        <v>0</v>
      </c>
      <c r="W111" s="9">
        <f>W61-SUM(BS61:BV61)</f>
        <v>0</v>
      </c>
      <c r="X111" s="9">
        <f>X61-SUM(BW61:BZ61)</f>
        <v>0</v>
      </c>
      <c r="Y111" s="9">
        <f>Y61-SUM(CA61:CD61)</f>
        <v>0</v>
      </c>
      <c r="Z111" s="9">
        <f>Z61-SUM(CE61:CH61)</f>
        <v>0</v>
      </c>
      <c r="AA111" s="9">
        <f>AA61-SUM(CF61:CI61)</f>
        <v>2380.2099999999991</v>
      </c>
      <c r="AB111" s="15">
        <f>AB61-SUM(CM61:CP61)</f>
        <v>0</v>
      </c>
      <c r="AC111" s="15">
        <f>AC61-SUM(CQ61:CT61)</f>
        <v>0</v>
      </c>
      <c r="AD111" s="15">
        <f>AD61-SUM(CU61:CX61)</f>
        <v>0</v>
      </c>
      <c r="AE111" s="15">
        <f>AE61-SUM(CY61:DB61)</f>
        <v>0</v>
      </c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E111" s="133"/>
      <c r="DF111" s="9">
        <v>0</v>
      </c>
    </row>
    <row r="112" spans="1:111" s="9" customFormat="1" x14ac:dyDescent="0.2">
      <c r="A112" s="9" t="s">
        <v>454</v>
      </c>
      <c r="N112" s="9">
        <f>N67-SUM(AI67:AL67)</f>
        <v>0</v>
      </c>
      <c r="O112" s="9">
        <f>O67-SUM(AM67:AP67)</f>
        <v>0</v>
      </c>
      <c r="P112" s="9">
        <f>P67-SUM(AQ67:AT67)</f>
        <v>1.0000000000019327E-2</v>
      </c>
      <c r="Q112" s="9">
        <f>Q67-SUM(AU67:AX67)</f>
        <v>148.51000000000022</v>
      </c>
      <c r="R112" s="9">
        <f>R67-SUM(AY67:BB67)</f>
        <v>752.56</v>
      </c>
      <c r="S112" s="9">
        <f>S67-SUM(BC67:BF67)</f>
        <v>667.31999999999971</v>
      </c>
      <c r="T112" s="9">
        <f>T67-SUM(BG67:BJ67)</f>
        <v>856.13000000000011</v>
      </c>
      <c r="U112" s="9">
        <f>U67-SUM(BK67:BN67)</f>
        <v>924.20999999999913</v>
      </c>
      <c r="V112" s="9">
        <f>V67-SUM(BO67:BR67)</f>
        <v>755.88999999999942</v>
      </c>
      <c r="W112" s="9">
        <f>W67-SUM(BS67:BV67)</f>
        <v>821.22999999999956</v>
      </c>
      <c r="X112" s="9">
        <f>X67-SUM(BW67:BZ67)</f>
        <v>1502.7800000000007</v>
      </c>
      <c r="Y112" s="9">
        <f>Y67-SUM(CA67:CD67)</f>
        <v>2053.6399999999994</v>
      </c>
      <c r="Z112" s="9">
        <f>Z67-SUM(CE67:CH67)</f>
        <v>1365.7400000000016</v>
      </c>
      <c r="AA112" s="9">
        <f>AA67-SUM(CF67:CI67)</f>
        <v>3772.1200000000026</v>
      </c>
      <c r="AB112" s="15">
        <f>AB67-SUM(CM67:CP67)</f>
        <v>0</v>
      </c>
      <c r="AC112" s="15">
        <f>AC67-SUM(CQ67:CT67)</f>
        <v>0</v>
      </c>
      <c r="AD112" s="15">
        <f>AD67-SUM(CU67:CX67)</f>
        <v>0</v>
      </c>
      <c r="AE112" s="15">
        <f>AE67-SUM(CY67:DB67)</f>
        <v>0</v>
      </c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E112" s="133"/>
      <c r="DF112" s="9">
        <v>0</v>
      </c>
    </row>
    <row r="113" spans="1:111" s="9" customFormat="1" x14ac:dyDescent="0.2">
      <c r="A113" s="9" t="s">
        <v>455</v>
      </c>
      <c r="N113" s="9">
        <f>N81-SUM(AI81:AL81)</f>
        <v>0</v>
      </c>
      <c r="O113" s="9">
        <f>O81-SUM(AM81:AP81)</f>
        <v>-2.7028999999999998E-3</v>
      </c>
      <c r="P113" s="9">
        <f>P81-SUM(AQ81:AT81)</f>
        <v>0</v>
      </c>
      <c r="Q113" s="9">
        <f>Q81-SUM(AU81:AX81)</f>
        <v>-9.9999999999909051E-3</v>
      </c>
      <c r="R113" s="9">
        <f>R81-SUM(AY81:BB81)</f>
        <v>0</v>
      </c>
      <c r="S113" s="9">
        <f>S81-SUM(BC81:BF81)</f>
        <v>0</v>
      </c>
      <c r="T113" s="9">
        <f>T81-SUM(BG81:BJ81)</f>
        <v>-63.820000000000618</v>
      </c>
      <c r="U113" s="9">
        <f>U81-SUM(BK81:BN81)</f>
        <v>0</v>
      </c>
      <c r="V113" s="9">
        <f>V81-SUM(BO81:BR81)</f>
        <v>-582.80999999999949</v>
      </c>
      <c r="W113" s="9">
        <f>W81-SUM(BS81:BV81)</f>
        <v>-682.46999999999935</v>
      </c>
      <c r="X113" s="9">
        <f>X81-SUM(BW81:BZ81)</f>
        <v>-1035.5800000000008</v>
      </c>
      <c r="Y113" s="9">
        <f>Y81-SUM(CA81:CD81)</f>
        <v>0</v>
      </c>
      <c r="Z113" s="9">
        <f>Z81-SUM(CE81:CH81)</f>
        <v>0</v>
      </c>
      <c r="AA113" s="9">
        <f>AA81-SUM(CF81:CI81)</f>
        <v>762.3100000000004</v>
      </c>
      <c r="AB113" s="15">
        <f>AB81-SUM(CM81:CP81)</f>
        <v>0</v>
      </c>
      <c r="AC113" s="15">
        <f>AC81-SUM(CQ81:CT81)</f>
        <v>0</v>
      </c>
      <c r="AD113" s="15">
        <f>AD81-SUM(CU81:CX81)</f>
        <v>0</v>
      </c>
      <c r="AE113" s="15">
        <f>AE81-SUM(CY81:DB81)</f>
        <v>0</v>
      </c>
      <c r="CM113" s="59"/>
      <c r="CN113" s="59"/>
      <c r="CO113" s="59"/>
      <c r="CP113" s="59"/>
      <c r="CQ113" s="59"/>
      <c r="CR113" s="59"/>
      <c r="CS113" s="59"/>
      <c r="CT113" s="59"/>
      <c r="CU113" s="59"/>
      <c r="CV113" s="59"/>
      <c r="CW113" s="59"/>
      <c r="CX113" s="59"/>
      <c r="CY113" s="59"/>
      <c r="CZ113" s="59"/>
      <c r="DA113" s="59"/>
      <c r="DB113" s="59"/>
      <c r="DE113" s="133"/>
      <c r="DF113" s="9">
        <v>0</v>
      </c>
    </row>
    <row r="114" spans="1:111" s="9" customFormat="1" x14ac:dyDescent="0.2">
      <c r="A114" s="9" t="s">
        <v>456</v>
      </c>
      <c r="N114" s="9">
        <f>N101-SUM(AI101:AL101)</f>
        <v>0</v>
      </c>
      <c r="O114" s="9">
        <f>O101-SUM(AM101:AP101)</f>
        <v>-2.7028999999999998E-3</v>
      </c>
      <c r="P114" s="9">
        <f>P101-SUM(AQ101:AT101)</f>
        <v>0</v>
      </c>
      <c r="Q114" s="9">
        <f>Q101-SUM(AU101:AX101)</f>
        <v>-9.9999999994224709E-3</v>
      </c>
      <c r="R114" s="9">
        <f>R101-SUM(AY101:BB101)</f>
        <v>0</v>
      </c>
      <c r="S114" s="9">
        <f>S101-SUM(BC101:BF101)</f>
        <v>0</v>
      </c>
      <c r="T114" s="9">
        <f>T101-SUM(BG101:BJ101)</f>
        <v>0</v>
      </c>
      <c r="U114" s="9">
        <f>U101-SUM(BK101:BN101)</f>
        <v>0</v>
      </c>
      <c r="V114" s="9">
        <f>V101-SUM(BO101:BR101)</f>
        <v>0</v>
      </c>
      <c r="W114" s="9">
        <f>W94-SUM(BS94:BV94)</f>
        <v>-28.679999999999382</v>
      </c>
      <c r="X114" s="9">
        <f>X94-SUM(BW94:BZ94)</f>
        <v>4.2099999999991269</v>
      </c>
      <c r="Y114" s="9">
        <f>Y94-SUM(CA94:CD94)</f>
        <v>-3.8199999999990268</v>
      </c>
      <c r="Z114" s="9">
        <f>Z94-SUM(CE94:CH94)</f>
        <v>25.829999999999927</v>
      </c>
      <c r="AA114" s="9">
        <f>AA94-SUM(CF94:CI94)</f>
        <v>-233.30999999999995</v>
      </c>
      <c r="AB114" s="15">
        <f>AB94-SUM(CM94:CP94)</f>
        <v>3.637978807091713E-12</v>
      </c>
      <c r="AC114" s="15">
        <f>AC94-SUM(CQ94:CT94)</f>
        <v>0</v>
      </c>
      <c r="AD114" s="15">
        <f>AD94-SUM(CU94:CX94)</f>
        <v>0</v>
      </c>
      <c r="AE114" s="15">
        <f>AE94-SUM(CY94:DB94)</f>
        <v>0</v>
      </c>
      <c r="CM114" s="59"/>
      <c r="CN114" s="59"/>
      <c r="CO114" s="59"/>
      <c r="CP114" s="59"/>
      <c r="CQ114" s="59"/>
      <c r="CR114" s="59"/>
      <c r="CS114" s="59"/>
      <c r="CT114" s="59"/>
      <c r="CU114" s="59"/>
      <c r="CV114" s="59"/>
      <c r="CW114" s="59"/>
      <c r="CX114" s="59"/>
      <c r="CY114" s="59"/>
      <c r="CZ114" s="59"/>
      <c r="DA114" s="59"/>
      <c r="DB114" s="59"/>
      <c r="DE114" s="133"/>
      <c r="DF114" s="9">
        <v>0</v>
      </c>
    </row>
    <row r="115" spans="1:111" s="8" customFormat="1" x14ac:dyDescent="0.2">
      <c r="A115" s="149" t="s">
        <v>489</v>
      </c>
      <c r="AB115" s="58"/>
      <c r="AC115" s="58"/>
      <c r="AD115" s="58"/>
      <c r="AE115" s="58"/>
      <c r="CM115" s="54"/>
      <c r="CN115" s="54"/>
      <c r="CO115" s="54"/>
      <c r="CP115" s="54"/>
      <c r="CQ115" s="54"/>
      <c r="CR115" s="54"/>
      <c r="CS115" s="54"/>
      <c r="CT115" s="54"/>
      <c r="CU115" s="54"/>
      <c r="CV115" s="54"/>
      <c r="CW115" s="54"/>
      <c r="CX115" s="54"/>
      <c r="CY115" s="54"/>
      <c r="CZ115" s="54"/>
      <c r="DA115" s="54"/>
      <c r="DB115" s="54"/>
      <c r="DE115" s="132"/>
    </row>
    <row r="116" spans="1:111" s="3" customFormat="1" x14ac:dyDescent="0.2">
      <c r="A116" s="3" t="s">
        <v>27</v>
      </c>
      <c r="B116" s="3">
        <f>'Annual Raw'!C104</f>
        <v>0</v>
      </c>
      <c r="C116" s="3">
        <f>'Annual Raw'!D104</f>
        <v>0</v>
      </c>
      <c r="D116" s="3">
        <f>'Annual Raw'!E104</f>
        <v>0</v>
      </c>
      <c r="E116" s="3">
        <f t="shared" ref="E116:Y116" ca="1" si="915">+F116</f>
        <v>1201.28</v>
      </c>
      <c r="F116" s="3">
        <f t="shared" ca="1" si="915"/>
        <v>1201.28</v>
      </c>
      <c r="G116" s="3">
        <f t="shared" ca="1" si="915"/>
        <v>1201.28</v>
      </c>
      <c r="H116" s="3">
        <f t="shared" ca="1" si="915"/>
        <v>1201.28</v>
      </c>
      <c r="I116" s="3">
        <f t="shared" ca="1" si="915"/>
        <v>1201.28</v>
      </c>
      <c r="J116" s="3">
        <f t="shared" ca="1" si="915"/>
        <v>1201.28</v>
      </c>
      <c r="K116" s="3">
        <f t="shared" ca="1" si="915"/>
        <v>1201.28</v>
      </c>
      <c r="L116" s="3">
        <f t="shared" ca="1" si="915"/>
        <v>1201.28</v>
      </c>
      <c r="M116" s="3">
        <f t="shared" ca="1" si="915"/>
        <v>1201.28</v>
      </c>
      <c r="N116" s="3">
        <f t="shared" ca="1" si="915"/>
        <v>1201.28</v>
      </c>
      <c r="O116" s="3">
        <f t="shared" ca="1" si="915"/>
        <v>1201.28</v>
      </c>
      <c r="P116" s="3">
        <f t="shared" ca="1" si="915"/>
        <v>1201.28</v>
      </c>
      <c r="Q116" s="3">
        <f t="shared" ca="1" si="915"/>
        <v>1201.28</v>
      </c>
      <c r="R116" s="3">
        <f t="shared" ca="1" si="915"/>
        <v>1201.28</v>
      </c>
      <c r="S116" s="3">
        <f t="shared" ca="1" si="915"/>
        <v>1201.28</v>
      </c>
      <c r="T116" s="3">
        <f t="shared" ca="1" si="915"/>
        <v>1201.28</v>
      </c>
      <c r="U116" s="3">
        <f t="shared" ca="1" si="915"/>
        <v>1201.28</v>
      </c>
      <c r="V116" s="3">
        <f t="shared" ca="1" si="915"/>
        <v>1201.28</v>
      </c>
      <c r="W116" s="3">
        <f t="shared" ca="1" si="915"/>
        <v>1201.28</v>
      </c>
      <c r="X116" s="3">
        <f t="shared" ca="1" si="915"/>
        <v>1201.28</v>
      </c>
      <c r="Y116" s="3">
        <f t="shared" ca="1" si="915"/>
        <v>1201.28</v>
      </c>
      <c r="Z116" s="3">
        <f ca="1">+AA116</f>
        <v>1201.28</v>
      </c>
      <c r="AA116" s="3">
        <f ca="1">+AB116</f>
        <v>1201.28</v>
      </c>
      <c r="AB116" s="37">
        <f t="shared" ref="AB116:AB117" ca="1" si="916">AA116</f>
        <v>1201.28</v>
      </c>
      <c r="AC116" s="37">
        <f t="shared" ref="AC116:AC117" ca="1" si="917">AB116</f>
        <v>1201.28</v>
      </c>
      <c r="AD116" s="37">
        <f t="shared" ref="AD116:AD117" ca="1" si="918">AC116</f>
        <v>1201.28</v>
      </c>
      <c r="AE116" s="37">
        <f t="shared" ref="AE116:AE117" ca="1" si="919">AD116</f>
        <v>1201.28</v>
      </c>
      <c r="AI116" s="3">
        <f t="shared" ref="AI116:CH116" si="920">+AJ116</f>
        <v>1201.28</v>
      </c>
      <c r="AJ116" s="3">
        <f t="shared" si="920"/>
        <v>1201.28</v>
      </c>
      <c r="AK116" s="3">
        <f t="shared" si="920"/>
        <v>1201.28</v>
      </c>
      <c r="AL116" s="3">
        <f t="shared" si="920"/>
        <v>1201.28</v>
      </c>
      <c r="AM116" s="3">
        <f t="shared" si="920"/>
        <v>1201.28</v>
      </c>
      <c r="AN116" s="3">
        <f t="shared" si="920"/>
        <v>1201.28</v>
      </c>
      <c r="AO116" s="3">
        <f t="shared" si="920"/>
        <v>1201.28</v>
      </c>
      <c r="AP116" s="3">
        <f t="shared" si="920"/>
        <v>1201.28</v>
      </c>
      <c r="AQ116" s="3">
        <f t="shared" si="920"/>
        <v>1201.28</v>
      </c>
      <c r="AR116" s="3">
        <f t="shared" si="920"/>
        <v>1201.28</v>
      </c>
      <c r="AS116" s="3">
        <f t="shared" si="920"/>
        <v>1201.28</v>
      </c>
      <c r="AT116" s="3">
        <f t="shared" si="920"/>
        <v>1201.28</v>
      </c>
      <c r="AU116" s="3">
        <f t="shared" si="920"/>
        <v>1201.28</v>
      </c>
      <c r="AV116" s="3">
        <f t="shared" si="920"/>
        <v>1201.28</v>
      </c>
      <c r="AW116" s="3">
        <f t="shared" si="920"/>
        <v>1201.28</v>
      </c>
      <c r="AX116" s="3">
        <f t="shared" si="920"/>
        <v>1201.28</v>
      </c>
      <c r="AY116" s="3">
        <f t="shared" si="920"/>
        <v>1201.28</v>
      </c>
      <c r="AZ116" s="3">
        <f t="shared" si="920"/>
        <v>1201.28</v>
      </c>
      <c r="BA116" s="3">
        <f t="shared" si="920"/>
        <v>1201.28</v>
      </c>
      <c r="BB116" s="3">
        <f t="shared" si="920"/>
        <v>1201.28</v>
      </c>
      <c r="BC116" s="3">
        <f t="shared" si="920"/>
        <v>1201.28</v>
      </c>
      <c r="BD116" s="3">
        <f t="shared" si="920"/>
        <v>1201.28</v>
      </c>
      <c r="BE116" s="3">
        <f t="shared" si="920"/>
        <v>1201.28</v>
      </c>
      <c r="BF116" s="3">
        <f t="shared" si="920"/>
        <v>1201.28</v>
      </c>
      <c r="BG116" s="3">
        <f t="shared" si="920"/>
        <v>1201.28</v>
      </c>
      <c r="BH116" s="3">
        <f t="shared" si="920"/>
        <v>1201.28</v>
      </c>
      <c r="BI116" s="3">
        <f t="shared" si="920"/>
        <v>1201.28</v>
      </c>
      <c r="BJ116" s="3">
        <f t="shared" si="920"/>
        <v>1201.28</v>
      </c>
      <c r="BK116" s="3">
        <f t="shared" si="920"/>
        <v>1201.28</v>
      </c>
      <c r="BL116" s="3">
        <f t="shared" si="920"/>
        <v>1201.28</v>
      </c>
      <c r="BM116" s="3">
        <f t="shared" si="920"/>
        <v>1201.28</v>
      </c>
      <c r="BN116" s="3">
        <f t="shared" si="920"/>
        <v>1201.28</v>
      </c>
      <c r="BO116" s="3">
        <f t="shared" si="920"/>
        <v>1201.28</v>
      </c>
      <c r="BP116" s="3">
        <f t="shared" si="920"/>
        <v>1201.28</v>
      </c>
      <c r="BQ116" s="3">
        <f t="shared" si="920"/>
        <v>1201.28</v>
      </c>
      <c r="BR116" s="3">
        <f t="shared" si="920"/>
        <v>1201.28</v>
      </c>
      <c r="BS116" s="3">
        <f t="shared" si="920"/>
        <v>1201.28</v>
      </c>
      <c r="BT116" s="3">
        <f t="shared" si="920"/>
        <v>1201.28</v>
      </c>
      <c r="BU116" s="3">
        <f t="shared" si="920"/>
        <v>1201.28</v>
      </c>
      <c r="BV116" s="3">
        <f t="shared" si="920"/>
        <v>1201.28</v>
      </c>
      <c r="BW116" s="3">
        <f t="shared" si="920"/>
        <v>1201.28</v>
      </c>
      <c r="BX116" s="3">
        <f t="shared" si="920"/>
        <v>1201.28</v>
      </c>
      <c r="BY116" s="3">
        <f t="shared" si="920"/>
        <v>1201.28</v>
      </c>
      <c r="BZ116" s="3">
        <f t="shared" si="920"/>
        <v>1201.28</v>
      </c>
      <c r="CA116" s="3">
        <f t="shared" si="920"/>
        <v>1201.28</v>
      </c>
      <c r="CB116" s="3">
        <f t="shared" si="920"/>
        <v>1201.28</v>
      </c>
      <c r="CC116" s="3">
        <f t="shared" si="920"/>
        <v>1201.28</v>
      </c>
      <c r="CD116" s="3">
        <f t="shared" si="920"/>
        <v>1201.28</v>
      </c>
      <c r="CE116" s="3">
        <f t="shared" si="920"/>
        <v>1201.28</v>
      </c>
      <c r="CF116" s="3">
        <f t="shared" si="920"/>
        <v>1201.28</v>
      </c>
      <c r="CG116" s="3">
        <f t="shared" si="920"/>
        <v>1201.28</v>
      </c>
      <c r="CH116" s="3">
        <f t="shared" si="920"/>
        <v>1201.28</v>
      </c>
      <c r="CI116" s="3">
        <f>+CJ116</f>
        <v>1201.28</v>
      </c>
      <c r="CJ116" s="3">
        <f>'QTR Raw'!BD45</f>
        <v>1201.28</v>
      </c>
      <c r="CK116" s="3">
        <f>'QTR Raw'!BE45</f>
        <v>1201.28</v>
      </c>
      <c r="CL116" s="3">
        <f t="shared" ref="CL116:CL117" si="921">+CK116</f>
        <v>1201.28</v>
      </c>
      <c r="CM116" s="37">
        <f t="shared" ref="CM116:CM117" si="922">+CL116</f>
        <v>1201.28</v>
      </c>
      <c r="CN116" s="37">
        <f t="shared" ref="CN116:CN117" si="923">+CM116</f>
        <v>1201.28</v>
      </c>
      <c r="CO116" s="37">
        <f t="shared" ref="CO116:CO117" si="924">+CN116</f>
        <v>1201.28</v>
      </c>
      <c r="CP116" s="37">
        <f t="shared" ref="CP116:CP117" si="925">+CO116</f>
        <v>1201.28</v>
      </c>
      <c r="CQ116" s="37">
        <f t="shared" ref="CQ116:CQ117" si="926">+CP116</f>
        <v>1201.28</v>
      </c>
      <c r="CR116" s="37">
        <f t="shared" ref="CR116:CR117" si="927">+CQ116</f>
        <v>1201.28</v>
      </c>
      <c r="CS116" s="37">
        <f t="shared" ref="CS116:CS117" si="928">+CR116</f>
        <v>1201.28</v>
      </c>
      <c r="CT116" s="37">
        <f t="shared" ref="CT116:CT117" si="929">+CS116</f>
        <v>1201.28</v>
      </c>
      <c r="CU116" s="37">
        <f t="shared" ref="CU116:CU117" si="930">+CT116</f>
        <v>1201.28</v>
      </c>
      <c r="CV116" s="37">
        <f t="shared" ref="CV116:CV117" si="931">+CU116</f>
        <v>1201.28</v>
      </c>
      <c r="CW116" s="37">
        <f t="shared" ref="CW116:CW117" si="932">+CV116</f>
        <v>1201.28</v>
      </c>
      <c r="CX116" s="37">
        <f t="shared" ref="CX116:CX117" si="933">+CW116</f>
        <v>1201.28</v>
      </c>
      <c r="CY116" s="37">
        <f t="shared" ref="CY116:CY117" si="934">+CX116</f>
        <v>1201.28</v>
      </c>
      <c r="CZ116" s="37">
        <f t="shared" ref="CZ116:CZ117" si="935">+CY116</f>
        <v>1201.28</v>
      </c>
      <c r="DA116" s="37">
        <f t="shared" ref="DA116:DA117" si="936">+CZ116</f>
        <v>1201.28</v>
      </c>
      <c r="DB116" s="37">
        <f t="shared" ref="DB116:DB117" si="937">+DA116</f>
        <v>1201.28</v>
      </c>
      <c r="DE116" s="134"/>
      <c r="DF116" s="3">
        <v>1201.28</v>
      </c>
      <c r="DG116" s="3">
        <v>1201.28</v>
      </c>
    </row>
    <row r="117" spans="1:111" s="3" customFormat="1" x14ac:dyDescent="0.2">
      <c r="A117" s="3" t="s">
        <v>28</v>
      </c>
      <c r="B117" s="3">
        <f>'Annual Raw'!C105</f>
        <v>0</v>
      </c>
      <c r="C117" s="3">
        <f>'Annual Raw'!D105</f>
        <v>0</v>
      </c>
      <c r="D117" s="3">
        <f>'Annual Raw'!E105</f>
        <v>0</v>
      </c>
      <c r="E117" s="3">
        <f t="shared" ref="E117:Y117" ca="1" si="938">+F117</f>
        <v>10</v>
      </c>
      <c r="F117" s="3">
        <f t="shared" ca="1" si="938"/>
        <v>10</v>
      </c>
      <c r="G117" s="3">
        <f t="shared" ca="1" si="938"/>
        <v>10</v>
      </c>
      <c r="H117" s="3">
        <f t="shared" ca="1" si="938"/>
        <v>10</v>
      </c>
      <c r="I117" s="3">
        <f t="shared" ca="1" si="938"/>
        <v>10</v>
      </c>
      <c r="J117" s="3">
        <f t="shared" ca="1" si="938"/>
        <v>10</v>
      </c>
      <c r="K117" s="3">
        <f t="shared" ca="1" si="938"/>
        <v>10</v>
      </c>
      <c r="L117" s="3">
        <f t="shared" ca="1" si="938"/>
        <v>10</v>
      </c>
      <c r="M117" s="3">
        <f t="shared" ca="1" si="938"/>
        <v>10</v>
      </c>
      <c r="N117" s="3">
        <f t="shared" ca="1" si="938"/>
        <v>10</v>
      </c>
      <c r="O117" s="3">
        <f t="shared" ca="1" si="938"/>
        <v>10</v>
      </c>
      <c r="P117" s="3">
        <f t="shared" ca="1" si="938"/>
        <v>10</v>
      </c>
      <c r="Q117" s="3">
        <f t="shared" ca="1" si="938"/>
        <v>10</v>
      </c>
      <c r="R117" s="3">
        <f t="shared" ca="1" si="938"/>
        <v>10</v>
      </c>
      <c r="S117" s="3">
        <f t="shared" ca="1" si="938"/>
        <v>10</v>
      </c>
      <c r="T117" s="3">
        <f t="shared" ca="1" si="938"/>
        <v>10</v>
      </c>
      <c r="U117" s="3">
        <f t="shared" ca="1" si="938"/>
        <v>10</v>
      </c>
      <c r="V117" s="3">
        <f t="shared" ca="1" si="938"/>
        <v>10</v>
      </c>
      <c r="W117" s="3">
        <f t="shared" ca="1" si="938"/>
        <v>10</v>
      </c>
      <c r="X117" s="3">
        <f t="shared" ca="1" si="938"/>
        <v>10</v>
      </c>
      <c r="Y117" s="3">
        <f t="shared" ca="1" si="938"/>
        <v>10</v>
      </c>
      <c r="Z117" s="3">
        <f ca="1">+AA117</f>
        <v>10</v>
      </c>
      <c r="AA117" s="3">
        <f ca="1">+AB117</f>
        <v>10</v>
      </c>
      <c r="AB117" s="37">
        <f t="shared" ca="1" si="916"/>
        <v>10</v>
      </c>
      <c r="AC117" s="37">
        <f t="shared" ca="1" si="917"/>
        <v>10</v>
      </c>
      <c r="AD117" s="37">
        <f t="shared" ca="1" si="918"/>
        <v>10</v>
      </c>
      <c r="AE117" s="37">
        <f t="shared" ca="1" si="919"/>
        <v>10</v>
      </c>
      <c r="AI117" s="3">
        <f t="shared" ref="AI117:CH117" si="939">AJ117</f>
        <v>10</v>
      </c>
      <c r="AJ117" s="3">
        <f t="shared" si="939"/>
        <v>10</v>
      </c>
      <c r="AK117" s="3">
        <f t="shared" si="939"/>
        <v>10</v>
      </c>
      <c r="AL117" s="3">
        <f t="shared" si="939"/>
        <v>10</v>
      </c>
      <c r="AM117" s="3">
        <f t="shared" si="939"/>
        <v>10</v>
      </c>
      <c r="AN117" s="3">
        <f t="shared" si="939"/>
        <v>10</v>
      </c>
      <c r="AO117" s="3">
        <f t="shared" si="939"/>
        <v>10</v>
      </c>
      <c r="AP117" s="3">
        <f t="shared" si="939"/>
        <v>10</v>
      </c>
      <c r="AQ117" s="3">
        <f t="shared" si="939"/>
        <v>10</v>
      </c>
      <c r="AR117" s="3">
        <f t="shared" si="939"/>
        <v>10</v>
      </c>
      <c r="AS117" s="3">
        <f t="shared" si="939"/>
        <v>10</v>
      </c>
      <c r="AT117" s="3">
        <f t="shared" si="939"/>
        <v>10</v>
      </c>
      <c r="AU117" s="3">
        <f t="shared" si="939"/>
        <v>10</v>
      </c>
      <c r="AV117" s="3">
        <f t="shared" si="939"/>
        <v>10</v>
      </c>
      <c r="AW117" s="3">
        <f t="shared" si="939"/>
        <v>10</v>
      </c>
      <c r="AX117" s="3">
        <f t="shared" si="939"/>
        <v>10</v>
      </c>
      <c r="AY117" s="3">
        <f t="shared" si="939"/>
        <v>10</v>
      </c>
      <c r="AZ117" s="3">
        <f t="shared" si="939"/>
        <v>10</v>
      </c>
      <c r="BA117" s="3">
        <f t="shared" si="939"/>
        <v>10</v>
      </c>
      <c r="BB117" s="3">
        <f t="shared" si="939"/>
        <v>10</v>
      </c>
      <c r="BC117" s="3">
        <f t="shared" si="939"/>
        <v>10</v>
      </c>
      <c r="BD117" s="3">
        <f t="shared" si="939"/>
        <v>10</v>
      </c>
      <c r="BE117" s="3">
        <f t="shared" si="939"/>
        <v>10</v>
      </c>
      <c r="BF117" s="3">
        <f t="shared" si="939"/>
        <v>10</v>
      </c>
      <c r="BG117" s="3">
        <f t="shared" si="939"/>
        <v>10</v>
      </c>
      <c r="BH117" s="3">
        <f t="shared" si="939"/>
        <v>10</v>
      </c>
      <c r="BI117" s="3">
        <f t="shared" si="939"/>
        <v>10</v>
      </c>
      <c r="BJ117" s="3">
        <f t="shared" si="939"/>
        <v>10</v>
      </c>
      <c r="BK117" s="3">
        <f t="shared" si="939"/>
        <v>10</v>
      </c>
      <c r="BL117" s="3">
        <f t="shared" si="939"/>
        <v>10</v>
      </c>
      <c r="BM117" s="3">
        <f t="shared" si="939"/>
        <v>10</v>
      </c>
      <c r="BN117" s="3">
        <f t="shared" si="939"/>
        <v>10</v>
      </c>
      <c r="BO117" s="3">
        <f t="shared" si="939"/>
        <v>10</v>
      </c>
      <c r="BP117" s="3">
        <f t="shared" si="939"/>
        <v>10</v>
      </c>
      <c r="BQ117" s="3">
        <f t="shared" si="939"/>
        <v>10</v>
      </c>
      <c r="BR117" s="3">
        <f t="shared" si="939"/>
        <v>10</v>
      </c>
      <c r="BS117" s="3">
        <f t="shared" si="939"/>
        <v>10</v>
      </c>
      <c r="BT117" s="3">
        <f t="shared" si="939"/>
        <v>10</v>
      </c>
      <c r="BU117" s="3">
        <f t="shared" si="939"/>
        <v>10</v>
      </c>
      <c r="BV117" s="3">
        <f t="shared" si="939"/>
        <v>10</v>
      </c>
      <c r="BW117" s="3">
        <f t="shared" si="939"/>
        <v>10</v>
      </c>
      <c r="BX117" s="3">
        <f t="shared" si="939"/>
        <v>10</v>
      </c>
      <c r="BY117" s="3">
        <f t="shared" si="939"/>
        <v>10</v>
      </c>
      <c r="BZ117" s="3">
        <f t="shared" si="939"/>
        <v>10</v>
      </c>
      <c r="CA117" s="3">
        <f t="shared" si="939"/>
        <v>10</v>
      </c>
      <c r="CB117" s="3">
        <f t="shared" si="939"/>
        <v>10</v>
      </c>
      <c r="CC117" s="3">
        <f t="shared" si="939"/>
        <v>10</v>
      </c>
      <c r="CD117" s="3">
        <f t="shared" si="939"/>
        <v>10</v>
      </c>
      <c r="CE117" s="3">
        <f t="shared" si="939"/>
        <v>10</v>
      </c>
      <c r="CF117" s="3">
        <f t="shared" si="939"/>
        <v>10</v>
      </c>
      <c r="CG117" s="3">
        <f t="shared" si="939"/>
        <v>10</v>
      </c>
      <c r="CH117" s="3">
        <f t="shared" si="939"/>
        <v>10</v>
      </c>
      <c r="CI117" s="3">
        <f>CJ117</f>
        <v>10</v>
      </c>
      <c r="CJ117" s="3">
        <f>'QTR Raw'!BD46</f>
        <v>10</v>
      </c>
      <c r="CK117" s="3">
        <f>'QTR Raw'!BE46</f>
        <v>10</v>
      </c>
      <c r="CL117" s="3">
        <f t="shared" si="921"/>
        <v>10</v>
      </c>
      <c r="CM117" s="37">
        <f t="shared" si="922"/>
        <v>10</v>
      </c>
      <c r="CN117" s="37">
        <f t="shared" si="923"/>
        <v>10</v>
      </c>
      <c r="CO117" s="37">
        <f t="shared" si="924"/>
        <v>10</v>
      </c>
      <c r="CP117" s="37">
        <f t="shared" si="925"/>
        <v>10</v>
      </c>
      <c r="CQ117" s="37">
        <f t="shared" si="926"/>
        <v>10</v>
      </c>
      <c r="CR117" s="37">
        <f t="shared" si="927"/>
        <v>10</v>
      </c>
      <c r="CS117" s="37">
        <f t="shared" si="928"/>
        <v>10</v>
      </c>
      <c r="CT117" s="37">
        <f t="shared" si="929"/>
        <v>10</v>
      </c>
      <c r="CU117" s="37">
        <f t="shared" si="930"/>
        <v>10</v>
      </c>
      <c r="CV117" s="37">
        <f t="shared" si="931"/>
        <v>10</v>
      </c>
      <c r="CW117" s="37">
        <f t="shared" si="932"/>
        <v>10</v>
      </c>
      <c r="CX117" s="37">
        <f t="shared" si="933"/>
        <v>10</v>
      </c>
      <c r="CY117" s="37">
        <f t="shared" si="934"/>
        <v>10</v>
      </c>
      <c r="CZ117" s="37">
        <f t="shared" si="935"/>
        <v>10</v>
      </c>
      <c r="DA117" s="37">
        <f t="shared" si="936"/>
        <v>10</v>
      </c>
      <c r="DB117" s="37">
        <f t="shared" si="937"/>
        <v>10</v>
      </c>
      <c r="DE117" s="134"/>
      <c r="DF117" s="3">
        <v>10</v>
      </c>
      <c r="DG117" s="3">
        <v>10</v>
      </c>
    </row>
    <row r="118" spans="1:111" s="3" customFormat="1" x14ac:dyDescent="0.2">
      <c r="A118" s="3" t="s">
        <v>29</v>
      </c>
      <c r="B118" s="3" t="e">
        <f>B116/B117</f>
        <v>#DIV/0!</v>
      </c>
      <c r="C118" s="3" t="e">
        <f t="shared" ref="C118:W118" si="940">C116/C117</f>
        <v>#DIV/0!</v>
      </c>
      <c r="D118" s="3" t="e">
        <f t="shared" si="940"/>
        <v>#DIV/0!</v>
      </c>
      <c r="E118" s="3">
        <f t="shared" ca="1" si="940"/>
        <v>120.128</v>
      </c>
      <c r="F118" s="3">
        <f t="shared" ca="1" si="940"/>
        <v>120.128</v>
      </c>
      <c r="G118" s="3">
        <f t="shared" ca="1" si="940"/>
        <v>120.128</v>
      </c>
      <c r="H118" s="3">
        <f t="shared" ca="1" si="940"/>
        <v>120.128</v>
      </c>
      <c r="I118" s="3">
        <f t="shared" ca="1" si="940"/>
        <v>120.128</v>
      </c>
      <c r="J118" s="3">
        <f t="shared" ca="1" si="940"/>
        <v>120.128</v>
      </c>
      <c r="K118" s="3">
        <f t="shared" ca="1" si="940"/>
        <v>120.128</v>
      </c>
      <c r="L118" s="3">
        <f t="shared" ca="1" si="940"/>
        <v>120.128</v>
      </c>
      <c r="M118" s="3">
        <f t="shared" ca="1" si="940"/>
        <v>120.128</v>
      </c>
      <c r="N118" s="3">
        <f t="shared" ca="1" si="940"/>
        <v>120.128</v>
      </c>
      <c r="O118" s="3">
        <f t="shared" ca="1" si="940"/>
        <v>120.128</v>
      </c>
      <c r="P118" s="3">
        <f t="shared" ca="1" si="940"/>
        <v>120.128</v>
      </c>
      <c r="Q118" s="3">
        <f t="shared" ca="1" si="940"/>
        <v>120.128</v>
      </c>
      <c r="R118" s="3">
        <f t="shared" ca="1" si="940"/>
        <v>120.128</v>
      </c>
      <c r="S118" s="3">
        <f t="shared" ca="1" si="940"/>
        <v>120.128</v>
      </c>
      <c r="T118" s="3">
        <f t="shared" ca="1" si="940"/>
        <v>120.128</v>
      </c>
      <c r="U118" s="3">
        <f t="shared" ca="1" si="940"/>
        <v>120.128</v>
      </c>
      <c r="V118" s="3">
        <f ca="1">V116/V117</f>
        <v>120.128</v>
      </c>
      <c r="W118" s="3">
        <f t="shared" ca="1" si="940"/>
        <v>120.128</v>
      </c>
      <c r="X118" s="3">
        <f t="shared" ref="X118:Y118" ca="1" si="941">X116/X117</f>
        <v>120.128</v>
      </c>
      <c r="Y118" s="3">
        <f t="shared" ca="1" si="941"/>
        <v>120.128</v>
      </c>
      <c r="Z118" s="3">
        <f ca="1">Z116/Z117</f>
        <v>120.128</v>
      </c>
      <c r="AA118" s="3">
        <f ca="1">AA116/AA117</f>
        <v>120.128</v>
      </c>
      <c r="AB118" s="37">
        <f t="shared" ref="AB118:AD118" ca="1" si="942">AB116/AB117</f>
        <v>120.128</v>
      </c>
      <c r="AC118" s="37">
        <f t="shared" ca="1" si="942"/>
        <v>120.128</v>
      </c>
      <c r="AD118" s="37">
        <f t="shared" ca="1" si="942"/>
        <v>120.128</v>
      </c>
      <c r="AE118" s="37">
        <f t="shared" ref="AE118" ca="1" si="943">AE116/AE117</f>
        <v>120.128</v>
      </c>
      <c r="AI118" s="3">
        <f t="shared" ref="AI118" si="944">AI116/AI117</f>
        <v>120.128</v>
      </c>
      <c r="AJ118" s="3">
        <f t="shared" ref="AJ118" si="945">AJ116/AJ117</f>
        <v>120.128</v>
      </c>
      <c r="AK118" s="3">
        <f t="shared" ref="AK118:AM118" si="946">AK116/AK117</f>
        <v>120.128</v>
      </c>
      <c r="AL118" s="3">
        <f t="shared" si="946"/>
        <v>120.128</v>
      </c>
      <c r="AM118" s="3">
        <f t="shared" si="946"/>
        <v>120.128</v>
      </c>
      <c r="AN118" s="3">
        <f t="shared" ref="AN118:AO118" si="947">AN116/AN117</f>
        <v>120.128</v>
      </c>
      <c r="AO118" s="3">
        <f t="shared" si="947"/>
        <v>120.128</v>
      </c>
      <c r="AP118" s="3">
        <f t="shared" ref="AP118:CD118" si="948">AP116/AP117</f>
        <v>120.128</v>
      </c>
      <c r="AQ118" s="3">
        <f t="shared" si="948"/>
        <v>120.128</v>
      </c>
      <c r="AR118" s="3">
        <f t="shared" si="948"/>
        <v>120.128</v>
      </c>
      <c r="AS118" s="3">
        <f t="shared" si="948"/>
        <v>120.128</v>
      </c>
      <c r="AT118" s="3">
        <f t="shared" si="948"/>
        <v>120.128</v>
      </c>
      <c r="AU118" s="3">
        <f t="shared" si="948"/>
        <v>120.128</v>
      </c>
      <c r="AV118" s="3">
        <f t="shared" si="948"/>
        <v>120.128</v>
      </c>
      <c r="AW118" s="3">
        <f t="shared" si="948"/>
        <v>120.128</v>
      </c>
      <c r="AX118" s="3">
        <f t="shared" si="948"/>
        <v>120.128</v>
      </c>
      <c r="AY118" s="3">
        <f t="shared" si="948"/>
        <v>120.128</v>
      </c>
      <c r="AZ118" s="3">
        <f t="shared" si="948"/>
        <v>120.128</v>
      </c>
      <c r="BA118" s="3">
        <f t="shared" si="948"/>
        <v>120.128</v>
      </c>
      <c r="BB118" s="3">
        <f t="shared" si="948"/>
        <v>120.128</v>
      </c>
      <c r="BC118" s="3">
        <f t="shared" si="948"/>
        <v>120.128</v>
      </c>
      <c r="BD118" s="3">
        <f t="shared" si="948"/>
        <v>120.128</v>
      </c>
      <c r="BE118" s="3">
        <f t="shared" si="948"/>
        <v>120.128</v>
      </c>
      <c r="BF118" s="3">
        <f t="shared" si="948"/>
        <v>120.128</v>
      </c>
      <c r="BG118" s="3">
        <f t="shared" si="948"/>
        <v>120.128</v>
      </c>
      <c r="BH118" s="3">
        <f t="shared" si="948"/>
        <v>120.128</v>
      </c>
      <c r="BI118" s="3">
        <f t="shared" si="948"/>
        <v>120.128</v>
      </c>
      <c r="BJ118" s="3">
        <f t="shared" si="948"/>
        <v>120.128</v>
      </c>
      <c r="BK118" s="3">
        <f t="shared" si="948"/>
        <v>120.128</v>
      </c>
      <c r="BL118" s="3">
        <f t="shared" si="948"/>
        <v>120.128</v>
      </c>
      <c r="BM118" s="3">
        <f t="shared" si="948"/>
        <v>120.128</v>
      </c>
      <c r="BN118" s="3">
        <f t="shared" si="948"/>
        <v>120.128</v>
      </c>
      <c r="BO118" s="3">
        <f t="shared" si="948"/>
        <v>120.128</v>
      </c>
      <c r="BP118" s="3">
        <f t="shared" si="948"/>
        <v>120.128</v>
      </c>
      <c r="BQ118" s="3">
        <f t="shared" si="948"/>
        <v>120.128</v>
      </c>
      <c r="BR118" s="3">
        <f t="shared" si="948"/>
        <v>120.128</v>
      </c>
      <c r="BS118" s="3">
        <f t="shared" si="948"/>
        <v>120.128</v>
      </c>
      <c r="BT118" s="3">
        <f t="shared" si="948"/>
        <v>120.128</v>
      </c>
      <c r="BU118" s="3">
        <f t="shared" si="948"/>
        <v>120.128</v>
      </c>
      <c r="BV118" s="3">
        <f t="shared" si="948"/>
        <v>120.128</v>
      </c>
      <c r="BW118" s="3">
        <f t="shared" si="948"/>
        <v>120.128</v>
      </c>
      <c r="BX118" s="3">
        <f t="shared" si="948"/>
        <v>120.128</v>
      </c>
      <c r="BY118" s="3">
        <f t="shared" si="948"/>
        <v>120.128</v>
      </c>
      <c r="BZ118" s="3">
        <f t="shared" si="948"/>
        <v>120.128</v>
      </c>
      <c r="CA118" s="3">
        <f t="shared" si="948"/>
        <v>120.128</v>
      </c>
      <c r="CB118" s="3">
        <f t="shared" si="948"/>
        <v>120.128</v>
      </c>
      <c r="CC118" s="3">
        <f t="shared" si="948"/>
        <v>120.128</v>
      </c>
      <c r="CD118" s="3">
        <f t="shared" si="948"/>
        <v>120.128</v>
      </c>
      <c r="CE118" s="3">
        <f t="shared" ref="CE118:CF118" si="949">CE116/CE117</f>
        <v>120.128</v>
      </c>
      <c r="CF118" s="3">
        <f t="shared" si="949"/>
        <v>120.128</v>
      </c>
      <c r="CG118" s="3">
        <f t="shared" ref="CG118:CH118" si="950">CG116/CG117</f>
        <v>120.128</v>
      </c>
      <c r="CH118" s="3">
        <f t="shared" si="950"/>
        <v>120.128</v>
      </c>
      <c r="CI118" s="3">
        <f t="shared" ref="CI118:CJ118" si="951">CI116/CI117</f>
        <v>120.128</v>
      </c>
      <c r="CJ118" s="3">
        <f t="shared" si="951"/>
        <v>120.128</v>
      </c>
      <c r="CK118" s="3">
        <f t="shared" ref="CK118" si="952">CK116/CK117</f>
        <v>120.128</v>
      </c>
      <c r="CL118" s="3">
        <f t="shared" ref="CL118" si="953">CL116/CL117</f>
        <v>120.128</v>
      </c>
      <c r="CM118" s="37">
        <f t="shared" ref="CM118:DB118" si="954">CM116/CM117</f>
        <v>120.128</v>
      </c>
      <c r="CN118" s="37">
        <f t="shared" si="954"/>
        <v>120.128</v>
      </c>
      <c r="CO118" s="37">
        <f t="shared" si="954"/>
        <v>120.128</v>
      </c>
      <c r="CP118" s="37">
        <f t="shared" si="954"/>
        <v>120.128</v>
      </c>
      <c r="CQ118" s="37">
        <f t="shared" si="954"/>
        <v>120.128</v>
      </c>
      <c r="CR118" s="37">
        <f t="shared" si="954"/>
        <v>120.128</v>
      </c>
      <c r="CS118" s="37">
        <f t="shared" si="954"/>
        <v>120.128</v>
      </c>
      <c r="CT118" s="37">
        <f t="shared" si="954"/>
        <v>120.128</v>
      </c>
      <c r="CU118" s="37">
        <f t="shared" si="954"/>
        <v>120.128</v>
      </c>
      <c r="CV118" s="37">
        <f t="shared" si="954"/>
        <v>120.128</v>
      </c>
      <c r="CW118" s="37">
        <f t="shared" si="954"/>
        <v>120.128</v>
      </c>
      <c r="CX118" s="37">
        <f t="shared" si="954"/>
        <v>120.128</v>
      </c>
      <c r="CY118" s="37">
        <f t="shared" si="954"/>
        <v>120.128</v>
      </c>
      <c r="CZ118" s="37">
        <f t="shared" si="954"/>
        <v>120.128</v>
      </c>
      <c r="DA118" s="37">
        <f t="shared" si="954"/>
        <v>120.128</v>
      </c>
      <c r="DB118" s="37">
        <f t="shared" si="954"/>
        <v>120.128</v>
      </c>
      <c r="DE118" s="134"/>
      <c r="DF118" s="3">
        <v>120.128</v>
      </c>
      <c r="DG118" s="3">
        <v>120.128</v>
      </c>
    </row>
    <row r="119" spans="1:111" s="53" customFormat="1" x14ac:dyDescent="0.2">
      <c r="A119" s="53" t="s">
        <v>30</v>
      </c>
      <c r="B119" s="53" t="e">
        <f t="shared" ref="B119:AE119" si="955">(B101-B100)/B118</f>
        <v>#DIV/0!</v>
      </c>
      <c r="C119" s="53" t="e">
        <f t="shared" si="955"/>
        <v>#DIV/0!</v>
      </c>
      <c r="D119" s="53" t="e">
        <f t="shared" si="955"/>
        <v>#DIV/0!</v>
      </c>
      <c r="E119" s="53">
        <f t="shared" ca="1" si="955"/>
        <v>0</v>
      </c>
      <c r="F119" s="53">
        <f t="shared" ca="1" si="955"/>
        <v>0</v>
      </c>
      <c r="G119" s="53">
        <f t="shared" ca="1" si="955"/>
        <v>0</v>
      </c>
      <c r="H119" s="53">
        <f t="shared" ca="1" si="955"/>
        <v>0</v>
      </c>
      <c r="I119" s="53">
        <f t="shared" ca="1" si="955"/>
        <v>0</v>
      </c>
      <c r="J119" s="53">
        <f t="shared" ca="1" si="955"/>
        <v>0</v>
      </c>
      <c r="K119" s="53">
        <f t="shared" ca="1" si="955"/>
        <v>0</v>
      </c>
      <c r="L119" s="53">
        <f t="shared" ca="1" si="955"/>
        <v>0</v>
      </c>
      <c r="M119" s="53">
        <f t="shared" ca="1" si="955"/>
        <v>0</v>
      </c>
      <c r="N119" s="53">
        <f t="shared" ca="1" si="955"/>
        <v>0</v>
      </c>
      <c r="O119" s="53">
        <f t="shared" ca="1" si="955"/>
        <v>-2.2500166489078317E-5</v>
      </c>
      <c r="P119" s="53">
        <f t="shared" ca="1" si="955"/>
        <v>-5.6190063931806054E-2</v>
      </c>
      <c r="Q119" s="53">
        <f t="shared" ca="1" si="955"/>
        <v>3.0628995737879632</v>
      </c>
      <c r="R119" s="53">
        <f t="shared" ca="1" si="955"/>
        <v>3.4665523441662232</v>
      </c>
      <c r="S119" s="53">
        <f t="shared" ca="1" si="955"/>
        <v>9.514351358550881</v>
      </c>
      <c r="T119" s="53">
        <f t="shared" ca="1" si="955"/>
        <v>4.6550346297282861</v>
      </c>
      <c r="U119" s="53">
        <f t="shared" ca="1" si="955"/>
        <v>6.1752464038359065</v>
      </c>
      <c r="V119" s="53">
        <f t="shared" ca="1" si="955"/>
        <v>10.189464571124139</v>
      </c>
      <c r="W119" s="53">
        <f t="shared" ca="1" si="955"/>
        <v>10.027720431539692</v>
      </c>
      <c r="X119" s="53">
        <f t="shared" ca="1" si="955"/>
        <v>10.458261188066055</v>
      </c>
      <c r="Y119" s="53">
        <f t="shared" ca="1" si="955"/>
        <v>9.4672349493873238</v>
      </c>
      <c r="Z119" s="53">
        <f ca="1">(Z101-Z100)/Z118</f>
        <v>21.360465503462983</v>
      </c>
      <c r="AA119" s="53">
        <f ca="1">(AA101-AA100)/AA118</f>
        <v>21.360465503462983</v>
      </c>
      <c r="AB119" s="54">
        <f t="shared" ca="1" si="955"/>
        <v>30.363801451035609</v>
      </c>
      <c r="AC119" s="54">
        <f t="shared" ca="1" si="955"/>
        <v>32.912631432894138</v>
      </c>
      <c r="AD119" s="54">
        <f t="shared" ca="1" si="955"/>
        <v>43.067994272852467</v>
      </c>
      <c r="AE119" s="54">
        <f t="shared" ca="1" si="955"/>
        <v>47.562932677034468</v>
      </c>
      <c r="AI119" s="53">
        <f t="shared" ref="AI119:BN119" si="956">(AI101-AI100)/AI118</f>
        <v>0</v>
      </c>
      <c r="AJ119" s="53">
        <f t="shared" si="956"/>
        <v>0</v>
      </c>
      <c r="AK119" s="53">
        <f t="shared" si="956"/>
        <v>0</v>
      </c>
      <c r="AL119" s="53">
        <f t="shared" si="956"/>
        <v>0</v>
      </c>
      <c r="AM119" s="53">
        <f t="shared" si="956"/>
        <v>0</v>
      </c>
      <c r="AN119" s="53">
        <f t="shared" si="956"/>
        <v>0</v>
      </c>
      <c r="AO119" s="53">
        <f t="shared" si="956"/>
        <v>0</v>
      </c>
      <c r="AP119" s="53">
        <f t="shared" si="956"/>
        <v>0</v>
      </c>
      <c r="AQ119" s="53">
        <f t="shared" si="956"/>
        <v>0</v>
      </c>
      <c r="AR119" s="53">
        <f t="shared" si="956"/>
        <v>0</v>
      </c>
      <c r="AS119" s="53">
        <f t="shared" si="956"/>
        <v>5.1361880660628662E-2</v>
      </c>
      <c r="AT119" s="53">
        <f t="shared" si="956"/>
        <v>-0.10755194459243472</v>
      </c>
      <c r="AU119" s="53">
        <f t="shared" si="956"/>
        <v>0.25714238145977619</v>
      </c>
      <c r="AV119" s="53">
        <f t="shared" si="956"/>
        <v>1.3502264251465104</v>
      </c>
      <c r="AW119" s="53">
        <f t="shared" si="956"/>
        <v>0.62250266382525254</v>
      </c>
      <c r="AX119" s="53">
        <f t="shared" si="956"/>
        <v>0.83311134789557795</v>
      </c>
      <c r="AY119" s="53">
        <f t="shared" si="956"/>
        <v>1.0214937400106556</v>
      </c>
      <c r="AZ119" s="53">
        <f t="shared" si="956"/>
        <v>0.82861614278103402</v>
      </c>
      <c r="BA119" s="53">
        <f t="shared" si="956"/>
        <v>0.82645178476291958</v>
      </c>
      <c r="BB119" s="53">
        <f t="shared" si="956"/>
        <v>0.78999067661161448</v>
      </c>
      <c r="BC119" s="53">
        <f t="shared" si="956"/>
        <v>0.70008657432072474</v>
      </c>
      <c r="BD119" s="53">
        <f t="shared" si="956"/>
        <v>0.55515783164624422</v>
      </c>
      <c r="BE119" s="53">
        <f t="shared" si="956"/>
        <v>7.0081912626531695</v>
      </c>
      <c r="BF119" s="53">
        <f t="shared" si="956"/>
        <v>1.2509156899307408</v>
      </c>
      <c r="BG119" s="53">
        <f t="shared" si="956"/>
        <v>1.4096630261054877</v>
      </c>
      <c r="BH119" s="53">
        <f t="shared" si="956"/>
        <v>0.45576385189131496</v>
      </c>
      <c r="BI119" s="53">
        <f t="shared" si="956"/>
        <v>1.2130394246137464</v>
      </c>
      <c r="BJ119" s="53">
        <f t="shared" si="956"/>
        <v>1.1770777836973898</v>
      </c>
      <c r="BK119" s="53">
        <f t="shared" si="956"/>
        <v>1.5356952583910473</v>
      </c>
      <c r="BL119" s="53">
        <f t="shared" si="956"/>
        <v>1.6763785295684637</v>
      </c>
      <c r="BM119" s="53">
        <f t="shared" si="956"/>
        <v>1.4437932871603611</v>
      </c>
      <c r="BN119" s="53">
        <f t="shared" si="956"/>
        <v>0.33156299946723566</v>
      </c>
      <c r="BO119" s="53">
        <f t="shared" ref="BO119:CT119" si="957">(BO101-BO100)/BO118</f>
        <v>3.0057938199254131</v>
      </c>
      <c r="BP119" s="53">
        <f t="shared" si="957"/>
        <v>1.5238745338305806</v>
      </c>
      <c r="BQ119" s="53">
        <f t="shared" si="957"/>
        <v>3.0991941928609483</v>
      </c>
      <c r="BR119" s="53">
        <f t="shared" si="957"/>
        <v>1.7789358018114019</v>
      </c>
      <c r="BS119" s="53">
        <f t="shared" si="957"/>
        <v>3.7032998135322335</v>
      </c>
      <c r="BT119" s="53">
        <f t="shared" si="957"/>
        <v>2.3482452051145448</v>
      </c>
      <c r="BU119" s="53">
        <f t="shared" si="957"/>
        <v>2.2818160628662731</v>
      </c>
      <c r="BV119" s="53">
        <f t="shared" si="957"/>
        <v>1.9331046883324448</v>
      </c>
      <c r="BW119" s="53">
        <f t="shared" si="957"/>
        <v>1.5408564198188583</v>
      </c>
      <c r="BX119" s="53">
        <f t="shared" si="957"/>
        <v>1.7186667554608439</v>
      </c>
      <c r="BY119" s="53">
        <f t="shared" si="957"/>
        <v>3.9524507192328167</v>
      </c>
      <c r="BZ119" s="53">
        <f t="shared" si="957"/>
        <v>3.2112413425679267</v>
      </c>
      <c r="CA119" s="53">
        <f t="shared" si="957"/>
        <v>1.4626897975492792</v>
      </c>
      <c r="CB119" s="53">
        <f t="shared" si="957"/>
        <v>2.3038758657432075</v>
      </c>
      <c r="CC119" s="53">
        <f t="shared" si="957"/>
        <v>2.7064464571124081</v>
      </c>
      <c r="CD119" s="53">
        <f t="shared" si="957"/>
        <v>3.026022242940865</v>
      </c>
      <c r="CE119" s="53">
        <f t="shared" si="957"/>
        <v>5.6896810069259498</v>
      </c>
      <c r="CF119" s="53">
        <f t="shared" si="957"/>
        <v>5.6166755460841786</v>
      </c>
      <c r="CG119" s="53">
        <f t="shared" si="957"/>
        <v>4.6776771443793272</v>
      </c>
      <c r="CH119" s="53">
        <f t="shared" si="957"/>
        <v>5.1614111614278135</v>
      </c>
      <c r="CI119" s="53">
        <f t="shared" si="957"/>
        <v>4.2826818060735192</v>
      </c>
      <c r="CJ119" s="53">
        <f t="shared" si="957"/>
        <v>4.4544152903569527</v>
      </c>
      <c r="CK119" s="53">
        <f t="shared" ref="CK119" si="958">(CK101-CK100)/CK118</f>
        <v>4.6045051944592474</v>
      </c>
      <c r="CL119" s="53">
        <f t="shared" si="957"/>
        <v>5.246237346830056</v>
      </c>
      <c r="CM119" s="54">
        <f t="shared" si="957"/>
        <v>8.482434416857533</v>
      </c>
      <c r="CN119" s="54">
        <f t="shared" si="957"/>
        <v>7.495382035338638</v>
      </c>
      <c r="CO119" s="54">
        <f t="shared" si="957"/>
        <v>7.2968746550576622</v>
      </c>
      <c r="CP119" s="54">
        <f t="shared" si="957"/>
        <v>7.0891103437817415</v>
      </c>
      <c r="CQ119" s="54">
        <f t="shared" si="957"/>
        <v>8.3591418634901835</v>
      </c>
      <c r="CR119" s="54">
        <f t="shared" si="957"/>
        <v>7.8257661521696154</v>
      </c>
      <c r="CS119" s="54">
        <f t="shared" si="957"/>
        <v>8.0352638308016147</v>
      </c>
      <c r="CT119" s="54">
        <f t="shared" si="957"/>
        <v>8.6924595864326921</v>
      </c>
      <c r="CU119" s="54">
        <f t="shared" ref="CU119:DB119" si="959">(CU101-CU100)/CU118</f>
        <v>10.023727671479627</v>
      </c>
      <c r="CV119" s="54">
        <f t="shared" si="959"/>
        <v>9.7406691610213034</v>
      </c>
      <c r="CW119" s="54">
        <f t="shared" si="959"/>
        <v>11.706059167026034</v>
      </c>
      <c r="CX119" s="54">
        <f t="shared" si="959"/>
        <v>11.597538273325506</v>
      </c>
      <c r="CY119" s="54">
        <f t="shared" si="959"/>
        <v>11.706448364493461</v>
      </c>
      <c r="CZ119" s="54">
        <f t="shared" si="959"/>
        <v>11.316945816735938</v>
      </c>
      <c r="DA119" s="54">
        <f t="shared" si="959"/>
        <v>11.86806610739837</v>
      </c>
      <c r="DB119" s="54">
        <f t="shared" si="959"/>
        <v>12.671472388406729</v>
      </c>
      <c r="DE119" s="132"/>
      <c r="DF119" s="53">
        <v>21.360465503462983</v>
      </c>
      <c r="DG119" s="53">
        <v>4.3641680284283302</v>
      </c>
    </row>
    <row r="120" spans="1:111" s="3" customFormat="1" x14ac:dyDescent="0.2">
      <c r="A120" s="3" t="s">
        <v>31</v>
      </c>
      <c r="B120" s="3">
        <f>'Annual Raw'!C110</f>
        <v>0</v>
      </c>
      <c r="C120" s="3">
        <f>'Annual Raw'!D110</f>
        <v>0</v>
      </c>
      <c r="D120" s="3">
        <f>'Annual Raw'!E110</f>
        <v>0</v>
      </c>
      <c r="E120" s="3">
        <f>'Annual Raw'!F110</f>
        <v>0</v>
      </c>
      <c r="F120" s="3">
        <f>'Annual Raw'!G110</f>
        <v>0</v>
      </c>
      <c r="G120" s="3">
        <f>'Annual Raw'!H110</f>
        <v>0</v>
      </c>
      <c r="H120" s="3">
        <f>'Annual Raw'!I110</f>
        <v>0</v>
      </c>
      <c r="I120" s="3">
        <f>'Annual Raw'!J110</f>
        <v>0</v>
      </c>
      <c r="J120" s="3">
        <f>'Annual Raw'!K110</f>
        <v>0</v>
      </c>
      <c r="K120" s="3">
        <f>'Annual Raw'!L110</f>
        <v>0</v>
      </c>
      <c r="L120" s="3">
        <f>'Annual Raw'!M110</f>
        <v>0</v>
      </c>
      <c r="M120" s="3">
        <f>'Annual Raw'!N110</f>
        <v>0</v>
      </c>
      <c r="N120" s="3">
        <f>'Annual Raw'!O110</f>
        <v>0</v>
      </c>
      <c r="O120" s="3">
        <f>'Annual Raw'!P110</f>
        <v>0</v>
      </c>
      <c r="P120" s="3">
        <f>'Annual Raw'!Q110</f>
        <v>0</v>
      </c>
      <c r="Q120" s="3">
        <f>'Annual Raw'!R110</f>
        <v>0</v>
      </c>
      <c r="R120" s="3">
        <f>'Annual Raw'!S110</f>
        <v>0</v>
      </c>
      <c r="S120" s="3">
        <f>'Annual Raw'!T110</f>
        <v>0</v>
      </c>
      <c r="T120" s="3">
        <f>'Annual Raw'!U110</f>
        <v>0</v>
      </c>
      <c r="U120" s="3">
        <f>'Annual Raw'!V110</f>
        <v>0</v>
      </c>
      <c r="V120" s="3">
        <f>'Annual Raw'!W110</f>
        <v>0</v>
      </c>
      <c r="W120" s="3">
        <f>'Annual Raw'!X110</f>
        <v>0</v>
      </c>
      <c r="X120" s="3">
        <f>'Annual Raw'!Y110</f>
        <v>0</v>
      </c>
      <c r="Y120" s="3">
        <f>'Annual Raw'!Z110</f>
        <v>0</v>
      </c>
      <c r="Z120" s="3">
        <f>'Annual Raw'!AA110</f>
        <v>0</v>
      </c>
      <c r="AA120" s="3">
        <f>'Annual Raw'!AB110</f>
        <v>0</v>
      </c>
      <c r="AB120" s="37"/>
      <c r="AC120" s="37"/>
      <c r="AD120" s="37"/>
      <c r="AE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E120" s="134"/>
      <c r="DF120" s="3">
        <v>0</v>
      </c>
    </row>
    <row r="121" spans="1:111" s="3" customFormat="1" x14ac:dyDescent="0.2">
      <c r="A121" s="3" t="s">
        <v>32</v>
      </c>
      <c r="B121" s="3" t="e">
        <f>B120/B119</f>
        <v>#DIV/0!</v>
      </c>
      <c r="C121" s="3" t="e">
        <f t="shared" ref="C121:U121" si="960">C120/C119</f>
        <v>#DIV/0!</v>
      </c>
      <c r="D121" s="3" t="e">
        <f t="shared" si="960"/>
        <v>#DIV/0!</v>
      </c>
      <c r="E121" s="3" t="e">
        <f t="shared" ca="1" si="960"/>
        <v>#DIV/0!</v>
      </c>
      <c r="F121" s="3" t="e">
        <f t="shared" ca="1" si="960"/>
        <v>#DIV/0!</v>
      </c>
      <c r="G121" s="3" t="e">
        <f t="shared" ca="1" si="960"/>
        <v>#DIV/0!</v>
      </c>
      <c r="H121" s="3" t="e">
        <f t="shared" ca="1" si="960"/>
        <v>#DIV/0!</v>
      </c>
      <c r="I121" s="3" t="e">
        <f t="shared" ca="1" si="960"/>
        <v>#DIV/0!</v>
      </c>
      <c r="J121" s="3" t="e">
        <f t="shared" ca="1" si="960"/>
        <v>#DIV/0!</v>
      </c>
      <c r="K121" s="3" t="e">
        <f t="shared" ca="1" si="960"/>
        <v>#DIV/0!</v>
      </c>
      <c r="L121" s="3" t="e">
        <f t="shared" ca="1" si="960"/>
        <v>#DIV/0!</v>
      </c>
      <c r="M121" s="3" t="e">
        <f t="shared" ca="1" si="960"/>
        <v>#DIV/0!</v>
      </c>
      <c r="N121" s="3" t="e">
        <f t="shared" ca="1" si="960"/>
        <v>#DIV/0!</v>
      </c>
      <c r="O121" s="3">
        <f t="shared" ca="1" si="960"/>
        <v>0</v>
      </c>
      <c r="P121" s="3">
        <f t="shared" ca="1" si="960"/>
        <v>0</v>
      </c>
      <c r="Q121" s="3">
        <f t="shared" ca="1" si="960"/>
        <v>0</v>
      </c>
      <c r="R121" s="3">
        <f t="shared" ca="1" si="960"/>
        <v>0</v>
      </c>
      <c r="S121" s="3">
        <f t="shared" ca="1" si="960"/>
        <v>0</v>
      </c>
      <c r="T121" s="3">
        <f t="shared" ca="1" si="960"/>
        <v>0</v>
      </c>
      <c r="U121" s="3">
        <f t="shared" ca="1" si="960"/>
        <v>0</v>
      </c>
      <c r="V121" s="3">
        <f ca="1">V120/V119</f>
        <v>0</v>
      </c>
      <c r="W121" s="3">
        <f t="shared" ref="W121" ca="1" si="961">W120/W119</f>
        <v>0</v>
      </c>
      <c r="X121" s="3">
        <f t="shared" ref="X121:Y121" ca="1" si="962">X120/X119</f>
        <v>0</v>
      </c>
      <c r="Y121" s="3">
        <f t="shared" ca="1" si="962"/>
        <v>0</v>
      </c>
      <c r="Z121" s="3">
        <f ca="1">Z120/Z119</f>
        <v>0</v>
      </c>
      <c r="AA121" s="3">
        <f ca="1">AA120/AA119</f>
        <v>0</v>
      </c>
      <c r="AB121" s="37">
        <f t="shared" ref="AB121:AD121" ca="1" si="963">AB120/AB119</f>
        <v>0</v>
      </c>
      <c r="AC121" s="37">
        <f t="shared" ca="1" si="963"/>
        <v>0</v>
      </c>
      <c r="AD121" s="37">
        <f t="shared" ca="1" si="963"/>
        <v>0</v>
      </c>
      <c r="AE121" s="37">
        <f t="shared" ref="AE121" ca="1" si="964">AE120/AE119</f>
        <v>0</v>
      </c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E121" s="134"/>
      <c r="DF121" s="3">
        <v>0</v>
      </c>
    </row>
    <row r="122" spans="1:111" s="3" customFormat="1" x14ac:dyDescent="0.2">
      <c r="A122" s="3" t="s">
        <v>33</v>
      </c>
      <c r="B122" s="3" t="e">
        <f>+B119</f>
        <v>#DIV/0!</v>
      </c>
      <c r="C122" s="3" t="e">
        <f t="shared" ref="C122:U122" si="965">+C119</f>
        <v>#DIV/0!</v>
      </c>
      <c r="D122" s="3" t="e">
        <f t="shared" si="965"/>
        <v>#DIV/0!</v>
      </c>
      <c r="E122" s="3">
        <f t="shared" ca="1" si="965"/>
        <v>0</v>
      </c>
      <c r="F122" s="3">
        <f t="shared" ca="1" si="965"/>
        <v>0</v>
      </c>
      <c r="G122" s="3">
        <f t="shared" ca="1" si="965"/>
        <v>0</v>
      </c>
      <c r="H122" s="3">
        <f t="shared" ca="1" si="965"/>
        <v>0</v>
      </c>
      <c r="I122" s="3">
        <f t="shared" ca="1" si="965"/>
        <v>0</v>
      </c>
      <c r="J122" s="3">
        <f t="shared" ca="1" si="965"/>
        <v>0</v>
      </c>
      <c r="K122" s="3">
        <f t="shared" ca="1" si="965"/>
        <v>0</v>
      </c>
      <c r="L122" s="3">
        <f t="shared" ca="1" si="965"/>
        <v>0</v>
      </c>
      <c r="M122" s="3">
        <f t="shared" ca="1" si="965"/>
        <v>0</v>
      </c>
      <c r="N122" s="3">
        <f t="shared" ca="1" si="965"/>
        <v>0</v>
      </c>
      <c r="O122" s="3">
        <f t="shared" ca="1" si="965"/>
        <v>-2.2500166489078317E-5</v>
      </c>
      <c r="P122" s="3">
        <f t="shared" ca="1" si="965"/>
        <v>-5.6190063931806054E-2</v>
      </c>
      <c r="Q122" s="3">
        <f t="shared" ca="1" si="965"/>
        <v>3.0628995737879632</v>
      </c>
      <c r="R122" s="3">
        <f t="shared" ca="1" si="965"/>
        <v>3.4665523441662232</v>
      </c>
      <c r="S122" s="3">
        <f t="shared" ca="1" si="965"/>
        <v>9.514351358550881</v>
      </c>
      <c r="T122" s="3">
        <f ca="1">+T119</f>
        <v>4.6550346297282861</v>
      </c>
      <c r="U122" s="3">
        <f t="shared" ca="1" si="965"/>
        <v>6.1752464038359065</v>
      </c>
      <c r="V122" s="3">
        <f ca="1">+V119</f>
        <v>10.189464571124139</v>
      </c>
      <c r="W122" s="3">
        <f t="shared" ref="W122" ca="1" si="966">+W119</f>
        <v>10.027720431539692</v>
      </c>
      <c r="X122" s="3">
        <f t="shared" ref="X122:Y122" ca="1" si="967">+X119</f>
        <v>10.458261188066055</v>
      </c>
      <c r="Y122" s="3">
        <f t="shared" ca="1" si="967"/>
        <v>9.4672349493873238</v>
      </c>
      <c r="Z122" s="3">
        <f ca="1">+Z119</f>
        <v>21.360465503462983</v>
      </c>
      <c r="AA122" s="3">
        <f ca="1">+AA119</f>
        <v>21.360465503462983</v>
      </c>
      <c r="AB122" s="37">
        <f t="shared" ref="AB122:AD122" ca="1" si="968">+AB119</f>
        <v>30.363801451035609</v>
      </c>
      <c r="AC122" s="37">
        <f t="shared" ca="1" si="968"/>
        <v>32.912631432894138</v>
      </c>
      <c r="AD122" s="37">
        <f t="shared" ca="1" si="968"/>
        <v>43.067994272852467</v>
      </c>
      <c r="AE122" s="37">
        <f t="shared" ref="AE122" ca="1" si="969">+AE119</f>
        <v>47.562932677034468</v>
      </c>
      <c r="AL122" s="3">
        <f>SUM(AI119:AL119)</f>
        <v>0</v>
      </c>
      <c r="AM122" s="3">
        <f t="shared" ref="AM122" si="970">SUM(AJ119:AM119)</f>
        <v>0</v>
      </c>
      <c r="AN122" s="3">
        <f t="shared" ref="AN122" si="971">SUM(AK119:AN119)</f>
        <v>0</v>
      </c>
      <c r="AO122" s="3">
        <f t="shared" ref="AO122" si="972">SUM(AL119:AO119)</f>
        <v>0</v>
      </c>
      <c r="AP122" s="3">
        <f t="shared" ref="AP122" si="973">SUM(AM119:AP119)</f>
        <v>0</v>
      </c>
      <c r="AQ122" s="3">
        <f t="shared" ref="AQ122" si="974">SUM(AN119:AQ119)</f>
        <v>0</v>
      </c>
      <c r="AR122" s="3">
        <f t="shared" ref="AR122" si="975">SUM(AO119:AR119)</f>
        <v>0</v>
      </c>
      <c r="AS122" s="3">
        <f t="shared" ref="AS122" si="976">SUM(AP119:AS119)</f>
        <v>5.1361880660628662E-2</v>
      </c>
      <c r="AT122" s="3">
        <f t="shared" ref="AT122" si="977">SUM(AQ119:AT119)</f>
        <v>-5.6190063931806061E-2</v>
      </c>
      <c r="AU122" s="3">
        <f t="shared" ref="AU122" si="978">SUM(AR119:AU119)</f>
        <v>0.20095231752797013</v>
      </c>
      <c r="AV122" s="3">
        <f t="shared" ref="AV122" si="979">SUM(AS119:AV119)</f>
        <v>1.5511787426744805</v>
      </c>
      <c r="AW122" s="3">
        <f t="shared" ref="AW122" si="980">SUM(AT119:AW119)</f>
        <v>2.1223195258391043</v>
      </c>
      <c r="AX122" s="3">
        <f t="shared" ref="AX122" si="981">SUM(AU119:AX119)</f>
        <v>3.0629828183271171</v>
      </c>
      <c r="AY122" s="3">
        <f t="shared" ref="AY122" si="982">SUM(AV119:AY119)</f>
        <v>3.8273341768779963</v>
      </c>
      <c r="AZ122" s="3">
        <f t="shared" ref="AZ122" si="983">SUM(AW119:AZ119)</f>
        <v>3.30572389451252</v>
      </c>
      <c r="BA122" s="3">
        <f t="shared" ref="BA122" si="984">SUM(AX119:BA119)</f>
        <v>3.5096730154501872</v>
      </c>
      <c r="BB122" s="3">
        <f t="shared" ref="BB122" si="985">SUM(AY119:BB119)</f>
        <v>3.4665523441662236</v>
      </c>
      <c r="BC122" s="3">
        <f t="shared" ref="BC122" si="986">SUM(AZ119:BC119)</f>
        <v>3.1451451784762927</v>
      </c>
      <c r="BD122" s="3">
        <f t="shared" ref="BD122" si="987">SUM(BA119:BD119)</f>
        <v>2.871686867341503</v>
      </c>
      <c r="BE122" s="3">
        <f t="shared" ref="BE122" si="988">SUM(BB119:BE119)</f>
        <v>9.0534263452317525</v>
      </c>
      <c r="BF122" s="3">
        <f t="shared" ref="BF122" si="989">SUM(BC119:BF119)</f>
        <v>9.5143513585508792</v>
      </c>
      <c r="BG122" s="3">
        <f t="shared" ref="BG122" si="990">SUM(BD119:BG119)</f>
        <v>10.223927810335642</v>
      </c>
      <c r="BH122" s="3">
        <f t="shared" ref="BH122" si="991">SUM(BE119:BH119)</f>
        <v>10.124533830580713</v>
      </c>
      <c r="BI122" s="3">
        <f t="shared" ref="BI122" si="992">SUM(BF119:BI119)</f>
        <v>4.3293819925412897</v>
      </c>
      <c r="BJ122" s="3">
        <f t="shared" ref="BJ122" si="993">SUM(BG119:BJ119)</f>
        <v>4.255544086307939</v>
      </c>
      <c r="BK122" s="3">
        <f t="shared" ref="BK122" si="994">SUM(BH119:BK119)</f>
        <v>4.3815763185934991</v>
      </c>
      <c r="BL122" s="3">
        <f t="shared" ref="BL122" si="995">SUM(BI119:BL119)</f>
        <v>5.6021909962706475</v>
      </c>
      <c r="BM122" s="3">
        <f t="shared" ref="BM122" si="996">SUM(BJ119:BM119)</f>
        <v>5.8329448588172621</v>
      </c>
      <c r="BN122" s="3">
        <f t="shared" ref="BN122" si="997">SUM(BK119:BN119)</f>
        <v>4.9874300745871079</v>
      </c>
      <c r="BO122" s="3">
        <f t="shared" ref="BO122" si="998">SUM(BL119:BO119)</f>
        <v>6.4575286361214737</v>
      </c>
      <c r="BP122" s="3">
        <f t="shared" ref="BP122" si="999">SUM(BM119:BP119)</f>
        <v>6.305024640383591</v>
      </c>
      <c r="BQ122" s="3">
        <f t="shared" ref="BQ122" si="1000">SUM(BN119:BQ119)</f>
        <v>7.9604255460841777</v>
      </c>
      <c r="BR122" s="3">
        <f t="shared" ref="BR122" si="1001">SUM(BO119:BR119)</f>
        <v>9.4077983484283436</v>
      </c>
      <c r="BS122" s="3">
        <f t="shared" ref="BS122" si="1002">SUM(BP119:BS119)</f>
        <v>10.105304342035165</v>
      </c>
      <c r="BT122" s="3">
        <f t="shared" ref="BT122" si="1003">SUM(BQ119:BT119)</f>
        <v>10.929675013319128</v>
      </c>
      <c r="BU122" s="3">
        <f t="shared" ref="BU122" si="1004">SUM(BR119:BU119)</f>
        <v>10.112296883324452</v>
      </c>
      <c r="BV122" s="3">
        <f t="shared" ref="BV122" si="1005">SUM(BS119:BV119)</f>
        <v>10.266465769845496</v>
      </c>
      <c r="BW122" s="3">
        <f t="shared" ref="BW122" si="1006">SUM(BT119:BW119)</f>
        <v>8.1040223761321197</v>
      </c>
      <c r="BX122" s="3">
        <f t="shared" ref="BX122" si="1007">SUM(BU119:BX119)</f>
        <v>7.4744439264784202</v>
      </c>
      <c r="BY122" s="3">
        <f t="shared" ref="BY122" si="1008">SUM(BV119:BY119)</f>
        <v>9.1450785828449632</v>
      </c>
      <c r="BZ122" s="3">
        <f t="shared" ref="BZ122" si="1009">SUM(BW119:BZ119)</f>
        <v>10.423215237080447</v>
      </c>
      <c r="CA122" s="3">
        <f t="shared" ref="CA122" si="1010">SUM(BX119:CA119)</f>
        <v>10.345048614810867</v>
      </c>
      <c r="CB122" s="3">
        <f t="shared" ref="CB122" si="1011">SUM(BY119:CB119)</f>
        <v>10.930257725093231</v>
      </c>
      <c r="CC122" s="3">
        <f t="shared" ref="CC122" si="1012">SUM(BZ119:CC119)</f>
        <v>9.6842534629728227</v>
      </c>
      <c r="CD122" s="3">
        <f t="shared" ref="CD122" si="1013">SUM(CA119:CD119)</f>
        <v>9.4990343633457606</v>
      </c>
      <c r="CE122" s="3">
        <f t="shared" ref="CE122" si="1014">SUM(CB119:CE119)</f>
        <v>13.726025572722429</v>
      </c>
      <c r="CF122" s="3">
        <f t="shared" ref="CF122" si="1015">SUM(CC119:CF119)</f>
        <v>17.038825253063401</v>
      </c>
      <c r="CG122" s="3">
        <f t="shared" ref="CG122" si="1016">SUM(CD119:CG119)</f>
        <v>19.010055940330322</v>
      </c>
      <c r="CH122" s="3">
        <f t="shared" ref="CH122:CK122" si="1017">SUM(CE119:CH119)</f>
        <v>21.145444858817271</v>
      </c>
      <c r="CI122" s="3">
        <f t="shared" si="1017"/>
        <v>19.738445657964839</v>
      </c>
      <c r="CJ122" s="3">
        <f t="shared" si="1017"/>
        <v>18.576185402237613</v>
      </c>
      <c r="CK122" s="3">
        <f t="shared" si="1017"/>
        <v>18.503013452317532</v>
      </c>
      <c r="CL122" s="3">
        <f t="shared" ref="CL122" si="1018">SUM(CI119:CL119)</f>
        <v>18.587839637719775</v>
      </c>
      <c r="CM122" s="37">
        <f t="shared" ref="CM122" si="1019">SUM(CJ119:CM119)</f>
        <v>22.787592248503788</v>
      </c>
      <c r="CN122" s="37">
        <f t="shared" ref="CN122" si="1020">SUM(CK119:CN119)</f>
        <v>25.828558993485473</v>
      </c>
      <c r="CO122" s="37">
        <f t="shared" ref="CO122" si="1021">SUM(CL119:CO119)</f>
        <v>28.520928454083894</v>
      </c>
      <c r="CP122" s="37">
        <f t="shared" ref="CP122" si="1022">SUM(CM119:CP119)</f>
        <v>30.363801451035574</v>
      </c>
      <c r="CQ122" s="37">
        <f t="shared" ref="CQ122" si="1023">SUM(CN119:CQ119)</f>
        <v>30.240508897668224</v>
      </c>
      <c r="CR122" s="37">
        <f t="shared" ref="CR122" si="1024">SUM(CO119:CR119)</f>
        <v>30.570893014499205</v>
      </c>
      <c r="CS122" s="37">
        <f t="shared" ref="CS122" si="1025">SUM(CP119:CS119)</f>
        <v>31.309282190243156</v>
      </c>
      <c r="CT122" s="37">
        <f t="shared" ref="CT122" si="1026">SUM(CQ119:CT119)</f>
        <v>32.912631432894109</v>
      </c>
      <c r="CU122" s="37">
        <f t="shared" ref="CU122" si="1027">SUM(CR119:CU119)</f>
        <v>34.577217240883549</v>
      </c>
      <c r="CV122" s="37">
        <f t="shared" ref="CV122" si="1028">SUM(CS119:CV119)</f>
        <v>36.492120249735237</v>
      </c>
      <c r="CW122" s="37">
        <f t="shared" ref="CW122" si="1029">SUM(CT119:CW119)</f>
        <v>40.162915585959652</v>
      </c>
      <c r="CX122" s="37">
        <f t="shared" ref="CX122" si="1030">SUM(CU119:CX119)</f>
        <v>43.067994272852467</v>
      </c>
      <c r="CY122" s="37">
        <f t="shared" ref="CY122" si="1031">SUM(CV119:CY119)</f>
        <v>44.750714965866301</v>
      </c>
      <c r="CZ122" s="37">
        <f t="shared" ref="CZ122" si="1032">SUM(CW119:CZ119)</f>
        <v>46.326991621580937</v>
      </c>
      <c r="DA122" s="37">
        <f t="shared" ref="DA122" si="1033">SUM(CX119:DA119)</f>
        <v>46.488998561953274</v>
      </c>
      <c r="DB122" s="37">
        <f t="shared" ref="DB122" si="1034">SUM(CY119:DB119)</f>
        <v>47.562932677034496</v>
      </c>
      <c r="DE122" s="134"/>
      <c r="DF122" s="3">
        <v>21.360465503462983</v>
      </c>
      <c r="DG122" s="3">
        <v>18.323137662830138</v>
      </c>
    </row>
    <row r="123" spans="1:111" s="97" customFormat="1" x14ac:dyDescent="0.2">
      <c r="A123" s="97" t="s">
        <v>425</v>
      </c>
      <c r="C123" s="101" t="e">
        <f t="shared" ref="C123:Y123" si="1035">+C122/B122-1</f>
        <v>#DIV/0!</v>
      </c>
      <c r="D123" s="101" t="e">
        <f t="shared" si="1035"/>
        <v>#DIV/0!</v>
      </c>
      <c r="E123" s="101" t="e">
        <f t="shared" ca="1" si="1035"/>
        <v>#DIV/0!</v>
      </c>
      <c r="F123" s="101" t="e">
        <f t="shared" ca="1" si="1035"/>
        <v>#DIV/0!</v>
      </c>
      <c r="G123" s="101" t="e">
        <f t="shared" ca="1" si="1035"/>
        <v>#DIV/0!</v>
      </c>
      <c r="H123" s="101" t="e">
        <f t="shared" ca="1" si="1035"/>
        <v>#DIV/0!</v>
      </c>
      <c r="I123" s="101" t="e">
        <f t="shared" ca="1" si="1035"/>
        <v>#DIV/0!</v>
      </c>
      <c r="J123" s="101" t="e">
        <f t="shared" ca="1" si="1035"/>
        <v>#DIV/0!</v>
      </c>
      <c r="K123" s="101" t="e">
        <f t="shared" ca="1" si="1035"/>
        <v>#DIV/0!</v>
      </c>
      <c r="L123" s="101" t="e">
        <f t="shared" ca="1" si="1035"/>
        <v>#DIV/0!</v>
      </c>
      <c r="M123" s="101" t="e">
        <f t="shared" ca="1" si="1035"/>
        <v>#DIV/0!</v>
      </c>
      <c r="N123" s="101" t="e">
        <f t="shared" ca="1" si="1035"/>
        <v>#DIV/0!</v>
      </c>
      <c r="O123" s="101" t="e">
        <f t="shared" ca="1" si="1035"/>
        <v>#DIV/0!</v>
      </c>
      <c r="P123" s="101">
        <f t="shared" ca="1" si="1035"/>
        <v>2496.3176958082049</v>
      </c>
      <c r="Q123" s="101">
        <f t="shared" ca="1" si="1035"/>
        <v>-55.509629629629714</v>
      </c>
      <c r="R123" s="101">
        <f t="shared" ca="1" si="1035"/>
        <v>0.13178779148774145</v>
      </c>
      <c r="S123" s="101">
        <f t="shared" ca="1" si="1035"/>
        <v>1.7446149412866512</v>
      </c>
      <c r="T123" s="101">
        <f t="shared" ca="1" si="1035"/>
        <v>-0.5107354716783038</v>
      </c>
      <c r="U123" s="101">
        <f t="shared" ca="1" si="1035"/>
        <v>0.32657367668097348</v>
      </c>
      <c r="V123" s="101">
        <f t="shared" ca="1" si="1035"/>
        <v>0.65004987732873332</v>
      </c>
      <c r="W123" s="101">
        <f t="shared" ca="1" si="1035"/>
        <v>-1.5873664259338338E-2</v>
      </c>
      <c r="X123" s="101">
        <f t="shared" ca="1" si="1035"/>
        <v>4.2935057819542433E-2</v>
      </c>
      <c r="Y123" s="101">
        <f t="shared" ca="1" si="1035"/>
        <v>-9.4760134677989716E-2</v>
      </c>
      <c r="Z123" s="101">
        <f ca="1">+Z122/Y122-1</f>
        <v>1.2562517585818798</v>
      </c>
      <c r="AA123" s="101">
        <f ca="1">+AA122/Z122-1</f>
        <v>1.2562517585818798</v>
      </c>
      <c r="AB123" s="174">
        <f t="shared" ref="AB123" ca="1" si="1036">+AB122/AA122-1</f>
        <v>0.63353041788779052</v>
      </c>
      <c r="AC123" s="174">
        <f t="shared" ref="AC123" ca="1" si="1037">+AC122/AB122-1</f>
        <v>8.3943045997344923E-2</v>
      </c>
      <c r="AD123" s="174">
        <f t="shared" ref="AD123" ca="1" si="1038">+AD122/AC122-1</f>
        <v>0.30855517768806151</v>
      </c>
      <c r="AE123" s="174">
        <f t="shared" ref="AE123" ca="1" si="1039">+AE122/AD122-1</f>
        <v>0.10436841743093073</v>
      </c>
      <c r="AL123" s="176"/>
      <c r="AM123" s="176"/>
      <c r="AN123" s="176"/>
      <c r="AO123" s="176"/>
      <c r="AP123" s="176" t="e">
        <f t="shared" ref="AP123:CK123" si="1040">+IF(AL122&lt;0,1-AP122/AL122,AP122/AL122-1)</f>
        <v>#DIV/0!</v>
      </c>
      <c r="AQ123" s="176" t="e">
        <f t="shared" si="1040"/>
        <v>#DIV/0!</v>
      </c>
      <c r="AR123" s="176" t="e">
        <f t="shared" si="1040"/>
        <v>#DIV/0!</v>
      </c>
      <c r="AS123" s="176" t="e">
        <f t="shared" si="1040"/>
        <v>#DIV/0!</v>
      </c>
      <c r="AT123" s="176" t="e">
        <f t="shared" si="1040"/>
        <v>#DIV/0!</v>
      </c>
      <c r="AU123" s="176" t="e">
        <f t="shared" si="1040"/>
        <v>#DIV/0!</v>
      </c>
      <c r="AV123" s="176" t="e">
        <f t="shared" si="1040"/>
        <v>#DIV/0!</v>
      </c>
      <c r="AW123" s="176">
        <f t="shared" si="1040"/>
        <v>40.320907617504041</v>
      </c>
      <c r="AX123" s="176">
        <f t="shared" si="1040"/>
        <v>55.511111111111113</v>
      </c>
      <c r="AY123" s="176">
        <f t="shared" si="1040"/>
        <v>18.045981772990888</v>
      </c>
      <c r="AZ123" s="176">
        <f t="shared" si="1040"/>
        <v>1.1311044327573252</v>
      </c>
      <c r="BA123" s="176">
        <f t="shared" si="1040"/>
        <v>0.65369680329476454</v>
      </c>
      <c r="BB123" s="176">
        <f t="shared" si="1040"/>
        <v>0.13175703220546331</v>
      </c>
      <c r="BC123" s="176">
        <f t="shared" si="1040"/>
        <v>-0.17824129456032334</v>
      </c>
      <c r="BD123" s="176">
        <f t="shared" si="1040"/>
        <v>-0.13129863262068431</v>
      </c>
      <c r="BE123" s="176">
        <f t="shared" si="1040"/>
        <v>1.5795640520860506</v>
      </c>
      <c r="BF123" s="176">
        <f t="shared" si="1040"/>
        <v>1.7446149412866503</v>
      </c>
      <c r="BG123" s="176">
        <f t="shared" si="1040"/>
        <v>2.250701392197342</v>
      </c>
      <c r="BH123" s="176">
        <f t="shared" si="1040"/>
        <v>2.525639910716873</v>
      </c>
      <c r="BI123" s="176">
        <f t="shared" si="1040"/>
        <v>-0.52179629816931317</v>
      </c>
      <c r="BJ123" s="176">
        <f t="shared" si="1040"/>
        <v>-0.55272367753337881</v>
      </c>
      <c r="BK123" s="176">
        <f t="shared" si="1040"/>
        <v>-0.57143903988014799</v>
      </c>
      <c r="BL123" s="176">
        <f t="shared" si="1040"/>
        <v>-0.44667170953101332</v>
      </c>
      <c r="BM123" s="176">
        <f t="shared" si="1040"/>
        <v>0.34729272419627755</v>
      </c>
      <c r="BN123" s="176">
        <f t="shared" si="1040"/>
        <v>0.17198411611666442</v>
      </c>
      <c r="BO123" s="176">
        <f t="shared" si="1040"/>
        <v>0.47379120357176907</v>
      </c>
      <c r="BP123" s="176">
        <f t="shared" si="1040"/>
        <v>0.12545692293975996</v>
      </c>
      <c r="BQ123" s="176">
        <f t="shared" si="1040"/>
        <v>0.36473526473526485</v>
      </c>
      <c r="BR123" s="176">
        <f t="shared" si="1040"/>
        <v>0.88630180428287675</v>
      </c>
      <c r="BS123" s="176">
        <f t="shared" si="1040"/>
        <v>0.56488726747708573</v>
      </c>
      <c r="BT123" s="176">
        <f t="shared" si="1040"/>
        <v>0.73348648684332152</v>
      </c>
      <c r="BU123" s="176">
        <f t="shared" si="1040"/>
        <v>0.27032114361006787</v>
      </c>
      <c r="BV123" s="176">
        <f t="shared" si="1040"/>
        <v>9.1271877820446656E-2</v>
      </c>
      <c r="BW123" s="176">
        <f t="shared" si="1040"/>
        <v>-0.19804272074996165</v>
      </c>
      <c r="BX123" s="176">
        <f t="shared" si="1040"/>
        <v>-0.31613301242992975</v>
      </c>
      <c r="BY123" s="176">
        <f t="shared" si="1040"/>
        <v>-9.564773578537511E-2</v>
      </c>
      <c r="BZ123" s="176">
        <f t="shared" si="1040"/>
        <v>1.5268104014465544E-2</v>
      </c>
      <c r="CA123" s="176">
        <f t="shared" si="1040"/>
        <v>0.27653258279234194</v>
      </c>
      <c r="CB123" s="176">
        <f t="shared" si="1040"/>
        <v>0.4623506220138327</v>
      </c>
      <c r="CC123" s="176">
        <f t="shared" si="1040"/>
        <v>5.8957927506416929E-2</v>
      </c>
      <c r="CD123" s="176">
        <f t="shared" si="1040"/>
        <v>-8.8665623103217239E-2</v>
      </c>
      <c r="CE123" s="176">
        <f t="shared" si="1040"/>
        <v>0.32682078971297068</v>
      </c>
      <c r="CF123" s="176">
        <f t="shared" si="1040"/>
        <v>0.55886765725078691</v>
      </c>
      <c r="CG123" s="176">
        <f t="shared" si="1040"/>
        <v>0.96298620363605303</v>
      </c>
      <c r="CH123" s="176">
        <f t="shared" si="1040"/>
        <v>1.2260625712032267</v>
      </c>
      <c r="CI123" s="176">
        <f t="shared" si="1040"/>
        <v>0.43803066323807682</v>
      </c>
      <c r="CJ123" s="176">
        <f t="shared" si="1040"/>
        <v>9.0226886322330779E-2</v>
      </c>
      <c r="CK123" s="176">
        <f t="shared" si="1040"/>
        <v>-2.6672330139601796E-2</v>
      </c>
      <c r="CL123" s="176">
        <f>+IF(CH122&lt;0,1-CL122/CH122,CL122/CH122-1)</f>
        <v>-0.12095301083396315</v>
      </c>
      <c r="CM123" s="102">
        <f t="shared" ref="CM123:DB123" si="1041">+IF(CI122&lt;0,1-CM122/CI122,CM122/CI122-1)</f>
        <v>0.1544775431346368</v>
      </c>
      <c r="CN123" s="102">
        <f t="shared" si="1041"/>
        <v>0.39041242505979024</v>
      </c>
      <c r="CO123" s="102">
        <f t="shared" si="1041"/>
        <v>0.54142072736328273</v>
      </c>
      <c r="CP123" s="102">
        <f t="shared" si="1041"/>
        <v>0.63353041788778808</v>
      </c>
      <c r="CQ123" s="102">
        <f t="shared" si="1041"/>
        <v>0.32706029526457714</v>
      </c>
      <c r="CR123" s="102">
        <f t="shared" si="1041"/>
        <v>0.18360815337045522</v>
      </c>
      <c r="CS123" s="102">
        <f t="shared" si="1041"/>
        <v>9.7765181124739975E-2</v>
      </c>
      <c r="CT123" s="102">
        <f t="shared" si="1041"/>
        <v>8.3943045997345145E-2</v>
      </c>
      <c r="CU123" s="102">
        <f t="shared" si="1041"/>
        <v>0.14340725408723909</v>
      </c>
      <c r="CV123" s="102">
        <f t="shared" si="1041"/>
        <v>0.1936883960971536</v>
      </c>
      <c r="CW123" s="102">
        <f t="shared" si="1041"/>
        <v>0.28277982682322667</v>
      </c>
      <c r="CX123" s="102">
        <f t="shared" si="1041"/>
        <v>0.30855517768806262</v>
      </c>
      <c r="CY123" s="102">
        <f t="shared" si="1041"/>
        <v>0.2942254622200704</v>
      </c>
      <c r="CZ123" s="102">
        <f t="shared" si="1041"/>
        <v>0.26950671280650118</v>
      </c>
      <c r="DA123" s="102">
        <f t="shared" si="1041"/>
        <v>0.15751055130582015</v>
      </c>
      <c r="DB123" s="102">
        <f t="shared" si="1041"/>
        <v>0.10436841743093139</v>
      </c>
      <c r="DE123" s="135"/>
      <c r="DF123" s="97">
        <v>1.2562517585818798</v>
      </c>
      <c r="DG123" s="97">
        <v>-0.1334711667137275</v>
      </c>
    </row>
    <row r="124" spans="1:111" s="144" customFormat="1" x14ac:dyDescent="0.2">
      <c r="A124" s="144" t="s">
        <v>424</v>
      </c>
      <c r="AB124" s="145"/>
      <c r="AC124" s="145"/>
      <c r="AD124" s="145"/>
      <c r="AE124" s="145"/>
      <c r="CL124" s="144">
        <v>19.2</v>
      </c>
      <c r="CM124" s="145"/>
      <c r="CN124" s="145"/>
      <c r="CO124" s="145"/>
      <c r="CP124" s="145">
        <v>28</v>
      </c>
      <c r="CQ124" s="145"/>
      <c r="CR124" s="145"/>
      <c r="CS124" s="145"/>
      <c r="CT124" s="145">
        <v>31.5</v>
      </c>
      <c r="CU124" s="145"/>
      <c r="CV124" s="145"/>
      <c r="CW124" s="145"/>
      <c r="CX124" s="145">
        <v>41.1</v>
      </c>
      <c r="CY124" s="145"/>
      <c r="CZ124" s="145"/>
      <c r="DA124" s="145"/>
      <c r="DB124" s="145"/>
      <c r="DE124" s="146"/>
      <c r="DG124" s="144">
        <v>19.2</v>
      </c>
    </row>
    <row r="125" spans="1:111" s="144" customFormat="1" x14ac:dyDescent="0.2">
      <c r="A125" s="144" t="s">
        <v>436</v>
      </c>
      <c r="AB125" s="145"/>
      <c r="AC125" s="145"/>
      <c r="AD125" s="145"/>
      <c r="AE125" s="145"/>
      <c r="CL125" s="144">
        <f>+CL122/CL124-1</f>
        <v>-3.1883352202095039E-2</v>
      </c>
      <c r="CM125" s="145"/>
      <c r="CN125" s="145"/>
      <c r="CO125" s="145"/>
      <c r="CP125" s="145">
        <f>+CP122/CP124-1</f>
        <v>8.4421480394127668E-2</v>
      </c>
      <c r="CQ125" s="145"/>
      <c r="CR125" s="145"/>
      <c r="CS125" s="145"/>
      <c r="CT125" s="145">
        <f>+CT122/CT124-1</f>
        <v>4.4845442314098705E-2</v>
      </c>
      <c r="CU125" s="145"/>
      <c r="CV125" s="145"/>
      <c r="CW125" s="145"/>
      <c r="CX125" s="145">
        <f>+CX122/CX124-1</f>
        <v>4.7883072332176813E-2</v>
      </c>
      <c r="CY125" s="145"/>
      <c r="CZ125" s="145"/>
      <c r="DA125" s="145"/>
      <c r="DB125" s="145"/>
      <c r="DE125" s="146"/>
      <c r="DG125" s="144">
        <v>-4.5669913394263628E-2</v>
      </c>
    </row>
    <row r="126" spans="1:111" s="3" customFormat="1" x14ac:dyDescent="0.2">
      <c r="A126" s="3" t="s">
        <v>34</v>
      </c>
      <c r="B126" s="3">
        <f>'Annual Raw'!C112</f>
        <v>0</v>
      </c>
      <c r="C126" s="3">
        <f>'Annual Raw'!D112</f>
        <v>0</v>
      </c>
      <c r="D126" s="3">
        <f>'Annual Raw'!E112</f>
        <v>0</v>
      </c>
      <c r="E126" s="3">
        <f>'Annual Raw'!F112</f>
        <v>0</v>
      </c>
      <c r="F126" s="3">
        <f>'Annual Raw'!G112</f>
        <v>0</v>
      </c>
      <c r="G126" s="3">
        <f>'Annual Raw'!H112</f>
        <v>0</v>
      </c>
      <c r="H126" s="3">
        <f>'Annual Raw'!I112</f>
        <v>0</v>
      </c>
      <c r="I126" s="3">
        <f>'Annual Raw'!J112</f>
        <v>0</v>
      </c>
      <c r="J126" s="3">
        <f>'Annual Raw'!K112</f>
        <v>0</v>
      </c>
      <c r="K126" s="3">
        <f>'Annual Raw'!L112</f>
        <v>0</v>
      </c>
      <c r="L126" s="3">
        <f>'Annual Raw'!M112</f>
        <v>0</v>
      </c>
      <c r="M126" s="3">
        <f>'Annual Raw'!N112</f>
        <v>0</v>
      </c>
      <c r="N126" s="3">
        <f>'Annual Raw'!O112</f>
        <v>0</v>
      </c>
      <c r="O126" s="3">
        <f>'Annual Raw'!P112</f>
        <v>0</v>
      </c>
      <c r="P126" s="3">
        <f>'Annual Raw'!Q112</f>
        <v>0</v>
      </c>
      <c r="Q126" s="3">
        <f>'Annual Raw'!R112</f>
        <v>75</v>
      </c>
      <c r="R126" s="3">
        <f>'Annual Raw'!S112</f>
        <v>74.92</v>
      </c>
      <c r="S126" s="3">
        <f>'Annual Raw'!T112</f>
        <v>74.92</v>
      </c>
      <c r="T126" s="3">
        <f>'Annual Raw'!U112</f>
        <v>74.92</v>
      </c>
      <c r="U126" s="3">
        <f>'Annual Raw'!V112</f>
        <v>74.92</v>
      </c>
      <c r="V126" s="3">
        <f>'Annual Raw'!W112</f>
        <v>74.92</v>
      </c>
      <c r="W126" s="3">
        <f>'Annual Raw'!X112</f>
        <v>74.92</v>
      </c>
      <c r="X126" s="3">
        <f>'Annual Raw'!Y112</f>
        <v>71.650000000000006</v>
      </c>
      <c r="Y126" s="3">
        <f>'Annual Raw'!Z112</f>
        <v>73.22</v>
      </c>
      <c r="Z126" s="3">
        <f>'Annual Raw'!AA112</f>
        <v>69.94</v>
      </c>
      <c r="AA126" s="3">
        <f>'Annual Raw'!AB112</f>
        <v>72.73</v>
      </c>
      <c r="AB126" s="37"/>
      <c r="AC126" s="37"/>
      <c r="AD126" s="37"/>
      <c r="AE126" s="37"/>
      <c r="AI126" s="3">
        <f>'QTR Raw'!C49</f>
        <v>0</v>
      </c>
      <c r="AJ126" s="3">
        <f>'QTR Raw'!D49</f>
        <v>0</v>
      </c>
      <c r="AK126" s="3">
        <f>'QTR Raw'!E49</f>
        <v>0</v>
      </c>
      <c r="AL126" s="3">
        <f>'QTR Raw'!F49</f>
        <v>0</v>
      </c>
      <c r="AM126" s="3">
        <f>'QTR Raw'!G49</f>
        <v>0</v>
      </c>
      <c r="AN126" s="3">
        <f>'QTR Raw'!H49</f>
        <v>0</v>
      </c>
      <c r="AO126" s="3">
        <f>'QTR Raw'!I49</f>
        <v>0</v>
      </c>
      <c r="AP126" s="3">
        <f>'QTR Raw'!J49</f>
        <v>0</v>
      </c>
      <c r="AQ126" s="3">
        <f>'QTR Raw'!K49</f>
        <v>0</v>
      </c>
      <c r="AR126" s="3">
        <f>'QTR Raw'!L49</f>
        <v>0</v>
      </c>
      <c r="AS126" s="3">
        <f>'QTR Raw'!M49</f>
        <v>0</v>
      </c>
      <c r="AT126" s="3">
        <f>'QTR Raw'!N49</f>
        <v>0</v>
      </c>
      <c r="AU126" s="3">
        <f>'QTR Raw'!O49</f>
        <v>0</v>
      </c>
      <c r="AV126" s="3">
        <f>'QTR Raw'!P49</f>
        <v>75</v>
      </c>
      <c r="AW126" s="3">
        <f>'QTR Raw'!Q49</f>
        <v>75</v>
      </c>
      <c r="AX126" s="3">
        <f>'QTR Raw'!R49</f>
        <v>75</v>
      </c>
      <c r="AY126" s="3">
        <f>'QTR Raw'!S49</f>
        <v>75</v>
      </c>
      <c r="AZ126" s="3">
        <f>'QTR Raw'!T49</f>
        <v>75</v>
      </c>
      <c r="BA126" s="3">
        <f>'QTR Raw'!U49</f>
        <v>75</v>
      </c>
      <c r="BB126" s="3">
        <f>'QTR Raw'!V49</f>
        <v>74.92</v>
      </c>
      <c r="BC126" s="3">
        <f>'QTR Raw'!W49</f>
        <v>74.92</v>
      </c>
      <c r="BD126" s="3">
        <f>'QTR Raw'!X49</f>
        <v>74.92</v>
      </c>
      <c r="BE126" s="3">
        <f>'QTR Raw'!Y49</f>
        <v>74.92</v>
      </c>
      <c r="BF126" s="3">
        <f>'QTR Raw'!Z49</f>
        <v>74.92</v>
      </c>
      <c r="BG126" s="3">
        <f>'QTR Raw'!AA49</f>
        <v>74.92</v>
      </c>
      <c r="BH126" s="3">
        <f>'QTR Raw'!AB49</f>
        <v>74.92</v>
      </c>
      <c r="BI126" s="3">
        <f>'QTR Raw'!AC49</f>
        <v>74.92</v>
      </c>
      <c r="BJ126" s="3">
        <f>'QTR Raw'!AD49</f>
        <v>74.92</v>
      </c>
      <c r="BK126" s="3">
        <f>'QTR Raw'!AE49</f>
        <v>74.92</v>
      </c>
      <c r="BL126" s="3">
        <f>'QTR Raw'!AF49</f>
        <v>74.92</v>
      </c>
      <c r="BM126" s="3">
        <f>'QTR Raw'!AG49</f>
        <v>74.92</v>
      </c>
      <c r="BN126" s="3">
        <f>'QTR Raw'!AH49</f>
        <v>74.92</v>
      </c>
      <c r="BO126" s="3">
        <f>'QTR Raw'!AI49</f>
        <v>74.92</v>
      </c>
      <c r="BP126" s="3">
        <f>'QTR Raw'!AJ49</f>
        <v>74.92</v>
      </c>
      <c r="BQ126" s="3">
        <f>'QTR Raw'!AK49</f>
        <v>74.92</v>
      </c>
      <c r="BR126" s="3">
        <f>'QTR Raw'!AL49</f>
        <v>74.92</v>
      </c>
      <c r="BS126" s="3">
        <f>'QTR Raw'!AM49</f>
        <v>74.92</v>
      </c>
      <c r="BT126" s="3">
        <f>'QTR Raw'!AN49</f>
        <v>74.92</v>
      </c>
      <c r="BU126" s="3">
        <f>'QTR Raw'!AO49</f>
        <v>74.92</v>
      </c>
      <c r="BV126" s="3">
        <f>'QTR Raw'!AP49</f>
        <v>74.92</v>
      </c>
      <c r="BW126" s="3">
        <f>'QTR Raw'!AQ49</f>
        <v>73.87</v>
      </c>
      <c r="BX126" s="3">
        <f>'QTR Raw'!AR49</f>
        <v>73.87</v>
      </c>
      <c r="BY126" s="3">
        <f>'QTR Raw'!AS49</f>
        <v>74.19</v>
      </c>
      <c r="BZ126" s="3">
        <f>'QTR Raw'!AT49</f>
        <v>71.650000000000006</v>
      </c>
      <c r="CA126" s="3">
        <f>'QTR Raw'!AU49</f>
        <v>68.28</v>
      </c>
      <c r="CB126" s="3">
        <f>'QTR Raw'!AV49</f>
        <v>73.22</v>
      </c>
      <c r="CC126" s="3">
        <f>'QTR Raw'!AW49</f>
        <v>73.22</v>
      </c>
      <c r="CD126" s="3">
        <f>'QTR Raw'!AX49</f>
        <v>73.22</v>
      </c>
      <c r="CE126" s="3">
        <f>'QTR Raw'!AY49</f>
        <v>74.94</v>
      </c>
      <c r="CF126" s="3">
        <f>'QTR Raw'!AZ49</f>
        <v>69.94</v>
      </c>
      <c r="CG126" s="3">
        <f>'QTR Raw'!BA49</f>
        <v>69.94</v>
      </c>
      <c r="CH126" s="3">
        <f>'QTR Raw'!BB49</f>
        <v>69.94</v>
      </c>
      <c r="CI126" s="3">
        <f>'QTR Raw'!BC49</f>
        <v>71.19</v>
      </c>
      <c r="CJ126" s="3">
        <f>'QTR Raw'!BD49</f>
        <v>71.19</v>
      </c>
      <c r="CK126" s="3">
        <f>'QTR Raw'!BE49</f>
        <v>71.19</v>
      </c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E126" s="134"/>
      <c r="DF126" s="3">
        <v>0</v>
      </c>
    </row>
    <row r="127" spans="1:111" s="3" customFormat="1" x14ac:dyDescent="0.2">
      <c r="A127" s="3" t="s">
        <v>35</v>
      </c>
      <c r="B127" s="3">
        <f>'Annual Raw'!C113</f>
        <v>0</v>
      </c>
      <c r="C127" s="3">
        <f>'Annual Raw'!D113</f>
        <v>0</v>
      </c>
      <c r="D127" s="3">
        <f>'Annual Raw'!E113</f>
        <v>0</v>
      </c>
      <c r="E127" s="3">
        <f>'Annual Raw'!F113</f>
        <v>0</v>
      </c>
      <c r="F127" s="3">
        <f>'Annual Raw'!G113</f>
        <v>0</v>
      </c>
      <c r="G127" s="3">
        <f>'Annual Raw'!H113</f>
        <v>0</v>
      </c>
      <c r="H127" s="3">
        <f>'Annual Raw'!I113</f>
        <v>0</v>
      </c>
      <c r="I127" s="3">
        <f>'Annual Raw'!J113</f>
        <v>0</v>
      </c>
      <c r="J127" s="3">
        <f>'Annual Raw'!K113</f>
        <v>0</v>
      </c>
      <c r="K127" s="3">
        <f>'Annual Raw'!L113</f>
        <v>0</v>
      </c>
      <c r="L127" s="3">
        <f>'Annual Raw'!M113</f>
        <v>0</v>
      </c>
      <c r="M127" s="3">
        <f>'Annual Raw'!N113</f>
        <v>0</v>
      </c>
      <c r="N127" s="3">
        <f>'Annual Raw'!O113</f>
        <v>0</v>
      </c>
      <c r="O127" s="3">
        <f>'Annual Raw'!P113</f>
        <v>0</v>
      </c>
      <c r="P127" s="3">
        <f>'Annual Raw'!Q113</f>
        <v>0</v>
      </c>
      <c r="Q127" s="3">
        <f>'Annual Raw'!R113</f>
        <v>22.69</v>
      </c>
      <c r="R127" s="3">
        <f>'Annual Raw'!S113</f>
        <v>30.99</v>
      </c>
      <c r="S127" s="3">
        <f>'Annual Raw'!T113</f>
        <v>22.92</v>
      </c>
      <c r="T127" s="3">
        <f>'Annual Raw'!U113</f>
        <v>52.02</v>
      </c>
      <c r="U127" s="3">
        <f>'Annual Raw'!V113</f>
        <v>53.63</v>
      </c>
      <c r="V127" s="3">
        <f>'Annual Raw'!W113</f>
        <v>12.02</v>
      </c>
      <c r="W127" s="3">
        <f>'Annual Raw'!X113</f>
        <v>6.74</v>
      </c>
      <c r="X127" s="3">
        <f>'Annual Raw'!Y113</f>
        <v>3.75</v>
      </c>
      <c r="Y127" s="3">
        <f>'Annual Raw'!Z113</f>
        <v>2.58</v>
      </c>
      <c r="Z127" s="3">
        <f>'Annual Raw'!AA113</f>
        <v>0.81</v>
      </c>
      <c r="AA127" s="3">
        <f>'Annual Raw'!AB113</f>
        <v>0.54</v>
      </c>
      <c r="AB127" s="37"/>
      <c r="AC127" s="37"/>
      <c r="AD127" s="37"/>
      <c r="AE127" s="37"/>
      <c r="AI127" s="3">
        <f>'QTR Raw'!C50</f>
        <v>0</v>
      </c>
      <c r="AJ127" s="3">
        <f>'QTR Raw'!D50</f>
        <v>0</v>
      </c>
      <c r="AK127" s="3">
        <f>'QTR Raw'!E50</f>
        <v>0</v>
      </c>
      <c r="AL127" s="3">
        <f>'QTR Raw'!F50</f>
        <v>0</v>
      </c>
      <c r="AM127" s="3">
        <f>'QTR Raw'!G50</f>
        <v>0</v>
      </c>
      <c r="AN127" s="3">
        <f>'QTR Raw'!H50</f>
        <v>0</v>
      </c>
      <c r="AO127" s="3">
        <f>'QTR Raw'!I50</f>
        <v>0</v>
      </c>
      <c r="AP127" s="3">
        <f>'QTR Raw'!J50</f>
        <v>0</v>
      </c>
      <c r="AQ127" s="3">
        <f>'QTR Raw'!K50</f>
        <v>0</v>
      </c>
      <c r="AR127" s="3">
        <f>'QTR Raw'!L50</f>
        <v>0</v>
      </c>
      <c r="AS127" s="3">
        <f>'QTR Raw'!M50</f>
        <v>0</v>
      </c>
      <c r="AT127" s="3">
        <f>'QTR Raw'!N50</f>
        <v>0</v>
      </c>
      <c r="AU127" s="3">
        <f>'QTR Raw'!O50</f>
        <v>0</v>
      </c>
      <c r="AV127" s="3">
        <f>'QTR Raw'!P50</f>
        <v>0</v>
      </c>
      <c r="AW127" s="3">
        <f>'QTR Raw'!Q50</f>
        <v>13.41</v>
      </c>
      <c r="AX127" s="3">
        <f>'QTR Raw'!R50</f>
        <v>22.69</v>
      </c>
      <c r="AY127" s="3">
        <f>'QTR Raw'!S50</f>
        <v>25.33</v>
      </c>
      <c r="AZ127" s="3">
        <f>'QTR Raw'!T50</f>
        <v>32.33</v>
      </c>
      <c r="BA127" s="3">
        <f>'QTR Raw'!U50</f>
        <v>31.39</v>
      </c>
      <c r="BB127" s="3">
        <f>'QTR Raw'!V50</f>
        <v>30.99</v>
      </c>
      <c r="BC127" s="3">
        <f>'QTR Raw'!W50</f>
        <v>22.22</v>
      </c>
      <c r="BD127" s="3">
        <f>'QTR Raw'!X50</f>
        <v>19.579999999999998</v>
      </c>
      <c r="BE127" s="3">
        <f>'QTR Raw'!Y50</f>
        <v>16.829999999999998</v>
      </c>
      <c r="BF127" s="3">
        <f>'QTR Raw'!Z50</f>
        <v>22.92</v>
      </c>
      <c r="BG127" s="3">
        <f>'QTR Raw'!AA50</f>
        <v>37.06</v>
      </c>
      <c r="BH127" s="3">
        <f>'QTR Raw'!AB50</f>
        <v>54.08</v>
      </c>
      <c r="BI127" s="3">
        <f>'QTR Raw'!AC50</f>
        <v>44.43</v>
      </c>
      <c r="BJ127" s="3">
        <f>'QTR Raw'!AD50</f>
        <v>52.02</v>
      </c>
      <c r="BK127" s="3">
        <f>'QTR Raw'!AE50</f>
        <v>50.37</v>
      </c>
      <c r="BL127" s="3">
        <f>'QTR Raw'!AF50</f>
        <v>43.93</v>
      </c>
      <c r="BM127" s="3">
        <f>'QTR Raw'!AG50</f>
        <v>35.29</v>
      </c>
      <c r="BN127" s="3">
        <f>'QTR Raw'!AH50</f>
        <v>53.63</v>
      </c>
      <c r="BO127" s="3">
        <f>'QTR Raw'!AI50</f>
        <v>35.78</v>
      </c>
      <c r="BP127" s="3">
        <f>'QTR Raw'!AJ50</f>
        <v>29.11</v>
      </c>
      <c r="BQ127" s="3">
        <f>'QTR Raw'!AK50</f>
        <v>27.77</v>
      </c>
      <c r="BR127" s="3">
        <f>'QTR Raw'!AL50</f>
        <v>12.02</v>
      </c>
      <c r="BS127" s="3">
        <f>'QTR Raw'!AM50</f>
        <v>8.25</v>
      </c>
      <c r="BT127" s="3">
        <f>'QTR Raw'!AN50</f>
        <v>8.17</v>
      </c>
      <c r="BU127" s="3">
        <f>'QTR Raw'!AO50</f>
        <v>7.22</v>
      </c>
      <c r="BV127" s="3">
        <f>'QTR Raw'!AP50</f>
        <v>6.74</v>
      </c>
      <c r="BW127" s="3">
        <f>'QTR Raw'!AQ50</f>
        <v>5.9</v>
      </c>
      <c r="BX127" s="3">
        <f>'QTR Raw'!AR50</f>
        <v>6.39</v>
      </c>
      <c r="BY127" s="3">
        <f>'QTR Raw'!AS50</f>
        <v>6.62</v>
      </c>
      <c r="BZ127" s="3">
        <f>'QTR Raw'!AT50</f>
        <v>3.75</v>
      </c>
      <c r="CA127" s="3">
        <f>'QTR Raw'!AU50</f>
        <v>4.1900000000000004</v>
      </c>
      <c r="CB127" s="3">
        <f>'QTR Raw'!AV50</f>
        <v>3.34</v>
      </c>
      <c r="CC127" s="3">
        <f>'QTR Raw'!AW50</f>
        <v>2.89</v>
      </c>
      <c r="CD127" s="3">
        <f>'QTR Raw'!AX50</f>
        <v>2.58</v>
      </c>
      <c r="CE127" s="3">
        <f>'QTR Raw'!AY50</f>
        <v>2.2799999999999998</v>
      </c>
      <c r="CF127" s="3">
        <f>'QTR Raw'!AZ50</f>
        <v>0.49</v>
      </c>
      <c r="CG127" s="3">
        <f>'QTR Raw'!BA50</f>
        <v>0.81</v>
      </c>
      <c r="CH127" s="3">
        <f>'QTR Raw'!BB50</f>
        <v>0.81</v>
      </c>
      <c r="CI127" s="3">
        <f>'QTR Raw'!BC50</f>
        <v>0.79</v>
      </c>
      <c r="CJ127" s="3">
        <f>'QTR Raw'!BD50</f>
        <v>0.79</v>
      </c>
      <c r="CK127" s="3">
        <f>'QTR Raw'!BE50</f>
        <v>0.55000000000000004</v>
      </c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E127" s="134"/>
      <c r="DF127" s="3">
        <v>0</v>
      </c>
    </row>
    <row r="128" spans="1:111" s="3" customFormat="1" x14ac:dyDescent="0.2">
      <c r="AB128" s="37"/>
      <c r="AC128" s="37"/>
      <c r="AD128" s="37"/>
      <c r="AE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E128" s="134"/>
    </row>
    <row r="129" spans="1:111" s="13" customFormat="1" x14ac:dyDescent="0.2">
      <c r="A129" s="13" t="s">
        <v>36</v>
      </c>
      <c r="AB129" s="37"/>
      <c r="AC129" s="37"/>
      <c r="AD129" s="37"/>
      <c r="AE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E129" s="134"/>
    </row>
    <row r="130" spans="1:111" s="13" customFormat="1" x14ac:dyDescent="0.2">
      <c r="A130" s="13" t="s">
        <v>457</v>
      </c>
      <c r="B130" s="13">
        <f>'Annual Raw'!C106</f>
        <v>0</v>
      </c>
      <c r="C130" s="13">
        <f>'Annual Raw'!D106</f>
        <v>0</v>
      </c>
      <c r="D130" s="13">
        <f>'Annual Raw'!E106</f>
        <v>0</v>
      </c>
      <c r="E130" s="13">
        <f>'Annual Raw'!F106</f>
        <v>0</v>
      </c>
      <c r="F130" s="13">
        <f>'Annual Raw'!G106</f>
        <v>0</v>
      </c>
      <c r="G130" s="13">
        <f>'Annual Raw'!H106</f>
        <v>0</v>
      </c>
      <c r="H130" s="13">
        <f>'Annual Raw'!I106</f>
        <v>0</v>
      </c>
      <c r="I130" s="13">
        <f>'Annual Raw'!J106</f>
        <v>0</v>
      </c>
      <c r="J130" s="13">
        <f>'Annual Raw'!K106</f>
        <v>0</v>
      </c>
      <c r="K130" s="13">
        <f>'Annual Raw'!L106</f>
        <v>0</v>
      </c>
      <c r="L130" s="13">
        <f>'Annual Raw'!M106</f>
        <v>0</v>
      </c>
      <c r="M130" s="13">
        <f>'Annual Raw'!N106</f>
        <v>0</v>
      </c>
      <c r="N130" s="13">
        <f>'Annual Raw'!O106</f>
        <v>0</v>
      </c>
      <c r="O130" s="13">
        <f>'Annual Raw'!P106</f>
        <v>0</v>
      </c>
      <c r="P130" s="13">
        <f>'Annual Raw'!Q106</f>
        <v>0</v>
      </c>
      <c r="Q130" s="13">
        <f>'Annual Raw'!R106</f>
        <v>34.299999999999997</v>
      </c>
      <c r="R130" s="13">
        <f>'Annual Raw'!S106</f>
        <v>64.349999999999994</v>
      </c>
      <c r="S130" s="13">
        <f>'Annual Raw'!T106</f>
        <v>191.25</v>
      </c>
      <c r="T130" s="13">
        <f>'Annual Raw'!U106</f>
        <v>217.9</v>
      </c>
      <c r="U130" s="13">
        <f>'Annual Raw'!V106</f>
        <v>188.75</v>
      </c>
      <c r="V130" s="13">
        <f>'Annual Raw'!W106</f>
        <v>908.35</v>
      </c>
      <c r="W130" s="13">
        <f>'Annual Raw'!X106</f>
        <v>2372.3000000000002</v>
      </c>
      <c r="X130" s="13">
        <f>'Annual Raw'!Y106</f>
        <v>997.9</v>
      </c>
      <c r="Y130" s="13">
        <f>'Annual Raw'!Z106</f>
        <v>1025.8</v>
      </c>
      <c r="Z130" s="13">
        <f>'Annual Raw'!AA106</f>
        <v>871.5</v>
      </c>
      <c r="AA130" s="13">
        <f>'Annual Raw'!AB106</f>
        <v>934.2</v>
      </c>
      <c r="AB130" s="37">
        <f>+CP130</f>
        <v>1404</v>
      </c>
      <c r="AC130" s="37">
        <f>+CT130</f>
        <v>1404</v>
      </c>
      <c r="AD130" s="37">
        <f>+CX130</f>
        <v>1404</v>
      </c>
      <c r="AE130" s="37">
        <f>+DB130</f>
        <v>1404</v>
      </c>
      <c r="AJ130" s="13">
        <f>'QTR Share Price'!HP21</f>
        <v>0</v>
      </c>
      <c r="AK130" s="13">
        <f>'QTR Share Price'!HQ21</f>
        <v>0</v>
      </c>
      <c r="AL130" s="13">
        <f>'QTR Share Price'!HR21</f>
        <v>0</v>
      </c>
      <c r="AM130" s="13">
        <f>'QTR Share Price'!HS21</f>
        <v>0</v>
      </c>
      <c r="AN130" s="13">
        <f>'QTR Share Price'!HT21</f>
        <v>0</v>
      </c>
      <c r="AO130" s="13">
        <f>'QTR Share Price'!HU21</f>
        <v>0</v>
      </c>
      <c r="AP130" s="13">
        <f>'QTR Share Price'!HV21</f>
        <v>0</v>
      </c>
      <c r="AQ130" s="13">
        <f>'QTR Share Price'!HW21</f>
        <v>0</v>
      </c>
      <c r="AR130" s="13">
        <f>'QTR Share Price'!HX21</f>
        <v>0</v>
      </c>
      <c r="AS130" s="13">
        <f>'QTR Share Price'!HY21</f>
        <v>0</v>
      </c>
      <c r="AT130" s="13">
        <f>'QTR Share Price'!HZ21</f>
        <v>0</v>
      </c>
      <c r="AU130" s="13">
        <f>'QTR Share Price'!IA21</f>
        <v>0</v>
      </c>
      <c r="AV130" s="13">
        <f>'QTR Share Price'!IB21</f>
        <v>26.85</v>
      </c>
      <c r="AW130" s="13">
        <f>'QTR Share Price'!IC21</f>
        <v>36.85</v>
      </c>
      <c r="AX130" s="13">
        <f>'QTR Share Price'!ID21</f>
        <v>34.299999999999997</v>
      </c>
      <c r="AY130" s="13">
        <f>'QTR Share Price'!IE21</f>
        <v>38.549999999999997</v>
      </c>
      <c r="AZ130" s="13">
        <f>'QTR Share Price'!IF21</f>
        <v>38.1</v>
      </c>
      <c r="BA130" s="13">
        <f>'QTR Share Price'!IG21</f>
        <v>56.5</v>
      </c>
      <c r="BB130" s="13">
        <f>'QTR Share Price'!IH21</f>
        <v>64.349999999999994</v>
      </c>
      <c r="BC130" s="13">
        <f>'QTR Share Price'!II21</f>
        <v>123.9</v>
      </c>
      <c r="BD130" s="13">
        <f>'QTR Share Price'!IJ21</f>
        <v>152.44999999999999</v>
      </c>
      <c r="BE130" s="13">
        <f>'QTR Share Price'!IK21</f>
        <v>223.5</v>
      </c>
      <c r="BF130" s="13">
        <f>'QTR Share Price'!IL21</f>
        <v>191.25</v>
      </c>
      <c r="BG130" s="13">
        <f>'QTR Share Price'!IM21</f>
        <v>155.94999999999999</v>
      </c>
      <c r="BH130" s="13">
        <f>'QTR Share Price'!IN21</f>
        <v>160.25</v>
      </c>
      <c r="BI130" s="13">
        <f>'QTR Share Price'!IO21</f>
        <v>198.9</v>
      </c>
      <c r="BJ130" s="13">
        <f>'QTR Share Price'!IP21</f>
        <v>217.9</v>
      </c>
      <c r="BK130" s="13">
        <f>'QTR Share Price'!IQ21</f>
        <v>224.35</v>
      </c>
      <c r="BL130" s="13">
        <f>'QTR Share Price'!IR21</f>
        <v>228.6</v>
      </c>
      <c r="BM130" s="13">
        <f>'QTR Share Price'!IS21</f>
        <v>331.9</v>
      </c>
      <c r="BN130" s="13">
        <f>'QTR Share Price'!IT21</f>
        <v>188.75</v>
      </c>
      <c r="BO130" s="13">
        <f>'QTR Share Price'!IU21</f>
        <v>259.7</v>
      </c>
      <c r="BP130" s="13">
        <f>'QTR Share Price'!IV21</f>
        <v>242.3</v>
      </c>
      <c r="BQ130" s="13">
        <f>'QTR Share Price'!IW21</f>
        <v>437.7</v>
      </c>
      <c r="BR130" s="13">
        <f>'QTR Share Price'!IX21</f>
        <v>908.35</v>
      </c>
      <c r="BS130" s="13">
        <f>'QTR Share Price'!IY21</f>
        <v>1062.95</v>
      </c>
      <c r="BT130" s="13">
        <f>'QTR Share Price'!IZ21</f>
        <v>1552.35</v>
      </c>
      <c r="BU130" s="13">
        <f>'QTR Share Price'!JA21</f>
        <v>1732.85</v>
      </c>
      <c r="BV130" s="13">
        <f>'QTR Share Price'!JB21</f>
        <v>2372.3000000000002</v>
      </c>
      <c r="BW130" s="13">
        <f>'QTR Share Price'!JC21</f>
        <v>2473.75</v>
      </c>
      <c r="BX130" s="13">
        <f>'QTR Share Price'!JD21</f>
        <v>3290.7</v>
      </c>
      <c r="BY130" s="13">
        <f>'QTR Share Price'!JE21</f>
        <v>2591.5500000000002</v>
      </c>
      <c r="BZ130" s="13">
        <f>'QTR Share Price'!JF21</f>
        <v>997.9</v>
      </c>
      <c r="CA130" s="13">
        <f>'QTR Share Price'!JG21</f>
        <v>767.5</v>
      </c>
      <c r="CB130" s="13">
        <f>'QTR Share Price'!JH21</f>
        <v>809</v>
      </c>
      <c r="CC130" s="13">
        <f>'QTR Share Price'!JI21</f>
        <v>1046</v>
      </c>
      <c r="CD130" s="13">
        <f>'QTR Share Price'!JJ21</f>
        <v>1025.8</v>
      </c>
      <c r="CE130" s="13">
        <f>'QTR Share Price'!JK21</f>
        <v>997.95</v>
      </c>
      <c r="CF130" s="13">
        <f>'QTR Share Price'!JL21</f>
        <v>1009.65</v>
      </c>
      <c r="CG130" s="13">
        <f>'QTR Share Price'!JM21</f>
        <v>806.4</v>
      </c>
      <c r="CH130" s="13">
        <f>'QTR Share Price'!JN21</f>
        <v>871.5</v>
      </c>
      <c r="CI130" s="13">
        <f>'QTR Share Price'!JO21</f>
        <v>881.8</v>
      </c>
      <c r="CJ130" s="13">
        <f>'QTR Share Price'!JP21</f>
        <v>871.6</v>
      </c>
      <c r="CK130" s="13">
        <f>'QTR Share Price'!JQ21</f>
        <v>1029.25</v>
      </c>
      <c r="CL130" s="13">
        <f>'QTR Share Price'!JR21</f>
        <v>934.2</v>
      </c>
      <c r="CM130" s="37">
        <v>1404</v>
      </c>
      <c r="CN130" s="37">
        <f t="shared" ref="CN130" si="1042">+CM130</f>
        <v>1404</v>
      </c>
      <c r="CO130" s="37">
        <f t="shared" ref="CO130" si="1043">+CN130</f>
        <v>1404</v>
      </c>
      <c r="CP130" s="37">
        <f t="shared" ref="CP130" si="1044">+CO130</f>
        <v>1404</v>
      </c>
      <c r="CQ130" s="37">
        <f t="shared" ref="CQ130" si="1045">+CP130</f>
        <v>1404</v>
      </c>
      <c r="CR130" s="37">
        <f t="shared" ref="CR130" si="1046">+CQ130</f>
        <v>1404</v>
      </c>
      <c r="CS130" s="37">
        <f t="shared" ref="CS130" si="1047">+CR130</f>
        <v>1404</v>
      </c>
      <c r="CT130" s="37">
        <f t="shared" ref="CT130" si="1048">+CS130</f>
        <v>1404</v>
      </c>
      <c r="CU130" s="37">
        <f t="shared" ref="CU130" si="1049">+CT130</f>
        <v>1404</v>
      </c>
      <c r="CV130" s="37">
        <f t="shared" ref="CV130" si="1050">+CU130</f>
        <v>1404</v>
      </c>
      <c r="CW130" s="37">
        <f t="shared" ref="CW130" si="1051">+CV130</f>
        <v>1404</v>
      </c>
      <c r="CX130" s="37">
        <f t="shared" ref="CX130" si="1052">+CW130</f>
        <v>1404</v>
      </c>
      <c r="CY130" s="37">
        <f t="shared" ref="CY130" si="1053">+CX130</f>
        <v>1404</v>
      </c>
      <c r="CZ130" s="37">
        <f t="shared" ref="CZ130" si="1054">+CY130</f>
        <v>1404</v>
      </c>
      <c r="DA130" s="37">
        <f t="shared" ref="DA130" si="1055">+CZ130</f>
        <v>1404</v>
      </c>
      <c r="DB130" s="37">
        <f t="shared" ref="DB130" si="1056">+DA130</f>
        <v>1404</v>
      </c>
      <c r="DE130" s="134"/>
      <c r="DF130" s="13">
        <v>0</v>
      </c>
      <c r="DG130" s="13">
        <v>934.2</v>
      </c>
    </row>
    <row r="131" spans="1:111" s="13" customFormat="1" x14ac:dyDescent="0.2">
      <c r="A131" s="13" t="s">
        <v>458</v>
      </c>
      <c r="B131" s="13">
        <f>'Annual Raw'!C107</f>
        <v>0</v>
      </c>
      <c r="C131" s="13">
        <f>'Annual Raw'!D107</f>
        <v>0</v>
      </c>
      <c r="D131" s="13">
        <f>'Annual Raw'!E107</f>
        <v>0</v>
      </c>
      <c r="E131" s="13">
        <f>'Annual Raw'!F107</f>
        <v>0</v>
      </c>
      <c r="F131" s="13">
        <f>'Annual Raw'!G107</f>
        <v>0</v>
      </c>
      <c r="G131" s="13">
        <f>'Annual Raw'!H107</f>
        <v>0</v>
      </c>
      <c r="H131" s="13">
        <f>'Annual Raw'!I107</f>
        <v>0</v>
      </c>
      <c r="I131" s="13">
        <f>'Annual Raw'!J107</f>
        <v>0</v>
      </c>
      <c r="J131" s="13">
        <f>'Annual Raw'!K107</f>
        <v>0</v>
      </c>
      <c r="K131" s="13">
        <f>'Annual Raw'!L107</f>
        <v>0</v>
      </c>
      <c r="L131" s="13">
        <f>'Annual Raw'!M107</f>
        <v>0</v>
      </c>
      <c r="M131" s="13">
        <f>'Annual Raw'!N107</f>
        <v>0</v>
      </c>
      <c r="N131" s="13">
        <f>'Annual Raw'!O107</f>
        <v>0</v>
      </c>
      <c r="O131" s="13">
        <f>'Annual Raw'!P107</f>
        <v>0</v>
      </c>
      <c r="P131" s="13">
        <f>'Annual Raw'!Q107</f>
        <v>0</v>
      </c>
      <c r="Q131" s="13">
        <f>'Annual Raw'!R107</f>
        <v>42.6</v>
      </c>
      <c r="R131" s="13">
        <f>'Annual Raw'!S107</f>
        <v>69.7</v>
      </c>
      <c r="S131" s="13">
        <f>'Annual Raw'!T107</f>
        <v>252</v>
      </c>
      <c r="T131" s="13">
        <f>'Annual Raw'!U107</f>
        <v>256.3</v>
      </c>
      <c r="U131" s="13">
        <f>'Annual Raw'!V107</f>
        <v>365.8</v>
      </c>
      <c r="V131" s="13">
        <f>'Annual Raw'!W107</f>
        <v>924.4</v>
      </c>
      <c r="W131" s="13">
        <f>'Annual Raw'!X107</f>
        <v>2577.65</v>
      </c>
      <c r="X131" s="13">
        <f>'Annual Raw'!Y107</f>
        <v>4238.55</v>
      </c>
      <c r="Y131" s="13">
        <f>'Annual Raw'!Z107</f>
        <v>1250</v>
      </c>
      <c r="Z131" s="13">
        <f>'Annual Raw'!AA107</f>
        <v>1347.9</v>
      </c>
      <c r="AA131" s="13">
        <f>'Annual Raw'!AB107</f>
        <v>1067.3</v>
      </c>
      <c r="AB131" s="37">
        <f>+MAX(CM131:CP131)</f>
        <v>1573.2222114296005</v>
      </c>
      <c r="AC131" s="37">
        <f>+MAX(CQ131:CT131)</f>
        <v>1787.1543157434116</v>
      </c>
      <c r="AD131" s="37">
        <f>+MAX(CU131:CX131)</f>
        <v>2067.0962785169531</v>
      </c>
      <c r="AE131" s="37">
        <f>+MAX(CY131:DB131)</f>
        <v>2376.2553409176767</v>
      </c>
      <c r="AJ131" s="13">
        <f>'QTR Share Price'!HP19</f>
        <v>0</v>
      </c>
      <c r="AK131" s="13">
        <f>'QTR Share Price'!HQ19</f>
        <v>0</v>
      </c>
      <c r="AL131" s="13">
        <f>'QTR Share Price'!HR19</f>
        <v>0</v>
      </c>
      <c r="AM131" s="13">
        <f>'QTR Share Price'!HS19</f>
        <v>0</v>
      </c>
      <c r="AN131" s="13">
        <f>'QTR Share Price'!HT19</f>
        <v>0</v>
      </c>
      <c r="AO131" s="13">
        <f>'QTR Share Price'!HU19</f>
        <v>0</v>
      </c>
      <c r="AP131" s="13">
        <f>'QTR Share Price'!HV19</f>
        <v>0</v>
      </c>
      <c r="AQ131" s="13">
        <f>'QTR Share Price'!HW19</f>
        <v>0</v>
      </c>
      <c r="AR131" s="13">
        <f>'QTR Share Price'!HX19</f>
        <v>0</v>
      </c>
      <c r="AS131" s="13">
        <f>'QTR Share Price'!HY19</f>
        <v>0</v>
      </c>
      <c r="AT131" s="13">
        <f>'QTR Share Price'!HZ19</f>
        <v>0</v>
      </c>
      <c r="AU131" s="13">
        <f>'QTR Share Price'!IA19</f>
        <v>0</v>
      </c>
      <c r="AV131" s="13">
        <f>'QTR Share Price'!IB19</f>
        <v>42.5</v>
      </c>
      <c r="AW131" s="13">
        <f>'QTR Share Price'!IC19</f>
        <v>41.45</v>
      </c>
      <c r="AX131" s="13">
        <f>'QTR Share Price'!ID19</f>
        <v>42.6</v>
      </c>
      <c r="AY131" s="13">
        <f>'QTR Share Price'!IE19</f>
        <v>40.4</v>
      </c>
      <c r="AZ131" s="13">
        <f>'QTR Share Price'!IF19</f>
        <v>42.8</v>
      </c>
      <c r="BA131" s="13">
        <f>'QTR Share Price'!IG19</f>
        <v>66</v>
      </c>
      <c r="BB131" s="13">
        <f>'QTR Share Price'!IH19</f>
        <v>69.7</v>
      </c>
      <c r="BC131" s="13">
        <f>'QTR Share Price'!II19</f>
        <v>137</v>
      </c>
      <c r="BD131" s="13">
        <f>'QTR Share Price'!IJ19</f>
        <v>156</v>
      </c>
      <c r="BE131" s="13">
        <f>'QTR Share Price'!IK19</f>
        <v>247.75</v>
      </c>
      <c r="BF131" s="13">
        <f>'QTR Share Price'!IL19</f>
        <v>252</v>
      </c>
      <c r="BG131" s="13">
        <f>'QTR Share Price'!IM19</f>
        <v>198.9</v>
      </c>
      <c r="BH131" s="13">
        <f>'QTR Share Price'!IN19</f>
        <v>245</v>
      </c>
      <c r="BI131" s="13">
        <f>'QTR Share Price'!IO19</f>
        <v>256.3</v>
      </c>
      <c r="BJ131" s="13">
        <f>'QTR Share Price'!IP19</f>
        <v>242.5</v>
      </c>
      <c r="BK131" s="13">
        <f>'QTR Share Price'!IQ19</f>
        <v>253.05</v>
      </c>
      <c r="BL131" s="13">
        <f>'QTR Share Price'!IR19</f>
        <v>247</v>
      </c>
      <c r="BM131" s="13">
        <f>'QTR Share Price'!IS19</f>
        <v>350.05</v>
      </c>
      <c r="BN131" s="13">
        <f>'QTR Share Price'!IT19</f>
        <v>365.8</v>
      </c>
      <c r="BO131" s="13">
        <f>'QTR Share Price'!IU19</f>
        <v>281.95</v>
      </c>
      <c r="BP131" s="13">
        <f>'QTR Share Price'!IV19</f>
        <v>303.10000000000002</v>
      </c>
      <c r="BQ131" s="13">
        <f>'QTR Share Price'!IW19</f>
        <v>455</v>
      </c>
      <c r="BR131" s="13">
        <f>'QTR Share Price'!IX19</f>
        <v>924.4</v>
      </c>
      <c r="BS131" s="13">
        <f>'QTR Share Price'!IY19</f>
        <v>1647.7</v>
      </c>
      <c r="BT131" s="13">
        <f>'QTR Share Price'!IZ19</f>
        <v>1990</v>
      </c>
      <c r="BU131" s="13">
        <f>'QTR Share Price'!JA19</f>
        <v>2030</v>
      </c>
      <c r="BV131" s="13">
        <f>'QTR Share Price'!JB19</f>
        <v>2577.65</v>
      </c>
      <c r="BW131" s="13">
        <f>'QTR Share Price'!JC19</f>
        <v>3000</v>
      </c>
      <c r="BX131" s="13">
        <f>'QTR Share Price'!JD19</f>
        <v>4238.55</v>
      </c>
      <c r="BY131" s="13">
        <f>'QTR Share Price'!JE19</f>
        <v>3420.25</v>
      </c>
      <c r="BZ131" s="13">
        <f>'QTR Share Price'!JF19</f>
        <v>2798.6</v>
      </c>
      <c r="CA131" s="13">
        <f>'QTR Share Price'!JG19</f>
        <v>1098.75</v>
      </c>
      <c r="CB131" s="13">
        <f>'QTR Share Price'!JH19</f>
        <v>976.45</v>
      </c>
      <c r="CC131" s="13">
        <f>'QTR Share Price'!JI19</f>
        <v>1246</v>
      </c>
      <c r="CD131" s="13">
        <f>'QTR Share Price'!JJ19</f>
        <v>1250</v>
      </c>
      <c r="CE131" s="13">
        <f>'QTR Share Price'!JK19</f>
        <v>1249</v>
      </c>
      <c r="CF131" s="13">
        <f>'QTR Share Price'!JL19</f>
        <v>1347.9</v>
      </c>
      <c r="CG131" s="13">
        <f>'QTR Share Price'!JM19</f>
        <v>1090.6500000000001</v>
      </c>
      <c r="CH131" s="13">
        <f>'QTR Share Price'!JN19</f>
        <v>894.5</v>
      </c>
      <c r="CI131" s="13">
        <f>'QTR Share Price'!JO19</f>
        <v>981.95</v>
      </c>
      <c r="CJ131" s="13">
        <f>'QTR Share Price'!JP19</f>
        <v>957.95</v>
      </c>
      <c r="CK131" s="13">
        <f>'QTR Share Price'!JQ19</f>
        <v>1050</v>
      </c>
      <c r="CL131" s="13">
        <f>'QTR Share Price'!JR19</f>
        <v>1067.3</v>
      </c>
      <c r="CM131" s="37">
        <f t="shared" ref="CM131:DB131" si="1057">+CM148*CM145</f>
        <v>1430.9933257074429</v>
      </c>
      <c r="CN131" s="37">
        <f t="shared" si="1057"/>
        <v>1479.7133089371441</v>
      </c>
      <c r="CO131" s="37">
        <f t="shared" si="1057"/>
        <v>1527.1429941950189</v>
      </c>
      <c r="CP131" s="37">
        <f t="shared" si="1057"/>
        <v>1573.2222114296005</v>
      </c>
      <c r="CQ131" s="37">
        <f t="shared" si="1057"/>
        <v>1627.5566335422864</v>
      </c>
      <c r="CR131" s="37">
        <f t="shared" si="1057"/>
        <v>1678.4241135313887</v>
      </c>
      <c r="CS131" s="37">
        <f t="shared" si="1057"/>
        <v>1730.6533284315992</v>
      </c>
      <c r="CT131" s="37">
        <f t="shared" si="1057"/>
        <v>1787.1543157434116</v>
      </c>
      <c r="CU131" s="37">
        <f t="shared" si="1057"/>
        <v>1852.3085456080296</v>
      </c>
      <c r="CV131" s="37">
        <f t="shared" si="1057"/>
        <v>1915.622895154668</v>
      </c>
      <c r="CW131" s="37">
        <f t="shared" si="1057"/>
        <v>1991.7122797403374</v>
      </c>
      <c r="CX131" s="37">
        <f t="shared" si="1057"/>
        <v>2067.0962785169531</v>
      </c>
      <c r="CY131" s="37">
        <f t="shared" si="1057"/>
        <v>2143.1881928861603</v>
      </c>
      <c r="CZ131" s="37">
        <f t="shared" si="1057"/>
        <v>2216.7483406949441</v>
      </c>
      <c r="DA131" s="37">
        <f t="shared" si="1057"/>
        <v>2293.8907703930331</v>
      </c>
      <c r="DB131" s="37">
        <f t="shared" si="1057"/>
        <v>2376.2553409176767</v>
      </c>
      <c r="DE131" s="134"/>
      <c r="DF131" s="13">
        <v>0</v>
      </c>
      <c r="DG131" s="13">
        <v>1067.3</v>
      </c>
    </row>
    <row r="132" spans="1:111" s="13" customFormat="1" x14ac:dyDescent="0.2">
      <c r="A132" s="13" t="s">
        <v>459</v>
      </c>
      <c r="B132" s="13">
        <f>'Annual Raw'!C108</f>
        <v>0</v>
      </c>
      <c r="C132" s="13">
        <f>'Annual Raw'!D108</f>
        <v>0</v>
      </c>
      <c r="D132" s="13">
        <f>'Annual Raw'!E108</f>
        <v>0</v>
      </c>
      <c r="E132" s="13">
        <f>'Annual Raw'!F108</f>
        <v>0</v>
      </c>
      <c r="F132" s="13">
        <f>'Annual Raw'!G108</f>
        <v>0</v>
      </c>
      <c r="G132" s="13">
        <f>'Annual Raw'!H108</f>
        <v>0</v>
      </c>
      <c r="H132" s="13">
        <f>'Annual Raw'!I108</f>
        <v>0</v>
      </c>
      <c r="I132" s="13">
        <f>'Annual Raw'!J108</f>
        <v>0</v>
      </c>
      <c r="J132" s="13">
        <f>'Annual Raw'!K108</f>
        <v>0</v>
      </c>
      <c r="K132" s="13">
        <f>'Annual Raw'!L108</f>
        <v>0</v>
      </c>
      <c r="L132" s="13">
        <f>'Annual Raw'!M108</f>
        <v>0</v>
      </c>
      <c r="M132" s="13">
        <f>'Annual Raw'!N108</f>
        <v>0</v>
      </c>
      <c r="N132" s="13">
        <f>'Annual Raw'!O108</f>
        <v>0</v>
      </c>
      <c r="O132" s="13">
        <f>'Annual Raw'!P108</f>
        <v>0</v>
      </c>
      <c r="P132" s="13">
        <f>'Annual Raw'!Q108</f>
        <v>0</v>
      </c>
      <c r="Q132" s="13">
        <f>'Annual Raw'!R108</f>
        <v>25.25</v>
      </c>
      <c r="R132" s="13">
        <f>'Annual Raw'!S108</f>
        <v>28.35</v>
      </c>
      <c r="S132" s="13">
        <f>'Annual Raw'!T108</f>
        <v>64.5</v>
      </c>
      <c r="T132" s="13">
        <f>'Annual Raw'!U108</f>
        <v>115</v>
      </c>
      <c r="U132" s="13">
        <f>'Annual Raw'!V108</f>
        <v>147.5</v>
      </c>
      <c r="V132" s="13">
        <f>'Annual Raw'!W108</f>
        <v>167.2</v>
      </c>
      <c r="W132" s="13">
        <f>'Annual Raw'!X108</f>
        <v>860.5</v>
      </c>
      <c r="X132" s="13">
        <f>'Annual Raw'!Y108</f>
        <v>630</v>
      </c>
      <c r="Y132" s="13">
        <f>'Annual Raw'!Z108</f>
        <v>686.9</v>
      </c>
      <c r="Z132" s="13">
        <f>'Annual Raw'!AA108</f>
        <v>588.25</v>
      </c>
      <c r="AA132" s="13">
        <f>'Annual Raw'!AB108</f>
        <v>745.45</v>
      </c>
      <c r="AB132" s="37">
        <f>+MIN(CM132:CP132)</f>
        <v>990.68768702822967</v>
      </c>
      <c r="AC132" s="37">
        <f>+MIN(CQ132:CT132)</f>
        <v>1126.7699770677368</v>
      </c>
      <c r="AD132" s="37">
        <f>+MIN(CU132:CX132)</f>
        <v>1282.3674546517127</v>
      </c>
      <c r="AE132" s="37">
        <f>+MIN(CY132:DB132)</f>
        <v>1483.745671998111</v>
      </c>
      <c r="AJ132" s="13">
        <f>+'QTR Share Price'!HP20</f>
        <v>0</v>
      </c>
      <c r="AK132" s="13">
        <f>+'QTR Share Price'!HQ20</f>
        <v>0</v>
      </c>
      <c r="AL132" s="13">
        <f>+'QTR Share Price'!HR20</f>
        <v>0</v>
      </c>
      <c r="AM132" s="13">
        <f>+'QTR Share Price'!HS20</f>
        <v>0</v>
      </c>
      <c r="AN132" s="13">
        <f>+'QTR Share Price'!HT20</f>
        <v>0</v>
      </c>
      <c r="AO132" s="13">
        <f>+'QTR Share Price'!HU20</f>
        <v>0</v>
      </c>
      <c r="AP132" s="13">
        <f>+'QTR Share Price'!HV20</f>
        <v>0</v>
      </c>
      <c r="AQ132" s="13">
        <f>+'QTR Share Price'!HW20</f>
        <v>0</v>
      </c>
      <c r="AR132" s="13">
        <f>+'QTR Share Price'!HX20</f>
        <v>0</v>
      </c>
      <c r="AS132" s="13">
        <f>+'QTR Share Price'!HY20</f>
        <v>0</v>
      </c>
      <c r="AT132" s="13">
        <f>+'QTR Share Price'!HZ20</f>
        <v>0</v>
      </c>
      <c r="AU132" s="13">
        <f>+'QTR Share Price'!IA20</f>
        <v>0</v>
      </c>
      <c r="AV132" s="13">
        <f>+'QTR Share Price'!IB20</f>
        <v>25.25</v>
      </c>
      <c r="AW132" s="13">
        <f>+'QTR Share Price'!IC20</f>
        <v>26.6</v>
      </c>
      <c r="AX132" s="13">
        <f>+'QTR Share Price'!ID20</f>
        <v>26.3</v>
      </c>
      <c r="AY132" s="13">
        <f>+'QTR Share Price'!IE20</f>
        <v>28.35</v>
      </c>
      <c r="AZ132" s="13">
        <f>+'QTR Share Price'!IF20</f>
        <v>34</v>
      </c>
      <c r="BA132" s="13">
        <f>+'QTR Share Price'!IG20</f>
        <v>38.25</v>
      </c>
      <c r="BB132" s="13">
        <f>+'QTR Share Price'!IH20</f>
        <v>56.3</v>
      </c>
      <c r="BC132" s="13">
        <f>+'QTR Share Price'!II20</f>
        <v>64.5</v>
      </c>
      <c r="BD132" s="13">
        <f>+'QTR Share Price'!IJ20</f>
        <v>103</v>
      </c>
      <c r="BE132" s="13">
        <f>+'QTR Share Price'!IK20</f>
        <v>153.05000000000001</v>
      </c>
      <c r="BF132" s="13">
        <f>+'QTR Share Price'!IL20</f>
        <v>154.80000000000001</v>
      </c>
      <c r="BG132" s="13">
        <f>+'QTR Share Price'!IM20</f>
        <v>115</v>
      </c>
      <c r="BH132" s="13">
        <f>+'QTR Share Price'!IN20</f>
        <v>145.65</v>
      </c>
      <c r="BI132" s="13">
        <f>+'QTR Share Price'!IO20</f>
        <v>141.35</v>
      </c>
      <c r="BJ132" s="13">
        <f>+'QTR Share Price'!IP20</f>
        <v>180</v>
      </c>
      <c r="BK132" s="13">
        <f>+'QTR Share Price'!IQ20</f>
        <v>202.9</v>
      </c>
      <c r="BL132" s="13">
        <f>+'QTR Share Price'!IR20</f>
        <v>193</v>
      </c>
      <c r="BM132" s="13">
        <f>+'QTR Share Price'!IS20</f>
        <v>220.75</v>
      </c>
      <c r="BN132" s="13">
        <f>+'QTR Share Price'!IT20</f>
        <v>147.5</v>
      </c>
      <c r="BO132" s="13">
        <f>+'QTR Share Price'!IU20</f>
        <v>167.2</v>
      </c>
      <c r="BP132" s="13">
        <f>+'QTR Share Price'!IV20</f>
        <v>221</v>
      </c>
      <c r="BQ132" s="13">
        <f>+'QTR Share Price'!IW20</f>
        <v>241.65</v>
      </c>
      <c r="BR132" s="13">
        <f>+'QTR Share Price'!IX20</f>
        <v>400</v>
      </c>
      <c r="BS132" s="13">
        <f>+'QTR Share Price'!IY20</f>
        <v>865.1</v>
      </c>
      <c r="BT132" s="13">
        <f>+'QTR Share Price'!IZ20</f>
        <v>860.5</v>
      </c>
      <c r="BU132" s="13">
        <f>+'QTR Share Price'!JA20</f>
        <v>1511.4</v>
      </c>
      <c r="BV132" s="13">
        <f>+'QTR Share Price'!JB20</f>
        <v>1670</v>
      </c>
      <c r="BW132" s="13">
        <f>+'QTR Share Price'!JC20</f>
        <v>1900</v>
      </c>
      <c r="BX132" s="13">
        <f>+'QTR Share Price'!JD20</f>
        <v>2226.4</v>
      </c>
      <c r="BY132" s="13">
        <f>+'QTR Share Price'!JE20</f>
        <v>2179.85</v>
      </c>
      <c r="BZ132" s="13">
        <f>+'QTR Share Price'!JF20</f>
        <v>630</v>
      </c>
      <c r="CA132" s="13">
        <f>+'QTR Share Price'!JG20</f>
        <v>713.8</v>
      </c>
      <c r="CB132" s="13">
        <f>+'QTR Share Price'!JH20</f>
        <v>738.15</v>
      </c>
      <c r="CC132" s="13">
        <f>+'QTR Share Price'!JI20</f>
        <v>686.9</v>
      </c>
      <c r="CD132" s="13">
        <f>+'QTR Share Price'!JJ20</f>
        <v>918.1</v>
      </c>
      <c r="CE132" s="13">
        <f>+'QTR Share Price'!JK20</f>
        <v>832.2</v>
      </c>
      <c r="CF132" s="13">
        <f>+'QTR Share Price'!JL20</f>
        <v>915.7</v>
      </c>
      <c r="CG132" s="13">
        <f>+'QTR Share Price'!JM20</f>
        <v>588.25</v>
      </c>
      <c r="CH132" s="13">
        <f>+'QTR Share Price'!JN20</f>
        <v>639.35</v>
      </c>
      <c r="CI132" s="13">
        <f>+'QTR Share Price'!JO20</f>
        <v>778.1</v>
      </c>
      <c r="CJ132" s="13">
        <f>+'QTR Share Price'!JP20</f>
        <v>745.45</v>
      </c>
      <c r="CK132" s="13">
        <f>+'QTR Share Price'!JQ20</f>
        <v>869.6</v>
      </c>
      <c r="CL132" s="13">
        <f>+'QTR Share Price'!JR20</f>
        <v>804.7</v>
      </c>
      <c r="CM132" s="37">
        <f t="shared" ref="CM132:DB132" si="1058">+CM149*CM145</f>
        <v>990.68768702822967</v>
      </c>
      <c r="CN132" s="37">
        <f t="shared" si="1058"/>
        <v>1024.4169061872535</v>
      </c>
      <c r="CO132" s="37">
        <f t="shared" si="1058"/>
        <v>1057.2528421350132</v>
      </c>
      <c r="CP132" s="37">
        <f t="shared" si="1058"/>
        <v>1089.1538386820312</v>
      </c>
      <c r="CQ132" s="37">
        <f t="shared" si="1058"/>
        <v>1126.7699770677368</v>
      </c>
      <c r="CR132" s="37">
        <f t="shared" si="1058"/>
        <v>1161.9859247524998</v>
      </c>
      <c r="CS132" s="37">
        <f t="shared" si="1058"/>
        <v>1198.1446119911072</v>
      </c>
      <c r="CT132" s="37">
        <f t="shared" si="1058"/>
        <v>1237.2606801300542</v>
      </c>
      <c r="CU132" s="37">
        <f t="shared" si="1058"/>
        <v>1282.3674546517127</v>
      </c>
      <c r="CV132" s="37">
        <f t="shared" si="1058"/>
        <v>1326.2004658763085</v>
      </c>
      <c r="CW132" s="37">
        <f t="shared" si="1058"/>
        <v>1378.8777321279258</v>
      </c>
      <c r="CX132" s="37">
        <f t="shared" si="1058"/>
        <v>1431.0666543578905</v>
      </c>
      <c r="CY132" s="37">
        <f t="shared" si="1058"/>
        <v>1483.745671998111</v>
      </c>
      <c r="CZ132" s="37">
        <f t="shared" si="1058"/>
        <v>1534.6719281734227</v>
      </c>
      <c r="DA132" s="37">
        <f t="shared" si="1058"/>
        <v>1588.0782256567154</v>
      </c>
      <c r="DB132" s="37">
        <f t="shared" si="1058"/>
        <v>1645.0998514045455</v>
      </c>
      <c r="DE132" s="134"/>
      <c r="DF132" s="13">
        <v>0</v>
      </c>
      <c r="DG132" s="13">
        <v>804.7</v>
      </c>
    </row>
    <row r="133" spans="1:111" s="14" customFormat="1" x14ac:dyDescent="0.2">
      <c r="AB133" s="16"/>
      <c r="AC133" s="16"/>
      <c r="AD133" s="16"/>
      <c r="AE133" s="16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E133" s="134"/>
    </row>
    <row r="134" spans="1:111" s="51" customFormat="1" x14ac:dyDescent="0.2">
      <c r="A134" s="51" t="s">
        <v>346</v>
      </c>
      <c r="AB134" s="48">
        <f t="shared" ref="AB134:AD134" si="1059">+AB131/AB130-1</f>
        <v>0.12052864061937352</v>
      </c>
      <c r="AC134" s="48">
        <f t="shared" si="1059"/>
        <v>0.27290193429017928</v>
      </c>
      <c r="AD134" s="48">
        <f t="shared" si="1059"/>
        <v>0.47229079666449647</v>
      </c>
      <c r="AE134" s="48">
        <f t="shared" ref="AE134" si="1060">+AE131/AE130-1</f>
        <v>0.69248955905817433</v>
      </c>
      <c r="CM134" s="48">
        <f t="shared" ref="CM134:DB134" si="1061">+CM131/CM130-1</f>
        <v>1.9226015461141666E-2</v>
      </c>
      <c r="CN134" s="48">
        <f t="shared" si="1061"/>
        <v>5.3926858217339113E-2</v>
      </c>
      <c r="CO134" s="48">
        <f t="shared" si="1061"/>
        <v>8.7708685324087599E-2</v>
      </c>
      <c r="CP134" s="48">
        <f t="shared" si="1061"/>
        <v>0.12052864061937352</v>
      </c>
      <c r="CQ134" s="48">
        <f t="shared" si="1061"/>
        <v>0.15922837146886493</v>
      </c>
      <c r="CR134" s="48">
        <f t="shared" si="1061"/>
        <v>0.19545877032150183</v>
      </c>
      <c r="CS134" s="48">
        <f t="shared" si="1061"/>
        <v>0.23265906583447249</v>
      </c>
      <c r="CT134" s="48">
        <f t="shared" si="1061"/>
        <v>0.27290193429017928</v>
      </c>
      <c r="CU134" s="48">
        <f t="shared" si="1061"/>
        <v>0.31930808091740004</v>
      </c>
      <c r="CV134" s="48">
        <f t="shared" si="1061"/>
        <v>0.36440377147768377</v>
      </c>
      <c r="CW134" s="48">
        <f t="shared" si="1061"/>
        <v>0.41859848984354509</v>
      </c>
      <c r="CX134" s="48">
        <f t="shared" si="1061"/>
        <v>0.47229079666449647</v>
      </c>
      <c r="CY134" s="48">
        <f t="shared" si="1061"/>
        <v>0.52648731687048467</v>
      </c>
      <c r="CZ134" s="48">
        <f t="shared" si="1061"/>
        <v>0.57888058454055846</v>
      </c>
      <c r="DA134" s="48">
        <f t="shared" si="1061"/>
        <v>0.63382533503777294</v>
      </c>
      <c r="DB134" s="48">
        <f t="shared" si="1061"/>
        <v>0.69248955905817433</v>
      </c>
      <c r="DE134" s="129"/>
    </row>
    <row r="135" spans="1:111" s="51" customFormat="1" x14ac:dyDescent="0.2">
      <c r="A135" s="51" t="s">
        <v>347</v>
      </c>
      <c r="AB135" s="48">
        <f t="shared" ref="AB135:AD135" si="1062">+AB132/AB130-1</f>
        <v>-0.29438198929613268</v>
      </c>
      <c r="AC135" s="48">
        <f t="shared" si="1062"/>
        <v>-0.19745728129078577</v>
      </c>
      <c r="AD135" s="48">
        <f t="shared" si="1062"/>
        <v>-8.6632867057184648E-2</v>
      </c>
      <c r="AE135" s="48">
        <f t="shared" ref="AE135" si="1063">+AE132/AE130-1</f>
        <v>5.6798911679566189E-2</v>
      </c>
      <c r="CM135" s="48">
        <f t="shared" ref="CM135:DB135" si="1064">+CM132/CM130-1</f>
        <v>-0.29438198929613268</v>
      </c>
      <c r="CN135" s="48">
        <f t="shared" si="1064"/>
        <v>-0.27035832892645761</v>
      </c>
      <c r="CO135" s="48">
        <f t="shared" si="1064"/>
        <v>-0.24697091016024697</v>
      </c>
      <c r="CP135" s="48">
        <f t="shared" si="1064"/>
        <v>-0.22424940264812598</v>
      </c>
      <c r="CQ135" s="48">
        <f t="shared" si="1064"/>
        <v>-0.19745728129078577</v>
      </c>
      <c r="CR135" s="48">
        <f t="shared" si="1064"/>
        <v>-0.17237469746972944</v>
      </c>
      <c r="CS135" s="48">
        <f t="shared" si="1064"/>
        <v>-0.14662064672998065</v>
      </c>
      <c r="CT135" s="48">
        <f t="shared" si="1064"/>
        <v>-0.11876019933756821</v>
      </c>
      <c r="CU135" s="48">
        <f t="shared" si="1064"/>
        <v>-8.6632867057184648E-2</v>
      </c>
      <c r="CV135" s="48">
        <f t="shared" si="1064"/>
        <v>-5.5412773592372844E-2</v>
      </c>
      <c r="CW135" s="48">
        <f t="shared" si="1064"/>
        <v>-1.7893353185237992E-2</v>
      </c>
      <c r="CX135" s="48">
        <f t="shared" si="1064"/>
        <v>1.9278243844651266E-2</v>
      </c>
      <c r="CY135" s="48">
        <f t="shared" si="1064"/>
        <v>5.6798911679566189E-2</v>
      </c>
      <c r="CZ135" s="48">
        <f t="shared" si="1064"/>
        <v>9.307117391269415E-2</v>
      </c>
      <c r="DA135" s="48">
        <f t="shared" si="1064"/>
        <v>0.13110984733384279</v>
      </c>
      <c r="DB135" s="48">
        <f t="shared" si="1064"/>
        <v>0.17172354088642838</v>
      </c>
      <c r="DE135" s="129"/>
    </row>
    <row r="136" spans="1:111" s="14" customFormat="1" x14ac:dyDescent="0.2">
      <c r="AB136" s="16"/>
      <c r="AC136" s="16"/>
      <c r="AD136" s="16"/>
      <c r="AE136" s="16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E136" s="134"/>
    </row>
    <row r="137" spans="1:111" s="13" customFormat="1" x14ac:dyDescent="0.2">
      <c r="A137" s="13" t="s">
        <v>40</v>
      </c>
      <c r="AB137" s="37"/>
      <c r="AC137" s="37"/>
      <c r="AD137" s="37"/>
      <c r="AE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E137" s="134"/>
    </row>
    <row r="138" spans="1:111" s="13" customFormat="1" x14ac:dyDescent="0.2">
      <c r="A138" s="13" t="s">
        <v>460</v>
      </c>
      <c r="B138" s="13" t="e">
        <f t="shared" ref="B138:D138" si="1065">+B130/B122</f>
        <v>#DIV/0!</v>
      </c>
      <c r="C138" s="13" t="e">
        <f t="shared" si="1065"/>
        <v>#DIV/0!</v>
      </c>
      <c r="D138" s="13" t="e">
        <f t="shared" si="1065"/>
        <v>#DIV/0!</v>
      </c>
      <c r="E138" s="13" t="e">
        <f t="shared" ref="E138:AE138" ca="1" si="1066">+E130/E122</f>
        <v>#DIV/0!</v>
      </c>
      <c r="F138" s="13" t="e">
        <f t="shared" ca="1" si="1066"/>
        <v>#DIV/0!</v>
      </c>
      <c r="G138" s="13" t="e">
        <f t="shared" ca="1" si="1066"/>
        <v>#DIV/0!</v>
      </c>
      <c r="H138" s="13" t="e">
        <f t="shared" ca="1" si="1066"/>
        <v>#DIV/0!</v>
      </c>
      <c r="I138" s="13" t="e">
        <f t="shared" ca="1" si="1066"/>
        <v>#DIV/0!</v>
      </c>
      <c r="J138" s="13" t="e">
        <f t="shared" ca="1" si="1066"/>
        <v>#DIV/0!</v>
      </c>
      <c r="K138" s="13" t="e">
        <f t="shared" ca="1" si="1066"/>
        <v>#DIV/0!</v>
      </c>
      <c r="L138" s="13" t="e">
        <f t="shared" ca="1" si="1066"/>
        <v>#DIV/0!</v>
      </c>
      <c r="M138" s="13" t="e">
        <f t="shared" ca="1" si="1066"/>
        <v>#DIV/0!</v>
      </c>
      <c r="N138" s="13" t="e">
        <f t="shared" ca="1" si="1066"/>
        <v>#DIV/0!</v>
      </c>
      <c r="O138" s="13">
        <f t="shared" ca="1" si="1066"/>
        <v>0</v>
      </c>
      <c r="P138" s="13">
        <f t="shared" ca="1" si="1066"/>
        <v>0</v>
      </c>
      <c r="Q138" s="13">
        <f t="shared" ca="1" si="1066"/>
        <v>11.198538892210673</v>
      </c>
      <c r="R138" s="13">
        <f t="shared" ca="1" si="1066"/>
        <v>18.563112167711257</v>
      </c>
      <c r="S138" s="13">
        <f t="shared" ca="1" si="1066"/>
        <v>20.101212662081995</v>
      </c>
      <c r="T138" s="13">
        <f t="shared" ca="1" si="1066"/>
        <v>46.809533619456403</v>
      </c>
      <c r="U138" s="13">
        <f t="shared" ca="1" si="1066"/>
        <v>30.56558194710308</v>
      </c>
      <c r="V138" s="13">
        <f t="shared" ca="1" si="1066"/>
        <v>89.145999150354527</v>
      </c>
      <c r="W138" s="13">
        <f t="shared" ca="1" si="1066"/>
        <v>236.57420609159811</v>
      </c>
      <c r="X138" s="13">
        <f t="shared" ca="1" si="1066"/>
        <v>95.417391290504952</v>
      </c>
      <c r="Y138" s="13">
        <f t="shared" ca="1" si="1066"/>
        <v>108.35265053460884</v>
      </c>
      <c r="Z138" s="13">
        <f ca="1">+Z130/Z122</f>
        <v>40.799672640968964</v>
      </c>
      <c r="AA138" s="13">
        <f ca="1">+AA130/AA122</f>
        <v>40.799672640968964</v>
      </c>
      <c r="AB138" s="37">
        <f t="shared" ca="1" si="1066"/>
        <v>46.239269554705714</v>
      </c>
      <c r="AC138" s="37">
        <f t="shared" ca="1" si="1066"/>
        <v>42.658394023055507</v>
      </c>
      <c r="AD138" s="37">
        <f t="shared" ca="1" si="1066"/>
        <v>32.599614254267678</v>
      </c>
      <c r="AE138" s="37">
        <f t="shared" ca="1" si="1066"/>
        <v>29.518785343484815</v>
      </c>
      <c r="AL138" s="13" t="e">
        <f t="shared" ref="AL138:BQ138" si="1067">+AL130/AL122</f>
        <v>#DIV/0!</v>
      </c>
      <c r="AM138" s="13" t="e">
        <f t="shared" si="1067"/>
        <v>#DIV/0!</v>
      </c>
      <c r="AN138" s="13" t="e">
        <f t="shared" si="1067"/>
        <v>#DIV/0!</v>
      </c>
      <c r="AO138" s="13" t="e">
        <f t="shared" si="1067"/>
        <v>#DIV/0!</v>
      </c>
      <c r="AP138" s="13" t="e">
        <f t="shared" si="1067"/>
        <v>#DIV/0!</v>
      </c>
      <c r="AQ138" s="13" t="e">
        <f t="shared" si="1067"/>
        <v>#DIV/0!</v>
      </c>
      <c r="AR138" s="13" t="e">
        <f t="shared" si="1067"/>
        <v>#DIV/0!</v>
      </c>
      <c r="AS138" s="13">
        <f t="shared" si="1067"/>
        <v>0</v>
      </c>
      <c r="AT138" s="13">
        <f t="shared" si="1067"/>
        <v>0</v>
      </c>
      <c r="AU138" s="13">
        <f t="shared" si="1067"/>
        <v>0</v>
      </c>
      <c r="AV138" s="13">
        <f t="shared" si="1067"/>
        <v>17.309417194375872</v>
      </c>
      <c r="AW138" s="13">
        <f t="shared" si="1067"/>
        <v>17.363078250637386</v>
      </c>
      <c r="AX138" s="13">
        <f t="shared" si="1067"/>
        <v>11.198234542736786</v>
      </c>
      <c r="AY138" s="13">
        <f t="shared" si="1067"/>
        <v>10.07228483807121</v>
      </c>
      <c r="AZ138" s="13">
        <f t="shared" si="1067"/>
        <v>11.525463473596737</v>
      </c>
      <c r="BA138" s="13">
        <f t="shared" si="1067"/>
        <v>16.098365788287751</v>
      </c>
      <c r="BB138" s="13">
        <f t="shared" si="1067"/>
        <v>18.563112167711253</v>
      </c>
      <c r="BC138" s="13">
        <f t="shared" si="1067"/>
        <v>39.394047959345713</v>
      </c>
      <c r="BD138" s="13">
        <f t="shared" si="1067"/>
        <v>53.087264399802869</v>
      </c>
      <c r="BE138" s="13">
        <f t="shared" si="1067"/>
        <v>24.686786137903766</v>
      </c>
      <c r="BF138" s="13">
        <f t="shared" si="1067"/>
        <v>20.101212662081998</v>
      </c>
      <c r="BG138" s="13">
        <f t="shared" si="1067"/>
        <v>15.25343321011578</v>
      </c>
      <c r="BH138" s="13">
        <f t="shared" si="1067"/>
        <v>15.827889232388346</v>
      </c>
      <c r="BI138" s="13">
        <f t="shared" si="1067"/>
        <v>45.941892016612826</v>
      </c>
      <c r="BJ138" s="13">
        <f t="shared" si="1067"/>
        <v>51.203793353025169</v>
      </c>
      <c r="BK138" s="13">
        <f t="shared" si="1067"/>
        <v>51.20303372280803</v>
      </c>
      <c r="BL138" s="13">
        <f t="shared" si="1067"/>
        <v>40.805463461024083</v>
      </c>
      <c r="BM138" s="13">
        <f t="shared" si="1067"/>
        <v>56.900932210646488</v>
      </c>
      <c r="BN138" s="13">
        <f t="shared" si="1067"/>
        <v>37.84514212274464</v>
      </c>
      <c r="BO138" s="13">
        <f t="shared" si="1067"/>
        <v>40.216623825300019</v>
      </c>
      <c r="BP138" s="13">
        <f t="shared" si="1067"/>
        <v>38.429667419231329</v>
      </c>
      <c r="BQ138" s="13">
        <f t="shared" si="1067"/>
        <v>54.984497683708568</v>
      </c>
      <c r="BR138" s="13">
        <f t="shared" ref="BR138:DB138" si="1068">+BR130/BR122</f>
        <v>96.552877342630111</v>
      </c>
      <c r="BS138" s="13">
        <f t="shared" si="1068"/>
        <v>105.1873317242345</v>
      </c>
      <c r="BT138" s="13">
        <f t="shared" si="1068"/>
        <v>142.03075554472335</v>
      </c>
      <c r="BU138" s="13">
        <f t="shared" si="1068"/>
        <v>171.3606730492192</v>
      </c>
      <c r="BV138" s="13">
        <f t="shared" si="1068"/>
        <v>231.07270341930939</v>
      </c>
      <c r="BW138" s="13">
        <f t="shared" si="1068"/>
        <v>305.24965075191079</v>
      </c>
      <c r="BX138" s="13">
        <f t="shared" si="1068"/>
        <v>440.26017619084757</v>
      </c>
      <c r="BY138" s="13">
        <f t="shared" si="1068"/>
        <v>283.38192794334515</v>
      </c>
      <c r="BZ138" s="13">
        <f t="shared" si="1068"/>
        <v>95.73821295083539</v>
      </c>
      <c r="CA138" s="13">
        <f t="shared" si="1068"/>
        <v>74.190081514085932</v>
      </c>
      <c r="CB138" s="13">
        <f t="shared" si="1068"/>
        <v>74.014723197489801</v>
      </c>
      <c r="CC138" s="13">
        <f t="shared" si="1068"/>
        <v>108.01039068208199</v>
      </c>
      <c r="CD138" s="13">
        <f t="shared" si="1068"/>
        <v>107.98992410831657</v>
      </c>
      <c r="CE138" s="13">
        <f t="shared" si="1068"/>
        <v>72.704949784095874</v>
      </c>
      <c r="CF138" s="13">
        <f t="shared" si="1068"/>
        <v>59.255845693850027</v>
      </c>
      <c r="CG138" s="13">
        <f t="shared" si="1068"/>
        <v>42.419654236219351</v>
      </c>
      <c r="CH138" s="13">
        <f t="shared" si="1068"/>
        <v>41.214550264550248</v>
      </c>
      <c r="CI138" s="13">
        <f t="shared" ref="CI138:CJ138" si="1069">+CI130/CI122</f>
        <v>44.674237033663125</v>
      </c>
      <c r="CJ138" s="13">
        <f t="shared" si="1069"/>
        <v>46.920289668028971</v>
      </c>
      <c r="CK138" s="13">
        <f t="shared" ref="CK138:CL138" si="1070">+CK130/CK122</f>
        <v>55.626074242035685</v>
      </c>
      <c r="CL138" s="13">
        <f t="shared" si="1070"/>
        <v>50.25866470809521</v>
      </c>
      <c r="CM138" s="37">
        <f t="shared" si="1068"/>
        <v>61.612476855345932</v>
      </c>
      <c r="CN138" s="37">
        <f t="shared" si="1068"/>
        <v>54.358433250345847</v>
      </c>
      <c r="CO138" s="37">
        <f t="shared" si="1068"/>
        <v>49.227008940480765</v>
      </c>
      <c r="CP138" s="37">
        <f t="shared" si="1068"/>
        <v>46.239269554705764</v>
      </c>
      <c r="CQ138" s="37">
        <f t="shared" si="1068"/>
        <v>46.427790112628003</v>
      </c>
      <c r="CR138" s="37">
        <f t="shared" si="1068"/>
        <v>45.926038187177227</v>
      </c>
      <c r="CS138" s="37">
        <f t="shared" si="1068"/>
        <v>44.842931609512448</v>
      </c>
      <c r="CT138" s="37">
        <f t="shared" si="1068"/>
        <v>42.658394023055543</v>
      </c>
      <c r="CU138" s="37">
        <f t="shared" si="1068"/>
        <v>40.604771350423562</v>
      </c>
      <c r="CV138" s="37">
        <f t="shared" si="1068"/>
        <v>38.47405934189824</v>
      </c>
      <c r="CW138" s="37">
        <f t="shared" si="1068"/>
        <v>34.957621465380299</v>
      </c>
      <c r="CX138" s="37">
        <f t="shared" si="1068"/>
        <v>32.599614254267678</v>
      </c>
      <c r="CY138" s="37">
        <f t="shared" si="1068"/>
        <v>31.373800420192254</v>
      </c>
      <c r="CZ138" s="37">
        <f t="shared" si="1068"/>
        <v>30.306306342282788</v>
      </c>
      <c r="DA138" s="37">
        <f t="shared" si="1068"/>
        <v>30.200693571167555</v>
      </c>
      <c r="DB138" s="37">
        <f t="shared" si="1068"/>
        <v>29.518785343484797</v>
      </c>
      <c r="DE138" s="134"/>
      <c r="DF138" s="13">
        <v>40.799672640968964</v>
      </c>
      <c r="DG138" s="13">
        <v>50.984717639004316</v>
      </c>
    </row>
    <row r="139" spans="1:111" s="13" customFormat="1" x14ac:dyDescent="0.2">
      <c r="A139" s="13" t="s">
        <v>461</v>
      </c>
      <c r="B139" s="13" t="e">
        <f t="shared" ref="B139:D139" si="1071">+B131/B122</f>
        <v>#DIV/0!</v>
      </c>
      <c r="C139" s="13" t="e">
        <f t="shared" si="1071"/>
        <v>#DIV/0!</v>
      </c>
      <c r="D139" s="13" t="e">
        <f t="shared" si="1071"/>
        <v>#DIV/0!</v>
      </c>
      <c r="E139" s="13" t="e">
        <f t="shared" ref="E139:AE139" ca="1" si="1072">+E131/E122</f>
        <v>#DIV/0!</v>
      </c>
      <c r="F139" s="13" t="e">
        <f t="shared" ca="1" si="1072"/>
        <v>#DIV/0!</v>
      </c>
      <c r="G139" s="13" t="e">
        <f t="shared" ca="1" si="1072"/>
        <v>#DIV/0!</v>
      </c>
      <c r="H139" s="13" t="e">
        <f t="shared" ca="1" si="1072"/>
        <v>#DIV/0!</v>
      </c>
      <c r="I139" s="13" t="e">
        <f t="shared" ca="1" si="1072"/>
        <v>#DIV/0!</v>
      </c>
      <c r="J139" s="13" t="e">
        <f t="shared" ca="1" si="1072"/>
        <v>#DIV/0!</v>
      </c>
      <c r="K139" s="13" t="e">
        <f t="shared" ca="1" si="1072"/>
        <v>#DIV/0!</v>
      </c>
      <c r="L139" s="13" t="e">
        <f t="shared" ca="1" si="1072"/>
        <v>#DIV/0!</v>
      </c>
      <c r="M139" s="13" t="e">
        <f t="shared" ca="1" si="1072"/>
        <v>#DIV/0!</v>
      </c>
      <c r="N139" s="13" t="e">
        <f t="shared" ca="1" si="1072"/>
        <v>#DIV/0!</v>
      </c>
      <c r="O139" s="13">
        <f t="shared" ca="1" si="1072"/>
        <v>0</v>
      </c>
      <c r="P139" s="13">
        <f t="shared" ca="1" si="1072"/>
        <v>0</v>
      </c>
      <c r="Q139" s="13">
        <f t="shared" ca="1" si="1072"/>
        <v>13.908389411317046</v>
      </c>
      <c r="R139" s="13">
        <f t="shared" ca="1" si="1072"/>
        <v>20.106432293542731</v>
      </c>
      <c r="S139" s="13">
        <f t="shared" ca="1" si="1072"/>
        <v>26.486303742978627</v>
      </c>
      <c r="T139" s="13">
        <f t="shared" ca="1" si="1072"/>
        <v>55.05866666666671</v>
      </c>
      <c r="U139" s="13">
        <f t="shared" ca="1" si="1072"/>
        <v>59.236502655630765</v>
      </c>
      <c r="V139" s="13">
        <f t="shared" ca="1" si="1072"/>
        <v>90.721155517793491</v>
      </c>
      <c r="W139" s="13">
        <f t="shared" ca="1" si="1072"/>
        <v>257.05243954474889</v>
      </c>
      <c r="X139" s="13">
        <f t="shared" ca="1" si="1072"/>
        <v>405.28247705618776</v>
      </c>
      <c r="Y139" s="13">
        <f t="shared" ca="1" si="1072"/>
        <v>132.03432751828919</v>
      </c>
      <c r="Z139" s="13">
        <f ca="1">+Z131/Z122</f>
        <v>63.102557375515858</v>
      </c>
      <c r="AA139" s="13">
        <f ca="1">+AA131/AA122</f>
        <v>63.102557375515858</v>
      </c>
      <c r="AB139" s="60">
        <f t="shared" ca="1" si="1072"/>
        <v>51.812425857367181</v>
      </c>
      <c r="AC139" s="60">
        <f t="shared" ca="1" si="1072"/>
        <v>54.299952265659975</v>
      </c>
      <c r="AD139" s="60">
        <f t="shared" ca="1" si="1072"/>
        <v>47.996112041371035</v>
      </c>
      <c r="AE139" s="60">
        <f t="shared" ca="1" si="1072"/>
        <v>49.960235989927511</v>
      </c>
      <c r="AL139" s="13" t="e">
        <f t="shared" ref="AL139:BQ139" si="1073">+AL131/AL122</f>
        <v>#DIV/0!</v>
      </c>
      <c r="AM139" s="13" t="e">
        <f t="shared" si="1073"/>
        <v>#DIV/0!</v>
      </c>
      <c r="AN139" s="13" t="e">
        <f t="shared" si="1073"/>
        <v>#DIV/0!</v>
      </c>
      <c r="AO139" s="13" t="e">
        <f t="shared" si="1073"/>
        <v>#DIV/0!</v>
      </c>
      <c r="AP139" s="13" t="e">
        <f t="shared" si="1073"/>
        <v>#DIV/0!</v>
      </c>
      <c r="AQ139" s="13" t="e">
        <f t="shared" si="1073"/>
        <v>#DIV/0!</v>
      </c>
      <c r="AR139" s="13" t="e">
        <f t="shared" si="1073"/>
        <v>#DIV/0!</v>
      </c>
      <c r="AS139" s="13">
        <f t="shared" si="1073"/>
        <v>0</v>
      </c>
      <c r="AT139" s="13">
        <f t="shared" si="1073"/>
        <v>0</v>
      </c>
      <c r="AU139" s="13">
        <f t="shared" si="1073"/>
        <v>0</v>
      </c>
      <c r="AV139" s="13">
        <f t="shared" si="1073"/>
        <v>27.398518836535366</v>
      </c>
      <c r="AW139" s="13">
        <f t="shared" si="1073"/>
        <v>19.530518140811932</v>
      </c>
      <c r="AX139" s="13">
        <f t="shared" si="1073"/>
        <v>13.908011414594379</v>
      </c>
      <c r="AY139" s="13">
        <f t="shared" si="1073"/>
        <v>10.5556499989125</v>
      </c>
      <c r="AZ139" s="13">
        <f t="shared" si="1073"/>
        <v>12.94723980760998</v>
      </c>
      <c r="BA139" s="13">
        <f t="shared" si="1073"/>
        <v>18.805170655344984</v>
      </c>
      <c r="BB139" s="13">
        <f t="shared" si="1073"/>
        <v>20.106432293542728</v>
      </c>
      <c r="BC139" s="13">
        <f t="shared" si="1073"/>
        <v>43.559197501455706</v>
      </c>
      <c r="BD139" s="13">
        <f t="shared" si="1073"/>
        <v>54.323471606226619</v>
      </c>
      <c r="BE139" s="13">
        <f t="shared" si="1073"/>
        <v>27.365330047721066</v>
      </c>
      <c r="BF139" s="13">
        <f t="shared" si="1073"/>
        <v>26.486303742978635</v>
      </c>
      <c r="BG139" s="13">
        <f t="shared" si="1073"/>
        <v>19.454362715562866</v>
      </c>
      <c r="BH139" s="13">
        <f t="shared" si="1073"/>
        <v>24.198645004275473</v>
      </c>
      <c r="BI139" s="13">
        <f t="shared" si="1073"/>
        <v>59.200135363790181</v>
      </c>
      <c r="BJ139" s="13">
        <f t="shared" si="1073"/>
        <v>56.984487783885278</v>
      </c>
      <c r="BK139" s="13">
        <f t="shared" si="1073"/>
        <v>57.753187802792837</v>
      </c>
      <c r="BL139" s="13">
        <f t="shared" si="1073"/>
        <v>44.089892715979651</v>
      </c>
      <c r="BM139" s="13">
        <f t="shared" si="1073"/>
        <v>60.012568003425145</v>
      </c>
      <c r="BN139" s="13">
        <f t="shared" si="1073"/>
        <v>73.344386694039684</v>
      </c>
      <c r="BO139" s="13">
        <f t="shared" si="1073"/>
        <v>43.662214430278553</v>
      </c>
      <c r="BP139" s="13">
        <f t="shared" si="1073"/>
        <v>48.072770098097465</v>
      </c>
      <c r="BQ139" s="13">
        <f t="shared" si="1073"/>
        <v>57.157748334675347</v>
      </c>
      <c r="BR139" s="13">
        <f t="shared" ref="BR139:CH139" si="1074">+BR131/BR122</f>
        <v>98.258908807758317</v>
      </c>
      <c r="BS139" s="13">
        <f t="shared" si="1074"/>
        <v>163.05298130864213</v>
      </c>
      <c r="BT139" s="13">
        <f t="shared" si="1074"/>
        <v>182.07311723129413</v>
      </c>
      <c r="BU139" s="13">
        <f t="shared" si="1074"/>
        <v>200.74568848423985</v>
      </c>
      <c r="BV139" s="13">
        <f t="shared" si="1074"/>
        <v>251.07471819280144</v>
      </c>
      <c r="BW139" s="13">
        <f t="shared" si="1074"/>
        <v>370.18653956775438</v>
      </c>
      <c r="BX139" s="13">
        <f t="shared" si="1074"/>
        <v>567.07228546926706</v>
      </c>
      <c r="BY139" s="13">
        <f t="shared" si="1074"/>
        <v>373.99897321997497</v>
      </c>
      <c r="BZ139" s="13">
        <f t="shared" si="1074"/>
        <v>268.49680605692748</v>
      </c>
      <c r="CA139" s="13">
        <f t="shared" si="1074"/>
        <v>106.21023070176146</v>
      </c>
      <c r="CB139" s="13">
        <f t="shared" si="1074"/>
        <v>89.334581540406575</v>
      </c>
      <c r="CC139" s="13">
        <f t="shared" si="1074"/>
        <v>128.66247303047243</v>
      </c>
      <c r="CD139" s="13">
        <f t="shared" si="1074"/>
        <v>131.59232319691532</v>
      </c>
      <c r="CE139" s="13">
        <f t="shared" si="1074"/>
        <v>90.995022075590711</v>
      </c>
      <c r="CF139" s="13">
        <f t="shared" si="1074"/>
        <v>79.107566395028428</v>
      </c>
      <c r="CG139" s="13">
        <f t="shared" si="1074"/>
        <v>57.37226673205933</v>
      </c>
      <c r="CH139" s="13">
        <f t="shared" si="1074"/>
        <v>42.302254976064482</v>
      </c>
      <c r="CI139" s="13">
        <f t="shared" ref="CI139:CJ139" si="1075">+CI131/CI122</f>
        <v>49.748091466551955</v>
      </c>
      <c r="CJ139" s="13">
        <f t="shared" si="1075"/>
        <v>51.568714418871444</v>
      </c>
      <c r="CK139" s="13">
        <f t="shared" ref="CK139:CL139" si="1076">+CK131/CK122</f>
        <v>56.747513193235335</v>
      </c>
      <c r="CL139" s="13">
        <f t="shared" si="1076"/>
        <v>57.419260161582116</v>
      </c>
      <c r="CM139" s="60">
        <f t="shared" ref="CM139:CM140" si="1077">+CL139</f>
        <v>57.419260161582116</v>
      </c>
      <c r="CN139" s="60">
        <f t="shared" ref="CN139:CN140" si="1078">+CM139</f>
        <v>57.419260161582116</v>
      </c>
      <c r="CO139" s="60">
        <f t="shared" ref="CO139:CO140" si="1079">+CN139</f>
        <v>57.419260161582116</v>
      </c>
      <c r="CP139" s="60">
        <f t="shared" ref="CP139:CP140" si="1080">+CO139</f>
        <v>57.419260161582116</v>
      </c>
      <c r="CQ139" s="60">
        <f t="shared" ref="CQ139:CQ140" si="1081">+CP139</f>
        <v>57.419260161582116</v>
      </c>
      <c r="CR139" s="60">
        <f t="shared" ref="CR139:CR140" si="1082">+CQ139</f>
        <v>57.419260161582116</v>
      </c>
      <c r="CS139" s="60">
        <f t="shared" ref="CS139:CS140" si="1083">+CR139</f>
        <v>57.419260161582116</v>
      </c>
      <c r="CT139" s="60">
        <f t="shared" ref="CT139:CT140" si="1084">+CS139</f>
        <v>57.419260161582116</v>
      </c>
      <c r="CU139" s="60">
        <f t="shared" ref="CU139:CU140" si="1085">+CT139</f>
        <v>57.419260161582116</v>
      </c>
      <c r="CV139" s="60">
        <f t="shared" ref="CV139:CV140" si="1086">+CU139</f>
        <v>57.419260161582116</v>
      </c>
      <c r="CW139" s="60">
        <f t="shared" ref="CW139:CW140" si="1087">+CV139</f>
        <v>57.419260161582116</v>
      </c>
      <c r="CX139" s="60">
        <f t="shared" ref="CX139:CX140" si="1088">+CW139</f>
        <v>57.419260161582116</v>
      </c>
      <c r="CY139" s="60">
        <f t="shared" ref="CY139:CY140" si="1089">+CX139</f>
        <v>57.419260161582116</v>
      </c>
      <c r="CZ139" s="60">
        <f t="shared" ref="CZ139:CZ140" si="1090">+CY139</f>
        <v>57.419260161582116</v>
      </c>
      <c r="DA139" s="60">
        <f t="shared" ref="DA139:DA140" si="1091">+CZ139</f>
        <v>57.419260161582116</v>
      </c>
      <c r="DB139" s="60">
        <f t="shared" ref="DB139:DB140" si="1092">+DA139</f>
        <v>57.419260161582116</v>
      </c>
      <c r="DE139" s="136"/>
      <c r="DF139" s="13">
        <v>63.102557375515858</v>
      </c>
      <c r="DG139" s="13">
        <v>58.248757371129628</v>
      </c>
    </row>
    <row r="140" spans="1:111" s="13" customFormat="1" x14ac:dyDescent="0.2">
      <c r="A140" s="13" t="s">
        <v>462</v>
      </c>
      <c r="B140" s="13" t="e">
        <f t="shared" ref="B140:D140" si="1093">+B132/B122</f>
        <v>#DIV/0!</v>
      </c>
      <c r="C140" s="13" t="e">
        <f t="shared" si="1093"/>
        <v>#DIV/0!</v>
      </c>
      <c r="D140" s="13" t="e">
        <f t="shared" si="1093"/>
        <v>#DIV/0!</v>
      </c>
      <c r="E140" s="13" t="e">
        <f t="shared" ref="E140:AE140" ca="1" si="1094">+E132/E122</f>
        <v>#DIV/0!</v>
      </c>
      <c r="F140" s="13" t="e">
        <f t="shared" ca="1" si="1094"/>
        <v>#DIV/0!</v>
      </c>
      <c r="G140" s="13" t="e">
        <f t="shared" ca="1" si="1094"/>
        <v>#DIV/0!</v>
      </c>
      <c r="H140" s="13" t="e">
        <f t="shared" ca="1" si="1094"/>
        <v>#DIV/0!</v>
      </c>
      <c r="I140" s="13" t="e">
        <f t="shared" ca="1" si="1094"/>
        <v>#DIV/0!</v>
      </c>
      <c r="J140" s="13" t="e">
        <f t="shared" ca="1" si="1094"/>
        <v>#DIV/0!</v>
      </c>
      <c r="K140" s="13" t="e">
        <f t="shared" ca="1" si="1094"/>
        <v>#DIV/0!</v>
      </c>
      <c r="L140" s="13" t="e">
        <f t="shared" ca="1" si="1094"/>
        <v>#DIV/0!</v>
      </c>
      <c r="M140" s="13" t="e">
        <f t="shared" ca="1" si="1094"/>
        <v>#DIV/0!</v>
      </c>
      <c r="N140" s="13" t="e">
        <f t="shared" ca="1" si="1094"/>
        <v>#DIV/0!</v>
      </c>
      <c r="O140" s="13">
        <f t="shared" ca="1" si="1094"/>
        <v>0</v>
      </c>
      <c r="P140" s="13">
        <f t="shared" ca="1" si="1094"/>
        <v>0</v>
      </c>
      <c r="Q140" s="13">
        <f t="shared" ca="1" si="1094"/>
        <v>8.2438223623416764</v>
      </c>
      <c r="R140" s="13">
        <f t="shared" ca="1" si="1094"/>
        <v>8.1781543116490152</v>
      </c>
      <c r="S140" s="13">
        <f t="shared" ca="1" si="1094"/>
        <v>6.7792325056433391</v>
      </c>
      <c r="T140" s="13">
        <f t="shared" ca="1" si="1094"/>
        <v>24.704434907010032</v>
      </c>
      <c r="U140" s="13">
        <f t="shared" ca="1" si="1094"/>
        <v>23.885686554689823</v>
      </c>
      <c r="V140" s="13">
        <f t="shared" ca="1" si="1094"/>
        <v>16.4091055847848</v>
      </c>
      <c r="W140" s="13">
        <f t="shared" ca="1" si="1094"/>
        <v>85.812125086127452</v>
      </c>
      <c r="X140" s="13">
        <f t="shared" ca="1" si="1094"/>
        <v>60.239459377711313</v>
      </c>
      <c r="Y140" s="13">
        <f t="shared" ca="1" si="1094"/>
        <v>72.555503657850281</v>
      </c>
      <c r="Z140" s="13">
        <f ca="1">+Z132/Z122</f>
        <v>27.539193839414793</v>
      </c>
      <c r="AA140" s="13">
        <f ca="1">+AA132/AA122</f>
        <v>27.539193839414793</v>
      </c>
      <c r="AB140" s="60">
        <f t="shared" ca="1" si="1094"/>
        <v>32.62726139959134</v>
      </c>
      <c r="AC140" s="60">
        <f t="shared" ca="1" si="1094"/>
        <v>34.235183515031864</v>
      </c>
      <c r="AD140" s="60">
        <f t="shared" ca="1" si="1094"/>
        <v>29.775416206462204</v>
      </c>
      <c r="AE140" s="60">
        <f t="shared" ca="1" si="1094"/>
        <v>31.195420225097482</v>
      </c>
      <c r="AL140" s="13" t="e">
        <f t="shared" ref="AL140:BQ140" si="1095">+AL132/AL122</f>
        <v>#DIV/0!</v>
      </c>
      <c r="AM140" s="13" t="e">
        <f t="shared" si="1095"/>
        <v>#DIV/0!</v>
      </c>
      <c r="AN140" s="13" t="e">
        <f t="shared" si="1095"/>
        <v>#DIV/0!</v>
      </c>
      <c r="AO140" s="13" t="e">
        <f t="shared" si="1095"/>
        <v>#DIV/0!</v>
      </c>
      <c r="AP140" s="13" t="e">
        <f t="shared" si="1095"/>
        <v>#DIV/0!</v>
      </c>
      <c r="AQ140" s="13" t="e">
        <f t="shared" si="1095"/>
        <v>#DIV/0!</v>
      </c>
      <c r="AR140" s="13" t="e">
        <f t="shared" si="1095"/>
        <v>#DIV/0!</v>
      </c>
      <c r="AS140" s="13">
        <f t="shared" si="1095"/>
        <v>0</v>
      </c>
      <c r="AT140" s="13">
        <f t="shared" si="1095"/>
        <v>0</v>
      </c>
      <c r="AU140" s="13">
        <f t="shared" si="1095"/>
        <v>0</v>
      </c>
      <c r="AV140" s="13">
        <f t="shared" si="1095"/>
        <v>16.277943544059248</v>
      </c>
      <c r="AW140" s="13">
        <f t="shared" si="1095"/>
        <v>12.533456756226716</v>
      </c>
      <c r="AX140" s="13">
        <f t="shared" si="1095"/>
        <v>8.586401413235496</v>
      </c>
      <c r="AY140" s="13">
        <f t="shared" si="1095"/>
        <v>7.4072444918111247</v>
      </c>
      <c r="AZ140" s="13">
        <f t="shared" si="1095"/>
        <v>10.285190501372416</v>
      </c>
      <c r="BA140" s="13">
        <f t="shared" si="1095"/>
        <v>10.898451175256751</v>
      </c>
      <c r="BB140" s="13">
        <f t="shared" si="1095"/>
        <v>16.240920202675113</v>
      </c>
      <c r="BC140" s="13">
        <f t="shared" si="1095"/>
        <v>20.507797363824039</v>
      </c>
      <c r="BD140" s="13">
        <f t="shared" si="1095"/>
        <v>35.867420355393214</v>
      </c>
      <c r="BE140" s="13">
        <f t="shared" si="1095"/>
        <v>16.905201872063408</v>
      </c>
      <c r="BF140" s="13">
        <f t="shared" si="1095"/>
        <v>16.27015801354402</v>
      </c>
      <c r="BG140" s="13">
        <f t="shared" si="1095"/>
        <v>11.248123239264602</v>
      </c>
      <c r="BH140" s="13">
        <f t="shared" si="1095"/>
        <v>14.385847530092747</v>
      </c>
      <c r="BI140" s="13">
        <f t="shared" si="1095"/>
        <v>32.649001692047371</v>
      </c>
      <c r="BJ140" s="13">
        <f t="shared" si="1095"/>
        <v>42.297764128244744</v>
      </c>
      <c r="BK140" s="13">
        <f t="shared" si="1095"/>
        <v>46.307535290206154</v>
      </c>
      <c r="BL140" s="13">
        <f t="shared" si="1095"/>
        <v>34.450806859044825</v>
      </c>
      <c r="BM140" s="13">
        <f t="shared" si="1095"/>
        <v>37.845377479663192</v>
      </c>
      <c r="BN140" s="13">
        <f t="shared" si="1095"/>
        <v>29.574349473403096</v>
      </c>
      <c r="BO140" s="13">
        <f t="shared" si="1095"/>
        <v>25.892258388872403</v>
      </c>
      <c r="BP140" s="13">
        <f t="shared" si="1095"/>
        <v>35.051409408378554</v>
      </c>
      <c r="BQ140" s="13">
        <f t="shared" si="1095"/>
        <v>30.356417329833622</v>
      </c>
      <c r="BR140" s="13">
        <f t="shared" ref="BR140:CH140" si="1096">+BR132/BR122</f>
        <v>42.517918134036492</v>
      </c>
      <c r="BS140" s="13">
        <f t="shared" si="1096"/>
        <v>85.608505268013786</v>
      </c>
      <c r="BT140" s="13">
        <f t="shared" si="1096"/>
        <v>78.730611747501811</v>
      </c>
      <c r="BU140" s="13">
        <f t="shared" si="1096"/>
        <v>149.46159289412813</v>
      </c>
      <c r="BV140" s="13">
        <f t="shared" si="1096"/>
        <v>162.66552068045638</v>
      </c>
      <c r="BW140" s="13">
        <f t="shared" si="1096"/>
        <v>234.4514750595778</v>
      </c>
      <c r="BX140" s="13">
        <f t="shared" si="1096"/>
        <v>297.86831259953902</v>
      </c>
      <c r="BY140" s="13">
        <f t="shared" si="1096"/>
        <v>238.36317864880124</v>
      </c>
      <c r="BZ140" s="13">
        <f t="shared" si="1096"/>
        <v>60.442002363990674</v>
      </c>
      <c r="CA140" s="13">
        <f t="shared" si="1096"/>
        <v>68.999192423132939</v>
      </c>
      <c r="CB140" s="13">
        <f t="shared" si="1096"/>
        <v>67.53271684576896</v>
      </c>
      <c r="CC140" s="13">
        <f t="shared" si="1096"/>
        <v>70.92957682554696</v>
      </c>
      <c r="CD140" s="13">
        <f t="shared" si="1096"/>
        <v>96.651929541670356</v>
      </c>
      <c r="CE140" s="13">
        <f t="shared" si="1096"/>
        <v>60.629349376546507</v>
      </c>
      <c r="CF140" s="13">
        <f t="shared" si="1096"/>
        <v>53.741967911512376</v>
      </c>
      <c r="CG140" s="13">
        <f t="shared" si="1096"/>
        <v>30.944148815049648</v>
      </c>
      <c r="CH140" s="13">
        <f t="shared" si="1096"/>
        <v>30.235826404635915</v>
      </c>
      <c r="CI140" s="13">
        <f t="shared" ref="CI140:CJ140" si="1097">+CI132/CI122</f>
        <v>39.420530546488187</v>
      </c>
      <c r="CJ140" s="13">
        <f t="shared" si="1097"/>
        <v>40.129336774933684</v>
      </c>
      <c r="CK140" s="13">
        <f t="shared" ref="CK140:CL140" si="1098">+CK132/CK122</f>
        <v>46.997749974130905</v>
      </c>
      <c r="CL140" s="13">
        <f t="shared" si="1098"/>
        <v>43.291744263117337</v>
      </c>
      <c r="CM140" s="60">
        <f t="shared" si="1077"/>
        <v>43.291744263117337</v>
      </c>
      <c r="CN140" s="60">
        <f t="shared" si="1078"/>
        <v>43.291744263117337</v>
      </c>
      <c r="CO140" s="60">
        <f t="shared" si="1079"/>
        <v>43.291744263117337</v>
      </c>
      <c r="CP140" s="60">
        <f t="shared" si="1080"/>
        <v>43.291744263117337</v>
      </c>
      <c r="CQ140" s="60">
        <f t="shared" si="1081"/>
        <v>43.291744263117337</v>
      </c>
      <c r="CR140" s="60">
        <f t="shared" si="1082"/>
        <v>43.291744263117337</v>
      </c>
      <c r="CS140" s="60">
        <f t="shared" si="1083"/>
        <v>43.291744263117337</v>
      </c>
      <c r="CT140" s="60">
        <f t="shared" si="1084"/>
        <v>43.291744263117337</v>
      </c>
      <c r="CU140" s="60">
        <f t="shared" si="1085"/>
        <v>43.291744263117337</v>
      </c>
      <c r="CV140" s="60">
        <f t="shared" si="1086"/>
        <v>43.291744263117337</v>
      </c>
      <c r="CW140" s="60">
        <f t="shared" si="1087"/>
        <v>43.291744263117337</v>
      </c>
      <c r="CX140" s="60">
        <f t="shared" si="1088"/>
        <v>43.291744263117337</v>
      </c>
      <c r="CY140" s="60">
        <f t="shared" si="1089"/>
        <v>43.291744263117337</v>
      </c>
      <c r="CZ140" s="60">
        <f t="shared" si="1090"/>
        <v>43.291744263117337</v>
      </c>
      <c r="DA140" s="60">
        <f t="shared" si="1091"/>
        <v>43.291744263117337</v>
      </c>
      <c r="DB140" s="60">
        <f t="shared" si="1092"/>
        <v>43.291744263117337</v>
      </c>
      <c r="DE140" s="136"/>
      <c r="DF140" s="13">
        <v>27.539193839414793</v>
      </c>
      <c r="DG140" s="13">
        <v>43.917150807221979</v>
      </c>
    </row>
    <row r="141" spans="1:111" s="13" customFormat="1" x14ac:dyDescent="0.2">
      <c r="AB141" s="60"/>
      <c r="AC141" s="60"/>
      <c r="AD141" s="60"/>
      <c r="AE141" s="60"/>
      <c r="CM141" s="60"/>
      <c r="CN141" s="60"/>
      <c r="CO141" s="60"/>
      <c r="CP141" s="60"/>
      <c r="CQ141" s="60"/>
      <c r="CR141" s="60"/>
      <c r="CS141" s="60"/>
      <c r="CT141" s="60"/>
      <c r="CU141" s="60"/>
      <c r="CV141" s="60"/>
      <c r="CW141" s="60"/>
      <c r="CX141" s="60"/>
      <c r="CY141" s="60"/>
      <c r="CZ141" s="60"/>
      <c r="DA141" s="60"/>
      <c r="DB141" s="60"/>
      <c r="DE141" s="136"/>
    </row>
    <row r="142" spans="1:111" s="13" customFormat="1" x14ac:dyDescent="0.2">
      <c r="A142" s="13" t="s">
        <v>463</v>
      </c>
      <c r="B142" s="13" t="e">
        <f t="shared" ref="B142:AD142" si="1099">+B131/C122</f>
        <v>#DIV/0!</v>
      </c>
      <c r="C142" s="13" t="e">
        <f t="shared" si="1099"/>
        <v>#DIV/0!</v>
      </c>
      <c r="D142" s="13" t="e">
        <f t="shared" ca="1" si="1099"/>
        <v>#DIV/0!</v>
      </c>
      <c r="E142" s="13" t="e">
        <f t="shared" ca="1" si="1099"/>
        <v>#DIV/0!</v>
      </c>
      <c r="F142" s="13" t="e">
        <f t="shared" ca="1" si="1099"/>
        <v>#DIV/0!</v>
      </c>
      <c r="G142" s="13" t="e">
        <f t="shared" ca="1" si="1099"/>
        <v>#DIV/0!</v>
      </c>
      <c r="H142" s="13" t="e">
        <f t="shared" ca="1" si="1099"/>
        <v>#DIV/0!</v>
      </c>
      <c r="I142" s="13" t="e">
        <f t="shared" ca="1" si="1099"/>
        <v>#DIV/0!</v>
      </c>
      <c r="J142" s="13" t="e">
        <f t="shared" ca="1" si="1099"/>
        <v>#DIV/0!</v>
      </c>
      <c r="K142" s="13" t="e">
        <f t="shared" ca="1" si="1099"/>
        <v>#DIV/0!</v>
      </c>
      <c r="L142" s="13" t="e">
        <f t="shared" ca="1" si="1099"/>
        <v>#DIV/0!</v>
      </c>
      <c r="M142" s="13" t="e">
        <f t="shared" ca="1" si="1099"/>
        <v>#DIV/0!</v>
      </c>
      <c r="N142" s="13">
        <f t="shared" ca="1" si="1099"/>
        <v>0</v>
      </c>
      <c r="O142" s="13">
        <f t="shared" ca="1" si="1099"/>
        <v>0</v>
      </c>
      <c r="P142" s="13">
        <f t="shared" ca="1" si="1099"/>
        <v>0</v>
      </c>
      <c r="Q142" s="13">
        <f t="shared" ca="1" si="1099"/>
        <v>12.28886679634032</v>
      </c>
      <c r="R142" s="13">
        <f t="shared" ca="1" si="1099"/>
        <v>7.3257752812921053</v>
      </c>
      <c r="S142" s="13">
        <f t="shared" ca="1" si="1099"/>
        <v>54.134935622317641</v>
      </c>
      <c r="T142" s="13">
        <f t="shared" ca="1" si="1099"/>
        <v>41.504416704861029</v>
      </c>
      <c r="U142" s="13">
        <f t="shared" ca="1" si="1099"/>
        <v>35.89982549589881</v>
      </c>
      <c r="V142" s="13">
        <f t="shared" ca="1" si="1099"/>
        <v>92.184460696823038</v>
      </c>
      <c r="W142" s="13">
        <f t="shared" ca="1" si="1099"/>
        <v>246.47022613485328</v>
      </c>
      <c r="X142" s="13">
        <f t="shared" ca="1" si="1099"/>
        <v>447.70727912211578</v>
      </c>
      <c r="Y142" s="13">
        <f t="shared" ca="1" si="1099"/>
        <v>58.519323925658298</v>
      </c>
      <c r="Z142" s="13">
        <f ca="1">+Z131/AA122</f>
        <v>72.515151102592114</v>
      </c>
      <c r="AA142" s="13">
        <f ca="1">+AA131/AB122</f>
        <v>72.515151102592114</v>
      </c>
      <c r="AB142" s="37">
        <f t="shared" ca="1" si="1099"/>
        <v>47.799952265659996</v>
      </c>
      <c r="AC142" s="37">
        <f t="shared" ca="1" si="1099"/>
        <v>41.496112041371028</v>
      </c>
      <c r="AD142" s="37">
        <f t="shared" ca="1" si="1099"/>
        <v>43.460235989927519</v>
      </c>
      <c r="AE142" s="37"/>
      <c r="AL142" s="13" t="e">
        <f t="shared" ref="AL142:BQ142" si="1100">+AL131/AP122</f>
        <v>#DIV/0!</v>
      </c>
      <c r="AM142" s="13" t="e">
        <f t="shared" si="1100"/>
        <v>#DIV/0!</v>
      </c>
      <c r="AN142" s="13" t="e">
        <f t="shared" si="1100"/>
        <v>#DIV/0!</v>
      </c>
      <c r="AO142" s="13">
        <f t="shared" si="1100"/>
        <v>0</v>
      </c>
      <c r="AP142" s="13">
        <f t="shared" si="1100"/>
        <v>0</v>
      </c>
      <c r="AQ142" s="13">
        <f t="shared" si="1100"/>
        <v>0</v>
      </c>
      <c r="AR142" s="13">
        <f t="shared" si="1100"/>
        <v>0</v>
      </c>
      <c r="AS142" s="13">
        <f t="shared" si="1100"/>
        <v>0</v>
      </c>
      <c r="AT142" s="13">
        <f t="shared" si="1100"/>
        <v>0</v>
      </c>
      <c r="AU142" s="13">
        <f t="shared" si="1100"/>
        <v>0</v>
      </c>
      <c r="AV142" s="13">
        <f t="shared" si="1100"/>
        <v>12.856488126715519</v>
      </c>
      <c r="AW142" s="13">
        <f t="shared" si="1100"/>
        <v>11.810217025212873</v>
      </c>
      <c r="AX142" s="13">
        <f t="shared" si="1100"/>
        <v>12.288866796340319</v>
      </c>
      <c r="AY142" s="13">
        <f t="shared" si="1100"/>
        <v>12.845194007728544</v>
      </c>
      <c r="AZ142" s="13">
        <f t="shared" si="1100"/>
        <v>14.9041319535032</v>
      </c>
      <c r="BA142" s="13">
        <f t="shared" si="1100"/>
        <v>7.290057651461515</v>
      </c>
      <c r="BB142" s="13">
        <f t="shared" si="1100"/>
        <v>7.3257752812921062</v>
      </c>
      <c r="BC142" s="13">
        <f t="shared" si="1100"/>
        <v>13.39993811981957</v>
      </c>
      <c r="BD142" s="13">
        <f t="shared" si="1100"/>
        <v>15.408116819048873</v>
      </c>
      <c r="BE142" s="13">
        <f t="shared" si="1100"/>
        <v>57.225257652668816</v>
      </c>
      <c r="BF142" s="13">
        <f t="shared" si="1100"/>
        <v>59.216869779542641</v>
      </c>
      <c r="BG142" s="13">
        <f t="shared" si="1100"/>
        <v>45.394621829581091</v>
      </c>
      <c r="BH142" s="13">
        <f t="shared" si="1100"/>
        <v>43.732889536093175</v>
      </c>
      <c r="BI142" s="13">
        <f t="shared" si="1100"/>
        <v>43.940069073783356</v>
      </c>
      <c r="BJ142" s="13">
        <f t="shared" si="1100"/>
        <v>48.622235574916957</v>
      </c>
      <c r="BK142" s="13">
        <f t="shared" si="1100"/>
        <v>39.186818093924416</v>
      </c>
      <c r="BL142" s="13">
        <f t="shared" si="1100"/>
        <v>39.175104632893678</v>
      </c>
      <c r="BM142" s="13">
        <f t="shared" si="1100"/>
        <v>43.973779790226608</v>
      </c>
      <c r="BN142" s="13">
        <f t="shared" si="1100"/>
        <v>38.882636133576369</v>
      </c>
      <c r="BO142" s="13">
        <f t="shared" si="1100"/>
        <v>27.901188371652395</v>
      </c>
      <c r="BP142" s="13">
        <f t="shared" si="1100"/>
        <v>27.731840116987566</v>
      </c>
      <c r="BQ142" s="13">
        <f t="shared" si="1100"/>
        <v>44.994723280950311</v>
      </c>
      <c r="BR142" s="13">
        <f t="shared" ref="BR142:CL142" si="1101">+BR131/BV122</f>
        <v>90.040722944319683</v>
      </c>
      <c r="BS142" s="13">
        <f t="shared" si="1101"/>
        <v>203.31878708192966</v>
      </c>
      <c r="BT142" s="13">
        <f t="shared" si="1101"/>
        <v>266.24054171446403</v>
      </c>
      <c r="BU142" s="13">
        <f t="shared" si="1101"/>
        <v>221.97731617178545</v>
      </c>
      <c r="BV142" s="13">
        <f t="shared" si="1101"/>
        <v>247.29893237069933</v>
      </c>
      <c r="BW142" s="13">
        <f t="shared" si="1101"/>
        <v>289.99380396385379</v>
      </c>
      <c r="BX142" s="13">
        <f t="shared" si="1101"/>
        <v>387.78134117270753</v>
      </c>
      <c r="BY142" s="13">
        <f t="shared" si="1101"/>
        <v>353.17642326041198</v>
      </c>
      <c r="BZ142" s="13">
        <f t="shared" si="1101"/>
        <v>294.61942055910976</v>
      </c>
      <c r="CA142" s="13">
        <f t="shared" si="1101"/>
        <v>80.048663335112323</v>
      </c>
      <c r="CB142" s="13">
        <f t="shared" si="1101"/>
        <v>57.307354556291649</v>
      </c>
      <c r="CC142" s="13">
        <f t="shared" si="1101"/>
        <v>65.544257413602821</v>
      </c>
      <c r="CD142" s="13">
        <f t="shared" si="1101"/>
        <v>59.114386495338849</v>
      </c>
      <c r="CE142" s="13">
        <f t="shared" si="1101"/>
        <v>63.277525578413758</v>
      </c>
      <c r="CF142" s="13">
        <f t="shared" si="1101"/>
        <v>72.560645300064536</v>
      </c>
      <c r="CG142" s="13">
        <f t="shared" si="1101"/>
        <v>58.944452632573451</v>
      </c>
      <c r="CH142" s="13">
        <f t="shared" si="1101"/>
        <v>48.122859753148319</v>
      </c>
      <c r="CI142" s="13">
        <f t="shared" si="1101"/>
        <v>43.091432797796969</v>
      </c>
      <c r="CJ142" s="13">
        <f t="shared" si="1101"/>
        <v>37.088789980177211</v>
      </c>
      <c r="CK142" s="13">
        <f t="shared" si="1101"/>
        <v>36.815070788821082</v>
      </c>
      <c r="CL142" s="13">
        <f t="shared" si="1101"/>
        <v>35.150407689271695</v>
      </c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E142" s="134"/>
      <c r="DF142" s="13">
        <v>72.515151102592114</v>
      </c>
      <c r="DG142" s="13">
        <v>44.299310260033295</v>
      </c>
    </row>
    <row r="143" spans="1:111" s="98" customFormat="1" x14ac:dyDescent="0.2">
      <c r="A143" s="98" t="s">
        <v>426</v>
      </c>
      <c r="AB143" s="99"/>
      <c r="AC143" s="99"/>
      <c r="AD143" s="99"/>
      <c r="AE143" s="99"/>
      <c r="AL143" s="175"/>
      <c r="AM143" s="175"/>
      <c r="AN143" s="175"/>
      <c r="AO143" s="175" t="e">
        <f t="shared" ref="AO143:CI143" si="1102">+CORREL(AL122:AO122,AL139:AO139)</f>
        <v>#DIV/0!</v>
      </c>
      <c r="AP143" s="175" t="e">
        <f t="shared" si="1102"/>
        <v>#DIV/0!</v>
      </c>
      <c r="AQ143" s="175" t="e">
        <f t="shared" si="1102"/>
        <v>#DIV/0!</v>
      </c>
      <c r="AR143" s="175" t="e">
        <f t="shared" si="1102"/>
        <v>#DIV/0!</v>
      </c>
      <c r="AS143" s="175" t="e">
        <f t="shared" si="1102"/>
        <v>#DIV/0!</v>
      </c>
      <c r="AT143" s="175" t="e">
        <f t="shared" si="1102"/>
        <v>#DIV/0!</v>
      </c>
      <c r="AU143" s="175" t="e">
        <f t="shared" si="1102"/>
        <v>#DIV/0!</v>
      </c>
      <c r="AV143" s="175">
        <f t="shared" si="1102"/>
        <v>0.99007677403196359</v>
      </c>
      <c r="AW143" s="175">
        <f t="shared" si="1102"/>
        <v>0.89252406116194682</v>
      </c>
      <c r="AX143" s="175">
        <f t="shared" si="1102"/>
        <v>0.50703452587444864</v>
      </c>
      <c r="AY143" s="175">
        <f t="shared" si="1102"/>
        <v>-0.97051397688092123</v>
      </c>
      <c r="AZ143" s="175">
        <f t="shared" si="1102"/>
        <v>-0.99641958718066437</v>
      </c>
      <c r="BA143" s="175">
        <f t="shared" si="1102"/>
        <v>-0.24367561068336907</v>
      </c>
      <c r="BB143" s="175">
        <f t="shared" si="1102"/>
        <v>-0.41805548247506685</v>
      </c>
      <c r="BC143" s="175">
        <f t="shared" si="1102"/>
        <v>-0.71279593746245351</v>
      </c>
      <c r="BD143" s="175">
        <f t="shared" si="1102"/>
        <v>-0.99109848673235146</v>
      </c>
      <c r="BE143" s="175">
        <f t="shared" si="1102"/>
        <v>-0.45978328285517434</v>
      </c>
      <c r="BF143" s="175">
        <f t="shared" si="1102"/>
        <v>-0.95448382735488591</v>
      </c>
      <c r="BG143" s="175">
        <f t="shared" si="1102"/>
        <v>-0.99445590963270269</v>
      </c>
      <c r="BH143" s="175">
        <f t="shared" si="1102"/>
        <v>-0.85349124536591403</v>
      </c>
      <c r="BI143" s="175">
        <f t="shared" si="1102"/>
        <v>-0.99564652270083864</v>
      </c>
      <c r="BJ143" s="175">
        <f t="shared" si="1102"/>
        <v>-0.99543664746283589</v>
      </c>
      <c r="BK143" s="175">
        <f t="shared" si="1102"/>
        <v>-0.9979472532676914</v>
      </c>
      <c r="BL143" s="175">
        <f t="shared" si="1102"/>
        <v>-0.98357761942836452</v>
      </c>
      <c r="BM143" s="175">
        <f t="shared" si="1102"/>
        <v>-0.31574130021426705</v>
      </c>
      <c r="BN143" s="175">
        <f t="shared" si="1102"/>
        <v>-0.31487244241745399</v>
      </c>
      <c r="BO143" s="175">
        <f t="shared" si="1102"/>
        <v>-0.76828836247018062</v>
      </c>
      <c r="BP143" s="175">
        <f t="shared" si="1102"/>
        <v>-0.99125813843204524</v>
      </c>
      <c r="BQ143" s="175">
        <f t="shared" si="1102"/>
        <v>-0.47201683668792843</v>
      </c>
      <c r="BR143" s="175">
        <f t="shared" si="1102"/>
        <v>0.9423059532905862</v>
      </c>
      <c r="BS143" s="175">
        <f t="shared" si="1102"/>
        <v>0.88812510459683758</v>
      </c>
      <c r="BT143" s="175">
        <f t="shared" si="1102"/>
        <v>0.96941687526267062</v>
      </c>
      <c r="BU143" s="175">
        <f t="shared" si="1102"/>
        <v>0.73772991956843903</v>
      </c>
      <c r="BV143" s="175">
        <f t="shared" si="1102"/>
        <v>-0.1302526923182305</v>
      </c>
      <c r="BW143" s="175">
        <f t="shared" si="1102"/>
        <v>-0.95560167988856759</v>
      </c>
      <c r="BX143" s="175">
        <f t="shared" si="1102"/>
        <v>-0.92952620352912108</v>
      </c>
      <c r="BY143" s="175">
        <f t="shared" si="1102"/>
        <v>-0.89505602127522432</v>
      </c>
      <c r="BZ143" s="175">
        <f t="shared" si="1102"/>
        <v>-0.87699805849452406</v>
      </c>
      <c r="CA143" s="175">
        <f t="shared" si="1102"/>
        <v>-0.92898599594178166</v>
      </c>
      <c r="CB143" s="175">
        <f t="shared" si="1102"/>
        <v>-0.85126521440643199</v>
      </c>
      <c r="CC143" s="175">
        <f t="shared" si="1102"/>
        <v>-9.6637670297129968E-2</v>
      </c>
      <c r="CD143" s="175">
        <f t="shared" si="1102"/>
        <v>-0.99816686057163884</v>
      </c>
      <c r="CE143" s="175">
        <f t="shared" si="1102"/>
        <v>-0.79340335079584179</v>
      </c>
      <c r="CF143" s="175">
        <f t="shared" si="1102"/>
        <v>-0.97979106586429743</v>
      </c>
      <c r="CG143" s="175">
        <f t="shared" si="1102"/>
        <v>-0.98474457678264038</v>
      </c>
      <c r="CH143" s="175">
        <f t="shared" si="1102"/>
        <v>-0.97602946672191693</v>
      </c>
      <c r="CI143" s="175">
        <f t="shared" si="1102"/>
        <v>-0.98565085164172428</v>
      </c>
      <c r="CJ143" s="175">
        <f>+CORREL(CG122:CJ122,CG139:CJ139)</f>
        <v>-0.85290229421467512</v>
      </c>
      <c r="CK143" s="175">
        <f>+CORREL(CH122:CK122,CH139:CK139)</f>
        <v>-0.93964722913822518</v>
      </c>
      <c r="CL143" s="175">
        <f>+CORREL(CI122:CL122,CI139:CL139)</f>
        <v>-0.73569922674985744</v>
      </c>
      <c r="CM143" s="99"/>
      <c r="CN143" s="99"/>
      <c r="CO143" s="99"/>
      <c r="CP143" s="99"/>
      <c r="CQ143" s="99"/>
      <c r="CR143" s="99"/>
      <c r="CS143" s="99"/>
      <c r="CT143" s="99"/>
      <c r="CU143" s="99"/>
      <c r="CV143" s="99"/>
      <c r="CW143" s="99"/>
      <c r="CX143" s="99"/>
      <c r="CY143" s="99"/>
      <c r="CZ143" s="99"/>
      <c r="DA143" s="99"/>
      <c r="DB143" s="99"/>
      <c r="DE143" s="137"/>
      <c r="DG143" s="98">
        <v>-0.79971248366629799</v>
      </c>
    </row>
    <row r="144" spans="1:111" s="4" customFormat="1" x14ac:dyDescent="0.2">
      <c r="A144" s="3"/>
      <c r="AB144" s="17"/>
      <c r="AC144" s="17"/>
      <c r="AD144" s="17"/>
      <c r="AE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E144" s="119"/>
    </row>
    <row r="145" spans="1:111" s="162" customFormat="1" x14ac:dyDescent="0.2">
      <c r="A145" s="49" t="s">
        <v>505</v>
      </c>
      <c r="E145" s="162">
        <f t="shared" ref="E145:AE145" ca="1" si="1103">+E$173/E$118</f>
        <v>0</v>
      </c>
      <c r="F145" s="162">
        <f t="shared" ca="1" si="1103"/>
        <v>0</v>
      </c>
      <c r="G145" s="162">
        <f t="shared" ca="1" si="1103"/>
        <v>0</v>
      </c>
      <c r="H145" s="162">
        <f t="shared" ca="1" si="1103"/>
        <v>0</v>
      </c>
      <c r="I145" s="162">
        <f t="shared" ca="1" si="1103"/>
        <v>0</v>
      </c>
      <c r="J145" s="162">
        <f t="shared" ca="1" si="1103"/>
        <v>0</v>
      </c>
      <c r="K145" s="162">
        <f t="shared" ca="1" si="1103"/>
        <v>0</v>
      </c>
      <c r="L145" s="162">
        <f t="shared" ca="1" si="1103"/>
        <v>0</v>
      </c>
      <c r="M145" s="162">
        <f t="shared" ca="1" si="1103"/>
        <v>0</v>
      </c>
      <c r="N145" s="162">
        <f t="shared" ca="1" si="1103"/>
        <v>0</v>
      </c>
      <c r="O145" s="162">
        <f t="shared" ca="1" si="1103"/>
        <v>3.937225293020778E-4</v>
      </c>
      <c r="P145" s="162">
        <f t="shared" ca="1" si="1103"/>
        <v>9.0174647043153975</v>
      </c>
      <c r="Q145" s="162">
        <f t="shared" ca="1" si="1103"/>
        <v>22.241359216835374</v>
      </c>
      <c r="R145" s="162">
        <f t="shared" ca="1" si="1103"/>
        <v>24.528253196590303</v>
      </c>
      <c r="S145" s="162">
        <f t="shared" ca="1" si="1103"/>
        <v>35.028136654235489</v>
      </c>
      <c r="T145" s="162">
        <f t="shared" ca="1" si="1103"/>
        <v>38.582595231752798</v>
      </c>
      <c r="U145" s="162">
        <f t="shared" ca="1" si="1103"/>
        <v>43.449820191795411</v>
      </c>
      <c r="V145" s="162">
        <f t="shared" ca="1" si="1103"/>
        <v>50.692428076718166</v>
      </c>
      <c r="W145" s="162">
        <f t="shared" ca="1" si="1103"/>
        <v>57.082195657964839</v>
      </c>
      <c r="X145" s="162">
        <f t="shared" ca="1" si="1103"/>
        <v>97.805424214171552</v>
      </c>
      <c r="Y145" s="162">
        <f t="shared" ca="1" si="1103"/>
        <v>105.23400039957379</v>
      </c>
      <c r="Z145" s="162">
        <f ca="1">+Z$173/Z$118</f>
        <v>183.70571390516778</v>
      </c>
      <c r="AA145" s="162">
        <f ca="1">+AA$173/AA$118</f>
        <v>183.70571390516778</v>
      </c>
      <c r="AB145" s="21">
        <f t="shared" ca="1" si="1103"/>
        <v>242.03418637378468</v>
      </c>
      <c r="AC145" s="21">
        <f t="shared" ca="1" si="1103"/>
        <v>274.94681780667872</v>
      </c>
      <c r="AD145" s="21">
        <f t="shared" ca="1" si="1103"/>
        <v>318.01481207953123</v>
      </c>
      <c r="AE145" s="21">
        <f t="shared" ca="1" si="1103"/>
        <v>365.57774475656566</v>
      </c>
      <c r="AL145" s="162">
        <f t="shared" ref="AL145:BQ145" si="1104">+AL$173/AL$118</f>
        <v>0</v>
      </c>
      <c r="AM145" s="162">
        <f t="shared" si="1104"/>
        <v>0</v>
      </c>
      <c r="AN145" s="162">
        <f t="shared" si="1104"/>
        <v>0</v>
      </c>
      <c r="AO145" s="162">
        <f t="shared" si="1104"/>
        <v>0</v>
      </c>
      <c r="AP145" s="162">
        <f t="shared" si="1104"/>
        <v>0</v>
      </c>
      <c r="AQ145" s="162">
        <f t="shared" si="1104"/>
        <v>0</v>
      </c>
      <c r="AR145" s="162">
        <f t="shared" si="1104"/>
        <v>0</v>
      </c>
      <c r="AS145" s="162">
        <f t="shared" si="1104"/>
        <v>5.1361880660628662E-2</v>
      </c>
      <c r="AT145" s="162">
        <f t="shared" si="1104"/>
        <v>9.0174647043153975</v>
      </c>
      <c r="AU145" s="162">
        <f t="shared" si="1104"/>
        <v>9.2746070857751732</v>
      </c>
      <c r="AV145" s="162">
        <f t="shared" si="1104"/>
        <v>20.779252131060204</v>
      </c>
      <c r="AW145" s="162">
        <f t="shared" si="1104"/>
        <v>21.401754794885456</v>
      </c>
      <c r="AX145" s="162">
        <f t="shared" si="1104"/>
        <v>22.241359216835374</v>
      </c>
      <c r="AY145" s="162">
        <f t="shared" si="1104"/>
        <v>23.262852956846032</v>
      </c>
      <c r="AZ145" s="162">
        <f t="shared" si="1104"/>
        <v>23.53922482685136</v>
      </c>
      <c r="BA145" s="162">
        <f t="shared" si="1104"/>
        <v>24.36567661161428</v>
      </c>
      <c r="BB145" s="162">
        <f t="shared" si="1104"/>
        <v>24.528253196590303</v>
      </c>
      <c r="BC145" s="162">
        <f t="shared" si="1104"/>
        <v>25.228339770911028</v>
      </c>
      <c r="BD145" s="162">
        <f t="shared" si="1104"/>
        <v>24.926411827384122</v>
      </c>
      <c r="BE145" s="162">
        <f t="shared" si="1104"/>
        <v>31.934603090037292</v>
      </c>
      <c r="BF145" s="162">
        <f t="shared" si="1104"/>
        <v>50.416971896643581</v>
      </c>
      <c r="BG145" s="162">
        <f t="shared" si="1104"/>
        <v>51.826634922749065</v>
      </c>
      <c r="BH145" s="162">
        <f t="shared" si="1104"/>
        <v>64.669186201385187</v>
      </c>
      <c r="BI145" s="162">
        <f t="shared" si="1104"/>
        <v>65.948321790090574</v>
      </c>
      <c r="BJ145" s="162">
        <f t="shared" si="1104"/>
        <v>66.952583910495463</v>
      </c>
      <c r="BK145" s="162">
        <f t="shared" si="1104"/>
        <v>68.729188865210432</v>
      </c>
      <c r="BL145" s="162">
        <f t="shared" si="1104"/>
        <v>77.16269312733084</v>
      </c>
      <c r="BM145" s="162">
        <f t="shared" si="1104"/>
        <v>78.858134656366545</v>
      </c>
      <c r="BN145" s="162">
        <f t="shared" si="1104"/>
        <v>70.749200852424067</v>
      </c>
      <c r="BO145" s="162">
        <f t="shared" si="1104"/>
        <v>73.942045151838045</v>
      </c>
      <c r="BP145" s="162">
        <f t="shared" si="1104"/>
        <v>69.803459643047418</v>
      </c>
      <c r="BQ145" s="162">
        <f t="shared" si="1104"/>
        <v>73.094199520511452</v>
      </c>
      <c r="BR145" s="162">
        <f t="shared" ref="BR145:DB145" si="1105">+BR$173/BR$118</f>
        <v>74.248135322322867</v>
      </c>
      <c r="BS145" s="162">
        <f t="shared" si="1105"/>
        <v>77.87276904635057</v>
      </c>
      <c r="BT145" s="162">
        <f t="shared" si="1105"/>
        <v>80.321407165689934</v>
      </c>
      <c r="BU145" s="162">
        <f t="shared" si="1105"/>
        <v>82.544286094832174</v>
      </c>
      <c r="BV145" s="162">
        <f t="shared" si="1105"/>
        <v>82.518813265849758</v>
      </c>
      <c r="BW145" s="162">
        <f t="shared" si="1105"/>
        <v>84.067078449653692</v>
      </c>
      <c r="BX145" s="162">
        <f t="shared" si="1105"/>
        <v>88.535811800745861</v>
      </c>
      <c r="BY145" s="162">
        <f t="shared" si="1105"/>
        <v>92.487596563665406</v>
      </c>
      <c r="BZ145" s="162">
        <f t="shared" si="1105"/>
        <v>97.805424214171552</v>
      </c>
      <c r="CA145" s="162">
        <f t="shared" si="1105"/>
        <v>99.262703116675539</v>
      </c>
      <c r="CB145" s="162">
        <f t="shared" si="1105"/>
        <v>99.040523441662216</v>
      </c>
      <c r="CC145" s="162">
        <f t="shared" si="1105"/>
        <v>101.74513851891315</v>
      </c>
      <c r="CD145" s="162">
        <f t="shared" si="1105"/>
        <v>105.23400039957379</v>
      </c>
      <c r="CE145" s="162">
        <f t="shared" si="1105"/>
        <v>98.37531632924879</v>
      </c>
      <c r="CF145" s="162">
        <f t="shared" si="1105"/>
        <v>174.69049680340967</v>
      </c>
      <c r="CG145" s="162">
        <f t="shared" si="1105"/>
        <v>179.36700852424079</v>
      </c>
      <c r="CH145" s="162">
        <f t="shared" si="1105"/>
        <v>183.70571390516778</v>
      </c>
      <c r="CI145" s="162">
        <f t="shared" si="1105"/>
        <v>187.97183004794883</v>
      </c>
      <c r="CJ145" s="162">
        <f t="shared" si="1105"/>
        <v>194.65761521044217</v>
      </c>
      <c r="CK145" s="162">
        <f t="shared" si="1105"/>
        <v>199.25529435269047</v>
      </c>
      <c r="CL145" s="162">
        <f t="shared" si="1105"/>
        <v>211.67038492274904</v>
      </c>
      <c r="CM145" s="21">
        <f t="shared" si="1105"/>
        <v>220.15281933960659</v>
      </c>
      <c r="CN145" s="21">
        <f t="shared" si="1105"/>
        <v>227.64820137494524</v>
      </c>
      <c r="CO145" s="21">
        <f t="shared" si="1105"/>
        <v>234.94507603000292</v>
      </c>
      <c r="CP145" s="21">
        <f t="shared" si="1105"/>
        <v>242.03418637378468</v>
      </c>
      <c r="CQ145" s="21">
        <f t="shared" si="1105"/>
        <v>250.39332823727483</v>
      </c>
      <c r="CR145" s="21">
        <f t="shared" si="1105"/>
        <v>258.21909438944442</v>
      </c>
      <c r="CS145" s="21">
        <f t="shared" si="1105"/>
        <v>266.25435822024605</v>
      </c>
      <c r="CT145" s="21">
        <f t="shared" si="1105"/>
        <v>274.94681780667872</v>
      </c>
      <c r="CU145" s="21">
        <f t="shared" si="1105"/>
        <v>284.97054547815839</v>
      </c>
      <c r="CV145" s="21">
        <f t="shared" si="1105"/>
        <v>294.71121463917967</v>
      </c>
      <c r="CW145" s="21">
        <f t="shared" si="1105"/>
        <v>306.41727380620574</v>
      </c>
      <c r="CX145" s="21">
        <f t="shared" si="1105"/>
        <v>318.01481207953123</v>
      </c>
      <c r="CY145" s="21">
        <f t="shared" si="1105"/>
        <v>329.72126044402467</v>
      </c>
      <c r="CZ145" s="21">
        <f t="shared" si="1105"/>
        <v>341.0382062607606</v>
      </c>
      <c r="DA145" s="21">
        <f t="shared" si="1105"/>
        <v>352.90627236815897</v>
      </c>
      <c r="DB145" s="21">
        <f t="shared" si="1105"/>
        <v>365.57774475656566</v>
      </c>
      <c r="DE145" s="22"/>
      <c r="DF145" s="162">
        <v>183.70571390516778</v>
      </c>
      <c r="DG145" s="162">
        <v>203.61946238111881</v>
      </c>
    </row>
    <row r="146" spans="1:111" s="162" customFormat="1" x14ac:dyDescent="0.2">
      <c r="A146" s="49" t="s">
        <v>501</v>
      </c>
      <c r="AB146" s="21"/>
      <c r="AC146" s="21"/>
      <c r="AD146" s="21"/>
      <c r="AE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E146" s="22"/>
    </row>
    <row r="147" spans="1:111" s="162" customFormat="1" x14ac:dyDescent="0.2">
      <c r="A147" s="49" t="s">
        <v>502</v>
      </c>
      <c r="E147" s="162" t="e">
        <f t="shared" ref="E147:AE149" ca="1" si="1106">+E130/E$145</f>
        <v>#DIV/0!</v>
      </c>
      <c r="F147" s="162" t="e">
        <f t="shared" ca="1" si="1106"/>
        <v>#DIV/0!</v>
      </c>
      <c r="G147" s="162" t="e">
        <f t="shared" ca="1" si="1106"/>
        <v>#DIV/0!</v>
      </c>
      <c r="H147" s="162" t="e">
        <f t="shared" ca="1" si="1106"/>
        <v>#DIV/0!</v>
      </c>
      <c r="I147" s="162" t="e">
        <f t="shared" ca="1" si="1106"/>
        <v>#DIV/0!</v>
      </c>
      <c r="J147" s="162" t="e">
        <f t="shared" ca="1" si="1106"/>
        <v>#DIV/0!</v>
      </c>
      <c r="K147" s="162" t="e">
        <f t="shared" ca="1" si="1106"/>
        <v>#DIV/0!</v>
      </c>
      <c r="L147" s="162" t="e">
        <f t="shared" ca="1" si="1106"/>
        <v>#DIV/0!</v>
      </c>
      <c r="M147" s="162" t="e">
        <f t="shared" ca="1" si="1106"/>
        <v>#DIV/0!</v>
      </c>
      <c r="N147" s="162" t="e">
        <f t="shared" ca="1" si="1106"/>
        <v>#DIV/0!</v>
      </c>
      <c r="O147" s="162">
        <f t="shared" ca="1" si="1106"/>
        <v>0</v>
      </c>
      <c r="P147" s="162">
        <f t="shared" ca="1" si="1106"/>
        <v>0</v>
      </c>
      <c r="Q147" s="162">
        <f t="shared" ca="1" si="1106"/>
        <v>1.5421719358786741</v>
      </c>
      <c r="R147" s="162">
        <f t="shared" ca="1" si="1106"/>
        <v>2.6235052078207244</v>
      </c>
      <c r="S147" s="162">
        <f t="shared" ca="1" si="1106"/>
        <v>5.4598964794456082</v>
      </c>
      <c r="T147" s="162">
        <f t="shared" ca="1" si="1106"/>
        <v>5.647624238109108</v>
      </c>
      <c r="U147" s="162">
        <f t="shared" ca="1" si="1106"/>
        <v>4.3440916249324664</v>
      </c>
      <c r="V147" s="162">
        <f t="shared" ca="1" si="1106"/>
        <v>17.918849707204767</v>
      </c>
      <c r="W147" s="162">
        <f t="shared" ca="1" si="1106"/>
        <v>41.559368427499976</v>
      </c>
      <c r="X147" s="162">
        <f t="shared" ca="1" si="1106"/>
        <v>10.202910605600225</v>
      </c>
      <c r="Y147" s="162">
        <f t="shared" ca="1" si="1106"/>
        <v>9.7478001036265329</v>
      </c>
      <c r="Z147" s="162">
        <f t="shared" ref="Z147:AA149" ca="1" si="1107">+Z130/Z$145</f>
        <v>4.7440005075176055</v>
      </c>
      <c r="AA147" s="162">
        <f t="shared" ref="AA147" ca="1" si="1108">+AA130/AA$145</f>
        <v>4.7440005075176055</v>
      </c>
      <c r="AB147" s="21">
        <f t="shared" ca="1" si="1106"/>
        <v>5.8008334319836017</v>
      </c>
      <c r="AC147" s="21">
        <f t="shared" ca="1" si="1106"/>
        <v>5.1064420792357881</v>
      </c>
      <c r="AD147" s="21">
        <f t="shared" ca="1" si="1106"/>
        <v>4.4148886991115326</v>
      </c>
      <c r="AE147" s="21">
        <f t="shared" ca="1" si="1106"/>
        <v>3.8404963653761492</v>
      </c>
      <c r="AL147" s="162" t="e">
        <f t="shared" ref="AL147:CI149" si="1109">+AL130/AL$145</f>
        <v>#DIV/0!</v>
      </c>
      <c r="AM147" s="162" t="e">
        <f t="shared" si="1109"/>
        <v>#DIV/0!</v>
      </c>
      <c r="AN147" s="162" t="e">
        <f t="shared" si="1109"/>
        <v>#DIV/0!</v>
      </c>
      <c r="AO147" s="162" t="e">
        <f t="shared" si="1109"/>
        <v>#DIV/0!</v>
      </c>
      <c r="AP147" s="162" t="e">
        <f t="shared" si="1109"/>
        <v>#DIV/0!</v>
      </c>
      <c r="AQ147" s="162" t="e">
        <f t="shared" si="1109"/>
        <v>#DIV/0!</v>
      </c>
      <c r="AR147" s="162" t="e">
        <f t="shared" si="1109"/>
        <v>#DIV/0!</v>
      </c>
      <c r="AS147" s="162">
        <f t="shared" si="1109"/>
        <v>0</v>
      </c>
      <c r="AT147" s="162">
        <f t="shared" si="1109"/>
        <v>0</v>
      </c>
      <c r="AU147" s="162">
        <f t="shared" si="1109"/>
        <v>0</v>
      </c>
      <c r="AV147" s="162">
        <f t="shared" si="1109"/>
        <v>1.2921543003881948</v>
      </c>
      <c r="AW147" s="162">
        <f t="shared" si="1109"/>
        <v>1.7218214278768549</v>
      </c>
      <c r="AX147" s="162">
        <f t="shared" si="1109"/>
        <v>1.5421719358786741</v>
      </c>
      <c r="AY147" s="162">
        <f t="shared" si="1109"/>
        <v>1.6571484190487094</v>
      </c>
      <c r="AZ147" s="162">
        <f t="shared" si="1109"/>
        <v>1.6185749649894614</v>
      </c>
      <c r="BA147" s="162">
        <f t="shared" si="1109"/>
        <v>2.3188356679193713</v>
      </c>
      <c r="BB147" s="162">
        <f t="shared" si="1109"/>
        <v>2.6235052078207244</v>
      </c>
      <c r="BC147" s="162">
        <f t="shared" si="1109"/>
        <v>4.9111436236030137</v>
      </c>
      <c r="BD147" s="162">
        <f t="shared" si="1109"/>
        <v>6.1160026182556537</v>
      </c>
      <c r="BE147" s="162">
        <f t="shared" si="1109"/>
        <v>6.998677872083082</v>
      </c>
      <c r="BF147" s="162">
        <f t="shared" si="1109"/>
        <v>3.7933654641549808</v>
      </c>
      <c r="BG147" s="162">
        <f t="shared" si="1109"/>
        <v>3.0090705335674119</v>
      </c>
      <c r="BH147" s="162">
        <f t="shared" si="1109"/>
        <v>2.4779962361203722</v>
      </c>
      <c r="BI147" s="162">
        <f t="shared" si="1109"/>
        <v>3.0159978995839558</v>
      </c>
      <c r="BJ147" s="162">
        <f t="shared" si="1109"/>
        <v>3.2545420545874122</v>
      </c>
      <c r="BK147" s="162">
        <f t="shared" si="1109"/>
        <v>3.2642608432348634</v>
      </c>
      <c r="BL147" s="162">
        <f t="shared" si="1109"/>
        <v>2.9625715580296461</v>
      </c>
      <c r="BM147" s="162">
        <f t="shared" si="1109"/>
        <v>4.2088238765257717</v>
      </c>
      <c r="BN147" s="162">
        <f t="shared" si="1109"/>
        <v>2.6678746576051662</v>
      </c>
      <c r="BO147" s="162">
        <f t="shared" si="1109"/>
        <v>3.5122101297943935</v>
      </c>
      <c r="BP147" s="162">
        <f t="shared" si="1109"/>
        <v>3.4711746557985057</v>
      </c>
      <c r="BQ147" s="162">
        <f t="shared" si="1109"/>
        <v>5.9881632587983136</v>
      </c>
      <c r="BR147" s="162">
        <f t="shared" si="1109"/>
        <v>12.233977271708028</v>
      </c>
      <c r="BS147" s="162">
        <f t="shared" si="1109"/>
        <v>13.649829240916329</v>
      </c>
      <c r="BT147" s="162">
        <f t="shared" si="1109"/>
        <v>19.326728138586461</v>
      </c>
      <c r="BU147" s="162">
        <f t="shared" si="1109"/>
        <v>20.992973372005309</v>
      </c>
      <c r="BV147" s="162">
        <f t="shared" si="1109"/>
        <v>28.74859569728897</v>
      </c>
      <c r="BW147" s="162">
        <f t="shared" si="1109"/>
        <v>29.425906616720191</v>
      </c>
      <c r="BX147" s="162">
        <f t="shared" si="1109"/>
        <v>37.168010696122373</v>
      </c>
      <c r="BY147" s="162">
        <f t="shared" si="1109"/>
        <v>28.020514061213202</v>
      </c>
      <c r="BZ147" s="162">
        <f t="shared" si="1109"/>
        <v>10.202910605600225</v>
      </c>
      <c r="CA147" s="162">
        <f t="shared" si="1109"/>
        <v>7.7320078529179668</v>
      </c>
      <c r="CB147" s="162">
        <f t="shared" si="1109"/>
        <v>8.168373630179012</v>
      </c>
      <c r="CC147" s="162">
        <f t="shared" si="1109"/>
        <v>10.280589473133025</v>
      </c>
      <c r="CD147" s="162">
        <f t="shared" si="1109"/>
        <v>9.7478001036265329</v>
      </c>
      <c r="CE147" s="162">
        <f t="shared" si="1109"/>
        <v>10.14431299676839</v>
      </c>
      <c r="CF147" s="162">
        <f t="shared" si="1109"/>
        <v>5.7796504015683423</v>
      </c>
      <c r="CG147" s="162">
        <f t="shared" si="1109"/>
        <v>4.4958100524434963</v>
      </c>
      <c r="CH147" s="162">
        <f t="shared" si="1109"/>
        <v>4.7440005075176055</v>
      </c>
      <c r="CI147" s="162">
        <f t="shared" si="1109"/>
        <v>4.6911284514018181</v>
      </c>
      <c r="CJ147" s="162">
        <f>+CJ130/CJ$145</f>
        <v>4.4776054564200996</v>
      </c>
      <c r="CK147" s="162">
        <f>+CK130/CK$145</f>
        <v>5.1654838248773611</v>
      </c>
      <c r="CL147" s="162">
        <f>+CL130/CL$145</f>
        <v>4.4134657776568247</v>
      </c>
      <c r="CM147" s="21">
        <f t="shared" ref="CM147:DB147" si="1110">+CM130/CM$145</f>
        <v>6.3773882351885618</v>
      </c>
      <c r="CN147" s="21">
        <f t="shared" si="1110"/>
        <v>6.1674109064782749</v>
      </c>
      <c r="CO147" s="21">
        <f t="shared" si="1110"/>
        <v>5.9758647583689157</v>
      </c>
      <c r="CP147" s="21">
        <f t="shared" si="1110"/>
        <v>5.8008334319836017</v>
      </c>
      <c r="CQ147" s="21">
        <f t="shared" si="1110"/>
        <v>5.6071781540024013</v>
      </c>
      <c r="CR147" s="21">
        <f t="shared" si="1110"/>
        <v>5.437243141603215</v>
      </c>
      <c r="CS147" s="21">
        <f t="shared" si="1110"/>
        <v>5.2731531208912976</v>
      </c>
      <c r="CT147" s="21">
        <f t="shared" si="1110"/>
        <v>5.1064420792357881</v>
      </c>
      <c r="CU147" s="21">
        <f t="shared" si="1110"/>
        <v>4.9268249728904348</v>
      </c>
      <c r="CV147" s="21">
        <f t="shared" si="1110"/>
        <v>4.7639856587030218</v>
      </c>
      <c r="CW147" s="21">
        <f t="shared" si="1110"/>
        <v>4.581987113715928</v>
      </c>
      <c r="CX147" s="21">
        <f t="shared" si="1110"/>
        <v>4.4148886991115326</v>
      </c>
      <c r="CY147" s="21">
        <f t="shared" si="1110"/>
        <v>4.2581421595601077</v>
      </c>
      <c r="CZ147" s="21">
        <f t="shared" si="1110"/>
        <v>4.116840794448966</v>
      </c>
      <c r="DA147" s="21">
        <f t="shared" si="1110"/>
        <v>3.9783934430480135</v>
      </c>
      <c r="DB147" s="21">
        <f t="shared" si="1110"/>
        <v>3.8404963653761492</v>
      </c>
      <c r="DE147" s="22"/>
      <c r="DF147" s="162">
        <v>4.7440005075176055</v>
      </c>
      <c r="DG147" s="162">
        <v>4.5879700745473846</v>
      </c>
    </row>
    <row r="148" spans="1:111" s="162" customFormat="1" x14ac:dyDescent="0.2">
      <c r="A148" s="49" t="s">
        <v>503</v>
      </c>
      <c r="E148" s="162" t="e">
        <f t="shared" ca="1" si="1106"/>
        <v>#DIV/0!</v>
      </c>
      <c r="F148" s="162" t="e">
        <f t="shared" ca="1" si="1106"/>
        <v>#DIV/0!</v>
      </c>
      <c r="G148" s="162" t="e">
        <f t="shared" ca="1" si="1106"/>
        <v>#DIV/0!</v>
      </c>
      <c r="H148" s="162" t="e">
        <f t="shared" ca="1" si="1106"/>
        <v>#DIV/0!</v>
      </c>
      <c r="I148" s="162" t="e">
        <f t="shared" ca="1" si="1106"/>
        <v>#DIV/0!</v>
      </c>
      <c r="J148" s="162" t="e">
        <f t="shared" ca="1" si="1106"/>
        <v>#DIV/0!</v>
      </c>
      <c r="K148" s="162" t="e">
        <f t="shared" ca="1" si="1106"/>
        <v>#DIV/0!</v>
      </c>
      <c r="L148" s="162" t="e">
        <f t="shared" ca="1" si="1106"/>
        <v>#DIV/0!</v>
      </c>
      <c r="M148" s="162" t="e">
        <f t="shared" ca="1" si="1106"/>
        <v>#DIV/0!</v>
      </c>
      <c r="N148" s="162" t="e">
        <f t="shared" ca="1" si="1106"/>
        <v>#DIV/0!</v>
      </c>
      <c r="O148" s="162">
        <f t="shared" ca="1" si="1106"/>
        <v>0</v>
      </c>
      <c r="P148" s="162">
        <f t="shared" ca="1" si="1106"/>
        <v>0</v>
      </c>
      <c r="Q148" s="162">
        <f t="shared" ca="1" si="1106"/>
        <v>1.9153505675927558</v>
      </c>
      <c r="R148" s="162">
        <f t="shared" ca="1" si="1106"/>
        <v>2.84162102540955</v>
      </c>
      <c r="S148" s="162">
        <f t="shared" ca="1" si="1106"/>
        <v>7.1942165376224478</v>
      </c>
      <c r="T148" s="162">
        <f t="shared" ca="1" si="1106"/>
        <v>6.6428916577667021</v>
      </c>
      <c r="U148" s="162">
        <f t="shared" ca="1" si="1106"/>
        <v>8.4189071067565351</v>
      </c>
      <c r="V148" s="162">
        <f t="shared" ca="1" si="1106"/>
        <v>18.235465040281923</v>
      </c>
      <c r="W148" s="162">
        <f t="shared" ca="1" si="1106"/>
        <v>45.156812387617634</v>
      </c>
      <c r="X148" s="162">
        <f t="shared" ca="1" si="1106"/>
        <v>43.336553509737286</v>
      </c>
      <c r="Y148" s="162">
        <f t="shared" ca="1" si="1106"/>
        <v>11.878290241307434</v>
      </c>
      <c r="Z148" s="162">
        <f t="shared" ca="1" si="1107"/>
        <v>7.3372785818508097</v>
      </c>
      <c r="AA148" s="162">
        <f t="shared" ref="AA148" ca="1" si="1111">+AA131/AA$145</f>
        <v>7.3372785818508097</v>
      </c>
      <c r="AB148" s="21">
        <f t="shared" ca="1" si="1106"/>
        <v>6.5000000000000009</v>
      </c>
      <c r="AC148" s="21">
        <f t="shared" ca="1" si="1106"/>
        <v>6.5</v>
      </c>
      <c r="AD148" s="21">
        <f t="shared" ca="1" si="1106"/>
        <v>6.5000000000000009</v>
      </c>
      <c r="AE148" s="21">
        <f t="shared" ca="1" si="1106"/>
        <v>6.5</v>
      </c>
      <c r="AL148" s="162" t="e">
        <f t="shared" si="1109"/>
        <v>#DIV/0!</v>
      </c>
      <c r="AM148" s="162" t="e">
        <f t="shared" si="1109"/>
        <v>#DIV/0!</v>
      </c>
      <c r="AN148" s="162" t="e">
        <f t="shared" si="1109"/>
        <v>#DIV/0!</v>
      </c>
      <c r="AO148" s="162" t="e">
        <f t="shared" si="1109"/>
        <v>#DIV/0!</v>
      </c>
      <c r="AP148" s="162" t="e">
        <f t="shared" si="1109"/>
        <v>#DIV/0!</v>
      </c>
      <c r="AQ148" s="162" t="e">
        <f t="shared" si="1109"/>
        <v>#DIV/0!</v>
      </c>
      <c r="AR148" s="162" t="e">
        <f t="shared" si="1109"/>
        <v>#DIV/0!</v>
      </c>
      <c r="AS148" s="162">
        <f t="shared" si="1109"/>
        <v>0</v>
      </c>
      <c r="AT148" s="162">
        <f t="shared" si="1109"/>
        <v>0</v>
      </c>
      <c r="AU148" s="162">
        <f t="shared" si="1109"/>
        <v>0</v>
      </c>
      <c r="AV148" s="162">
        <f t="shared" si="1109"/>
        <v>2.0453094140222818</v>
      </c>
      <c r="AW148" s="162">
        <f t="shared" si="1109"/>
        <v>1.9367570742332603</v>
      </c>
      <c r="AX148" s="162">
        <f t="shared" si="1109"/>
        <v>1.9153505675927558</v>
      </c>
      <c r="AY148" s="162">
        <f t="shared" si="1109"/>
        <v>1.7366743483675191</v>
      </c>
      <c r="AZ148" s="162">
        <f t="shared" si="1109"/>
        <v>1.8182416929540406</v>
      </c>
      <c r="BA148" s="162">
        <f t="shared" si="1109"/>
        <v>2.7087283908438673</v>
      </c>
      <c r="BB148" s="162">
        <f t="shared" si="1109"/>
        <v>2.84162102540955</v>
      </c>
      <c r="BC148" s="162">
        <f t="shared" si="1109"/>
        <v>5.4304009397386022</v>
      </c>
      <c r="BD148" s="162">
        <f t="shared" si="1109"/>
        <v>6.2584218330461274</v>
      </c>
      <c r="BE148" s="162">
        <f t="shared" si="1109"/>
        <v>7.7580422497028341</v>
      </c>
      <c r="BF148" s="162">
        <f t="shared" si="1109"/>
        <v>4.9983168468865626</v>
      </c>
      <c r="BG148" s="162">
        <f t="shared" si="1109"/>
        <v>3.8377949927961414</v>
      </c>
      <c r="BH148" s="162">
        <f t="shared" si="1109"/>
        <v>3.7885121862682758</v>
      </c>
      <c r="BI148" s="162">
        <f t="shared" si="1109"/>
        <v>3.8863763783980287</v>
      </c>
      <c r="BJ148" s="162">
        <f t="shared" si="1109"/>
        <v>3.6219662608418881</v>
      </c>
      <c r="BK148" s="162">
        <f t="shared" si="1109"/>
        <v>3.6818417935394798</v>
      </c>
      <c r="BL148" s="162">
        <f t="shared" si="1109"/>
        <v>3.2010287613006239</v>
      </c>
      <c r="BM148" s="162">
        <f t="shared" si="1109"/>
        <v>4.4389840252420809</v>
      </c>
      <c r="BN148" s="162">
        <f t="shared" si="1109"/>
        <v>5.170376422526993</v>
      </c>
      <c r="BO148" s="162">
        <f t="shared" si="1109"/>
        <v>3.8131214712958381</v>
      </c>
      <c r="BP148" s="162">
        <f t="shared" si="1109"/>
        <v>4.3421916556852134</v>
      </c>
      <c r="BQ148" s="162">
        <f t="shared" si="1109"/>
        <v>6.2248441461120239</v>
      </c>
      <c r="BR148" s="162">
        <f t="shared" si="1109"/>
        <v>12.450144316581605</v>
      </c>
      <c r="BS148" s="162">
        <f t="shared" si="1109"/>
        <v>21.158872609490416</v>
      </c>
      <c r="BT148" s="162">
        <f t="shared" si="1109"/>
        <v>24.775462360799473</v>
      </c>
      <c r="BU148" s="162">
        <f t="shared" si="1109"/>
        <v>24.592859131010059</v>
      </c>
      <c r="BV148" s="162">
        <f t="shared" si="1109"/>
        <v>31.237119124527634</v>
      </c>
      <c r="BW148" s="162">
        <f t="shared" si="1109"/>
        <v>35.685788721641465</v>
      </c>
      <c r="BX148" s="162">
        <f t="shared" si="1109"/>
        <v>47.873848037210777</v>
      </c>
      <c r="BY148" s="162">
        <f t="shared" si="1109"/>
        <v>36.98063445346007</v>
      </c>
      <c r="BZ148" s="162">
        <f t="shared" si="1109"/>
        <v>28.613954926177762</v>
      </c>
      <c r="CA148" s="162">
        <f t="shared" si="1109"/>
        <v>11.069112219405364</v>
      </c>
      <c r="CB148" s="162">
        <f t="shared" si="1109"/>
        <v>9.8590957122228637</v>
      </c>
      <c r="CC148" s="162">
        <f t="shared" si="1109"/>
        <v>12.246285357097275</v>
      </c>
      <c r="CD148" s="162">
        <f t="shared" si="1109"/>
        <v>11.878290241307434</v>
      </c>
      <c r="CE148" s="162">
        <f t="shared" si="1109"/>
        <v>12.696274295269019</v>
      </c>
      <c r="CF148" s="162">
        <f t="shared" si="1109"/>
        <v>7.7159320321635914</v>
      </c>
      <c r="CG148" s="162">
        <f t="shared" si="1109"/>
        <v>6.0805496449621765</v>
      </c>
      <c r="CH148" s="162">
        <f t="shared" si="1109"/>
        <v>4.8692007504010304</v>
      </c>
      <c r="CI148" s="162">
        <f t="shared" si="1109"/>
        <v>5.2239210510932361</v>
      </c>
      <c r="CJ148" s="162">
        <f t="shared" ref="CJ148:CK149" si="1112">+CJ131/CJ$145</f>
        <v>4.9212048496760374</v>
      </c>
      <c r="CK148" s="162">
        <f t="shared" si="1112"/>
        <v>5.2696215847668002</v>
      </c>
      <c r="CL148" s="162">
        <f t="shared" ref="CL148" si="1113">+CL131/CL$145</f>
        <v>5.0422736293011443</v>
      </c>
      <c r="CM148" s="94">
        <v>6.5</v>
      </c>
      <c r="CN148" s="94">
        <f t="shared" ref="CN148:DB148" si="1114">+CM148</f>
        <v>6.5</v>
      </c>
      <c r="CO148" s="94">
        <f t="shared" si="1114"/>
        <v>6.5</v>
      </c>
      <c r="CP148" s="94">
        <f t="shared" si="1114"/>
        <v>6.5</v>
      </c>
      <c r="CQ148" s="94">
        <f t="shared" si="1114"/>
        <v>6.5</v>
      </c>
      <c r="CR148" s="94">
        <f t="shared" si="1114"/>
        <v>6.5</v>
      </c>
      <c r="CS148" s="94">
        <f t="shared" si="1114"/>
        <v>6.5</v>
      </c>
      <c r="CT148" s="94">
        <f t="shared" si="1114"/>
        <v>6.5</v>
      </c>
      <c r="CU148" s="94">
        <f t="shared" si="1114"/>
        <v>6.5</v>
      </c>
      <c r="CV148" s="94">
        <f t="shared" si="1114"/>
        <v>6.5</v>
      </c>
      <c r="CW148" s="94">
        <f t="shared" si="1114"/>
        <v>6.5</v>
      </c>
      <c r="CX148" s="94">
        <f t="shared" si="1114"/>
        <v>6.5</v>
      </c>
      <c r="CY148" s="94">
        <f t="shared" si="1114"/>
        <v>6.5</v>
      </c>
      <c r="CZ148" s="94">
        <f t="shared" si="1114"/>
        <v>6.5</v>
      </c>
      <c r="DA148" s="94">
        <f t="shared" si="1114"/>
        <v>6.5</v>
      </c>
      <c r="DB148" s="94">
        <f t="shared" si="1114"/>
        <v>6.5</v>
      </c>
      <c r="DC148" s="94"/>
      <c r="DE148" s="22"/>
      <c r="DF148" s="162">
        <v>7.3372785818508097</v>
      </c>
      <c r="DG148" s="162">
        <v>5.2416403988058482</v>
      </c>
    </row>
    <row r="149" spans="1:111" s="162" customFormat="1" x14ac:dyDescent="0.2">
      <c r="A149" s="49" t="s">
        <v>504</v>
      </c>
      <c r="E149" s="162" t="e">
        <f t="shared" ca="1" si="1106"/>
        <v>#DIV/0!</v>
      </c>
      <c r="F149" s="162" t="e">
        <f t="shared" ca="1" si="1106"/>
        <v>#DIV/0!</v>
      </c>
      <c r="G149" s="162" t="e">
        <f t="shared" ca="1" si="1106"/>
        <v>#DIV/0!</v>
      </c>
      <c r="H149" s="162" t="e">
        <f t="shared" ca="1" si="1106"/>
        <v>#DIV/0!</v>
      </c>
      <c r="I149" s="162" t="e">
        <f t="shared" ca="1" si="1106"/>
        <v>#DIV/0!</v>
      </c>
      <c r="J149" s="162" t="e">
        <f t="shared" ca="1" si="1106"/>
        <v>#DIV/0!</v>
      </c>
      <c r="K149" s="162" t="e">
        <f t="shared" ca="1" si="1106"/>
        <v>#DIV/0!</v>
      </c>
      <c r="L149" s="162" t="e">
        <f t="shared" ca="1" si="1106"/>
        <v>#DIV/0!</v>
      </c>
      <c r="M149" s="162" t="e">
        <f t="shared" ca="1" si="1106"/>
        <v>#DIV/0!</v>
      </c>
      <c r="N149" s="162" t="e">
        <f t="shared" ca="1" si="1106"/>
        <v>#DIV/0!</v>
      </c>
      <c r="O149" s="162">
        <f t="shared" ca="1" si="1106"/>
        <v>0</v>
      </c>
      <c r="P149" s="162">
        <f t="shared" ca="1" si="1106"/>
        <v>0</v>
      </c>
      <c r="Q149" s="162">
        <f t="shared" ca="1" si="1106"/>
        <v>1.1352723434675371</v>
      </c>
      <c r="R149" s="162">
        <f t="shared" ca="1" si="1106"/>
        <v>1.1558099866622775</v>
      </c>
      <c r="S149" s="162">
        <f t="shared" ca="1" si="1106"/>
        <v>1.8413768518914599</v>
      </c>
      <c r="T149" s="162">
        <f t="shared" ca="1" si="1106"/>
        <v>2.980618574495399</v>
      </c>
      <c r="U149" s="162">
        <f t="shared" ca="1" si="1106"/>
        <v>3.3947206075631193</v>
      </c>
      <c r="V149" s="162">
        <f t="shared" ca="1" si="1106"/>
        <v>3.2983229713707676</v>
      </c>
      <c r="W149" s="162">
        <f t="shared" ca="1" si="1106"/>
        <v>15.074752995769391</v>
      </c>
      <c r="X149" s="162">
        <f t="shared" ca="1" si="1106"/>
        <v>6.4413605386593265</v>
      </c>
      <c r="Y149" s="162">
        <f t="shared" ca="1" si="1106"/>
        <v>6.5273580534032609</v>
      </c>
      <c r="Z149" s="162">
        <f t="shared" ca="1" si="1107"/>
        <v>3.2021322989641208</v>
      </c>
      <c r="AA149" s="162">
        <f t="shared" ref="AA149" ca="1" si="1115">+AA132/AA$145</f>
        <v>3.2021322989641208</v>
      </c>
      <c r="AB149" s="21">
        <f t="shared" ca="1" si="1106"/>
        <v>4.0931725467007558</v>
      </c>
      <c r="AC149" s="21">
        <f t="shared" ca="1" si="1106"/>
        <v>4.0981379092010224</v>
      </c>
      <c r="AD149" s="21">
        <f t="shared" ca="1" si="1106"/>
        <v>4.0324142333691357</v>
      </c>
      <c r="AE149" s="21">
        <f t="shared" ca="1" si="1106"/>
        <v>4.0586323792388441</v>
      </c>
      <c r="AL149" s="162" t="e">
        <f t="shared" si="1109"/>
        <v>#DIV/0!</v>
      </c>
      <c r="AM149" s="162" t="e">
        <f t="shared" si="1109"/>
        <v>#DIV/0!</v>
      </c>
      <c r="AN149" s="162" t="e">
        <f t="shared" si="1109"/>
        <v>#DIV/0!</v>
      </c>
      <c r="AO149" s="162" t="e">
        <f t="shared" si="1109"/>
        <v>#DIV/0!</v>
      </c>
      <c r="AP149" s="162" t="e">
        <f t="shared" si="1109"/>
        <v>#DIV/0!</v>
      </c>
      <c r="AQ149" s="162" t="e">
        <f t="shared" si="1109"/>
        <v>#DIV/0!</v>
      </c>
      <c r="AR149" s="162" t="e">
        <f t="shared" si="1109"/>
        <v>#DIV/0!</v>
      </c>
      <c r="AS149" s="162">
        <f t="shared" si="1109"/>
        <v>0</v>
      </c>
      <c r="AT149" s="162">
        <f t="shared" si="1109"/>
        <v>0</v>
      </c>
      <c r="AU149" s="162">
        <f t="shared" si="1109"/>
        <v>0</v>
      </c>
      <c r="AV149" s="162">
        <f t="shared" si="1109"/>
        <v>1.2151544165661794</v>
      </c>
      <c r="AW149" s="162">
        <f t="shared" si="1109"/>
        <v>1.2428887376261695</v>
      </c>
      <c r="AX149" s="162">
        <f t="shared" si="1109"/>
        <v>1.1824816884434148</v>
      </c>
      <c r="AY149" s="162">
        <f t="shared" si="1109"/>
        <v>1.218681133074732</v>
      </c>
      <c r="AZ149" s="162">
        <f t="shared" si="1109"/>
        <v>1.4443976065522752</v>
      </c>
      <c r="BA149" s="162">
        <f t="shared" si="1109"/>
        <v>1.5698312265117866</v>
      </c>
      <c r="BB149" s="162">
        <f t="shared" si="1109"/>
        <v>2.2953122486450162</v>
      </c>
      <c r="BC149" s="162">
        <f t="shared" si="1109"/>
        <v>2.5566486176141594</v>
      </c>
      <c r="BD149" s="162">
        <f t="shared" si="1109"/>
        <v>4.1321631333573787</v>
      </c>
      <c r="BE149" s="162">
        <f t="shared" si="1109"/>
        <v>4.7926069276166254</v>
      </c>
      <c r="BF149" s="162">
        <f t="shared" si="1109"/>
        <v>3.0703946345160316</v>
      </c>
      <c r="BG149" s="162">
        <f t="shared" si="1109"/>
        <v>2.2189362703446771</v>
      </c>
      <c r="BH149" s="162">
        <f t="shared" si="1109"/>
        <v>2.2522318364488751</v>
      </c>
      <c r="BI149" s="162">
        <f t="shared" si="1109"/>
        <v>2.1433449125499857</v>
      </c>
      <c r="BJ149" s="162">
        <f t="shared" si="1109"/>
        <v>2.6884698018620199</v>
      </c>
      <c r="BK149" s="162">
        <f t="shared" si="1109"/>
        <v>2.9521663699235741</v>
      </c>
      <c r="BL149" s="162">
        <f t="shared" si="1109"/>
        <v>2.5012087082227548</v>
      </c>
      <c r="BM149" s="162">
        <f t="shared" si="1109"/>
        <v>2.7993307343870573</v>
      </c>
      <c r="BN149" s="162">
        <f t="shared" si="1109"/>
        <v>2.0848292026318518</v>
      </c>
      <c r="BO149" s="162">
        <f t="shared" si="1109"/>
        <v>2.2612303954625435</v>
      </c>
      <c r="BP149" s="162">
        <f t="shared" si="1109"/>
        <v>3.1660321870881956</v>
      </c>
      <c r="BQ149" s="162">
        <f t="shared" si="1109"/>
        <v>3.3060078855120234</v>
      </c>
      <c r="BR149" s="162">
        <f t="shared" si="1109"/>
        <v>5.3873406822075314</v>
      </c>
      <c r="BS149" s="162">
        <f t="shared" si="1109"/>
        <v>11.109146503896437</v>
      </c>
      <c r="BT149" s="162">
        <f t="shared" si="1109"/>
        <v>10.713208724355752</v>
      </c>
      <c r="BU149" s="162">
        <f t="shared" si="1109"/>
        <v>18.310171079117538</v>
      </c>
      <c r="BV149" s="162">
        <f t="shared" si="1109"/>
        <v>20.237809220786819</v>
      </c>
      <c r="BW149" s="162">
        <f t="shared" si="1109"/>
        <v>22.60099952370626</v>
      </c>
      <c r="BX149" s="162">
        <f t="shared" si="1109"/>
        <v>25.146886380966624</v>
      </c>
      <c r="BY149" s="162">
        <f t="shared" si="1109"/>
        <v>23.569106355785376</v>
      </c>
      <c r="BZ149" s="162">
        <f t="shared" si="1109"/>
        <v>6.4413605386593265</v>
      </c>
      <c r="CA149" s="162">
        <f t="shared" si="1109"/>
        <v>7.1910191601470288</v>
      </c>
      <c r="CB149" s="162">
        <f t="shared" si="1109"/>
        <v>7.4530098827152509</v>
      </c>
      <c r="CC149" s="162">
        <f t="shared" si="1109"/>
        <v>6.7511825134752144</v>
      </c>
      <c r="CD149" s="162">
        <f t="shared" si="1109"/>
        <v>8.7243666164354856</v>
      </c>
      <c r="CE149" s="162">
        <f t="shared" si="1109"/>
        <v>8.4594391261191983</v>
      </c>
      <c r="CF149" s="162">
        <f t="shared" si="1109"/>
        <v>5.2418420964850512</v>
      </c>
      <c r="CG149" s="162">
        <f t="shared" si="1109"/>
        <v>3.279588620225554</v>
      </c>
      <c r="CH149" s="162">
        <f t="shared" si="1109"/>
        <v>3.4802945777181655</v>
      </c>
      <c r="CI149" s="162">
        <f t="shared" si="1109"/>
        <v>4.1394500431342198</v>
      </c>
      <c r="CJ149" s="162">
        <f t="shared" si="1112"/>
        <v>3.8295445014781588</v>
      </c>
      <c r="CK149" s="162">
        <f t="shared" si="1112"/>
        <v>4.3642504096316284</v>
      </c>
      <c r="CL149" s="162">
        <f t="shared" ref="CL149" si="1116">+CL132/CL$145</f>
        <v>3.8016655012635914</v>
      </c>
      <c r="CM149" s="94">
        <v>4.5</v>
      </c>
      <c r="CN149" s="94">
        <f t="shared" ref="CN149:DB149" si="1117">+CM149</f>
        <v>4.5</v>
      </c>
      <c r="CO149" s="94">
        <f t="shared" si="1117"/>
        <v>4.5</v>
      </c>
      <c r="CP149" s="94">
        <f t="shared" si="1117"/>
        <v>4.5</v>
      </c>
      <c r="CQ149" s="94">
        <f t="shared" si="1117"/>
        <v>4.5</v>
      </c>
      <c r="CR149" s="94">
        <f t="shared" si="1117"/>
        <v>4.5</v>
      </c>
      <c r="CS149" s="94">
        <f t="shared" si="1117"/>
        <v>4.5</v>
      </c>
      <c r="CT149" s="94">
        <f t="shared" si="1117"/>
        <v>4.5</v>
      </c>
      <c r="CU149" s="94">
        <f t="shared" si="1117"/>
        <v>4.5</v>
      </c>
      <c r="CV149" s="94">
        <f t="shared" si="1117"/>
        <v>4.5</v>
      </c>
      <c r="CW149" s="94">
        <f t="shared" si="1117"/>
        <v>4.5</v>
      </c>
      <c r="CX149" s="94">
        <f t="shared" si="1117"/>
        <v>4.5</v>
      </c>
      <c r="CY149" s="94">
        <f t="shared" si="1117"/>
        <v>4.5</v>
      </c>
      <c r="CZ149" s="94">
        <f t="shared" si="1117"/>
        <v>4.5</v>
      </c>
      <c r="DA149" s="94">
        <f t="shared" si="1117"/>
        <v>4.5</v>
      </c>
      <c r="DB149" s="94">
        <f t="shared" si="1117"/>
        <v>4.5</v>
      </c>
      <c r="DC149" s="94"/>
      <c r="DE149" s="22"/>
      <c r="DF149" s="162">
        <v>3.2021322989641208</v>
      </c>
      <c r="DG149" s="162">
        <v>3.9519797891118396</v>
      </c>
    </row>
    <row r="150" spans="1:111" s="4" customFormat="1" x14ac:dyDescent="0.2">
      <c r="A150" s="3"/>
      <c r="AB150" s="17"/>
      <c r="AC150" s="17"/>
      <c r="AD150" s="17"/>
      <c r="AE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E150" s="119"/>
    </row>
    <row r="151" spans="1:111" s="177" customFormat="1" hidden="1" outlineLevel="1" x14ac:dyDescent="0.2">
      <c r="A151" s="177" t="s">
        <v>510</v>
      </c>
      <c r="E151" s="177">
        <f t="shared" ref="E151:AE151" si="1118">+E61</f>
        <v>0</v>
      </c>
      <c r="F151" s="177">
        <f t="shared" si="1118"/>
        <v>0</v>
      </c>
      <c r="G151" s="177">
        <f t="shared" si="1118"/>
        <v>0</v>
      </c>
      <c r="H151" s="177">
        <f t="shared" si="1118"/>
        <v>0</v>
      </c>
      <c r="I151" s="177">
        <f t="shared" si="1118"/>
        <v>0</v>
      </c>
      <c r="J151" s="177">
        <f t="shared" si="1118"/>
        <v>0</v>
      </c>
      <c r="K151" s="177">
        <f t="shared" si="1118"/>
        <v>0</v>
      </c>
      <c r="L151" s="177">
        <f t="shared" si="1118"/>
        <v>0</v>
      </c>
      <c r="M151" s="177">
        <f t="shared" si="1118"/>
        <v>0</v>
      </c>
      <c r="N151" s="177">
        <f t="shared" si="1118"/>
        <v>0</v>
      </c>
      <c r="O151" s="177">
        <f t="shared" si="1118"/>
        <v>0</v>
      </c>
      <c r="P151" s="177">
        <f t="shared" si="1118"/>
        <v>135.34</v>
      </c>
      <c r="Q151" s="177">
        <f t="shared" si="1118"/>
        <v>2197.0100000000002</v>
      </c>
      <c r="R151" s="177">
        <f t="shared" si="1118"/>
        <v>2875.71</v>
      </c>
      <c r="S151" s="177">
        <f t="shared" si="1118"/>
        <v>3944.48</v>
      </c>
      <c r="T151" s="177">
        <f t="shared" si="1118"/>
        <v>7305.45</v>
      </c>
      <c r="U151" s="177">
        <f t="shared" si="1118"/>
        <v>11415.96</v>
      </c>
      <c r="V151" s="177">
        <f t="shared" si="1118"/>
        <v>9926.33</v>
      </c>
      <c r="W151" s="177">
        <f t="shared" si="1118"/>
        <v>11257.52</v>
      </c>
      <c r="X151" s="177">
        <f t="shared" si="1118"/>
        <v>13292.72</v>
      </c>
      <c r="Y151" s="177">
        <f t="shared" si="1118"/>
        <v>16607.36</v>
      </c>
      <c r="Z151" s="177">
        <f t="shared" si="1118"/>
        <v>23767.09</v>
      </c>
      <c r="AA151" s="177">
        <f t="shared" ref="AA151" si="1119">+AA61</f>
        <v>27588.03</v>
      </c>
      <c r="AB151" s="178">
        <f t="shared" si="1118"/>
        <v>33142.354579639948</v>
      </c>
      <c r="AC151" s="178">
        <f t="shared" si="1118"/>
        <v>39712.437662375844</v>
      </c>
      <c r="AD151" s="178">
        <f t="shared" si="1118"/>
        <v>46305.484479449369</v>
      </c>
      <c r="AE151" s="178">
        <f t="shared" si="1118"/>
        <v>52359.163108060267</v>
      </c>
      <c r="AL151" s="177">
        <f t="shared" ref="AL151:BQ151" si="1120">+SUM(AI59:AL59)</f>
        <v>0</v>
      </c>
      <c r="AM151" s="177">
        <f t="shared" si="1120"/>
        <v>0</v>
      </c>
      <c r="AN151" s="177">
        <f t="shared" si="1120"/>
        <v>0</v>
      </c>
      <c r="AO151" s="177">
        <f t="shared" si="1120"/>
        <v>0</v>
      </c>
      <c r="AP151" s="177">
        <f t="shared" si="1120"/>
        <v>0</v>
      </c>
      <c r="AQ151" s="177">
        <f t="shared" si="1120"/>
        <v>0</v>
      </c>
      <c r="AR151" s="177">
        <f t="shared" si="1120"/>
        <v>0</v>
      </c>
      <c r="AS151" s="177">
        <f t="shared" si="1120"/>
        <v>11.45</v>
      </c>
      <c r="AT151" s="177">
        <f t="shared" si="1120"/>
        <v>135.32999999999998</v>
      </c>
      <c r="AU151" s="177">
        <f t="shared" si="1120"/>
        <v>603.48</v>
      </c>
      <c r="AV151" s="177">
        <f t="shared" si="1120"/>
        <v>1167.72</v>
      </c>
      <c r="AW151" s="177">
        <f t="shared" si="1120"/>
        <v>1682.77</v>
      </c>
      <c r="AX151" s="177">
        <f t="shared" si="1120"/>
        <v>2197.0099999999998</v>
      </c>
      <c r="AY151" s="177">
        <f t="shared" si="1120"/>
        <v>2360.87</v>
      </c>
      <c r="AZ151" s="177">
        <f t="shared" si="1120"/>
        <v>2479.33</v>
      </c>
      <c r="BA151" s="177">
        <f t="shared" si="1120"/>
        <v>2682.05</v>
      </c>
      <c r="BB151" s="177">
        <f t="shared" si="1120"/>
        <v>2878.55</v>
      </c>
      <c r="BC151" s="177">
        <f t="shared" si="1120"/>
        <v>2855.02</v>
      </c>
      <c r="BD151" s="177">
        <f t="shared" si="1120"/>
        <v>2917.4</v>
      </c>
      <c r="BE151" s="177">
        <f t="shared" si="1120"/>
        <v>3969.16</v>
      </c>
      <c r="BF151" s="177">
        <f t="shared" si="1120"/>
        <v>3944.48</v>
      </c>
      <c r="BG151" s="177">
        <f t="shared" si="1120"/>
        <v>3956.7</v>
      </c>
      <c r="BH151" s="177">
        <f t="shared" si="1120"/>
        <v>4607.76</v>
      </c>
      <c r="BI151" s="177">
        <f t="shared" si="1120"/>
        <v>5569.83</v>
      </c>
      <c r="BJ151" s="177">
        <f t="shared" si="1120"/>
        <v>7305.4500000000007</v>
      </c>
      <c r="BK151" s="177">
        <f t="shared" si="1120"/>
        <v>9542.83</v>
      </c>
      <c r="BL151" s="177">
        <f t="shared" si="1120"/>
        <v>10740.09</v>
      </c>
      <c r="BM151" s="177">
        <f t="shared" si="1120"/>
        <v>10774.56</v>
      </c>
      <c r="BN151" s="177">
        <f t="shared" si="1120"/>
        <v>11415.96</v>
      </c>
      <c r="BO151" s="177">
        <f t="shared" si="1120"/>
        <v>11004.390000000001</v>
      </c>
      <c r="BP151" s="177">
        <f t="shared" si="1120"/>
        <v>10567.18</v>
      </c>
      <c r="BQ151" s="177">
        <f t="shared" si="1120"/>
        <v>10386.68</v>
      </c>
      <c r="BR151" s="177">
        <f t="shared" ref="BR151:CW151" si="1121">+SUM(BO59:BR59)</f>
        <v>9926.3300000000017</v>
      </c>
      <c r="BS151" s="177">
        <f t="shared" si="1121"/>
        <v>10309.469999999999</v>
      </c>
      <c r="BT151" s="177">
        <f t="shared" si="1121"/>
        <v>10694.720000000001</v>
      </c>
      <c r="BU151" s="177">
        <f t="shared" si="1121"/>
        <v>11009.400000000001</v>
      </c>
      <c r="BV151" s="177">
        <f t="shared" si="1121"/>
        <v>11257.52</v>
      </c>
      <c r="BW151" s="177">
        <f t="shared" si="1121"/>
        <v>11559.75</v>
      </c>
      <c r="BX151" s="177">
        <f t="shared" si="1121"/>
        <v>12269.79</v>
      </c>
      <c r="BY151" s="177">
        <f t="shared" si="1121"/>
        <v>12909.79</v>
      </c>
      <c r="BZ151" s="177">
        <f t="shared" si="1121"/>
        <v>13292.720000000001</v>
      </c>
      <c r="CA151" s="177">
        <f t="shared" si="1121"/>
        <v>13824.75</v>
      </c>
      <c r="CB151" s="177">
        <f t="shared" si="1121"/>
        <v>14247.14</v>
      </c>
      <c r="CC151" s="177">
        <f t="shared" si="1121"/>
        <v>15258.169999999998</v>
      </c>
      <c r="CD151" s="177">
        <f t="shared" si="1121"/>
        <v>16607.36</v>
      </c>
      <c r="CE151" s="177">
        <f t="shared" si="1121"/>
        <v>18322</v>
      </c>
      <c r="CF151" s="177">
        <f t="shared" si="1121"/>
        <v>20831.830000000002</v>
      </c>
      <c r="CG151" s="177">
        <f t="shared" si="1121"/>
        <v>22099.360000000001</v>
      </c>
      <c r="CH151" s="177">
        <f t="shared" si="1121"/>
        <v>23767.090000000004</v>
      </c>
      <c r="CI151" s="177">
        <f t="shared" si="1121"/>
        <v>25207.82</v>
      </c>
      <c r="CJ151" s="177">
        <f t="shared" si="1121"/>
        <v>25619.949999999997</v>
      </c>
      <c r="CK151" s="177">
        <f t="shared" si="1121"/>
        <v>26519.340000000004</v>
      </c>
      <c r="CL151" s="177">
        <f t="shared" si="1121"/>
        <v>27588.030000000002</v>
      </c>
      <c r="CM151" s="178">
        <f t="shared" si="1121"/>
        <v>28818.731163405457</v>
      </c>
      <c r="CN151" s="178">
        <f t="shared" si="1121"/>
        <v>30168.770054250948</v>
      </c>
      <c r="CO151" s="178">
        <f t="shared" si="1121"/>
        <v>31808.65747527478</v>
      </c>
      <c r="CP151" s="178">
        <f t="shared" si="1121"/>
        <v>33142.354579639948</v>
      </c>
      <c r="CQ151" s="178">
        <f t="shared" si="1121"/>
        <v>34638.530490186189</v>
      </c>
      <c r="CR151" s="178">
        <f t="shared" si="1121"/>
        <v>36251.380843155945</v>
      </c>
      <c r="CS151" s="178">
        <f t="shared" si="1121"/>
        <v>37879.037341429321</v>
      </c>
      <c r="CT151" s="178">
        <f t="shared" si="1121"/>
        <v>39712.437662375844</v>
      </c>
      <c r="CU151" s="178">
        <f t="shared" si="1121"/>
        <v>41291.389820730641</v>
      </c>
      <c r="CV151" s="178">
        <f t="shared" si="1121"/>
        <v>42785.097469934954</v>
      </c>
      <c r="CW151" s="178">
        <f t="shared" si="1121"/>
        <v>44699.893028026549</v>
      </c>
      <c r="CX151" s="178">
        <f t="shared" ref="CX151:DB151" si="1122">+SUM(CU59:CX59)</f>
        <v>46305.484479449369</v>
      </c>
      <c r="CY151" s="178">
        <f t="shared" si="1122"/>
        <v>47869.065803792219</v>
      </c>
      <c r="CZ151" s="178">
        <f t="shared" si="1122"/>
        <v>49499.072222441755</v>
      </c>
      <c r="DA151" s="178">
        <f t="shared" si="1122"/>
        <v>50771.645452610777</v>
      </c>
      <c r="DB151" s="178">
        <f t="shared" si="1122"/>
        <v>52359.163108060267</v>
      </c>
      <c r="DE151" s="179"/>
      <c r="DF151" s="177">
        <v>0</v>
      </c>
      <c r="DG151" s="177">
        <v>27286.653600666796</v>
      </c>
    </row>
    <row r="152" spans="1:111" s="163" customFormat="1" hidden="1" outlineLevel="1" x14ac:dyDescent="0.2">
      <c r="A152" s="163" t="s">
        <v>511</v>
      </c>
      <c r="E152" s="163">
        <f t="shared" ref="E152:AE152" ca="1" si="1123">+E151/E118</f>
        <v>0</v>
      </c>
      <c r="F152" s="163">
        <f t="shared" ca="1" si="1123"/>
        <v>0</v>
      </c>
      <c r="G152" s="163">
        <f t="shared" ca="1" si="1123"/>
        <v>0</v>
      </c>
      <c r="H152" s="163">
        <f t="shared" ca="1" si="1123"/>
        <v>0</v>
      </c>
      <c r="I152" s="163">
        <f t="shared" ca="1" si="1123"/>
        <v>0</v>
      </c>
      <c r="J152" s="163">
        <f t="shared" ca="1" si="1123"/>
        <v>0</v>
      </c>
      <c r="K152" s="163">
        <f t="shared" ca="1" si="1123"/>
        <v>0</v>
      </c>
      <c r="L152" s="163">
        <f t="shared" ca="1" si="1123"/>
        <v>0</v>
      </c>
      <c r="M152" s="163">
        <f t="shared" ca="1" si="1123"/>
        <v>0</v>
      </c>
      <c r="N152" s="163">
        <f t="shared" ca="1" si="1123"/>
        <v>0</v>
      </c>
      <c r="O152" s="163">
        <f t="shared" ca="1" si="1123"/>
        <v>0</v>
      </c>
      <c r="P152" s="163">
        <f t="shared" ca="1" si="1123"/>
        <v>1.1266315929675013</v>
      </c>
      <c r="Q152" s="163">
        <f t="shared" ca="1" si="1123"/>
        <v>18.288908497602559</v>
      </c>
      <c r="R152" s="163">
        <f t="shared" ca="1" si="1123"/>
        <v>23.938715370271712</v>
      </c>
      <c r="S152" s="163">
        <f t="shared" ca="1" si="1123"/>
        <v>32.835641981885992</v>
      </c>
      <c r="T152" s="163">
        <f t="shared" ca="1" si="1123"/>
        <v>60.813881859350026</v>
      </c>
      <c r="U152" s="163">
        <f t="shared" ca="1" si="1123"/>
        <v>95.031632924880114</v>
      </c>
      <c r="V152" s="163">
        <f t="shared" ca="1" si="1123"/>
        <v>82.63127663825253</v>
      </c>
      <c r="W152" s="163">
        <f t="shared" ca="1" si="1123"/>
        <v>93.712706446457119</v>
      </c>
      <c r="X152" s="163">
        <f t="shared" ca="1" si="1123"/>
        <v>110.65463505594032</v>
      </c>
      <c r="Y152" s="163">
        <f t="shared" ca="1" si="1123"/>
        <v>138.2472029834843</v>
      </c>
      <c r="Z152" s="163">
        <f ca="1">+Z151/Z118</f>
        <v>197.84804541822058</v>
      </c>
      <c r="AA152" s="163">
        <f ca="1">+AA151/AA118</f>
        <v>197.84804541822058</v>
      </c>
      <c r="AB152" s="94">
        <f t="shared" ca="1" si="1123"/>
        <v>275.89200336008213</v>
      </c>
      <c r="AC152" s="94">
        <f t="shared" ca="1" si="1123"/>
        <v>330.58435720544622</v>
      </c>
      <c r="AD152" s="94">
        <f t="shared" ca="1" si="1123"/>
        <v>385.46787159903909</v>
      </c>
      <c r="AE152" s="94">
        <f t="shared" ca="1" si="1123"/>
        <v>435.86144036411383</v>
      </c>
      <c r="AL152" s="163">
        <f t="shared" ref="AL152:BQ152" si="1124">+AL151/AL118</f>
        <v>0</v>
      </c>
      <c r="AM152" s="163">
        <f t="shared" si="1124"/>
        <v>0</v>
      </c>
      <c r="AN152" s="163">
        <f t="shared" si="1124"/>
        <v>0</v>
      </c>
      <c r="AO152" s="163">
        <f t="shared" si="1124"/>
        <v>0</v>
      </c>
      <c r="AP152" s="163">
        <f t="shared" si="1124"/>
        <v>0</v>
      </c>
      <c r="AQ152" s="163">
        <f t="shared" si="1124"/>
        <v>0</v>
      </c>
      <c r="AR152" s="163">
        <f t="shared" si="1124"/>
        <v>0</v>
      </c>
      <c r="AS152" s="163">
        <f t="shared" si="1124"/>
        <v>9.5314997336174739E-2</v>
      </c>
      <c r="AT152" s="163">
        <f t="shared" si="1124"/>
        <v>1.1265483484283429</v>
      </c>
      <c r="AU152" s="163">
        <f t="shared" si="1124"/>
        <v>5.0236414491209382</v>
      </c>
      <c r="AV152" s="163">
        <f t="shared" si="1124"/>
        <v>9.7206313265849769</v>
      </c>
      <c r="AW152" s="163">
        <f t="shared" si="1124"/>
        <v>14.008141315929675</v>
      </c>
      <c r="AX152" s="163">
        <f t="shared" si="1124"/>
        <v>18.288908497602556</v>
      </c>
      <c r="AY152" s="163">
        <f t="shared" si="1124"/>
        <v>19.652953516249333</v>
      </c>
      <c r="AZ152" s="163">
        <f t="shared" si="1124"/>
        <v>20.639068327117741</v>
      </c>
      <c r="BA152" s="163">
        <f t="shared" si="1124"/>
        <v>22.326601624933406</v>
      </c>
      <c r="BB152" s="163">
        <f t="shared" si="1124"/>
        <v>23.962356819392649</v>
      </c>
      <c r="BC152" s="163">
        <f t="shared" si="1124"/>
        <v>23.766482418753331</v>
      </c>
      <c r="BD152" s="163">
        <f t="shared" si="1124"/>
        <v>24.285761854022375</v>
      </c>
      <c r="BE152" s="163">
        <f t="shared" si="1124"/>
        <v>33.0410895045285</v>
      </c>
      <c r="BF152" s="163">
        <f t="shared" si="1124"/>
        <v>32.835641981885992</v>
      </c>
      <c r="BG152" s="163">
        <f t="shared" si="1124"/>
        <v>32.937366808737345</v>
      </c>
      <c r="BH152" s="163">
        <f t="shared" si="1124"/>
        <v>38.357085775173154</v>
      </c>
      <c r="BI152" s="163">
        <f t="shared" si="1124"/>
        <v>46.365793153969101</v>
      </c>
      <c r="BJ152" s="163">
        <f t="shared" si="1124"/>
        <v>60.813881859350033</v>
      </c>
      <c r="BK152" s="163">
        <f t="shared" si="1124"/>
        <v>79.438848561534357</v>
      </c>
      <c r="BL152" s="163">
        <f t="shared" si="1124"/>
        <v>89.405384256792757</v>
      </c>
      <c r="BM152" s="163">
        <f t="shared" si="1124"/>
        <v>89.692328183271172</v>
      </c>
      <c r="BN152" s="163">
        <f t="shared" si="1124"/>
        <v>95.031632924880114</v>
      </c>
      <c r="BO152" s="163">
        <f t="shared" si="1124"/>
        <v>91.605537426744817</v>
      </c>
      <c r="BP152" s="163">
        <f t="shared" si="1124"/>
        <v>87.966002930207779</v>
      </c>
      <c r="BQ152" s="163">
        <f t="shared" si="1124"/>
        <v>86.463438998401713</v>
      </c>
      <c r="BR152" s="163">
        <f t="shared" ref="BR152:CW152" si="1125">+BR151/BR118</f>
        <v>82.631276638252544</v>
      </c>
      <c r="BS152" s="163">
        <f t="shared" si="1125"/>
        <v>85.820707911561001</v>
      </c>
      <c r="BT152" s="163">
        <f t="shared" si="1125"/>
        <v>89.027703782631875</v>
      </c>
      <c r="BU152" s="163">
        <f t="shared" si="1125"/>
        <v>91.647242940863094</v>
      </c>
      <c r="BV152" s="163">
        <f t="shared" si="1125"/>
        <v>93.712706446457119</v>
      </c>
      <c r="BW152" s="163">
        <f t="shared" si="1125"/>
        <v>96.228606153436331</v>
      </c>
      <c r="BX152" s="163">
        <f t="shared" si="1125"/>
        <v>102.13930141182739</v>
      </c>
      <c r="BY152" s="163">
        <f t="shared" si="1125"/>
        <v>107.46695191795419</v>
      </c>
      <c r="BZ152" s="163">
        <f t="shared" si="1125"/>
        <v>110.65463505594035</v>
      </c>
      <c r="CA152" s="163">
        <f t="shared" si="1125"/>
        <v>115.08349427277571</v>
      </c>
      <c r="CB152" s="163">
        <f t="shared" si="1125"/>
        <v>118.59966036228023</v>
      </c>
      <c r="CC152" s="163">
        <f t="shared" si="1125"/>
        <v>127.01593300479487</v>
      </c>
      <c r="CD152" s="163">
        <f t="shared" si="1125"/>
        <v>138.2472029834843</v>
      </c>
      <c r="CE152" s="163">
        <f t="shared" si="1125"/>
        <v>152.52064464571123</v>
      </c>
      <c r="CF152" s="163">
        <f t="shared" si="1125"/>
        <v>173.4136088172616</v>
      </c>
      <c r="CG152" s="163">
        <f t="shared" si="1125"/>
        <v>183.96510388918486</v>
      </c>
      <c r="CH152" s="163">
        <f t="shared" si="1125"/>
        <v>197.84804541822061</v>
      </c>
      <c r="CI152" s="163">
        <f t="shared" si="1125"/>
        <v>209.84133590836441</v>
      </c>
      <c r="CJ152" s="163">
        <f t="shared" si="1125"/>
        <v>213.27209310069256</v>
      </c>
      <c r="CK152" s="163">
        <f t="shared" ref="CK152:CL152" si="1126">+CK151/CK118</f>
        <v>220.75902370804479</v>
      </c>
      <c r="CL152" s="163">
        <f t="shared" si="1126"/>
        <v>229.65528436334577</v>
      </c>
      <c r="CM152" s="50">
        <f t="shared" si="1125"/>
        <v>239.90019948226438</v>
      </c>
      <c r="CN152" s="50">
        <f t="shared" si="1125"/>
        <v>251.13853601367666</v>
      </c>
      <c r="CO152" s="50">
        <f t="shared" si="1125"/>
        <v>264.78970327712756</v>
      </c>
      <c r="CP152" s="50">
        <f t="shared" si="1125"/>
        <v>275.89200336008213</v>
      </c>
      <c r="CQ152" s="50">
        <f t="shared" si="1125"/>
        <v>288.34685077738902</v>
      </c>
      <c r="CR152" s="50">
        <f t="shared" si="1125"/>
        <v>301.77294921380479</v>
      </c>
      <c r="CS152" s="50">
        <f t="shared" si="1125"/>
        <v>315.32230072447157</v>
      </c>
      <c r="CT152" s="50">
        <f t="shared" si="1125"/>
        <v>330.58435720544622</v>
      </c>
      <c r="CU152" s="50">
        <f t="shared" si="1125"/>
        <v>343.72827168296021</v>
      </c>
      <c r="CV152" s="50">
        <f t="shared" si="1125"/>
        <v>356.16257217247397</v>
      </c>
      <c r="CW152" s="50">
        <f t="shared" si="1125"/>
        <v>372.10219955403028</v>
      </c>
      <c r="CX152" s="50">
        <f t="shared" ref="CX152:DB152" si="1127">+CX151/CX118</f>
        <v>385.46787159903909</v>
      </c>
      <c r="CY152" s="50">
        <f t="shared" si="1127"/>
        <v>398.48383227717284</v>
      </c>
      <c r="CZ152" s="50">
        <f t="shared" si="1127"/>
        <v>412.05274559171681</v>
      </c>
      <c r="DA152" s="50">
        <f t="shared" si="1127"/>
        <v>422.64622280076901</v>
      </c>
      <c r="DB152" s="50">
        <f t="shared" si="1127"/>
        <v>435.86144036411383</v>
      </c>
      <c r="DE152" s="164"/>
      <c r="DF152" s="163">
        <v>197.84804541822058</v>
      </c>
      <c r="DG152" s="163">
        <v>227.14649041577979</v>
      </c>
    </row>
    <row r="153" spans="1:111" s="163" customFormat="1" hidden="1" outlineLevel="1" x14ac:dyDescent="0.2">
      <c r="AB153" s="94"/>
      <c r="AC153" s="94"/>
      <c r="AD153" s="94"/>
      <c r="AE153" s="94"/>
      <c r="CM153" s="94"/>
      <c r="CN153" s="94"/>
      <c r="CO153" s="94"/>
      <c r="CP153" s="94"/>
      <c r="CQ153" s="94"/>
      <c r="CR153" s="94"/>
      <c r="CS153" s="94"/>
      <c r="CT153" s="94"/>
      <c r="CU153" s="94"/>
      <c r="CV153" s="94"/>
      <c r="CW153" s="94"/>
      <c r="CX153" s="94"/>
      <c r="CY153" s="94"/>
      <c r="CZ153" s="94"/>
      <c r="DA153" s="94"/>
      <c r="DB153" s="94"/>
      <c r="DE153" s="164"/>
    </row>
    <row r="154" spans="1:111" s="163" customFormat="1" hidden="1" outlineLevel="1" x14ac:dyDescent="0.2">
      <c r="A154" s="163" t="s">
        <v>506</v>
      </c>
      <c r="AB154" s="94"/>
      <c r="AC154" s="94"/>
      <c r="AD154" s="94"/>
      <c r="AE154" s="94"/>
      <c r="CM154" s="94"/>
      <c r="CN154" s="94"/>
      <c r="CO154" s="94"/>
      <c r="CP154" s="94"/>
      <c r="CQ154" s="94"/>
      <c r="CR154" s="94"/>
      <c r="CS154" s="94"/>
      <c r="CT154" s="94"/>
      <c r="CU154" s="94"/>
      <c r="CV154" s="94"/>
      <c r="CW154" s="94"/>
      <c r="CX154" s="94"/>
      <c r="CY154" s="94"/>
      <c r="CZ154" s="94"/>
      <c r="DA154" s="94"/>
      <c r="DB154" s="94"/>
      <c r="DE154" s="164"/>
    </row>
    <row r="155" spans="1:111" s="163" customFormat="1" hidden="1" outlineLevel="1" x14ac:dyDescent="0.2">
      <c r="A155" s="163" t="s">
        <v>507</v>
      </c>
      <c r="E155" s="163" t="e">
        <f t="shared" ref="E155:AE157" ca="1" si="1128">+E130/E$152</f>
        <v>#DIV/0!</v>
      </c>
      <c r="F155" s="163" t="e">
        <f t="shared" ca="1" si="1128"/>
        <v>#DIV/0!</v>
      </c>
      <c r="G155" s="163" t="e">
        <f t="shared" ca="1" si="1128"/>
        <v>#DIV/0!</v>
      </c>
      <c r="H155" s="163" t="e">
        <f t="shared" ca="1" si="1128"/>
        <v>#DIV/0!</v>
      </c>
      <c r="I155" s="163" t="e">
        <f t="shared" ca="1" si="1128"/>
        <v>#DIV/0!</v>
      </c>
      <c r="J155" s="163" t="e">
        <f t="shared" ca="1" si="1128"/>
        <v>#DIV/0!</v>
      </c>
      <c r="K155" s="163" t="e">
        <f t="shared" ca="1" si="1128"/>
        <v>#DIV/0!</v>
      </c>
      <c r="L155" s="163" t="e">
        <f t="shared" ca="1" si="1128"/>
        <v>#DIV/0!</v>
      </c>
      <c r="M155" s="163" t="e">
        <f t="shared" ca="1" si="1128"/>
        <v>#DIV/0!</v>
      </c>
      <c r="N155" s="163" t="e">
        <f t="shared" ca="1" si="1128"/>
        <v>#DIV/0!</v>
      </c>
      <c r="O155" s="163" t="e">
        <f t="shared" ca="1" si="1128"/>
        <v>#DIV/0!</v>
      </c>
      <c r="P155" s="163">
        <f t="shared" ca="1" si="1128"/>
        <v>0</v>
      </c>
      <c r="Q155" s="163">
        <f t="shared" ca="1" si="1128"/>
        <v>1.8754536392642724</v>
      </c>
      <c r="R155" s="163">
        <f t="shared" ca="1" si="1128"/>
        <v>2.6881141700658269</v>
      </c>
      <c r="S155" s="163">
        <f t="shared" ca="1" si="1128"/>
        <v>5.8244635541313423</v>
      </c>
      <c r="T155" s="163">
        <f t="shared" ca="1" si="1128"/>
        <v>3.5830634936930648</v>
      </c>
      <c r="U155" s="163">
        <f t="shared" ca="1" si="1128"/>
        <v>1.9861807504581308</v>
      </c>
      <c r="V155" s="163">
        <f t="shared" ca="1" si="1128"/>
        <v>10.99281091803315</v>
      </c>
      <c r="W155" s="163">
        <f t="shared" ca="1" si="1128"/>
        <v>25.314603429529772</v>
      </c>
      <c r="X155" s="163">
        <f t="shared" ca="1" si="1128"/>
        <v>9.0181491222263013</v>
      </c>
      <c r="Y155" s="163">
        <f t="shared" ca="1" si="1128"/>
        <v>7.4200416201009665</v>
      </c>
      <c r="Z155" s="163">
        <f t="shared" ref="Z155:AA157" ca="1" si="1129">+Z130/Z$152</f>
        <v>4.404895677173772</v>
      </c>
      <c r="AA155" s="163">
        <f t="shared" ref="AA155" ca="1" si="1130">+AA130/AA$152</f>
        <v>4.404895677173772</v>
      </c>
      <c r="AB155" s="50">
        <f t="shared" ref="AB155:AE155" ca="1" si="1131">+AB130/AB$152</f>
        <v>5.0889477871801923</v>
      </c>
      <c r="AC155" s="50">
        <f t="shared" ca="1" si="1131"/>
        <v>4.2470249102786939</v>
      </c>
      <c r="AD155" s="50">
        <f t="shared" ca="1" si="1131"/>
        <v>3.6423269056790049</v>
      </c>
      <c r="AE155" s="50">
        <f t="shared" ca="1" si="1131"/>
        <v>3.2212071772788939</v>
      </c>
      <c r="AL155" s="163" t="e">
        <f t="shared" ref="AL155:BQ155" si="1132">+AL130/AL152</f>
        <v>#DIV/0!</v>
      </c>
      <c r="AM155" s="163" t="e">
        <f t="shared" si="1132"/>
        <v>#DIV/0!</v>
      </c>
      <c r="AN155" s="163" t="e">
        <f t="shared" si="1132"/>
        <v>#DIV/0!</v>
      </c>
      <c r="AO155" s="163" t="e">
        <f t="shared" si="1132"/>
        <v>#DIV/0!</v>
      </c>
      <c r="AP155" s="163" t="e">
        <f t="shared" si="1132"/>
        <v>#DIV/0!</v>
      </c>
      <c r="AQ155" s="163" t="e">
        <f t="shared" si="1132"/>
        <v>#DIV/0!</v>
      </c>
      <c r="AR155" s="163" t="e">
        <f t="shared" si="1132"/>
        <v>#DIV/0!</v>
      </c>
      <c r="AS155" s="163">
        <f t="shared" si="1132"/>
        <v>0</v>
      </c>
      <c r="AT155" s="163">
        <f t="shared" si="1132"/>
        <v>0</v>
      </c>
      <c r="AU155" s="163">
        <f t="shared" si="1132"/>
        <v>0</v>
      </c>
      <c r="AV155" s="163">
        <f t="shared" si="1132"/>
        <v>2.7621662727366147</v>
      </c>
      <c r="AW155" s="163">
        <f t="shared" si="1132"/>
        <v>2.6306130962638981</v>
      </c>
      <c r="AX155" s="163">
        <f t="shared" si="1132"/>
        <v>1.8754536392642729</v>
      </c>
      <c r="AY155" s="163">
        <f t="shared" si="1132"/>
        <v>1.9615372299194789</v>
      </c>
      <c r="AZ155" s="163">
        <f t="shared" si="1132"/>
        <v>1.8460135601150311</v>
      </c>
      <c r="BA155" s="163">
        <f t="shared" si="1132"/>
        <v>2.5306135232378217</v>
      </c>
      <c r="BB155" s="163">
        <f t="shared" si="1132"/>
        <v>2.6854620555488</v>
      </c>
      <c r="BC155" s="163">
        <f t="shared" si="1132"/>
        <v>5.2132241455401367</v>
      </c>
      <c r="BD155" s="163">
        <f t="shared" si="1132"/>
        <v>6.2773406457804892</v>
      </c>
      <c r="BE155" s="163">
        <f t="shared" si="1132"/>
        <v>6.7643047899303639</v>
      </c>
      <c r="BF155" s="163">
        <f t="shared" si="1132"/>
        <v>5.8244635541313423</v>
      </c>
      <c r="BG155" s="163">
        <f t="shared" si="1132"/>
        <v>4.7347440038415849</v>
      </c>
      <c r="BH155" s="163">
        <f t="shared" si="1132"/>
        <v>4.1778460683716157</v>
      </c>
      <c r="BI155" s="163">
        <f t="shared" si="1132"/>
        <v>4.2898004427424175</v>
      </c>
      <c r="BJ155" s="163">
        <f t="shared" si="1132"/>
        <v>3.5830634936930643</v>
      </c>
      <c r="BK155" s="163">
        <f t="shared" si="1132"/>
        <v>2.824184943041006</v>
      </c>
      <c r="BL155" s="163">
        <f t="shared" si="1132"/>
        <v>2.556892986930277</v>
      </c>
      <c r="BM155" s="163">
        <f t="shared" si="1132"/>
        <v>3.7004279710726005</v>
      </c>
      <c r="BN155" s="163">
        <f t="shared" si="1132"/>
        <v>1.9861807504581308</v>
      </c>
      <c r="BO155" s="163">
        <f t="shared" si="1132"/>
        <v>2.8349814574001826</v>
      </c>
      <c r="BP155" s="163">
        <f t="shared" si="1132"/>
        <v>2.7544732274835861</v>
      </c>
      <c r="BQ155" s="163">
        <f t="shared" si="1132"/>
        <v>5.062255273099777</v>
      </c>
      <c r="BR155" s="163">
        <f t="shared" ref="BR155:DB155" si="1133">+BR130/BR152</f>
        <v>10.992810918033149</v>
      </c>
      <c r="BS155" s="163">
        <f t="shared" si="1133"/>
        <v>12.385705336937788</v>
      </c>
      <c r="BT155" s="163">
        <f t="shared" si="1133"/>
        <v>17.436707160168751</v>
      </c>
      <c r="BU155" s="163">
        <f t="shared" si="1133"/>
        <v>18.907824658927822</v>
      </c>
      <c r="BV155" s="163">
        <f t="shared" si="1133"/>
        <v>25.314603429529772</v>
      </c>
      <c r="BW155" s="163">
        <f t="shared" si="1133"/>
        <v>25.707012694911224</v>
      </c>
      <c r="BX155" s="163">
        <f t="shared" si="1133"/>
        <v>32.217764900621766</v>
      </c>
      <c r="BY155" s="163">
        <f t="shared" si="1133"/>
        <v>24.114855346213997</v>
      </c>
      <c r="BZ155" s="163">
        <f t="shared" si="1133"/>
        <v>9.0181491222262995</v>
      </c>
      <c r="CA155" s="163">
        <f t="shared" si="1133"/>
        <v>6.6690710501094053</v>
      </c>
      <c r="CB155" s="163">
        <f t="shared" si="1133"/>
        <v>6.8212674263045079</v>
      </c>
      <c r="CC155" s="163">
        <f t="shared" si="1133"/>
        <v>8.2351873127642445</v>
      </c>
      <c r="CD155" s="163">
        <f t="shared" si="1133"/>
        <v>7.4200416201009665</v>
      </c>
      <c r="CE155" s="163">
        <f t="shared" si="1133"/>
        <v>6.5430486628097375</v>
      </c>
      <c r="CF155" s="163">
        <f t="shared" si="1133"/>
        <v>5.822207420087433</v>
      </c>
      <c r="CG155" s="163">
        <f t="shared" si="1133"/>
        <v>4.383440027222508</v>
      </c>
      <c r="CH155" s="163">
        <f t="shared" si="1133"/>
        <v>4.404895677173772</v>
      </c>
      <c r="CI155" s="163">
        <f t="shared" si="1133"/>
        <v>4.2022225801358468</v>
      </c>
      <c r="CJ155" s="163">
        <f t="shared" si="1133"/>
        <v>4.0867981709566186</v>
      </c>
      <c r="CK155" s="163">
        <f t="shared" ref="CK155:CL155" si="1134">+CK130/CK152</f>
        <v>4.6623235721552643</v>
      </c>
      <c r="CL155" s="163">
        <f t="shared" si="1134"/>
        <v>4.0678358548979396</v>
      </c>
      <c r="CM155" s="50">
        <f t="shared" si="1133"/>
        <v>5.8524336496176881</v>
      </c>
      <c r="CN155" s="50">
        <f t="shared" si="1133"/>
        <v>5.5905398760608369</v>
      </c>
      <c r="CO155" s="50">
        <f t="shared" si="1133"/>
        <v>5.3023209838736847</v>
      </c>
      <c r="CP155" s="50">
        <f t="shared" si="1133"/>
        <v>5.0889477871801923</v>
      </c>
      <c r="CQ155" s="50">
        <f t="shared" si="1133"/>
        <v>4.8691358903861346</v>
      </c>
      <c r="CR155" s="50">
        <f t="shared" si="1133"/>
        <v>4.6525044860971692</v>
      </c>
      <c r="CS155" s="50">
        <f t="shared" si="1133"/>
        <v>4.4525870728909034</v>
      </c>
      <c r="CT155" s="50">
        <f t="shared" si="1133"/>
        <v>4.2470249102786939</v>
      </c>
      <c r="CU155" s="50">
        <f t="shared" si="1133"/>
        <v>4.0846218238777512</v>
      </c>
      <c r="CV155" s="50">
        <f t="shared" si="1133"/>
        <v>3.9420200484179571</v>
      </c>
      <c r="CW155" s="50">
        <f t="shared" si="1133"/>
        <v>3.7731569490390378</v>
      </c>
      <c r="CX155" s="50">
        <f t="shared" si="1133"/>
        <v>3.6423269056790049</v>
      </c>
      <c r="CY155" s="50">
        <f t="shared" si="1133"/>
        <v>3.5233549927903267</v>
      </c>
      <c r="CZ155" s="50">
        <f t="shared" si="1133"/>
        <v>3.4073307726267545</v>
      </c>
      <c r="DA155" s="50">
        <f t="shared" si="1133"/>
        <v>3.3219272390417904</v>
      </c>
      <c r="DB155" s="50">
        <f t="shared" si="1133"/>
        <v>3.2212071772788939</v>
      </c>
      <c r="DE155" s="106"/>
      <c r="DF155" s="163">
        <v>4.404895677173772</v>
      </c>
      <c r="DG155" s="163">
        <v>4.1127644027869223</v>
      </c>
    </row>
    <row r="156" spans="1:111" s="163" customFormat="1" hidden="1" outlineLevel="1" x14ac:dyDescent="0.2">
      <c r="A156" s="163" t="s">
        <v>508</v>
      </c>
      <c r="E156" s="163" t="e">
        <f t="shared" ca="1" si="1128"/>
        <v>#DIV/0!</v>
      </c>
      <c r="F156" s="163" t="e">
        <f t="shared" ca="1" si="1128"/>
        <v>#DIV/0!</v>
      </c>
      <c r="G156" s="163" t="e">
        <f t="shared" ca="1" si="1128"/>
        <v>#DIV/0!</v>
      </c>
      <c r="H156" s="163" t="e">
        <f t="shared" ca="1" si="1128"/>
        <v>#DIV/0!</v>
      </c>
      <c r="I156" s="163" t="e">
        <f t="shared" ca="1" si="1128"/>
        <v>#DIV/0!</v>
      </c>
      <c r="J156" s="163" t="e">
        <f t="shared" ca="1" si="1128"/>
        <v>#DIV/0!</v>
      </c>
      <c r="K156" s="163" t="e">
        <f t="shared" ca="1" si="1128"/>
        <v>#DIV/0!</v>
      </c>
      <c r="L156" s="163" t="e">
        <f t="shared" ca="1" si="1128"/>
        <v>#DIV/0!</v>
      </c>
      <c r="M156" s="163" t="e">
        <f t="shared" ca="1" si="1128"/>
        <v>#DIV/0!</v>
      </c>
      <c r="N156" s="163" t="e">
        <f t="shared" ca="1" si="1128"/>
        <v>#DIV/0!</v>
      </c>
      <c r="O156" s="163" t="e">
        <f t="shared" ca="1" si="1128"/>
        <v>#DIV/0!</v>
      </c>
      <c r="P156" s="163">
        <f t="shared" ca="1" si="1128"/>
        <v>0</v>
      </c>
      <c r="Q156" s="163">
        <f t="shared" ca="1" si="1128"/>
        <v>2.3292806131970267</v>
      </c>
      <c r="R156" s="163">
        <f t="shared" ca="1" si="1128"/>
        <v>2.9116015175382772</v>
      </c>
      <c r="S156" s="163">
        <f t="shared" ca="1" si="1128"/>
        <v>7.6745872713260042</v>
      </c>
      <c r="T156" s="163">
        <f t="shared" ca="1" si="1128"/>
        <v>4.2144982718381483</v>
      </c>
      <c r="U156" s="163">
        <f t="shared" ca="1" si="1128"/>
        <v>3.8492446014176651</v>
      </c>
      <c r="V156" s="163">
        <f t="shared" ca="1" si="1128"/>
        <v>11.187047297440243</v>
      </c>
      <c r="W156" s="163">
        <f t="shared" ca="1" si="1128"/>
        <v>27.505875112813477</v>
      </c>
      <c r="X156" s="163">
        <f t="shared" ca="1" si="1128"/>
        <v>38.304315023561777</v>
      </c>
      <c r="Y156" s="163">
        <f t="shared" ca="1" si="1128"/>
        <v>9.0417742494893822</v>
      </c>
      <c r="Z156" s="163">
        <f t="shared" ca="1" si="1129"/>
        <v>6.8128042263482822</v>
      </c>
      <c r="AA156" s="163">
        <f t="shared" ref="AA156" ca="1" si="1135">+AA131/AA$152</f>
        <v>6.8128042263482822</v>
      </c>
      <c r="AB156" s="94">
        <f t="shared" ca="1" si="1128"/>
        <v>5.7023117461519899</v>
      </c>
      <c r="AC156" s="94">
        <f t="shared" ca="1" si="1128"/>
        <v>5.406046223272325</v>
      </c>
      <c r="AD156" s="94">
        <f t="shared" ca="1" si="1128"/>
        <v>5.3625643816746722</v>
      </c>
      <c r="AE156" s="94">
        <f t="shared" ca="1" si="1128"/>
        <v>5.4518595151077811</v>
      </c>
      <c r="AL156" s="163" t="e">
        <f t="shared" ref="AL156:BQ156" si="1136">+AL131/AL152</f>
        <v>#DIV/0!</v>
      </c>
      <c r="AM156" s="163" t="e">
        <f t="shared" si="1136"/>
        <v>#DIV/0!</v>
      </c>
      <c r="AN156" s="163" t="e">
        <f t="shared" si="1136"/>
        <v>#DIV/0!</v>
      </c>
      <c r="AO156" s="163" t="e">
        <f t="shared" si="1136"/>
        <v>#DIV/0!</v>
      </c>
      <c r="AP156" s="163" t="e">
        <f t="shared" si="1136"/>
        <v>#DIV/0!</v>
      </c>
      <c r="AQ156" s="163" t="e">
        <f t="shared" si="1136"/>
        <v>#DIV/0!</v>
      </c>
      <c r="AR156" s="163" t="e">
        <f t="shared" si="1136"/>
        <v>#DIV/0!</v>
      </c>
      <c r="AS156" s="163">
        <f t="shared" si="1136"/>
        <v>0</v>
      </c>
      <c r="AT156" s="163">
        <f t="shared" si="1136"/>
        <v>0</v>
      </c>
      <c r="AU156" s="163">
        <f t="shared" si="1136"/>
        <v>0</v>
      </c>
      <c r="AV156" s="163">
        <f t="shared" si="1136"/>
        <v>4.3721440071249953</v>
      </c>
      <c r="AW156" s="163">
        <f t="shared" si="1136"/>
        <v>2.9589935641828653</v>
      </c>
      <c r="AX156" s="163">
        <f t="shared" si="1136"/>
        <v>2.3292806131970272</v>
      </c>
      <c r="AY156" s="163">
        <f t="shared" si="1136"/>
        <v>2.0556706637807247</v>
      </c>
      <c r="AZ156" s="163">
        <f t="shared" si="1136"/>
        <v>2.0737370176620296</v>
      </c>
      <c r="BA156" s="163">
        <f t="shared" si="1136"/>
        <v>2.9561149121008183</v>
      </c>
      <c r="BB156" s="163">
        <f t="shared" si="1136"/>
        <v>2.9087289086519252</v>
      </c>
      <c r="BC156" s="163">
        <f t="shared" si="1136"/>
        <v>5.7644205644794084</v>
      </c>
      <c r="BD156" s="163">
        <f t="shared" si="1136"/>
        <v>6.4235168300541581</v>
      </c>
      <c r="BE156" s="163">
        <f t="shared" si="1136"/>
        <v>7.498239425974262</v>
      </c>
      <c r="BF156" s="163">
        <f t="shared" si="1136"/>
        <v>7.6745872713260042</v>
      </c>
      <c r="BG156" s="163">
        <f t="shared" si="1136"/>
        <v>6.0387340965956486</v>
      </c>
      <c r="BH156" s="163">
        <f t="shared" si="1136"/>
        <v>6.3873465631890545</v>
      </c>
      <c r="BI156" s="163">
        <f t="shared" si="1136"/>
        <v>5.527782068752547</v>
      </c>
      <c r="BJ156" s="163">
        <f t="shared" si="1136"/>
        <v>3.9875763984422585</v>
      </c>
      <c r="BK156" s="163">
        <f t="shared" si="1136"/>
        <v>3.1854691323223827</v>
      </c>
      <c r="BL156" s="163">
        <f t="shared" si="1136"/>
        <v>2.7626971468581734</v>
      </c>
      <c r="BM156" s="163">
        <f t="shared" si="1136"/>
        <v>3.9027864154081469</v>
      </c>
      <c r="BN156" s="163">
        <f t="shared" si="1136"/>
        <v>3.8492446014176651</v>
      </c>
      <c r="BO156" s="163">
        <f t="shared" si="1136"/>
        <v>3.0778707043279994</v>
      </c>
      <c r="BP156" s="163">
        <f t="shared" si="1136"/>
        <v>3.4456493406944904</v>
      </c>
      <c r="BQ156" s="163">
        <f t="shared" si="1136"/>
        <v>5.262339842952704</v>
      </c>
      <c r="BR156" s="163">
        <f t="shared" ref="BR156:CJ156" si="1137">+BR131/BR152</f>
        <v>11.187047297440241</v>
      </c>
      <c r="BS156" s="163">
        <f t="shared" si="1137"/>
        <v>19.199328927675236</v>
      </c>
      <c r="BT156" s="163">
        <f t="shared" si="1137"/>
        <v>22.352592681248314</v>
      </c>
      <c r="BU156" s="163">
        <f t="shared" si="1137"/>
        <v>22.150148055298196</v>
      </c>
      <c r="BV156" s="163">
        <f t="shared" si="1137"/>
        <v>27.505875112813477</v>
      </c>
      <c r="BW156" s="163">
        <f t="shared" si="1137"/>
        <v>31.17576072146889</v>
      </c>
      <c r="BX156" s="163">
        <f t="shared" si="1137"/>
        <v>41.497738298699488</v>
      </c>
      <c r="BY156" s="163">
        <f t="shared" si="1137"/>
        <v>31.826063166015867</v>
      </c>
      <c r="BZ156" s="163">
        <f t="shared" si="1137"/>
        <v>25.291303871592866</v>
      </c>
      <c r="CA156" s="163">
        <f t="shared" si="1137"/>
        <v>9.5474160473064611</v>
      </c>
      <c r="CB156" s="163">
        <f t="shared" si="1137"/>
        <v>8.2331601710939886</v>
      </c>
      <c r="CC156" s="163">
        <f t="shared" si="1137"/>
        <v>9.8097929174992817</v>
      </c>
      <c r="CD156" s="163">
        <f t="shared" si="1137"/>
        <v>9.0417742494893822</v>
      </c>
      <c r="CE156" s="163">
        <f t="shared" si="1137"/>
        <v>8.1890553433031332</v>
      </c>
      <c r="CF156" s="163">
        <f t="shared" si="1137"/>
        <v>7.7727463789787068</v>
      </c>
      <c r="CG156" s="163">
        <f t="shared" si="1137"/>
        <v>5.9285700219372881</v>
      </c>
      <c r="CH156" s="163">
        <f t="shared" si="1137"/>
        <v>4.5211465097325743</v>
      </c>
      <c r="CI156" s="163">
        <f t="shared" si="1137"/>
        <v>4.6794879366799673</v>
      </c>
      <c r="CJ156" s="163">
        <f t="shared" si="1137"/>
        <v>4.4916800227947373</v>
      </c>
      <c r="CK156" s="163">
        <f t="shared" ref="CK156:CL156" si="1138">+CK131/CK152</f>
        <v>4.7563174649142841</v>
      </c>
      <c r="CL156" s="163">
        <f t="shared" si="1138"/>
        <v>4.6474001369434497</v>
      </c>
      <c r="CM156" s="94">
        <f t="shared" ref="CM156:DB156" si="1139">+CL156</f>
        <v>4.6474001369434497</v>
      </c>
      <c r="CN156" s="94">
        <f t="shared" si="1139"/>
        <v>4.6474001369434497</v>
      </c>
      <c r="CO156" s="94">
        <f t="shared" si="1139"/>
        <v>4.6474001369434497</v>
      </c>
      <c r="CP156" s="94">
        <f t="shared" si="1139"/>
        <v>4.6474001369434497</v>
      </c>
      <c r="CQ156" s="94">
        <f t="shared" si="1139"/>
        <v>4.6474001369434497</v>
      </c>
      <c r="CR156" s="94">
        <f t="shared" si="1139"/>
        <v>4.6474001369434497</v>
      </c>
      <c r="CS156" s="94">
        <f t="shared" si="1139"/>
        <v>4.6474001369434497</v>
      </c>
      <c r="CT156" s="94">
        <f t="shared" si="1139"/>
        <v>4.6474001369434497</v>
      </c>
      <c r="CU156" s="94">
        <f t="shared" si="1139"/>
        <v>4.6474001369434497</v>
      </c>
      <c r="CV156" s="94">
        <f t="shared" si="1139"/>
        <v>4.6474001369434497</v>
      </c>
      <c r="CW156" s="94">
        <f t="shared" si="1139"/>
        <v>4.6474001369434497</v>
      </c>
      <c r="CX156" s="94">
        <f t="shared" si="1139"/>
        <v>4.6474001369434497</v>
      </c>
      <c r="CY156" s="94">
        <f t="shared" si="1139"/>
        <v>4.6474001369434497</v>
      </c>
      <c r="CZ156" s="94">
        <f t="shared" si="1139"/>
        <v>4.6474001369434497</v>
      </c>
      <c r="DA156" s="94">
        <f t="shared" si="1139"/>
        <v>4.6474001369434497</v>
      </c>
      <c r="DB156" s="94">
        <f t="shared" si="1139"/>
        <v>4.6474001369434497</v>
      </c>
      <c r="DE156" s="164"/>
      <c r="DF156" s="163">
        <v>6.8128042263482822</v>
      </c>
      <c r="DG156" s="163">
        <v>4.6987298727194204</v>
      </c>
    </row>
    <row r="157" spans="1:111" s="163" customFormat="1" hidden="1" outlineLevel="1" x14ac:dyDescent="0.2">
      <c r="A157" s="163" t="s">
        <v>509</v>
      </c>
      <c r="E157" s="163" t="e">
        <f t="shared" ca="1" si="1128"/>
        <v>#DIV/0!</v>
      </c>
      <c r="F157" s="163" t="e">
        <f t="shared" ca="1" si="1128"/>
        <v>#DIV/0!</v>
      </c>
      <c r="G157" s="163" t="e">
        <f t="shared" ca="1" si="1128"/>
        <v>#DIV/0!</v>
      </c>
      <c r="H157" s="163" t="e">
        <f t="shared" ca="1" si="1128"/>
        <v>#DIV/0!</v>
      </c>
      <c r="I157" s="163" t="e">
        <f t="shared" ca="1" si="1128"/>
        <v>#DIV/0!</v>
      </c>
      <c r="J157" s="163" t="e">
        <f t="shared" ca="1" si="1128"/>
        <v>#DIV/0!</v>
      </c>
      <c r="K157" s="163" t="e">
        <f t="shared" ca="1" si="1128"/>
        <v>#DIV/0!</v>
      </c>
      <c r="L157" s="163" t="e">
        <f t="shared" ca="1" si="1128"/>
        <v>#DIV/0!</v>
      </c>
      <c r="M157" s="163" t="e">
        <f t="shared" ca="1" si="1128"/>
        <v>#DIV/0!</v>
      </c>
      <c r="N157" s="163" t="e">
        <f t="shared" ca="1" si="1128"/>
        <v>#DIV/0!</v>
      </c>
      <c r="O157" s="163" t="e">
        <f t="shared" ca="1" si="1128"/>
        <v>#DIV/0!</v>
      </c>
      <c r="P157" s="163">
        <f t="shared" ca="1" si="1128"/>
        <v>0</v>
      </c>
      <c r="Q157" s="163">
        <f t="shared" ca="1" si="1128"/>
        <v>1.3806182038315709</v>
      </c>
      <c r="R157" s="163">
        <f t="shared" ca="1" si="1128"/>
        <v>1.1842740749241056</v>
      </c>
      <c r="S157" s="163">
        <f t="shared" ca="1" si="1128"/>
        <v>1.9643288849227272</v>
      </c>
      <c r="T157" s="163">
        <f t="shared" ca="1" si="1128"/>
        <v>1.8910156116324115</v>
      </c>
      <c r="U157" s="163">
        <f t="shared" ca="1" si="1128"/>
        <v>1.5521147586361552</v>
      </c>
      <c r="V157" s="163">
        <f t="shared" ca="1" si="1128"/>
        <v>2.0234468932626659</v>
      </c>
      <c r="W157" s="163">
        <f t="shared" ca="1" si="1128"/>
        <v>9.1823193740717315</v>
      </c>
      <c r="X157" s="163">
        <f t="shared" ca="1" si="1128"/>
        <v>5.6933900661414674</v>
      </c>
      <c r="Y157" s="163">
        <f t="shared" ca="1" si="1128"/>
        <v>4.968635785579405</v>
      </c>
      <c r="Z157" s="163">
        <f t="shared" ca="1" si="1129"/>
        <v>2.9732414022919924</v>
      </c>
      <c r="AA157" s="163">
        <f t="shared" ref="AA157" ca="1" si="1140">+AA132/AA$152</f>
        <v>2.9732414022919924</v>
      </c>
      <c r="AB157" s="94">
        <f t="shared" ca="1" si="1128"/>
        <v>3.5908532141659344</v>
      </c>
      <c r="AC157" s="94">
        <f t="shared" ca="1" si="1128"/>
        <v>3.40841891792082</v>
      </c>
      <c r="AD157" s="94">
        <f t="shared" ca="1" si="1128"/>
        <v>3.3267816830805086</v>
      </c>
      <c r="AE157" s="94">
        <f t="shared" ca="1" si="1128"/>
        <v>3.4041682392427424</v>
      </c>
      <c r="AL157" s="163" t="e">
        <f t="shared" ref="AL157:BQ157" si="1141">+AL132/AL152</f>
        <v>#DIV/0!</v>
      </c>
      <c r="AM157" s="163" t="e">
        <f t="shared" si="1141"/>
        <v>#DIV/0!</v>
      </c>
      <c r="AN157" s="163" t="e">
        <f t="shared" si="1141"/>
        <v>#DIV/0!</v>
      </c>
      <c r="AO157" s="163" t="e">
        <f t="shared" si="1141"/>
        <v>#DIV/0!</v>
      </c>
      <c r="AP157" s="163" t="e">
        <f t="shared" si="1141"/>
        <v>#DIV/0!</v>
      </c>
      <c r="AQ157" s="163" t="e">
        <f t="shared" si="1141"/>
        <v>#DIV/0!</v>
      </c>
      <c r="AR157" s="163" t="e">
        <f t="shared" si="1141"/>
        <v>#DIV/0!</v>
      </c>
      <c r="AS157" s="163">
        <f t="shared" si="1141"/>
        <v>0</v>
      </c>
      <c r="AT157" s="163">
        <f t="shared" si="1141"/>
        <v>0</v>
      </c>
      <c r="AU157" s="163">
        <f t="shared" si="1141"/>
        <v>0</v>
      </c>
      <c r="AV157" s="163">
        <f t="shared" si="1141"/>
        <v>2.5975679101154383</v>
      </c>
      <c r="AW157" s="163">
        <f t="shared" si="1141"/>
        <v>1.8988957492705481</v>
      </c>
      <c r="AX157" s="163">
        <f t="shared" si="1141"/>
        <v>1.438030049931498</v>
      </c>
      <c r="AY157" s="163">
        <f t="shared" si="1141"/>
        <v>1.4425312702520683</v>
      </c>
      <c r="AZ157" s="163">
        <f t="shared" si="1141"/>
        <v>1.6473611822548835</v>
      </c>
      <c r="BA157" s="163">
        <f t="shared" si="1141"/>
        <v>1.7132029604220651</v>
      </c>
      <c r="BB157" s="163">
        <f t="shared" si="1141"/>
        <v>2.3495184728422291</v>
      </c>
      <c r="BC157" s="163">
        <f t="shared" si="1141"/>
        <v>2.7139060321819111</v>
      </c>
      <c r="BD157" s="163">
        <f t="shared" si="1141"/>
        <v>4.2411681634331941</v>
      </c>
      <c r="BE157" s="163">
        <f t="shared" si="1141"/>
        <v>4.6321111771760277</v>
      </c>
      <c r="BF157" s="163">
        <f t="shared" si="1141"/>
        <v>4.7143893238145456</v>
      </c>
      <c r="BG157" s="163">
        <f t="shared" si="1141"/>
        <v>3.4914752192483638</v>
      </c>
      <c r="BH157" s="163">
        <f t="shared" si="1141"/>
        <v>3.7972123548101462</v>
      </c>
      <c r="BI157" s="163">
        <f t="shared" si="1141"/>
        <v>3.04858367311031</v>
      </c>
      <c r="BJ157" s="163">
        <f t="shared" si="1141"/>
        <v>2.9598505225550786</v>
      </c>
      <c r="BK157" s="163">
        <f t="shared" si="1141"/>
        <v>2.5541659235258307</v>
      </c>
      <c r="BL157" s="163">
        <f t="shared" si="1141"/>
        <v>2.1587066775045645</v>
      </c>
      <c r="BM157" s="163">
        <f t="shared" si="1141"/>
        <v>2.4611915474970671</v>
      </c>
      <c r="BN157" s="163">
        <f t="shared" si="1141"/>
        <v>1.5521147586361552</v>
      </c>
      <c r="BO157" s="163">
        <f t="shared" si="1141"/>
        <v>1.8252171724193704</v>
      </c>
      <c r="BP157" s="163">
        <f t="shared" si="1141"/>
        <v>2.5123342272962135</v>
      </c>
      <c r="BQ157" s="163">
        <f t="shared" si="1141"/>
        <v>2.7948229078011453</v>
      </c>
      <c r="BR157" s="163">
        <f t="shared" ref="BR157:CJ157" si="1142">+BR132/BR152</f>
        <v>4.840782041298243</v>
      </c>
      <c r="BS157" s="163">
        <f t="shared" si="1142"/>
        <v>10.080317688494171</v>
      </c>
      <c r="BT157" s="163">
        <f t="shared" si="1142"/>
        <v>9.6655306543789816</v>
      </c>
      <c r="BU157" s="163">
        <f t="shared" si="1142"/>
        <v>16.491494468363395</v>
      </c>
      <c r="BV157" s="163">
        <f t="shared" si="1142"/>
        <v>17.820422259964893</v>
      </c>
      <c r="BW157" s="163">
        <f t="shared" si="1142"/>
        <v>19.744648456930296</v>
      </c>
      <c r="BX157" s="163">
        <f t="shared" si="1142"/>
        <v>21.79768188371602</v>
      </c>
      <c r="BY157" s="163">
        <f t="shared" si="1142"/>
        <v>20.283910179793782</v>
      </c>
      <c r="BZ157" s="163">
        <f t="shared" si="1142"/>
        <v>5.6933900661414665</v>
      </c>
      <c r="CA157" s="163">
        <f t="shared" si="1142"/>
        <v>6.2024533101864403</v>
      </c>
      <c r="CB157" s="163">
        <f t="shared" si="1142"/>
        <v>6.2238795435434762</v>
      </c>
      <c r="CC157" s="163">
        <f t="shared" si="1142"/>
        <v>5.4079829494624851</v>
      </c>
      <c r="CD157" s="163">
        <f t="shared" si="1142"/>
        <v>6.6410023507649614</v>
      </c>
      <c r="CE157" s="163">
        <f t="shared" si="1142"/>
        <v>5.4563105337845217</v>
      </c>
      <c r="CF157" s="163">
        <f t="shared" si="1142"/>
        <v>5.2804390972852602</v>
      </c>
      <c r="CG157" s="163">
        <f t="shared" si="1142"/>
        <v>3.1976173065645344</v>
      </c>
      <c r="CH157" s="163">
        <f t="shared" si="1142"/>
        <v>3.2315204259335064</v>
      </c>
      <c r="CI157" s="163">
        <f t="shared" si="1142"/>
        <v>3.7080396797501729</v>
      </c>
      <c r="CJ157" s="163">
        <f t="shared" si="1142"/>
        <v>3.4953002484392055</v>
      </c>
      <c r="CK157" s="163">
        <f t="shared" ref="CK157:CL157" si="1143">+CK132/CK152</f>
        <v>3.9391368261804396</v>
      </c>
      <c r="CL157" s="163">
        <f t="shared" si="1143"/>
        <v>3.5039472408867178</v>
      </c>
      <c r="CM157" s="94">
        <f t="shared" ref="CM157:DB157" si="1144">+CL157</f>
        <v>3.5039472408867178</v>
      </c>
      <c r="CN157" s="94">
        <f t="shared" si="1144"/>
        <v>3.5039472408867178</v>
      </c>
      <c r="CO157" s="94">
        <f t="shared" si="1144"/>
        <v>3.5039472408867178</v>
      </c>
      <c r="CP157" s="94">
        <f t="shared" si="1144"/>
        <v>3.5039472408867178</v>
      </c>
      <c r="CQ157" s="94">
        <f t="shared" si="1144"/>
        <v>3.5039472408867178</v>
      </c>
      <c r="CR157" s="94">
        <f t="shared" si="1144"/>
        <v>3.5039472408867178</v>
      </c>
      <c r="CS157" s="94">
        <f t="shared" si="1144"/>
        <v>3.5039472408867178</v>
      </c>
      <c r="CT157" s="94">
        <f t="shared" si="1144"/>
        <v>3.5039472408867178</v>
      </c>
      <c r="CU157" s="94">
        <f t="shared" si="1144"/>
        <v>3.5039472408867178</v>
      </c>
      <c r="CV157" s="94">
        <f t="shared" si="1144"/>
        <v>3.5039472408867178</v>
      </c>
      <c r="CW157" s="94">
        <f t="shared" si="1144"/>
        <v>3.5039472408867178</v>
      </c>
      <c r="CX157" s="94">
        <f t="shared" si="1144"/>
        <v>3.5039472408867178</v>
      </c>
      <c r="CY157" s="94">
        <f t="shared" si="1144"/>
        <v>3.5039472408867178</v>
      </c>
      <c r="CZ157" s="94">
        <f t="shared" si="1144"/>
        <v>3.5039472408867178</v>
      </c>
      <c r="DA157" s="94">
        <f t="shared" si="1144"/>
        <v>3.5039472408867178</v>
      </c>
      <c r="DB157" s="94">
        <f t="shared" si="1144"/>
        <v>3.5039472408867178</v>
      </c>
      <c r="DE157" s="164"/>
      <c r="DF157" s="163">
        <v>2.9732414022919924</v>
      </c>
      <c r="DG157" s="163">
        <v>3.542647735948016</v>
      </c>
    </row>
    <row r="158" spans="1:111" s="4" customFormat="1" hidden="1" outlineLevel="1" x14ac:dyDescent="0.2">
      <c r="A158" s="3"/>
      <c r="AB158" s="17"/>
      <c r="AC158" s="17"/>
      <c r="AD158" s="17"/>
      <c r="AE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E158" s="119"/>
    </row>
    <row r="159" spans="1:111" s="4" customFormat="1" hidden="1" outlineLevel="1" x14ac:dyDescent="0.2">
      <c r="A159" s="3"/>
      <c r="AB159" s="17"/>
      <c r="AC159" s="17"/>
      <c r="AD159" s="17"/>
      <c r="AE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E159" s="119"/>
    </row>
    <row r="160" spans="1:111" s="162" customFormat="1" hidden="1" outlineLevel="1" x14ac:dyDescent="0.2">
      <c r="A160" s="49" t="s">
        <v>340</v>
      </c>
      <c r="B160" s="162" t="e">
        <f t="shared" ref="B160:AE160" si="1145">+B131*B118</f>
        <v>#DIV/0!</v>
      </c>
      <c r="C160" s="162" t="e">
        <f t="shared" si="1145"/>
        <v>#DIV/0!</v>
      </c>
      <c r="D160" s="162" t="e">
        <f t="shared" si="1145"/>
        <v>#DIV/0!</v>
      </c>
      <c r="E160" s="162">
        <f t="shared" ca="1" si="1145"/>
        <v>0</v>
      </c>
      <c r="F160" s="162">
        <f t="shared" ca="1" si="1145"/>
        <v>0</v>
      </c>
      <c r="G160" s="162">
        <f t="shared" ca="1" si="1145"/>
        <v>0</v>
      </c>
      <c r="H160" s="162">
        <f t="shared" ca="1" si="1145"/>
        <v>0</v>
      </c>
      <c r="I160" s="162">
        <f t="shared" ca="1" si="1145"/>
        <v>0</v>
      </c>
      <c r="J160" s="162">
        <f t="shared" ca="1" si="1145"/>
        <v>0</v>
      </c>
      <c r="K160" s="162">
        <f t="shared" ca="1" si="1145"/>
        <v>0</v>
      </c>
      <c r="L160" s="162">
        <f t="shared" ca="1" si="1145"/>
        <v>0</v>
      </c>
      <c r="M160" s="162">
        <f t="shared" ca="1" si="1145"/>
        <v>0</v>
      </c>
      <c r="N160" s="162">
        <f t="shared" ca="1" si="1145"/>
        <v>0</v>
      </c>
      <c r="O160" s="162">
        <f t="shared" ca="1" si="1145"/>
        <v>0</v>
      </c>
      <c r="P160" s="162">
        <f t="shared" ca="1" si="1145"/>
        <v>0</v>
      </c>
      <c r="Q160" s="162">
        <f t="shared" ca="1" si="1145"/>
        <v>5117.4528</v>
      </c>
      <c r="R160" s="162">
        <f t="shared" ca="1" si="1145"/>
        <v>8372.9215999999997</v>
      </c>
      <c r="S160" s="162">
        <f t="shared" ca="1" si="1145"/>
        <v>30272.256000000001</v>
      </c>
      <c r="T160" s="162">
        <f t="shared" ca="1" si="1145"/>
        <v>30788.806400000001</v>
      </c>
      <c r="U160" s="162">
        <f t="shared" ca="1" si="1145"/>
        <v>43942.822400000005</v>
      </c>
      <c r="V160" s="162">
        <f t="shared" ca="1" si="1145"/>
        <v>111046.3232</v>
      </c>
      <c r="W160" s="162">
        <f t="shared" ca="1" si="1145"/>
        <v>309647.93920000002</v>
      </c>
      <c r="X160" s="162">
        <f t="shared" ca="1" si="1145"/>
        <v>509168.5344</v>
      </c>
      <c r="Y160" s="162">
        <f t="shared" ca="1" si="1145"/>
        <v>150160</v>
      </c>
      <c r="Z160" s="162">
        <f ca="1">+Z131*Z118</f>
        <v>161920.5312</v>
      </c>
      <c r="AA160" s="162">
        <f ca="1">+AA131*AA118</f>
        <v>161920.5312</v>
      </c>
      <c r="AB160" s="21">
        <f t="shared" ca="1" si="1145"/>
        <v>188988.03781461506</v>
      </c>
      <c r="AC160" s="21">
        <f t="shared" ca="1" si="1145"/>
        <v>214687.27364162455</v>
      </c>
      <c r="AD160" s="21">
        <f t="shared" ca="1" si="1145"/>
        <v>248316.14174568455</v>
      </c>
      <c r="AE160" s="21">
        <f t="shared" ca="1" si="1145"/>
        <v>285454.80159375869</v>
      </c>
      <c r="AL160" s="162">
        <f t="shared" ref="AL160:BQ160" si="1146">+AL131*AL118</f>
        <v>0</v>
      </c>
      <c r="AM160" s="162">
        <f t="shared" si="1146"/>
        <v>0</v>
      </c>
      <c r="AN160" s="162">
        <f t="shared" si="1146"/>
        <v>0</v>
      </c>
      <c r="AO160" s="162">
        <f t="shared" si="1146"/>
        <v>0</v>
      </c>
      <c r="AP160" s="162">
        <f t="shared" si="1146"/>
        <v>0</v>
      </c>
      <c r="AQ160" s="162">
        <f t="shared" si="1146"/>
        <v>0</v>
      </c>
      <c r="AR160" s="162">
        <f t="shared" si="1146"/>
        <v>0</v>
      </c>
      <c r="AS160" s="162">
        <f t="shared" si="1146"/>
        <v>0</v>
      </c>
      <c r="AT160" s="162">
        <f t="shared" si="1146"/>
        <v>0</v>
      </c>
      <c r="AU160" s="162">
        <f t="shared" si="1146"/>
        <v>0</v>
      </c>
      <c r="AV160" s="162">
        <f t="shared" si="1146"/>
        <v>5105.4399999999996</v>
      </c>
      <c r="AW160" s="162">
        <f t="shared" si="1146"/>
        <v>4979.3056000000006</v>
      </c>
      <c r="AX160" s="162">
        <f t="shared" si="1146"/>
        <v>5117.4528</v>
      </c>
      <c r="AY160" s="162">
        <f t="shared" si="1146"/>
        <v>4853.1711999999998</v>
      </c>
      <c r="AZ160" s="162">
        <f t="shared" si="1146"/>
        <v>5141.4784</v>
      </c>
      <c r="BA160" s="162">
        <f t="shared" si="1146"/>
        <v>7928.4480000000003</v>
      </c>
      <c r="BB160" s="162">
        <f t="shared" si="1146"/>
        <v>8372.9215999999997</v>
      </c>
      <c r="BC160" s="162">
        <f t="shared" si="1146"/>
        <v>16457.536</v>
      </c>
      <c r="BD160" s="162">
        <f t="shared" si="1146"/>
        <v>18739.968000000001</v>
      </c>
      <c r="BE160" s="162">
        <f t="shared" si="1146"/>
        <v>29761.712</v>
      </c>
      <c r="BF160" s="162">
        <f t="shared" si="1146"/>
        <v>30272.256000000001</v>
      </c>
      <c r="BG160" s="162">
        <f t="shared" si="1146"/>
        <v>23893.459200000001</v>
      </c>
      <c r="BH160" s="162">
        <f t="shared" si="1146"/>
        <v>29431.360000000001</v>
      </c>
      <c r="BI160" s="162">
        <f t="shared" si="1146"/>
        <v>30788.806400000001</v>
      </c>
      <c r="BJ160" s="162">
        <f t="shared" si="1146"/>
        <v>29131.040000000001</v>
      </c>
      <c r="BK160" s="162">
        <f t="shared" si="1146"/>
        <v>30398.3904</v>
      </c>
      <c r="BL160" s="162">
        <f t="shared" si="1146"/>
        <v>29671.616000000002</v>
      </c>
      <c r="BM160" s="162">
        <f t="shared" si="1146"/>
        <v>42050.806400000001</v>
      </c>
      <c r="BN160" s="162">
        <f t="shared" si="1146"/>
        <v>43942.822400000005</v>
      </c>
      <c r="BO160" s="162">
        <f t="shared" si="1146"/>
        <v>33870.089599999999</v>
      </c>
      <c r="BP160" s="162">
        <f t="shared" si="1146"/>
        <v>36410.796800000004</v>
      </c>
      <c r="BQ160" s="162">
        <f t="shared" si="1146"/>
        <v>54658.239999999998</v>
      </c>
      <c r="BR160" s="162">
        <f t="shared" ref="BR160:CJ160" si="1147">+BR131*BR118</f>
        <v>111046.3232</v>
      </c>
      <c r="BS160" s="162">
        <f t="shared" si="1147"/>
        <v>197934.9056</v>
      </c>
      <c r="BT160" s="162">
        <f t="shared" si="1147"/>
        <v>239054.72</v>
      </c>
      <c r="BU160" s="162">
        <f t="shared" si="1147"/>
        <v>243859.84</v>
      </c>
      <c r="BV160" s="162">
        <f t="shared" si="1147"/>
        <v>309647.93920000002</v>
      </c>
      <c r="BW160" s="162">
        <f t="shared" si="1147"/>
        <v>360384</v>
      </c>
      <c r="BX160" s="162">
        <f t="shared" si="1147"/>
        <v>509168.5344</v>
      </c>
      <c r="BY160" s="162">
        <f t="shared" si="1147"/>
        <v>410867.79200000002</v>
      </c>
      <c r="BZ160" s="162">
        <f t="shared" si="1147"/>
        <v>336190.22080000001</v>
      </c>
      <c r="CA160" s="162">
        <f t="shared" si="1147"/>
        <v>131990.64000000001</v>
      </c>
      <c r="CB160" s="162">
        <f t="shared" si="1147"/>
        <v>117298.9856</v>
      </c>
      <c r="CC160" s="162">
        <f t="shared" si="1147"/>
        <v>149679.48800000001</v>
      </c>
      <c r="CD160" s="162">
        <f t="shared" si="1147"/>
        <v>150160</v>
      </c>
      <c r="CE160" s="162">
        <f t="shared" si="1147"/>
        <v>150039.872</v>
      </c>
      <c r="CF160" s="162">
        <f t="shared" si="1147"/>
        <v>161920.5312</v>
      </c>
      <c r="CG160" s="162">
        <f t="shared" si="1147"/>
        <v>131017.60320000001</v>
      </c>
      <c r="CH160" s="162">
        <f t="shared" si="1147"/>
        <v>107454.496</v>
      </c>
      <c r="CI160" s="162">
        <f t="shared" si="1147"/>
        <v>117959.68960000001</v>
      </c>
      <c r="CJ160" s="162">
        <f t="shared" si="1147"/>
        <v>115076.61760000001</v>
      </c>
      <c r="CK160" s="162">
        <f t="shared" ref="CK160:CL160" si="1148">+CK131*CK118</f>
        <v>126134.39999999999</v>
      </c>
      <c r="CL160" s="162">
        <f t="shared" si="1148"/>
        <v>128212.61439999999</v>
      </c>
      <c r="CM160" s="21">
        <f t="shared" ref="CM160:DB160" si="1149">+CM131*CM118</f>
        <v>171902.36623058369</v>
      </c>
      <c r="CN160" s="21">
        <f t="shared" si="1149"/>
        <v>177755.00037600126</v>
      </c>
      <c r="CO160" s="21">
        <f t="shared" si="1149"/>
        <v>183452.63360665922</v>
      </c>
      <c r="CP160" s="21">
        <f t="shared" si="1149"/>
        <v>188988.03781461506</v>
      </c>
      <c r="CQ160" s="21">
        <f t="shared" si="1149"/>
        <v>195515.12327416777</v>
      </c>
      <c r="CR160" s="21">
        <f t="shared" si="1149"/>
        <v>201625.73191029867</v>
      </c>
      <c r="CS160" s="21">
        <f t="shared" si="1149"/>
        <v>207899.92303783115</v>
      </c>
      <c r="CT160" s="21">
        <f t="shared" si="1149"/>
        <v>214687.27364162455</v>
      </c>
      <c r="CU160" s="21">
        <f t="shared" si="1149"/>
        <v>222514.12096680139</v>
      </c>
      <c r="CV160" s="21">
        <f t="shared" si="1149"/>
        <v>230119.94714913995</v>
      </c>
      <c r="CW160" s="21">
        <f t="shared" si="1149"/>
        <v>239260.41274064724</v>
      </c>
      <c r="CX160" s="21">
        <f t="shared" si="1149"/>
        <v>248316.14174568455</v>
      </c>
      <c r="CY160" s="21">
        <f t="shared" si="1149"/>
        <v>257456.91123502867</v>
      </c>
      <c r="CZ160" s="21">
        <f t="shared" si="1149"/>
        <v>266293.54467100225</v>
      </c>
      <c r="DA160" s="21">
        <f t="shared" si="1149"/>
        <v>275560.51046577428</v>
      </c>
      <c r="DB160" s="21">
        <f t="shared" si="1149"/>
        <v>285454.80159375869</v>
      </c>
      <c r="DE160" s="22"/>
      <c r="DF160" s="162">
        <v>161920.5312</v>
      </c>
      <c r="DG160" s="162">
        <v>128212.61439999999</v>
      </c>
    </row>
    <row r="161" spans="1:111" s="162" customFormat="1" hidden="1" outlineLevel="1" x14ac:dyDescent="0.2">
      <c r="A161" s="49" t="s">
        <v>341</v>
      </c>
      <c r="B161" s="162" t="e">
        <f t="shared" ref="B161:AE161" si="1150">+B132*B118</f>
        <v>#DIV/0!</v>
      </c>
      <c r="C161" s="162" t="e">
        <f t="shared" si="1150"/>
        <v>#DIV/0!</v>
      </c>
      <c r="D161" s="162" t="e">
        <f t="shared" si="1150"/>
        <v>#DIV/0!</v>
      </c>
      <c r="E161" s="162">
        <f t="shared" ca="1" si="1150"/>
        <v>0</v>
      </c>
      <c r="F161" s="162">
        <f t="shared" ca="1" si="1150"/>
        <v>0</v>
      </c>
      <c r="G161" s="162">
        <f t="shared" ca="1" si="1150"/>
        <v>0</v>
      </c>
      <c r="H161" s="162">
        <f t="shared" ca="1" si="1150"/>
        <v>0</v>
      </c>
      <c r="I161" s="162">
        <f t="shared" ca="1" si="1150"/>
        <v>0</v>
      </c>
      <c r="J161" s="162">
        <f t="shared" ca="1" si="1150"/>
        <v>0</v>
      </c>
      <c r="K161" s="162">
        <f t="shared" ca="1" si="1150"/>
        <v>0</v>
      </c>
      <c r="L161" s="162">
        <f t="shared" ca="1" si="1150"/>
        <v>0</v>
      </c>
      <c r="M161" s="162">
        <f t="shared" ca="1" si="1150"/>
        <v>0</v>
      </c>
      <c r="N161" s="162">
        <f t="shared" ca="1" si="1150"/>
        <v>0</v>
      </c>
      <c r="O161" s="162">
        <f t="shared" ca="1" si="1150"/>
        <v>0</v>
      </c>
      <c r="P161" s="162">
        <f t="shared" ca="1" si="1150"/>
        <v>0</v>
      </c>
      <c r="Q161" s="162">
        <f t="shared" ca="1" si="1150"/>
        <v>3033.232</v>
      </c>
      <c r="R161" s="162">
        <f t="shared" ca="1" si="1150"/>
        <v>3405.6288</v>
      </c>
      <c r="S161" s="162">
        <f t="shared" ca="1" si="1150"/>
        <v>7748.2560000000003</v>
      </c>
      <c r="T161" s="162">
        <f t="shared" ca="1" si="1150"/>
        <v>13814.72</v>
      </c>
      <c r="U161" s="162">
        <f t="shared" ca="1" si="1150"/>
        <v>17718.88</v>
      </c>
      <c r="V161" s="162">
        <f t="shared" ca="1" si="1150"/>
        <v>20085.401599999997</v>
      </c>
      <c r="W161" s="162">
        <f t="shared" ca="1" si="1150"/>
        <v>103370.144</v>
      </c>
      <c r="X161" s="162">
        <f t="shared" ca="1" si="1150"/>
        <v>75680.639999999999</v>
      </c>
      <c r="Y161" s="162">
        <f t="shared" ca="1" si="1150"/>
        <v>82515.92319999999</v>
      </c>
      <c r="Z161" s="162">
        <f ca="1">+Z132*Z118</f>
        <v>70665.296000000002</v>
      </c>
      <c r="AA161" s="162">
        <f ca="1">+AA132*AA118</f>
        <v>70665.296000000002</v>
      </c>
      <c r="AB161" s="21">
        <f t="shared" ca="1" si="1150"/>
        <v>119009.33046732718</v>
      </c>
      <c r="AC161" s="21">
        <f t="shared" ca="1" si="1150"/>
        <v>135356.62380519308</v>
      </c>
      <c r="AD161" s="21">
        <f t="shared" ca="1" si="1150"/>
        <v>154048.23759240095</v>
      </c>
      <c r="AE161" s="21">
        <f t="shared" ca="1" si="1150"/>
        <v>178239.40008578906</v>
      </c>
      <c r="AL161" s="162">
        <f t="shared" ref="AL161:BQ161" si="1151">+AL132*AL118</f>
        <v>0</v>
      </c>
      <c r="AM161" s="162">
        <f t="shared" si="1151"/>
        <v>0</v>
      </c>
      <c r="AN161" s="162">
        <f t="shared" si="1151"/>
        <v>0</v>
      </c>
      <c r="AO161" s="162">
        <f t="shared" si="1151"/>
        <v>0</v>
      </c>
      <c r="AP161" s="162">
        <f t="shared" si="1151"/>
        <v>0</v>
      </c>
      <c r="AQ161" s="162">
        <f t="shared" si="1151"/>
        <v>0</v>
      </c>
      <c r="AR161" s="162">
        <f t="shared" si="1151"/>
        <v>0</v>
      </c>
      <c r="AS161" s="162">
        <f t="shared" si="1151"/>
        <v>0</v>
      </c>
      <c r="AT161" s="162">
        <f t="shared" si="1151"/>
        <v>0</v>
      </c>
      <c r="AU161" s="162">
        <f t="shared" si="1151"/>
        <v>0</v>
      </c>
      <c r="AV161" s="162">
        <f t="shared" si="1151"/>
        <v>3033.232</v>
      </c>
      <c r="AW161" s="162">
        <f t="shared" si="1151"/>
        <v>3195.4048000000003</v>
      </c>
      <c r="AX161" s="162">
        <f t="shared" si="1151"/>
        <v>3159.3663999999999</v>
      </c>
      <c r="AY161" s="162">
        <f t="shared" si="1151"/>
        <v>3405.6288</v>
      </c>
      <c r="AZ161" s="162">
        <f t="shared" si="1151"/>
        <v>4084.3519999999999</v>
      </c>
      <c r="BA161" s="162">
        <f t="shared" si="1151"/>
        <v>4594.8959999999997</v>
      </c>
      <c r="BB161" s="162">
        <f t="shared" si="1151"/>
        <v>6763.2064</v>
      </c>
      <c r="BC161" s="162">
        <f t="shared" si="1151"/>
        <v>7748.2560000000003</v>
      </c>
      <c r="BD161" s="162">
        <f t="shared" si="1151"/>
        <v>12373.183999999999</v>
      </c>
      <c r="BE161" s="162">
        <f t="shared" si="1151"/>
        <v>18385.590400000001</v>
      </c>
      <c r="BF161" s="162">
        <f t="shared" si="1151"/>
        <v>18595.814400000003</v>
      </c>
      <c r="BG161" s="162">
        <f t="shared" si="1151"/>
        <v>13814.72</v>
      </c>
      <c r="BH161" s="162">
        <f t="shared" si="1151"/>
        <v>17496.643200000002</v>
      </c>
      <c r="BI161" s="162">
        <f t="shared" si="1151"/>
        <v>16980.092799999999</v>
      </c>
      <c r="BJ161" s="162">
        <f t="shared" si="1151"/>
        <v>21623.040000000001</v>
      </c>
      <c r="BK161" s="162">
        <f t="shared" si="1151"/>
        <v>24373.9712</v>
      </c>
      <c r="BL161" s="162">
        <f t="shared" si="1151"/>
        <v>23184.704000000002</v>
      </c>
      <c r="BM161" s="162">
        <f t="shared" si="1151"/>
        <v>26518.256000000001</v>
      </c>
      <c r="BN161" s="162">
        <f t="shared" si="1151"/>
        <v>17718.88</v>
      </c>
      <c r="BO161" s="162">
        <f t="shared" si="1151"/>
        <v>20085.401599999997</v>
      </c>
      <c r="BP161" s="162">
        <f t="shared" si="1151"/>
        <v>26548.288</v>
      </c>
      <c r="BQ161" s="162">
        <f t="shared" si="1151"/>
        <v>29028.931199999999</v>
      </c>
      <c r="BR161" s="162">
        <f t="shared" ref="BR161:CJ161" si="1152">+BR132*BR118</f>
        <v>48051.199999999997</v>
      </c>
      <c r="BS161" s="162">
        <f t="shared" si="1152"/>
        <v>103922.7328</v>
      </c>
      <c r="BT161" s="162">
        <f t="shared" si="1152"/>
        <v>103370.144</v>
      </c>
      <c r="BU161" s="162">
        <f t="shared" si="1152"/>
        <v>181561.45920000001</v>
      </c>
      <c r="BV161" s="162">
        <f t="shared" si="1152"/>
        <v>200613.76000000001</v>
      </c>
      <c r="BW161" s="162">
        <f t="shared" si="1152"/>
        <v>228243.20000000001</v>
      </c>
      <c r="BX161" s="162">
        <f t="shared" si="1152"/>
        <v>267452.9792</v>
      </c>
      <c r="BY161" s="162">
        <f t="shared" si="1152"/>
        <v>261861.0208</v>
      </c>
      <c r="BZ161" s="162">
        <f t="shared" si="1152"/>
        <v>75680.639999999999</v>
      </c>
      <c r="CA161" s="162">
        <f t="shared" si="1152"/>
        <v>85747.366399999999</v>
      </c>
      <c r="CB161" s="162">
        <f t="shared" si="1152"/>
        <v>88672.483200000002</v>
      </c>
      <c r="CC161" s="162">
        <f t="shared" si="1152"/>
        <v>82515.92319999999</v>
      </c>
      <c r="CD161" s="162">
        <f t="shared" si="1152"/>
        <v>110289.5168</v>
      </c>
      <c r="CE161" s="162">
        <f t="shared" si="1152"/>
        <v>99970.521600000007</v>
      </c>
      <c r="CF161" s="162">
        <f t="shared" si="1152"/>
        <v>110001.2096</v>
      </c>
      <c r="CG161" s="162">
        <f t="shared" si="1152"/>
        <v>70665.296000000002</v>
      </c>
      <c r="CH161" s="162">
        <f t="shared" si="1152"/>
        <v>76803.836800000005</v>
      </c>
      <c r="CI161" s="162">
        <f t="shared" si="1152"/>
        <v>93471.596799999999</v>
      </c>
      <c r="CJ161" s="162">
        <f t="shared" si="1152"/>
        <v>89549.417600000001</v>
      </c>
      <c r="CK161" s="162">
        <f t="shared" ref="CK161:CL161" si="1153">+CK132*CK118</f>
        <v>104463.3088</v>
      </c>
      <c r="CL161" s="162">
        <f t="shared" si="1153"/>
        <v>96667.001600000003</v>
      </c>
      <c r="CM161" s="21">
        <f t="shared" ref="CM161:DB161" si="1154">+CM132*CM118</f>
        <v>119009.33046732718</v>
      </c>
      <c r="CN161" s="21">
        <f t="shared" si="1154"/>
        <v>123061.15410646239</v>
      </c>
      <c r="CO161" s="21">
        <f t="shared" si="1154"/>
        <v>127005.66941999487</v>
      </c>
      <c r="CP161" s="21">
        <f t="shared" si="1154"/>
        <v>130837.87233319505</v>
      </c>
      <c r="CQ161" s="21">
        <f t="shared" si="1154"/>
        <v>135356.62380519308</v>
      </c>
      <c r="CR161" s="21">
        <f t="shared" si="1154"/>
        <v>139587.04516866829</v>
      </c>
      <c r="CS161" s="21">
        <f t="shared" si="1154"/>
        <v>143930.71594926773</v>
      </c>
      <c r="CT161" s="21">
        <f t="shared" si="1154"/>
        <v>148629.65098266315</v>
      </c>
      <c r="CU161" s="21">
        <f t="shared" si="1154"/>
        <v>154048.23759240095</v>
      </c>
      <c r="CV161" s="21">
        <f t="shared" si="1154"/>
        <v>159313.80956478918</v>
      </c>
      <c r="CW161" s="21">
        <f t="shared" si="1154"/>
        <v>165641.82420506346</v>
      </c>
      <c r="CX161" s="21">
        <f t="shared" si="1154"/>
        <v>171911.17505470465</v>
      </c>
      <c r="CY161" s="21">
        <f t="shared" si="1154"/>
        <v>178239.40008578906</v>
      </c>
      <c r="CZ161" s="21">
        <f t="shared" si="1154"/>
        <v>184357.06938761691</v>
      </c>
      <c r="DA161" s="21">
        <f t="shared" si="1154"/>
        <v>190772.66109168992</v>
      </c>
      <c r="DB161" s="21">
        <f t="shared" si="1154"/>
        <v>197622.55494952525</v>
      </c>
      <c r="DE161" s="22"/>
      <c r="DF161" s="162">
        <v>70665.296000000002</v>
      </c>
      <c r="DG161" s="162">
        <v>96667.001600000003</v>
      </c>
    </row>
    <row r="162" spans="1:111" s="162" customFormat="1" hidden="1" outlineLevel="1" x14ac:dyDescent="0.2">
      <c r="A162" s="49" t="s">
        <v>80</v>
      </c>
      <c r="B162" s="162">
        <f>+B235</f>
        <v>0</v>
      </c>
      <c r="C162" s="162">
        <f t="shared" ref="C162:W162" si="1155">+C235</f>
        <v>0</v>
      </c>
      <c r="D162" s="162">
        <f t="shared" si="1155"/>
        <v>0</v>
      </c>
      <c r="E162" s="162">
        <f t="shared" si="1155"/>
        <v>0</v>
      </c>
      <c r="F162" s="162">
        <f t="shared" si="1155"/>
        <v>0</v>
      </c>
      <c r="G162" s="162">
        <f t="shared" si="1155"/>
        <v>0</v>
      </c>
      <c r="H162" s="162">
        <f t="shared" si="1155"/>
        <v>0</v>
      </c>
      <c r="I162" s="162">
        <f t="shared" si="1155"/>
        <v>0</v>
      </c>
      <c r="J162" s="162">
        <f t="shared" si="1155"/>
        <v>0</v>
      </c>
      <c r="K162" s="162">
        <f t="shared" si="1155"/>
        <v>0</v>
      </c>
      <c r="L162" s="162">
        <f t="shared" si="1155"/>
        <v>0</v>
      </c>
      <c r="M162" s="162">
        <f t="shared" si="1155"/>
        <v>0</v>
      </c>
      <c r="N162" s="162">
        <f t="shared" si="1155"/>
        <v>0</v>
      </c>
      <c r="O162" s="162">
        <f t="shared" si="1155"/>
        <v>-0.05</v>
      </c>
      <c r="P162" s="162">
        <f t="shared" si="1155"/>
        <v>9686.11</v>
      </c>
      <c r="Q162" s="162">
        <f t="shared" si="1155"/>
        <v>8413.75</v>
      </c>
      <c r="R162" s="162">
        <f t="shared" si="1155"/>
        <v>8476.6299999999992</v>
      </c>
      <c r="S162" s="162">
        <f t="shared" si="1155"/>
        <v>11611.479999999998</v>
      </c>
      <c r="T162" s="162">
        <f t="shared" si="1155"/>
        <v>22628.6</v>
      </c>
      <c r="U162" s="162">
        <f t="shared" si="1155"/>
        <v>24915.45</v>
      </c>
      <c r="V162" s="162">
        <f t="shared" si="1155"/>
        <v>27451.510000000002</v>
      </c>
      <c r="W162" s="162">
        <f t="shared" si="1155"/>
        <v>30049.589999999997</v>
      </c>
      <c r="X162" s="162">
        <f t="shared" ref="X162:Y162" si="1156">+X235</f>
        <v>30337.059999999998</v>
      </c>
      <c r="Y162" s="162">
        <f t="shared" si="1156"/>
        <v>32715.379999999997</v>
      </c>
      <c r="Z162" s="162">
        <f>+Z235</f>
        <v>32124.120000000003</v>
      </c>
      <c r="AA162" s="162">
        <f>+AA235</f>
        <v>42957.119999999995</v>
      </c>
      <c r="AB162" s="21">
        <f t="shared" ref="AB162:AD162" si="1157">+AB235</f>
        <v>78740.838140194974</v>
      </c>
      <c r="AC162" s="21">
        <f t="shared" si="1157"/>
        <v>95077.712205725125</v>
      </c>
      <c r="AD162" s="21">
        <f t="shared" si="1157"/>
        <v>105695.46672226765</v>
      </c>
      <c r="AE162" s="21">
        <f t="shared" ref="AE162" si="1158">+AE235</f>
        <v>117114.64104963509</v>
      </c>
      <c r="AL162" s="162">
        <f t="shared" ref="AL162:AM162" si="1159">+AL235</f>
        <v>0</v>
      </c>
      <c r="AM162" s="162" t="e">
        <f t="shared" si="1159"/>
        <v>#DIV/0!</v>
      </c>
      <c r="AN162" s="162">
        <f t="shared" ref="AN162:AO162" si="1160">+AN235</f>
        <v>0</v>
      </c>
      <c r="AO162" s="162" t="e">
        <f t="shared" si="1160"/>
        <v>#DIV/0!</v>
      </c>
      <c r="AP162" s="162">
        <f t="shared" ref="AP162:CD162" si="1161">+AP235</f>
        <v>0</v>
      </c>
      <c r="AQ162" s="162" t="e">
        <f t="shared" si="1161"/>
        <v>#DIV/0!</v>
      </c>
      <c r="AR162" s="162">
        <f t="shared" si="1161"/>
        <v>0</v>
      </c>
      <c r="AS162" s="162" t="e">
        <f t="shared" si="1161"/>
        <v>#DIV/0!</v>
      </c>
      <c r="AT162" s="162">
        <f t="shared" si="1161"/>
        <v>8882.68</v>
      </c>
      <c r="AU162" s="162">
        <f t="shared" si="1161"/>
        <v>10020.190355989667</v>
      </c>
      <c r="AV162" s="162">
        <f t="shared" si="1161"/>
        <v>7636.5399999999991</v>
      </c>
      <c r="AW162" s="162">
        <f t="shared" si="1161"/>
        <v>7549.8609038706927</v>
      </c>
      <c r="AX162" s="162">
        <f t="shared" si="1161"/>
        <v>7768</v>
      </c>
      <c r="AY162" s="162">
        <f t="shared" si="1161"/>
        <v>7643.4130124428011</v>
      </c>
      <c r="AZ162" s="162">
        <f t="shared" si="1161"/>
        <v>8519.4</v>
      </c>
      <c r="BA162" s="162">
        <f t="shared" si="1161"/>
        <v>8440.2100711879302</v>
      </c>
      <c r="BB162" s="162">
        <f t="shared" si="1161"/>
        <v>8162.18</v>
      </c>
      <c r="BC162" s="162">
        <f t="shared" si="1161"/>
        <v>8023.600153123577</v>
      </c>
      <c r="BD162" s="162">
        <f t="shared" si="1161"/>
        <v>7906.8499999999995</v>
      </c>
      <c r="BE162" s="162">
        <f t="shared" si="1161"/>
        <v>7364.6813907231435</v>
      </c>
      <c r="BF162" s="162">
        <f t="shared" si="1161"/>
        <v>8939.7199999999993</v>
      </c>
      <c r="BG162" s="162">
        <f t="shared" si="1161"/>
        <v>8711.1084450700037</v>
      </c>
      <c r="BH162" s="162">
        <f t="shared" si="1161"/>
        <v>17658.439999999999</v>
      </c>
      <c r="BI162" s="162">
        <f t="shared" si="1161"/>
        <v>17039.901462245904</v>
      </c>
      <c r="BJ162" s="162">
        <f t="shared" si="1161"/>
        <v>17020.47</v>
      </c>
      <c r="BK162" s="162">
        <f t="shared" si="1161"/>
        <v>16788.795235311678</v>
      </c>
      <c r="BL162" s="162">
        <f t="shared" si="1161"/>
        <v>15855.25</v>
      </c>
      <c r="BM162" s="162">
        <f t="shared" si="1161"/>
        <v>15655.843995989822</v>
      </c>
      <c r="BN162" s="162">
        <f t="shared" si="1161"/>
        <v>20915.950000000004</v>
      </c>
      <c r="BO162" s="162">
        <f t="shared" si="1161"/>
        <v>20581.209440971961</v>
      </c>
      <c r="BP162" s="162">
        <f t="shared" si="1161"/>
        <v>22135.11</v>
      </c>
      <c r="BQ162" s="162">
        <f t="shared" si="1161"/>
        <v>21775.942421307958</v>
      </c>
      <c r="BR162" s="162">
        <f t="shared" si="1161"/>
        <v>25496.280000000002</v>
      </c>
      <c r="BS162" s="162">
        <f t="shared" si="1161"/>
        <v>25061.095812822517</v>
      </c>
      <c r="BT162" s="162">
        <f t="shared" si="1161"/>
        <v>27107.819999999996</v>
      </c>
      <c r="BU162" s="162">
        <f t="shared" si="1161"/>
        <v>26866.639609591413</v>
      </c>
      <c r="BV162" s="162">
        <f t="shared" si="1161"/>
        <v>28125.360000000001</v>
      </c>
      <c r="BW162" s="162">
        <f t="shared" si="1161"/>
        <v>27924.210384169324</v>
      </c>
      <c r="BX162" s="162">
        <f t="shared" si="1161"/>
        <v>31320.93</v>
      </c>
      <c r="BY162" s="162">
        <f t="shared" si="1161"/>
        <v>30892.610272060727</v>
      </c>
      <c r="BZ162" s="162">
        <f t="shared" si="1161"/>
        <v>31437.909999999996</v>
      </c>
      <c r="CA162" s="162">
        <f t="shared" si="1161"/>
        <v>31243.611210932606</v>
      </c>
      <c r="CB162" s="162">
        <f t="shared" si="1161"/>
        <v>32831.250000000007</v>
      </c>
      <c r="CC162" s="162">
        <f t="shared" si="1161"/>
        <v>32516.838144926201</v>
      </c>
      <c r="CD162" s="162">
        <f t="shared" si="1161"/>
        <v>34338.04</v>
      </c>
      <c r="CE162" s="162">
        <f t="shared" ref="CE162:CF162" si="1162">+CE235</f>
        <v>35516.429683546325</v>
      </c>
      <c r="CF162" s="162">
        <f t="shared" si="1162"/>
        <v>31631.14</v>
      </c>
      <c r="CG162" s="162">
        <f t="shared" ref="CG162:CH162" si="1163">+CG235</f>
        <v>30889.023122855244</v>
      </c>
      <c r="CH162" s="162">
        <f t="shared" si="1163"/>
        <v>34297.71</v>
      </c>
      <c r="CI162" s="162">
        <f t="shared" ref="CI162:CJ162" si="1164">+CI235</f>
        <v>33339.1081638006</v>
      </c>
      <c r="CJ162" s="162">
        <f t="shared" si="1164"/>
        <v>39044.17</v>
      </c>
      <c r="CK162" s="162">
        <f t="shared" ref="CK162:CL162" si="1165">+CK235</f>
        <v>38986.778565502755</v>
      </c>
      <c r="CL162" s="162">
        <f t="shared" si="1165"/>
        <v>42714.789999999994</v>
      </c>
      <c r="CM162" s="21">
        <f t="shared" ref="CM162:DB162" si="1166">+CM235</f>
        <v>56022.70297922512</v>
      </c>
      <c r="CN162" s="21">
        <f t="shared" si="1166"/>
        <v>62710.220252145999</v>
      </c>
      <c r="CO162" s="21">
        <f t="shared" si="1166"/>
        <v>71836.965372650549</v>
      </c>
      <c r="CP162" s="21">
        <f t="shared" si="1166"/>
        <v>78740.838140194974</v>
      </c>
      <c r="CQ162" s="21">
        <f t="shared" si="1166"/>
        <v>84654.428151755463</v>
      </c>
      <c r="CR162" s="21">
        <f t="shared" si="1166"/>
        <v>86795.682132143498</v>
      </c>
      <c r="CS162" s="21">
        <f t="shared" si="1166"/>
        <v>90721.798609713325</v>
      </c>
      <c r="CT162" s="21">
        <f t="shared" si="1166"/>
        <v>95077.712205725125</v>
      </c>
      <c r="CU162" s="21">
        <f t="shared" si="1166"/>
        <v>96832.550929538207</v>
      </c>
      <c r="CV162" s="21">
        <f t="shared" si="1166"/>
        <v>98217.67734309021</v>
      </c>
      <c r="CW162" s="21">
        <f t="shared" si="1166"/>
        <v>103089.29608940822</v>
      </c>
      <c r="CX162" s="21">
        <f t="shared" si="1166"/>
        <v>105695.46672226765</v>
      </c>
      <c r="CY162" s="21">
        <f t="shared" si="1166"/>
        <v>108932.44063654724</v>
      </c>
      <c r="CZ162" s="21">
        <f t="shared" si="1166"/>
        <v>110247.70965154767</v>
      </c>
      <c r="DA162" s="21">
        <f t="shared" si="1166"/>
        <v>113511.59581258413</v>
      </c>
      <c r="DB162" s="21">
        <f t="shared" si="1166"/>
        <v>117114.64104963509</v>
      </c>
      <c r="DE162" s="22"/>
      <c r="DF162" s="162">
        <v>-2173.59</v>
      </c>
      <c r="DG162" s="162">
        <v>44649.596029203312</v>
      </c>
    </row>
    <row r="163" spans="1:111" s="162" customFormat="1" hidden="1" outlineLevel="1" x14ac:dyDescent="0.2">
      <c r="A163" s="49" t="s">
        <v>342</v>
      </c>
      <c r="B163" s="162" t="e">
        <f>+B160+B162</f>
        <v>#DIV/0!</v>
      </c>
      <c r="C163" s="162" t="e">
        <f t="shared" ref="C163:W163" si="1167">+C160+C162</f>
        <v>#DIV/0!</v>
      </c>
      <c r="D163" s="162" t="e">
        <f t="shared" si="1167"/>
        <v>#DIV/0!</v>
      </c>
      <c r="E163" s="162">
        <f t="shared" ca="1" si="1167"/>
        <v>0</v>
      </c>
      <c r="F163" s="162">
        <f t="shared" ca="1" si="1167"/>
        <v>0</v>
      </c>
      <c r="G163" s="162">
        <f t="shared" ca="1" si="1167"/>
        <v>0</v>
      </c>
      <c r="H163" s="162">
        <f t="shared" ca="1" si="1167"/>
        <v>0</v>
      </c>
      <c r="I163" s="162">
        <f t="shared" ca="1" si="1167"/>
        <v>0</v>
      </c>
      <c r="J163" s="162">
        <f t="shared" ca="1" si="1167"/>
        <v>0</v>
      </c>
      <c r="K163" s="162">
        <f t="shared" ca="1" si="1167"/>
        <v>0</v>
      </c>
      <c r="L163" s="162">
        <f t="shared" ca="1" si="1167"/>
        <v>0</v>
      </c>
      <c r="M163" s="162">
        <f t="shared" ca="1" si="1167"/>
        <v>0</v>
      </c>
      <c r="N163" s="162">
        <f t="shared" ca="1" si="1167"/>
        <v>0</v>
      </c>
      <c r="O163" s="162">
        <f t="shared" ca="1" si="1167"/>
        <v>-0.05</v>
      </c>
      <c r="P163" s="162">
        <f t="shared" ca="1" si="1167"/>
        <v>9686.11</v>
      </c>
      <c r="Q163" s="162">
        <f t="shared" ca="1" si="1167"/>
        <v>13531.202799999999</v>
      </c>
      <c r="R163" s="162">
        <f t="shared" ca="1" si="1167"/>
        <v>16849.551599999999</v>
      </c>
      <c r="S163" s="162">
        <f t="shared" ca="1" si="1167"/>
        <v>41883.735999999997</v>
      </c>
      <c r="T163" s="162">
        <f t="shared" ca="1" si="1167"/>
        <v>53417.4064</v>
      </c>
      <c r="U163" s="162">
        <f t="shared" ca="1" si="1167"/>
        <v>68858.272400000002</v>
      </c>
      <c r="V163" s="162">
        <f t="shared" ca="1" si="1167"/>
        <v>138497.83319999999</v>
      </c>
      <c r="W163" s="162">
        <f t="shared" ca="1" si="1167"/>
        <v>339697.52919999999</v>
      </c>
      <c r="X163" s="162">
        <f t="shared" ref="X163:Y163" ca="1" si="1168">+X160+X162</f>
        <v>539505.59440000006</v>
      </c>
      <c r="Y163" s="162">
        <f t="shared" ca="1" si="1168"/>
        <v>182875.38</v>
      </c>
      <c r="Z163" s="162">
        <f ca="1">+Z160+Z162</f>
        <v>194044.65119999999</v>
      </c>
      <c r="AA163" s="162">
        <f ca="1">+AA160+AA162</f>
        <v>194044.65119999999</v>
      </c>
      <c r="AB163" s="21">
        <f t="shared" ref="AB163:AD163" ca="1" si="1169">+AB160+AB162</f>
        <v>267728.87595481006</v>
      </c>
      <c r="AC163" s="21">
        <f t="shared" ca="1" si="1169"/>
        <v>309764.98584734969</v>
      </c>
      <c r="AD163" s="21">
        <f t="shared" ca="1" si="1169"/>
        <v>354011.60846795223</v>
      </c>
      <c r="AE163" s="21">
        <f t="shared" ref="AE163" ca="1" si="1170">+AE160+AE162</f>
        <v>402569.44264339376</v>
      </c>
      <c r="AL163" s="162">
        <f t="shared" ref="AL163" si="1171">+AL160+AL162</f>
        <v>0</v>
      </c>
      <c r="AM163" s="162" t="e">
        <f t="shared" ref="AM163:AO163" si="1172">+AM160+AM162</f>
        <v>#DIV/0!</v>
      </c>
      <c r="AN163" s="162">
        <f t="shared" si="1172"/>
        <v>0</v>
      </c>
      <c r="AO163" s="162" t="e">
        <f t="shared" si="1172"/>
        <v>#DIV/0!</v>
      </c>
      <c r="AP163" s="162">
        <f t="shared" ref="AP163:CD163" si="1173">+AP160+AP162</f>
        <v>0</v>
      </c>
      <c r="AQ163" s="162" t="e">
        <f t="shared" si="1173"/>
        <v>#DIV/0!</v>
      </c>
      <c r="AR163" s="162">
        <f t="shared" si="1173"/>
        <v>0</v>
      </c>
      <c r="AS163" s="162" t="e">
        <f t="shared" si="1173"/>
        <v>#DIV/0!</v>
      </c>
      <c r="AT163" s="162">
        <f t="shared" si="1173"/>
        <v>8882.68</v>
      </c>
      <c r="AU163" s="162">
        <f t="shared" si="1173"/>
        <v>10020.190355989667</v>
      </c>
      <c r="AV163" s="162">
        <f t="shared" si="1173"/>
        <v>12741.98</v>
      </c>
      <c r="AW163" s="162">
        <f t="shared" si="1173"/>
        <v>12529.166503870692</v>
      </c>
      <c r="AX163" s="162">
        <f t="shared" si="1173"/>
        <v>12885.452799999999</v>
      </c>
      <c r="AY163" s="162">
        <f t="shared" si="1173"/>
        <v>12496.584212442802</v>
      </c>
      <c r="AZ163" s="162">
        <f t="shared" si="1173"/>
        <v>13660.8784</v>
      </c>
      <c r="BA163" s="162">
        <f t="shared" si="1173"/>
        <v>16368.658071187931</v>
      </c>
      <c r="BB163" s="162">
        <f t="shared" si="1173"/>
        <v>16535.101600000002</v>
      </c>
      <c r="BC163" s="162">
        <f t="shared" si="1173"/>
        <v>24481.136153123578</v>
      </c>
      <c r="BD163" s="162">
        <f t="shared" si="1173"/>
        <v>26646.817999999999</v>
      </c>
      <c r="BE163" s="162">
        <f t="shared" si="1173"/>
        <v>37126.39339072314</v>
      </c>
      <c r="BF163" s="162">
        <f t="shared" si="1173"/>
        <v>39211.976000000002</v>
      </c>
      <c r="BG163" s="162">
        <f t="shared" si="1173"/>
        <v>32604.567645070005</v>
      </c>
      <c r="BH163" s="162">
        <f t="shared" si="1173"/>
        <v>47089.8</v>
      </c>
      <c r="BI163" s="162">
        <f t="shared" si="1173"/>
        <v>47828.707862245908</v>
      </c>
      <c r="BJ163" s="162">
        <f t="shared" si="1173"/>
        <v>46151.51</v>
      </c>
      <c r="BK163" s="162">
        <f t="shared" si="1173"/>
        <v>47187.185635311675</v>
      </c>
      <c r="BL163" s="162">
        <f t="shared" si="1173"/>
        <v>45526.866000000002</v>
      </c>
      <c r="BM163" s="162">
        <f t="shared" si="1173"/>
        <v>57706.650395989825</v>
      </c>
      <c r="BN163" s="162">
        <f t="shared" si="1173"/>
        <v>64858.772400000009</v>
      </c>
      <c r="BO163" s="162">
        <f t="shared" si="1173"/>
        <v>54451.299040971964</v>
      </c>
      <c r="BP163" s="162">
        <f t="shared" si="1173"/>
        <v>58545.906800000004</v>
      </c>
      <c r="BQ163" s="162">
        <f t="shared" si="1173"/>
        <v>76434.182421307953</v>
      </c>
      <c r="BR163" s="162">
        <f t="shared" si="1173"/>
        <v>136542.60320000001</v>
      </c>
      <c r="BS163" s="162">
        <f t="shared" si="1173"/>
        <v>222996.00141282252</v>
      </c>
      <c r="BT163" s="162">
        <f t="shared" si="1173"/>
        <v>266162.53999999998</v>
      </c>
      <c r="BU163" s="162">
        <f t="shared" si="1173"/>
        <v>270726.47960959142</v>
      </c>
      <c r="BV163" s="162">
        <f t="shared" si="1173"/>
        <v>337773.29920000001</v>
      </c>
      <c r="BW163" s="162">
        <f t="shared" si="1173"/>
        <v>388308.2103841693</v>
      </c>
      <c r="BX163" s="162">
        <f t="shared" si="1173"/>
        <v>540489.46440000006</v>
      </c>
      <c r="BY163" s="162">
        <f t="shared" si="1173"/>
        <v>441760.40227206075</v>
      </c>
      <c r="BZ163" s="162">
        <f t="shared" si="1173"/>
        <v>367628.13079999998</v>
      </c>
      <c r="CA163" s="162">
        <f t="shared" si="1173"/>
        <v>163234.25121093262</v>
      </c>
      <c r="CB163" s="162">
        <f t="shared" si="1173"/>
        <v>150130.23560000001</v>
      </c>
      <c r="CC163" s="162">
        <f t="shared" si="1173"/>
        <v>182196.32614492622</v>
      </c>
      <c r="CD163" s="162">
        <f t="shared" si="1173"/>
        <v>184498.04</v>
      </c>
      <c r="CE163" s="162">
        <f t="shared" ref="CE163:CF163" si="1174">+CE160+CE162</f>
        <v>185556.30168354633</v>
      </c>
      <c r="CF163" s="162">
        <f t="shared" si="1174"/>
        <v>193551.67119999998</v>
      </c>
      <c r="CG163" s="162">
        <f t="shared" ref="CG163:CH163" si="1175">+CG160+CG162</f>
        <v>161906.62632285524</v>
      </c>
      <c r="CH163" s="162">
        <f t="shared" si="1175"/>
        <v>141752.20600000001</v>
      </c>
      <c r="CI163" s="162">
        <f t="shared" ref="CI163:CJ163" si="1176">+CI160+CI162</f>
        <v>151298.7977638006</v>
      </c>
      <c r="CJ163" s="162">
        <f t="shared" si="1176"/>
        <v>154120.78760000001</v>
      </c>
      <c r="CK163" s="162">
        <f t="shared" ref="CK163:CL163" si="1177">+CK160+CK162</f>
        <v>165121.17856550275</v>
      </c>
      <c r="CL163" s="162">
        <f t="shared" si="1177"/>
        <v>170927.4044</v>
      </c>
      <c r="CM163" s="21">
        <f t="shared" ref="CM163:DB163" si="1178">+CM160+CM162</f>
        <v>227925.0692098088</v>
      </c>
      <c r="CN163" s="21">
        <f t="shared" si="1178"/>
        <v>240465.22062814725</v>
      </c>
      <c r="CO163" s="21">
        <f t="shared" si="1178"/>
        <v>255289.59897930978</v>
      </c>
      <c r="CP163" s="21">
        <f t="shared" si="1178"/>
        <v>267728.87595481006</v>
      </c>
      <c r="CQ163" s="21">
        <f t="shared" si="1178"/>
        <v>280169.55142592324</v>
      </c>
      <c r="CR163" s="21">
        <f t="shared" si="1178"/>
        <v>288421.41404244216</v>
      </c>
      <c r="CS163" s="21">
        <f t="shared" si="1178"/>
        <v>298621.72164754447</v>
      </c>
      <c r="CT163" s="21">
        <f t="shared" si="1178"/>
        <v>309764.98584734969</v>
      </c>
      <c r="CU163" s="21">
        <f t="shared" si="1178"/>
        <v>319346.67189633963</v>
      </c>
      <c r="CV163" s="21">
        <f t="shared" si="1178"/>
        <v>328337.62449223013</v>
      </c>
      <c r="CW163" s="21">
        <f t="shared" si="1178"/>
        <v>342349.70883005543</v>
      </c>
      <c r="CX163" s="21">
        <f t="shared" si="1178"/>
        <v>354011.60846795223</v>
      </c>
      <c r="CY163" s="21">
        <f t="shared" si="1178"/>
        <v>366389.35187157593</v>
      </c>
      <c r="CZ163" s="21">
        <f t="shared" si="1178"/>
        <v>376541.25432254991</v>
      </c>
      <c r="DA163" s="21">
        <f t="shared" si="1178"/>
        <v>389072.10627835838</v>
      </c>
      <c r="DB163" s="21">
        <f t="shared" si="1178"/>
        <v>402569.44264339376</v>
      </c>
      <c r="DE163" s="22"/>
      <c r="DF163" s="162">
        <v>194044.65119999999</v>
      </c>
      <c r="DG163" s="162">
        <v>172862.21042920329</v>
      </c>
    </row>
    <row r="164" spans="1:111" s="162" customFormat="1" hidden="1" outlineLevel="1" x14ac:dyDescent="0.2">
      <c r="A164" s="49" t="s">
        <v>345</v>
      </c>
      <c r="B164" s="162" t="e">
        <f>+B161+B162</f>
        <v>#DIV/0!</v>
      </c>
      <c r="C164" s="162" t="e">
        <f t="shared" ref="C164:W164" si="1179">+C161+C162</f>
        <v>#DIV/0!</v>
      </c>
      <c r="D164" s="162" t="e">
        <f t="shared" si="1179"/>
        <v>#DIV/0!</v>
      </c>
      <c r="E164" s="162">
        <f t="shared" ca="1" si="1179"/>
        <v>0</v>
      </c>
      <c r="F164" s="162">
        <f t="shared" ca="1" si="1179"/>
        <v>0</v>
      </c>
      <c r="G164" s="162">
        <f t="shared" ca="1" si="1179"/>
        <v>0</v>
      </c>
      <c r="H164" s="162">
        <f t="shared" ca="1" si="1179"/>
        <v>0</v>
      </c>
      <c r="I164" s="162">
        <f t="shared" ca="1" si="1179"/>
        <v>0</v>
      </c>
      <c r="J164" s="162">
        <f t="shared" ca="1" si="1179"/>
        <v>0</v>
      </c>
      <c r="K164" s="162">
        <f t="shared" ca="1" si="1179"/>
        <v>0</v>
      </c>
      <c r="L164" s="162">
        <f t="shared" ca="1" si="1179"/>
        <v>0</v>
      </c>
      <c r="M164" s="162">
        <f t="shared" ca="1" si="1179"/>
        <v>0</v>
      </c>
      <c r="N164" s="162">
        <f t="shared" ca="1" si="1179"/>
        <v>0</v>
      </c>
      <c r="O164" s="162">
        <f t="shared" ca="1" si="1179"/>
        <v>-0.05</v>
      </c>
      <c r="P164" s="162">
        <f t="shared" ca="1" si="1179"/>
        <v>9686.11</v>
      </c>
      <c r="Q164" s="162">
        <f t="shared" ca="1" si="1179"/>
        <v>11446.982</v>
      </c>
      <c r="R164" s="162">
        <f t="shared" ca="1" si="1179"/>
        <v>11882.2588</v>
      </c>
      <c r="S164" s="162">
        <f t="shared" ca="1" si="1179"/>
        <v>19359.735999999997</v>
      </c>
      <c r="T164" s="162">
        <f t="shared" ca="1" si="1179"/>
        <v>36443.32</v>
      </c>
      <c r="U164" s="162">
        <f t="shared" ca="1" si="1179"/>
        <v>42634.33</v>
      </c>
      <c r="V164" s="162">
        <f t="shared" ca="1" si="1179"/>
        <v>47536.911599999999</v>
      </c>
      <c r="W164" s="162">
        <f t="shared" ca="1" si="1179"/>
        <v>133419.734</v>
      </c>
      <c r="X164" s="162">
        <f t="shared" ref="X164:Y164" ca="1" si="1180">+X161+X162</f>
        <v>106017.7</v>
      </c>
      <c r="Y164" s="162">
        <f t="shared" ca="1" si="1180"/>
        <v>115231.30319999999</v>
      </c>
      <c r="Z164" s="162">
        <f ca="1">+Z161+Z162</f>
        <v>102789.416</v>
      </c>
      <c r="AA164" s="162">
        <f ca="1">+AA161+AA162</f>
        <v>102789.416</v>
      </c>
      <c r="AB164" s="21">
        <f t="shared" ref="AB164:AD164" ca="1" si="1181">+AB161+AB162</f>
        <v>197750.16860752215</v>
      </c>
      <c r="AC164" s="21">
        <f t="shared" ca="1" si="1181"/>
        <v>230434.3360109182</v>
      </c>
      <c r="AD164" s="21">
        <f t="shared" ca="1" si="1181"/>
        <v>259743.7043146686</v>
      </c>
      <c r="AE164" s="21">
        <f t="shared" ref="AE164" ca="1" si="1182">+AE161+AE162</f>
        <v>295354.04113542417</v>
      </c>
      <c r="AL164" s="162">
        <f t="shared" ref="AL164:AM164" si="1183">+AL161+AL162</f>
        <v>0</v>
      </c>
      <c r="AM164" s="162" t="e">
        <f t="shared" si="1183"/>
        <v>#DIV/0!</v>
      </c>
      <c r="AN164" s="162">
        <f t="shared" ref="AN164:AO164" si="1184">+AN161+AN162</f>
        <v>0</v>
      </c>
      <c r="AO164" s="162" t="e">
        <f t="shared" si="1184"/>
        <v>#DIV/0!</v>
      </c>
      <c r="AP164" s="162">
        <f t="shared" ref="AP164:CD164" si="1185">+AP161+AP162</f>
        <v>0</v>
      </c>
      <c r="AQ164" s="162" t="e">
        <f t="shared" si="1185"/>
        <v>#DIV/0!</v>
      </c>
      <c r="AR164" s="162">
        <f t="shared" si="1185"/>
        <v>0</v>
      </c>
      <c r="AS164" s="162" t="e">
        <f t="shared" si="1185"/>
        <v>#DIV/0!</v>
      </c>
      <c r="AT164" s="162">
        <f t="shared" si="1185"/>
        <v>8882.68</v>
      </c>
      <c r="AU164" s="162">
        <f t="shared" si="1185"/>
        <v>10020.190355989667</v>
      </c>
      <c r="AV164" s="162">
        <f t="shared" si="1185"/>
        <v>10669.771999999999</v>
      </c>
      <c r="AW164" s="162">
        <f t="shared" si="1185"/>
        <v>10745.265703870693</v>
      </c>
      <c r="AX164" s="162">
        <f t="shared" si="1185"/>
        <v>10927.366399999999</v>
      </c>
      <c r="AY164" s="162">
        <f t="shared" si="1185"/>
        <v>11049.041812442802</v>
      </c>
      <c r="AZ164" s="162">
        <f t="shared" si="1185"/>
        <v>12603.752</v>
      </c>
      <c r="BA164" s="162">
        <f t="shared" si="1185"/>
        <v>13035.106071187929</v>
      </c>
      <c r="BB164" s="162">
        <f t="shared" si="1185"/>
        <v>14925.386399999999</v>
      </c>
      <c r="BC164" s="162">
        <f t="shared" si="1185"/>
        <v>15771.856153123577</v>
      </c>
      <c r="BD164" s="162">
        <f t="shared" si="1185"/>
        <v>20280.034</v>
      </c>
      <c r="BE164" s="162">
        <f t="shared" si="1185"/>
        <v>25750.271790723145</v>
      </c>
      <c r="BF164" s="162">
        <f t="shared" si="1185"/>
        <v>27535.534400000004</v>
      </c>
      <c r="BG164" s="162">
        <f t="shared" si="1185"/>
        <v>22525.828445070001</v>
      </c>
      <c r="BH164" s="162">
        <f t="shared" si="1185"/>
        <v>35155.083200000001</v>
      </c>
      <c r="BI164" s="162">
        <f t="shared" si="1185"/>
        <v>34019.994262245906</v>
      </c>
      <c r="BJ164" s="162">
        <f t="shared" si="1185"/>
        <v>38643.51</v>
      </c>
      <c r="BK164" s="162">
        <f t="shared" si="1185"/>
        <v>41162.766435311678</v>
      </c>
      <c r="BL164" s="162">
        <f t="shared" si="1185"/>
        <v>39039.953999999998</v>
      </c>
      <c r="BM164" s="162">
        <f t="shared" si="1185"/>
        <v>42174.099995989825</v>
      </c>
      <c r="BN164" s="162">
        <f t="shared" si="1185"/>
        <v>38634.83</v>
      </c>
      <c r="BO164" s="162">
        <f t="shared" si="1185"/>
        <v>40666.611040971955</v>
      </c>
      <c r="BP164" s="162">
        <f t="shared" si="1185"/>
        <v>48683.398000000001</v>
      </c>
      <c r="BQ164" s="162">
        <f t="shared" si="1185"/>
        <v>50804.873621307954</v>
      </c>
      <c r="BR164" s="162">
        <f t="shared" si="1185"/>
        <v>73547.48</v>
      </c>
      <c r="BS164" s="162">
        <f t="shared" si="1185"/>
        <v>128983.82861282252</v>
      </c>
      <c r="BT164" s="162">
        <f t="shared" si="1185"/>
        <v>130477.96399999999</v>
      </c>
      <c r="BU164" s="162">
        <f t="shared" si="1185"/>
        <v>208428.09880959144</v>
      </c>
      <c r="BV164" s="162">
        <f t="shared" si="1185"/>
        <v>228739.12</v>
      </c>
      <c r="BW164" s="162">
        <f t="shared" si="1185"/>
        <v>256167.41038416934</v>
      </c>
      <c r="BX164" s="162">
        <f t="shared" si="1185"/>
        <v>298773.90919999999</v>
      </c>
      <c r="BY164" s="162">
        <f t="shared" si="1185"/>
        <v>292753.63107206073</v>
      </c>
      <c r="BZ164" s="162">
        <f t="shared" si="1185"/>
        <v>107118.54999999999</v>
      </c>
      <c r="CA164" s="162">
        <f t="shared" si="1185"/>
        <v>116990.9776109326</v>
      </c>
      <c r="CB164" s="162">
        <f t="shared" si="1185"/>
        <v>121503.73320000002</v>
      </c>
      <c r="CC164" s="162">
        <f t="shared" si="1185"/>
        <v>115032.7613449262</v>
      </c>
      <c r="CD164" s="162">
        <f t="shared" si="1185"/>
        <v>144627.55679999999</v>
      </c>
      <c r="CE164" s="162">
        <f t="shared" ref="CE164:CF164" si="1186">+CE161+CE162</f>
        <v>135486.95128354634</v>
      </c>
      <c r="CF164" s="162">
        <f t="shared" si="1186"/>
        <v>141632.34960000002</v>
      </c>
      <c r="CG164" s="162">
        <f t="shared" ref="CG164:CH164" si="1187">+CG161+CG162</f>
        <v>101554.31912285525</v>
      </c>
      <c r="CH164" s="162">
        <f t="shared" si="1187"/>
        <v>111101.54680000001</v>
      </c>
      <c r="CI164" s="162">
        <f t="shared" ref="CI164:CJ164" si="1188">+CI161+CI162</f>
        <v>126810.7049638006</v>
      </c>
      <c r="CJ164" s="162">
        <f t="shared" si="1188"/>
        <v>128593.5876</v>
      </c>
      <c r="CK164" s="162">
        <f t="shared" ref="CK164:CL164" si="1189">+CK161+CK162</f>
        <v>143450.08736550275</v>
      </c>
      <c r="CL164" s="162">
        <f t="shared" si="1189"/>
        <v>139381.7916</v>
      </c>
      <c r="CM164" s="21">
        <f t="shared" ref="CM164:DB164" si="1190">+CM161+CM162</f>
        <v>175032.03344655229</v>
      </c>
      <c r="CN164" s="21">
        <f t="shared" si="1190"/>
        <v>185771.37435860839</v>
      </c>
      <c r="CO164" s="21">
        <f t="shared" si="1190"/>
        <v>198842.6347926454</v>
      </c>
      <c r="CP164" s="21">
        <f t="shared" si="1190"/>
        <v>209578.71047339001</v>
      </c>
      <c r="CQ164" s="21">
        <f t="shared" si="1190"/>
        <v>220011.05195694853</v>
      </c>
      <c r="CR164" s="21">
        <f t="shared" si="1190"/>
        <v>226382.72730081179</v>
      </c>
      <c r="CS164" s="21">
        <f t="shared" si="1190"/>
        <v>234652.51455898106</v>
      </c>
      <c r="CT164" s="21">
        <f t="shared" si="1190"/>
        <v>243707.36318838829</v>
      </c>
      <c r="CU164" s="21">
        <f t="shared" si="1190"/>
        <v>250880.78852193916</v>
      </c>
      <c r="CV164" s="21">
        <f t="shared" si="1190"/>
        <v>257531.48690787939</v>
      </c>
      <c r="CW164" s="21">
        <f t="shared" si="1190"/>
        <v>268731.12029447168</v>
      </c>
      <c r="CX164" s="21">
        <f t="shared" si="1190"/>
        <v>277606.64177697233</v>
      </c>
      <c r="CY164" s="21">
        <f t="shared" si="1190"/>
        <v>287171.84072233632</v>
      </c>
      <c r="CZ164" s="21">
        <f t="shared" si="1190"/>
        <v>294604.7790391646</v>
      </c>
      <c r="DA164" s="21">
        <f t="shared" si="1190"/>
        <v>304284.25690427405</v>
      </c>
      <c r="DB164" s="21">
        <f t="shared" si="1190"/>
        <v>314737.19599916035</v>
      </c>
      <c r="DE164" s="22"/>
      <c r="DF164" s="162">
        <v>102789.416</v>
      </c>
      <c r="DG164" s="162">
        <v>141316.59762920332</v>
      </c>
    </row>
    <row r="165" spans="1:111" s="162" customFormat="1" hidden="1" outlineLevel="1" x14ac:dyDescent="0.2">
      <c r="A165" s="49" t="s">
        <v>13</v>
      </c>
      <c r="B165" s="162">
        <f t="shared" ref="B165:AE165" si="1191">+B81</f>
        <v>0</v>
      </c>
      <c r="C165" s="162">
        <f t="shared" si="1191"/>
        <v>0</v>
      </c>
      <c r="D165" s="162">
        <f t="shared" si="1191"/>
        <v>0</v>
      </c>
      <c r="E165" s="162">
        <f t="shared" si="1191"/>
        <v>0</v>
      </c>
      <c r="F165" s="162">
        <f t="shared" si="1191"/>
        <v>0</v>
      </c>
      <c r="G165" s="162">
        <f t="shared" si="1191"/>
        <v>0</v>
      </c>
      <c r="H165" s="162">
        <f t="shared" si="1191"/>
        <v>0</v>
      </c>
      <c r="I165" s="162">
        <f t="shared" si="1191"/>
        <v>0</v>
      </c>
      <c r="J165" s="162">
        <f t="shared" si="1191"/>
        <v>0</v>
      </c>
      <c r="K165" s="162">
        <f t="shared" si="1191"/>
        <v>0</v>
      </c>
      <c r="L165" s="162">
        <f t="shared" si="1191"/>
        <v>0</v>
      </c>
      <c r="M165" s="162">
        <f t="shared" si="1191"/>
        <v>0</v>
      </c>
      <c r="N165" s="162">
        <f t="shared" si="1191"/>
        <v>0</v>
      </c>
      <c r="O165" s="162">
        <f t="shared" si="1191"/>
        <v>-2.7028999999999998E-3</v>
      </c>
      <c r="P165" s="162">
        <f t="shared" si="1191"/>
        <v>101.25999999999999</v>
      </c>
      <c r="Q165" s="162">
        <f t="shared" si="1191"/>
        <v>1926.5400000000002</v>
      </c>
      <c r="R165" s="162">
        <f t="shared" si="1191"/>
        <v>1983.0900000000001</v>
      </c>
      <c r="S165" s="162">
        <f t="shared" si="1191"/>
        <v>2826.01</v>
      </c>
      <c r="T165" s="162">
        <f t="shared" si="1191"/>
        <v>2762.2299999999996</v>
      </c>
      <c r="U165" s="162">
        <f t="shared" si="1191"/>
        <v>4253.8599999999997</v>
      </c>
      <c r="V165" s="162">
        <f t="shared" si="1191"/>
        <v>3950.3600000000006</v>
      </c>
      <c r="W165" s="162">
        <f t="shared" si="1191"/>
        <v>4206.17</v>
      </c>
      <c r="X165" s="162">
        <f t="shared" si="1191"/>
        <v>4517.6099999999988</v>
      </c>
      <c r="Y165" s="162">
        <f t="shared" si="1191"/>
        <v>5711.2000000000007</v>
      </c>
      <c r="Z165" s="162">
        <f>+Z81</f>
        <v>7066.52</v>
      </c>
      <c r="AA165" s="162">
        <f>+AA81</f>
        <v>7988.84</v>
      </c>
      <c r="AB165" s="21">
        <f t="shared" si="1191"/>
        <v>10554.629078782695</v>
      </c>
      <c r="AC165" s="21">
        <f t="shared" si="1191"/>
        <v>12862.480334243588</v>
      </c>
      <c r="AD165" s="21">
        <f t="shared" si="1191"/>
        <v>14941.308718795281</v>
      </c>
      <c r="AE165" s="21">
        <f t="shared" si="1191"/>
        <v>16611.402267039353</v>
      </c>
      <c r="AL165" s="162">
        <f t="shared" ref="AL165:BQ165" si="1192">+SUM(AI81:AL81)</f>
        <v>0</v>
      </c>
      <c r="AM165" s="162">
        <f t="shared" si="1192"/>
        <v>0</v>
      </c>
      <c r="AN165" s="162">
        <f t="shared" si="1192"/>
        <v>0</v>
      </c>
      <c r="AO165" s="162">
        <f t="shared" si="1192"/>
        <v>0</v>
      </c>
      <c r="AP165" s="162">
        <f t="shared" si="1192"/>
        <v>0</v>
      </c>
      <c r="AQ165" s="162">
        <f t="shared" si="1192"/>
        <v>0</v>
      </c>
      <c r="AR165" s="162">
        <f t="shared" si="1192"/>
        <v>0</v>
      </c>
      <c r="AS165" s="162">
        <f t="shared" si="1192"/>
        <v>6.2299999999999995</v>
      </c>
      <c r="AT165" s="162">
        <f t="shared" si="1192"/>
        <v>101.26</v>
      </c>
      <c r="AU165" s="162">
        <f t="shared" si="1192"/>
        <v>541.14</v>
      </c>
      <c r="AV165" s="162">
        <f t="shared" si="1192"/>
        <v>1068.8600000000001</v>
      </c>
      <c r="AW165" s="162">
        <f t="shared" si="1192"/>
        <v>1537.44</v>
      </c>
      <c r="AX165" s="162">
        <f t="shared" si="1192"/>
        <v>1926.5500000000002</v>
      </c>
      <c r="AY165" s="162">
        <f t="shared" si="1192"/>
        <v>2065.02</v>
      </c>
      <c r="AZ165" s="162">
        <f t="shared" si="1192"/>
        <v>2010.38</v>
      </c>
      <c r="BA165" s="162">
        <f t="shared" si="1192"/>
        <v>2006.9600000000003</v>
      </c>
      <c r="BB165" s="162">
        <f t="shared" si="1192"/>
        <v>1983.0900000000001</v>
      </c>
      <c r="BC165" s="162">
        <f t="shared" si="1192"/>
        <v>1857.03</v>
      </c>
      <c r="BD165" s="162">
        <f t="shared" si="1192"/>
        <v>1830.02</v>
      </c>
      <c r="BE165" s="162">
        <f t="shared" si="1192"/>
        <v>2795.59</v>
      </c>
      <c r="BF165" s="162">
        <f t="shared" si="1192"/>
        <v>2826.01</v>
      </c>
      <c r="BG165" s="162">
        <f t="shared" si="1192"/>
        <v>2878.7400000000002</v>
      </c>
      <c r="BH165" s="162">
        <f t="shared" si="1192"/>
        <v>2989.58</v>
      </c>
      <c r="BI165" s="162">
        <f t="shared" si="1192"/>
        <v>2445.44</v>
      </c>
      <c r="BJ165" s="162">
        <f t="shared" si="1192"/>
        <v>2826.05</v>
      </c>
      <c r="BK165" s="162">
        <f t="shared" si="1192"/>
        <v>3427.7499999999995</v>
      </c>
      <c r="BL165" s="162">
        <f t="shared" si="1192"/>
        <v>3874.4500000000007</v>
      </c>
      <c r="BM165" s="162">
        <f t="shared" si="1192"/>
        <v>4037.43</v>
      </c>
      <c r="BN165" s="162">
        <f t="shared" si="1192"/>
        <v>4253.8599999999997</v>
      </c>
      <c r="BO165" s="162">
        <f t="shared" si="1192"/>
        <v>4541.83</v>
      </c>
      <c r="BP165" s="162">
        <f t="shared" si="1192"/>
        <v>4534.04</v>
      </c>
      <c r="BQ165" s="162">
        <f t="shared" si="1192"/>
        <v>4593.7199999999993</v>
      </c>
      <c r="BR165" s="162">
        <f t="shared" ref="BR165:CW165" si="1193">+SUM(BO81:BR81)</f>
        <v>4533.17</v>
      </c>
      <c r="BS165" s="162">
        <f t="shared" si="1193"/>
        <v>4528.8600000000006</v>
      </c>
      <c r="BT165" s="162">
        <f t="shared" si="1193"/>
        <v>4688.76</v>
      </c>
      <c r="BU165" s="162">
        <f t="shared" si="1193"/>
        <v>4724.67</v>
      </c>
      <c r="BV165" s="162">
        <f t="shared" si="1193"/>
        <v>4888.6399999999994</v>
      </c>
      <c r="BW165" s="162">
        <f t="shared" si="1193"/>
        <v>4706.1899999999987</v>
      </c>
      <c r="BX165" s="162">
        <f t="shared" si="1193"/>
        <v>4787.08</v>
      </c>
      <c r="BY165" s="162">
        <f t="shared" si="1193"/>
        <v>5175.8599999999997</v>
      </c>
      <c r="BZ165" s="162">
        <f t="shared" si="1193"/>
        <v>5553.19</v>
      </c>
      <c r="CA165" s="162">
        <f t="shared" si="1193"/>
        <v>5614.5599999999995</v>
      </c>
      <c r="CB165" s="162">
        <f t="shared" si="1193"/>
        <v>5728.0899999999983</v>
      </c>
      <c r="CC165" s="162">
        <f t="shared" si="1193"/>
        <v>5658.5599999999995</v>
      </c>
      <c r="CD165" s="162">
        <f t="shared" si="1193"/>
        <v>5711.1999999999989</v>
      </c>
      <c r="CE165" s="162">
        <f t="shared" si="1193"/>
        <v>6092.58</v>
      </c>
      <c r="CF165" s="162">
        <f t="shared" si="1193"/>
        <v>6457.5800000000008</v>
      </c>
      <c r="CG165" s="162">
        <f t="shared" si="1193"/>
        <v>6647.68</v>
      </c>
      <c r="CH165" s="162">
        <f t="shared" si="1193"/>
        <v>7066.52</v>
      </c>
      <c r="CI165" s="162">
        <f t="shared" si="1193"/>
        <v>7226.53</v>
      </c>
      <c r="CJ165" s="162">
        <f t="shared" si="1193"/>
        <v>7466.8099999999995</v>
      </c>
      <c r="CK165" s="162">
        <f t="shared" si="1193"/>
        <v>7801.47</v>
      </c>
      <c r="CL165" s="162">
        <f t="shared" si="1193"/>
        <v>7988.8400000000011</v>
      </c>
      <c r="CM165" s="21">
        <f t="shared" si="1193"/>
        <v>8664.2607861580946</v>
      </c>
      <c r="CN165" s="21">
        <f t="shared" si="1193"/>
        <v>9280.5558437714044</v>
      </c>
      <c r="CO165" s="21">
        <f t="shared" si="1193"/>
        <v>9970.4384649422755</v>
      </c>
      <c r="CP165" s="21">
        <f t="shared" si="1193"/>
        <v>10554.629078782691</v>
      </c>
      <c r="CQ165" s="21">
        <f t="shared" si="1193"/>
        <v>11138.368092582332</v>
      </c>
      <c r="CR165" s="21">
        <f t="shared" si="1193"/>
        <v>11680.591706736421</v>
      </c>
      <c r="CS165" s="21">
        <f t="shared" si="1193"/>
        <v>12229.984426166795</v>
      </c>
      <c r="CT165" s="21">
        <f t="shared" si="1193"/>
        <v>12862.480334243583</v>
      </c>
      <c r="CU165" s="21">
        <f t="shared" si="1193"/>
        <v>13323.081484076585</v>
      </c>
      <c r="CV165" s="21">
        <f t="shared" si="1193"/>
        <v>13746.207199258894</v>
      </c>
      <c r="CW165" s="21">
        <f t="shared" si="1193"/>
        <v>14420.664489572006</v>
      </c>
      <c r="CX165" s="21">
        <f t="shared" ref="CX165:DB165" si="1194">+SUM(CU81:CX81)</f>
        <v>14941.308718795281</v>
      </c>
      <c r="CY165" s="21">
        <f t="shared" si="1194"/>
        <v>15449.828431036909</v>
      </c>
      <c r="CZ165" s="21">
        <f t="shared" si="1194"/>
        <v>15948.504779083887</v>
      </c>
      <c r="DA165" s="21">
        <f t="shared" si="1194"/>
        <v>16211.603529578881</v>
      </c>
      <c r="DB165" s="21">
        <f t="shared" si="1194"/>
        <v>16611.402267039357</v>
      </c>
      <c r="DE165" s="22"/>
      <c r="DF165" s="162">
        <v>0</v>
      </c>
      <c r="DG165" s="162">
        <v>8278.3092282185171</v>
      </c>
    </row>
    <row r="166" spans="1:111" s="162" customFormat="1" hidden="1" outlineLevel="1" x14ac:dyDescent="0.2">
      <c r="A166" s="49" t="s">
        <v>343</v>
      </c>
      <c r="B166" s="162" t="e">
        <f>+B163/B165</f>
        <v>#DIV/0!</v>
      </c>
      <c r="C166" s="162" t="e">
        <f t="shared" ref="C166:W166" si="1195">+C163/C165</f>
        <v>#DIV/0!</v>
      </c>
      <c r="D166" s="162" t="e">
        <f t="shared" si="1195"/>
        <v>#DIV/0!</v>
      </c>
      <c r="E166" s="162" t="e">
        <f t="shared" ca="1" si="1195"/>
        <v>#DIV/0!</v>
      </c>
      <c r="F166" s="162" t="e">
        <f t="shared" ca="1" si="1195"/>
        <v>#DIV/0!</v>
      </c>
      <c r="G166" s="162" t="e">
        <f t="shared" ca="1" si="1195"/>
        <v>#DIV/0!</v>
      </c>
      <c r="H166" s="162" t="e">
        <f t="shared" ca="1" si="1195"/>
        <v>#DIV/0!</v>
      </c>
      <c r="I166" s="162" t="e">
        <f t="shared" ca="1" si="1195"/>
        <v>#DIV/0!</v>
      </c>
      <c r="J166" s="162" t="e">
        <f t="shared" ca="1" si="1195"/>
        <v>#DIV/0!</v>
      </c>
      <c r="K166" s="162" t="e">
        <f t="shared" ca="1" si="1195"/>
        <v>#DIV/0!</v>
      </c>
      <c r="L166" s="162" t="e">
        <f t="shared" ca="1" si="1195"/>
        <v>#DIV/0!</v>
      </c>
      <c r="M166" s="162" t="e">
        <f t="shared" ca="1" si="1195"/>
        <v>#DIV/0!</v>
      </c>
      <c r="N166" s="162" t="e">
        <f t="shared" ca="1" si="1195"/>
        <v>#DIV/0!</v>
      </c>
      <c r="O166" s="162">
        <f t="shared" ca="1" si="1195"/>
        <v>18.498649598579306</v>
      </c>
      <c r="P166" s="162">
        <f t="shared" ca="1" si="1195"/>
        <v>95.655836460596504</v>
      </c>
      <c r="Q166" s="162">
        <f t="shared" ca="1" si="1195"/>
        <v>7.0235773978220006</v>
      </c>
      <c r="R166" s="162">
        <f t="shared" ca="1" si="1195"/>
        <v>8.4966146770948363</v>
      </c>
      <c r="S166" s="162">
        <f t="shared" ca="1" si="1195"/>
        <v>14.820802474159679</v>
      </c>
      <c r="T166" s="162">
        <f t="shared" ca="1" si="1195"/>
        <v>19.338507799857364</v>
      </c>
      <c r="U166" s="162">
        <f t="shared" ca="1" si="1195"/>
        <v>16.187244620180262</v>
      </c>
      <c r="V166" s="162">
        <f t="shared" ca="1" si="1195"/>
        <v>35.059547281766719</v>
      </c>
      <c r="W166" s="162">
        <f t="shared" ca="1" si="1195"/>
        <v>80.761721280880224</v>
      </c>
      <c r="X166" s="162">
        <f t="shared" ref="X166:Y166" ca="1" si="1196">+X163/X165</f>
        <v>119.42279090049831</v>
      </c>
      <c r="Y166" s="162">
        <f t="shared" ca="1" si="1196"/>
        <v>32.020482560582714</v>
      </c>
      <c r="Z166" s="162">
        <f ca="1">+Z163/Z165</f>
        <v>27.459718673406428</v>
      </c>
      <c r="AA166" s="162">
        <f ca="1">+AA163/AA165</f>
        <v>27.459718673406428</v>
      </c>
      <c r="AB166" s="21">
        <f t="shared" ref="AB166:AD166" ca="1" si="1197">+AB163/AB165</f>
        <v>25.366014661093921</v>
      </c>
      <c r="AC166" s="21">
        <f t="shared" ca="1" si="1197"/>
        <v>24.082834554286315</v>
      </c>
      <c r="AD166" s="21">
        <f t="shared" ca="1" si="1197"/>
        <v>23.693480613423549</v>
      </c>
      <c r="AE166" s="21">
        <f t="shared" ref="AE166" ca="1" si="1198">+AE163/AE165</f>
        <v>24.234524946890208</v>
      </c>
      <c r="AL166" s="162" t="e">
        <f t="shared" ref="AL166" si="1199">+AL163/AL165</f>
        <v>#DIV/0!</v>
      </c>
      <c r="AM166" s="162" t="e">
        <f t="shared" ref="AM166:AO166" si="1200">+AM163/AM165</f>
        <v>#DIV/0!</v>
      </c>
      <c r="AN166" s="162" t="e">
        <f t="shared" si="1200"/>
        <v>#DIV/0!</v>
      </c>
      <c r="AO166" s="162" t="e">
        <f t="shared" si="1200"/>
        <v>#DIV/0!</v>
      </c>
      <c r="AP166" s="162" t="e">
        <f t="shared" ref="AP166:CD166" si="1201">+AP163/AP165</f>
        <v>#DIV/0!</v>
      </c>
      <c r="AQ166" s="162" t="e">
        <f t="shared" si="1201"/>
        <v>#DIV/0!</v>
      </c>
      <c r="AR166" s="162" t="e">
        <f t="shared" si="1201"/>
        <v>#DIV/0!</v>
      </c>
      <c r="AS166" s="162" t="e">
        <f t="shared" si="1201"/>
        <v>#DIV/0!</v>
      </c>
      <c r="AT166" s="162">
        <f t="shared" si="1201"/>
        <v>87.721508986766736</v>
      </c>
      <c r="AU166" s="162">
        <f t="shared" si="1201"/>
        <v>18.516817008518437</v>
      </c>
      <c r="AV166" s="162">
        <f t="shared" si="1201"/>
        <v>11.921093501487565</v>
      </c>
      <c r="AW166" s="162">
        <f t="shared" si="1201"/>
        <v>8.1493694088033948</v>
      </c>
      <c r="AX166" s="162">
        <f t="shared" si="1201"/>
        <v>6.6883562845501014</v>
      </c>
      <c r="AY166" s="162">
        <f t="shared" si="1201"/>
        <v>6.0515560200108487</v>
      </c>
      <c r="AZ166" s="162">
        <f t="shared" si="1201"/>
        <v>6.7951722559914041</v>
      </c>
      <c r="BA166" s="162">
        <f t="shared" si="1201"/>
        <v>8.1559463423226806</v>
      </c>
      <c r="BB166" s="162">
        <f t="shared" si="1201"/>
        <v>8.3380490043316247</v>
      </c>
      <c r="BC166" s="162">
        <f t="shared" si="1201"/>
        <v>13.182951354110369</v>
      </c>
      <c r="BD166" s="162">
        <f t="shared" si="1201"/>
        <v>14.560943596244849</v>
      </c>
      <c r="BE166" s="162">
        <f t="shared" si="1201"/>
        <v>13.280342750805067</v>
      </c>
      <c r="BF166" s="162">
        <f t="shared" si="1201"/>
        <v>13.875384729707255</v>
      </c>
      <c r="BG166" s="162">
        <f t="shared" si="1201"/>
        <v>11.325985550994533</v>
      </c>
      <c r="BH166" s="162">
        <f t="shared" si="1201"/>
        <v>15.751309548498453</v>
      </c>
      <c r="BI166" s="162">
        <f t="shared" si="1201"/>
        <v>19.558324008050047</v>
      </c>
      <c r="BJ166" s="162">
        <f t="shared" si="1201"/>
        <v>16.330747863625909</v>
      </c>
      <c r="BK166" s="162">
        <f t="shared" si="1201"/>
        <v>13.766227302257073</v>
      </c>
      <c r="BL166" s="162">
        <f t="shared" si="1201"/>
        <v>11.750536463239943</v>
      </c>
      <c r="BM166" s="162">
        <f t="shared" si="1201"/>
        <v>14.2929166316171</v>
      </c>
      <c r="BN166" s="162">
        <f t="shared" si="1201"/>
        <v>15.247039723921336</v>
      </c>
      <c r="BO166" s="162">
        <f t="shared" si="1201"/>
        <v>11.988845694570683</v>
      </c>
      <c r="BP166" s="162">
        <f t="shared" si="1201"/>
        <v>12.912525429859464</v>
      </c>
      <c r="BQ166" s="162">
        <f t="shared" si="1201"/>
        <v>16.638842250138879</v>
      </c>
      <c r="BR166" s="162">
        <f t="shared" si="1201"/>
        <v>30.120777116234336</v>
      </c>
      <c r="BS166" s="162">
        <f t="shared" si="1201"/>
        <v>49.238881619838651</v>
      </c>
      <c r="BT166" s="162">
        <f t="shared" si="1201"/>
        <v>56.766083143517683</v>
      </c>
      <c r="BU166" s="162">
        <f t="shared" si="1201"/>
        <v>57.300611388645436</v>
      </c>
      <c r="BV166" s="162">
        <f t="shared" si="1201"/>
        <v>69.0935105059894</v>
      </c>
      <c r="BW166" s="162">
        <f t="shared" si="1201"/>
        <v>82.510100608808699</v>
      </c>
      <c r="BX166" s="162">
        <f t="shared" si="1201"/>
        <v>112.90587673487806</v>
      </c>
      <c r="BY166" s="162">
        <f t="shared" si="1201"/>
        <v>85.350145149223664</v>
      </c>
      <c r="BZ166" s="162">
        <f t="shared" si="1201"/>
        <v>66.201252037117413</v>
      </c>
      <c r="CA166" s="162">
        <f t="shared" si="1201"/>
        <v>29.073382635670939</v>
      </c>
      <c r="CB166" s="162">
        <f t="shared" si="1201"/>
        <v>26.209475689104057</v>
      </c>
      <c r="CC166" s="162">
        <f t="shared" si="1201"/>
        <v>32.198355437589463</v>
      </c>
      <c r="CD166" s="162">
        <f t="shared" si="1201"/>
        <v>32.3046014848018</v>
      </c>
      <c r="CE166" s="162">
        <f t="shared" ref="CE166:CF166" si="1202">+CE163/CE165</f>
        <v>30.456112465252215</v>
      </c>
      <c r="CF166" s="162">
        <f t="shared" si="1202"/>
        <v>29.972787205113985</v>
      </c>
      <c r="CG166" s="162">
        <f t="shared" ref="CG166:CH166" si="1203">+CG163/CG165</f>
        <v>24.355358008035168</v>
      </c>
      <c r="CH166" s="162">
        <f t="shared" si="1203"/>
        <v>20.059690767166867</v>
      </c>
      <c r="CI166" s="162">
        <f t="shared" ref="CI166:CJ166" si="1204">+CI163/CI165</f>
        <v>20.936576443161602</v>
      </c>
      <c r="CJ166" s="162">
        <f t="shared" si="1204"/>
        <v>20.64078068144228</v>
      </c>
      <c r="CK166" s="162">
        <f t="shared" ref="CK166:CL166" si="1205">+CK163/CK165</f>
        <v>21.165393004844312</v>
      </c>
      <c r="CL166" s="162">
        <f t="shared" si="1205"/>
        <v>21.395772652850724</v>
      </c>
      <c r="CM166" s="21">
        <f t="shared" ref="CM166:DB166" si="1206">+CM163/CM165</f>
        <v>26.306349131819623</v>
      </c>
      <c r="CN166" s="21">
        <f t="shared" si="1206"/>
        <v>25.910648529692775</v>
      </c>
      <c r="CO166" s="21">
        <f t="shared" si="1206"/>
        <v>25.604651177272753</v>
      </c>
      <c r="CP166" s="21">
        <f t="shared" si="1206"/>
        <v>25.366014661093931</v>
      </c>
      <c r="CQ166" s="21">
        <f t="shared" si="1206"/>
        <v>25.153554730562725</v>
      </c>
      <c r="CR166" s="21">
        <f t="shared" si="1206"/>
        <v>24.692363305200029</v>
      </c>
      <c r="CS166" s="21">
        <f t="shared" si="1206"/>
        <v>24.417179224580625</v>
      </c>
      <c r="CT166" s="21">
        <f t="shared" si="1206"/>
        <v>24.082834554286325</v>
      </c>
      <c r="CU166" s="21">
        <f t="shared" si="1206"/>
        <v>23.969430216126412</v>
      </c>
      <c r="CV166" s="21">
        <f t="shared" si="1206"/>
        <v>23.885688592700099</v>
      </c>
      <c r="CW166" s="21">
        <f t="shared" si="1206"/>
        <v>23.740217316450174</v>
      </c>
      <c r="CX166" s="21">
        <f t="shared" si="1206"/>
        <v>23.693480613423549</v>
      </c>
      <c r="CY166" s="21">
        <f t="shared" si="1206"/>
        <v>23.714784504373029</v>
      </c>
      <c r="CZ166" s="21">
        <f t="shared" si="1206"/>
        <v>23.60981543651512</v>
      </c>
      <c r="DA166" s="21">
        <f t="shared" si="1206"/>
        <v>23.999606551472645</v>
      </c>
      <c r="DB166" s="21">
        <f t="shared" si="1206"/>
        <v>24.234524946890204</v>
      </c>
      <c r="DE166" s="22"/>
      <c r="DF166" s="162">
        <v>27.459718673406428</v>
      </c>
      <c r="DG166" s="162">
        <v>20.88134251375423</v>
      </c>
    </row>
    <row r="167" spans="1:111" s="162" customFormat="1" hidden="1" outlineLevel="1" x14ac:dyDescent="0.2">
      <c r="A167" s="49" t="s">
        <v>344</v>
      </c>
      <c r="B167" s="162" t="e">
        <f>+B164/B165</f>
        <v>#DIV/0!</v>
      </c>
      <c r="C167" s="162" t="e">
        <f t="shared" ref="C167:W167" si="1207">+C164/C165</f>
        <v>#DIV/0!</v>
      </c>
      <c r="D167" s="162" t="e">
        <f t="shared" si="1207"/>
        <v>#DIV/0!</v>
      </c>
      <c r="E167" s="162" t="e">
        <f t="shared" ca="1" si="1207"/>
        <v>#DIV/0!</v>
      </c>
      <c r="F167" s="162" t="e">
        <f t="shared" ca="1" si="1207"/>
        <v>#DIV/0!</v>
      </c>
      <c r="G167" s="162" t="e">
        <f t="shared" ca="1" si="1207"/>
        <v>#DIV/0!</v>
      </c>
      <c r="H167" s="162" t="e">
        <f t="shared" ca="1" si="1207"/>
        <v>#DIV/0!</v>
      </c>
      <c r="I167" s="162" t="e">
        <f t="shared" ca="1" si="1207"/>
        <v>#DIV/0!</v>
      </c>
      <c r="J167" s="162" t="e">
        <f t="shared" ca="1" si="1207"/>
        <v>#DIV/0!</v>
      </c>
      <c r="K167" s="162" t="e">
        <f t="shared" ca="1" si="1207"/>
        <v>#DIV/0!</v>
      </c>
      <c r="L167" s="162" t="e">
        <f t="shared" ca="1" si="1207"/>
        <v>#DIV/0!</v>
      </c>
      <c r="M167" s="162" t="e">
        <f t="shared" ca="1" si="1207"/>
        <v>#DIV/0!</v>
      </c>
      <c r="N167" s="162" t="e">
        <f t="shared" ca="1" si="1207"/>
        <v>#DIV/0!</v>
      </c>
      <c r="O167" s="162">
        <f t="shared" ca="1" si="1207"/>
        <v>18.498649598579306</v>
      </c>
      <c r="P167" s="162">
        <f t="shared" ca="1" si="1207"/>
        <v>95.655836460596504</v>
      </c>
      <c r="Q167" s="162">
        <f t="shared" ca="1" si="1207"/>
        <v>5.9417307712271734</v>
      </c>
      <c r="R167" s="162">
        <f t="shared" ca="1" si="1207"/>
        <v>5.9917899843174034</v>
      </c>
      <c r="S167" s="162">
        <f t="shared" ca="1" si="1207"/>
        <v>6.8505546689502141</v>
      </c>
      <c r="T167" s="162">
        <f t="shared" ca="1" si="1207"/>
        <v>13.193441530936962</v>
      </c>
      <c r="U167" s="162">
        <f t="shared" ca="1" si="1207"/>
        <v>10.022504266713057</v>
      </c>
      <c r="V167" s="162">
        <f t="shared" ca="1" si="1207"/>
        <v>12.033564434633803</v>
      </c>
      <c r="W167" s="162">
        <f t="shared" ca="1" si="1207"/>
        <v>31.720005135313123</v>
      </c>
      <c r="X167" s="162">
        <f t="shared" ref="X167:Y167" ca="1" si="1208">+X164/X165</f>
        <v>23.467652143500661</v>
      </c>
      <c r="Y167" s="162">
        <f t="shared" ca="1" si="1208"/>
        <v>20.176373301582853</v>
      </c>
      <c r="Z167" s="162">
        <f ca="1">+Z164/Z165</f>
        <v>14.545973973044722</v>
      </c>
      <c r="AA167" s="162">
        <f ca="1">+AA164/AA165</f>
        <v>14.545973973044722</v>
      </c>
      <c r="AB167" s="21">
        <f t="shared" ref="AB167:AD167" ca="1" si="1209">+AB164/AB165</f>
        <v>18.735870974854706</v>
      </c>
      <c r="AC167" s="21">
        <f t="shared" ca="1" si="1209"/>
        <v>17.915233300488424</v>
      </c>
      <c r="AD167" s="21">
        <f t="shared" ca="1" si="1209"/>
        <v>17.384267282284746</v>
      </c>
      <c r="AE167" s="21">
        <f t="shared" ref="AE167" ca="1" si="1210">+AE164/AE165</f>
        <v>17.780199190135264</v>
      </c>
      <c r="AL167" s="162" t="e">
        <f t="shared" ref="AL167:AM167" si="1211">+AL164/AL165</f>
        <v>#DIV/0!</v>
      </c>
      <c r="AM167" s="162" t="e">
        <f t="shared" si="1211"/>
        <v>#DIV/0!</v>
      </c>
      <c r="AN167" s="162" t="e">
        <f t="shared" ref="AN167:AO167" si="1212">+AN164/AN165</f>
        <v>#DIV/0!</v>
      </c>
      <c r="AO167" s="162" t="e">
        <f t="shared" si="1212"/>
        <v>#DIV/0!</v>
      </c>
      <c r="AP167" s="162" t="e">
        <f t="shared" ref="AP167:CD167" si="1213">+AP164/AP165</f>
        <v>#DIV/0!</v>
      </c>
      <c r="AQ167" s="162" t="e">
        <f t="shared" si="1213"/>
        <v>#DIV/0!</v>
      </c>
      <c r="AR167" s="162" t="e">
        <f t="shared" si="1213"/>
        <v>#DIV/0!</v>
      </c>
      <c r="AS167" s="162" t="e">
        <f t="shared" si="1213"/>
        <v>#DIV/0!</v>
      </c>
      <c r="AT167" s="162">
        <f t="shared" si="1213"/>
        <v>87.721508986766736</v>
      </c>
      <c r="AU167" s="162">
        <f t="shared" si="1213"/>
        <v>18.516817008518437</v>
      </c>
      <c r="AV167" s="162">
        <f t="shared" si="1213"/>
        <v>9.9823849709035777</v>
      </c>
      <c r="AW167" s="162">
        <f t="shared" si="1213"/>
        <v>6.9890634456438576</v>
      </c>
      <c r="AX167" s="162">
        <f t="shared" si="1213"/>
        <v>5.6719869196231594</v>
      </c>
      <c r="AY167" s="162">
        <f t="shared" si="1213"/>
        <v>5.3505737534952695</v>
      </c>
      <c r="AZ167" s="162">
        <f t="shared" si="1213"/>
        <v>6.2693381350789403</v>
      </c>
      <c r="BA167" s="162">
        <f t="shared" si="1213"/>
        <v>6.4949506074799332</v>
      </c>
      <c r="BB167" s="162">
        <f t="shared" si="1213"/>
        <v>7.5263283058257562</v>
      </c>
      <c r="BC167" s="162">
        <f t="shared" si="1213"/>
        <v>8.4930540449661969</v>
      </c>
      <c r="BD167" s="162">
        <f t="shared" si="1213"/>
        <v>11.081864679074545</v>
      </c>
      <c r="BE167" s="162">
        <f t="shared" si="1213"/>
        <v>9.2110330165450378</v>
      </c>
      <c r="BF167" s="162">
        <f t="shared" si="1213"/>
        <v>9.7436082674866693</v>
      </c>
      <c r="BG167" s="162">
        <f t="shared" si="1213"/>
        <v>7.824891600168824</v>
      </c>
      <c r="BH167" s="162">
        <f t="shared" si="1213"/>
        <v>11.759204704339741</v>
      </c>
      <c r="BI167" s="162">
        <f t="shared" si="1213"/>
        <v>13.911604562878624</v>
      </c>
      <c r="BJ167" s="162">
        <f t="shared" si="1213"/>
        <v>13.674036198934909</v>
      </c>
      <c r="BK167" s="162">
        <f t="shared" si="1213"/>
        <v>12.008683957497391</v>
      </c>
      <c r="BL167" s="162">
        <f t="shared" si="1213"/>
        <v>10.076257017125009</v>
      </c>
      <c r="BM167" s="162">
        <f t="shared" si="1213"/>
        <v>10.445778625509254</v>
      </c>
      <c r="BN167" s="162">
        <f t="shared" si="1213"/>
        <v>9.0822993704541304</v>
      </c>
      <c r="BO167" s="162">
        <f t="shared" si="1213"/>
        <v>8.9537941844965481</v>
      </c>
      <c r="BP167" s="162">
        <f t="shared" si="1213"/>
        <v>10.73731109562333</v>
      </c>
      <c r="BQ167" s="162">
        <f t="shared" si="1213"/>
        <v>11.059636551924793</v>
      </c>
      <c r="BR167" s="162">
        <f t="shared" si="1213"/>
        <v>16.224293375276019</v>
      </c>
      <c r="BS167" s="162">
        <f t="shared" si="1213"/>
        <v>28.480418607071648</v>
      </c>
      <c r="BT167" s="162">
        <f t="shared" si="1213"/>
        <v>27.82781886895469</v>
      </c>
      <c r="BU167" s="162">
        <f t="shared" si="1213"/>
        <v>44.11484798083071</v>
      </c>
      <c r="BV167" s="162">
        <f t="shared" si="1213"/>
        <v>46.789929305491924</v>
      </c>
      <c r="BW167" s="162">
        <f t="shared" si="1213"/>
        <v>54.432016213576041</v>
      </c>
      <c r="BX167" s="162">
        <f t="shared" si="1213"/>
        <v>62.412558219206694</v>
      </c>
      <c r="BY167" s="162">
        <f t="shared" si="1213"/>
        <v>56.561350398206436</v>
      </c>
      <c r="BZ167" s="162">
        <f t="shared" si="1213"/>
        <v>19.289552491450859</v>
      </c>
      <c r="CA167" s="162">
        <f t="shared" si="1213"/>
        <v>20.837069620937815</v>
      </c>
      <c r="CB167" s="162">
        <f t="shared" si="1213"/>
        <v>21.211910636878969</v>
      </c>
      <c r="CC167" s="162">
        <f t="shared" si="1213"/>
        <v>20.328981462585219</v>
      </c>
      <c r="CD167" s="162">
        <f t="shared" si="1213"/>
        <v>25.323497128449365</v>
      </c>
      <c r="CE167" s="162">
        <f t="shared" ref="CE167:CF167" si="1214">+CE164/CE165</f>
        <v>22.238025809024474</v>
      </c>
      <c r="CF167" s="162">
        <f t="shared" si="1214"/>
        <v>21.932728607311098</v>
      </c>
      <c r="CG167" s="162">
        <f t="shared" ref="CG167:CH167" si="1215">+CG164/CG165</f>
        <v>15.276655784101408</v>
      </c>
      <c r="CH167" s="162">
        <f t="shared" si="1215"/>
        <v>15.722243310710223</v>
      </c>
      <c r="CI167" s="162">
        <f t="shared" ref="CI167:CJ167" si="1216">+CI164/CI165</f>
        <v>17.547938632206687</v>
      </c>
      <c r="CJ167" s="162">
        <f t="shared" si="1216"/>
        <v>17.222024880772381</v>
      </c>
      <c r="CK167" s="162">
        <f t="shared" ref="CK167:CL167" si="1217">+CK164/CK165</f>
        <v>18.387571491719221</v>
      </c>
      <c r="CL167" s="162">
        <f t="shared" si="1217"/>
        <v>17.447062602330249</v>
      </c>
      <c r="CM167" s="21">
        <f t="shared" ref="CM167:DB167" si="1218">+CM164/CM165</f>
        <v>20.201611858934474</v>
      </c>
      <c r="CN167" s="21">
        <f t="shared" si="1218"/>
        <v>20.017268091036581</v>
      </c>
      <c r="CO167" s="21">
        <f t="shared" si="1218"/>
        <v>19.943218695126525</v>
      </c>
      <c r="CP167" s="21">
        <f t="shared" si="1218"/>
        <v>19.856568043181447</v>
      </c>
      <c r="CQ167" s="21">
        <f t="shared" si="1218"/>
        <v>19.752539162668391</v>
      </c>
      <c r="CR167" s="21">
        <f t="shared" si="1218"/>
        <v>19.38110097369918</v>
      </c>
      <c r="CS167" s="21">
        <f t="shared" si="1218"/>
        <v>19.186656857626716</v>
      </c>
      <c r="CT167" s="21">
        <f t="shared" si="1218"/>
        <v>18.947151471211189</v>
      </c>
      <c r="CU167" s="21">
        <f t="shared" si="1218"/>
        <v>18.830537726710268</v>
      </c>
      <c r="CV167" s="21">
        <f t="shared" si="1218"/>
        <v>18.734730473272933</v>
      </c>
      <c r="CW167" s="21">
        <f t="shared" si="1218"/>
        <v>18.635141292469484</v>
      </c>
      <c r="CX167" s="21">
        <f t="shared" si="1218"/>
        <v>18.579807632765103</v>
      </c>
      <c r="CY167" s="21">
        <f t="shared" si="1218"/>
        <v>18.587380565692332</v>
      </c>
      <c r="CZ167" s="21">
        <f t="shared" si="1218"/>
        <v>18.472250729455986</v>
      </c>
      <c r="DA167" s="21">
        <f t="shared" si="1218"/>
        <v>18.769534818014282</v>
      </c>
      <c r="DB167" s="21">
        <f t="shared" si="1218"/>
        <v>18.947057625813297</v>
      </c>
      <c r="DE167" s="22"/>
      <c r="DF167" s="162">
        <v>14.545973973044722</v>
      </c>
      <c r="DG167" s="162">
        <v>17.070707765722648</v>
      </c>
    </row>
    <row r="168" spans="1:111" s="10" customFormat="1" collapsed="1" x14ac:dyDescent="0.2">
      <c r="A168" s="149" t="s">
        <v>490</v>
      </c>
      <c r="AB168" s="20"/>
      <c r="AC168" s="20"/>
      <c r="AD168" s="20"/>
      <c r="AE168" s="20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E168" s="126"/>
    </row>
    <row r="169" spans="1:111" x14ac:dyDescent="0.2">
      <c r="A169" s="152" t="s">
        <v>491</v>
      </c>
      <c r="AA169" s="2"/>
    </row>
    <row r="170" spans="1:111" s="23" customFormat="1" outlineLevel="1" x14ac:dyDescent="0.2">
      <c r="A170" s="23" t="s">
        <v>41</v>
      </c>
      <c r="B170" s="23">
        <f>'Annual Raw'!C41</f>
        <v>0</v>
      </c>
      <c r="C170" s="23">
        <f>'Annual Raw'!D41</f>
        <v>0</v>
      </c>
      <c r="D170" s="23">
        <f>'Annual Raw'!E41</f>
        <v>0</v>
      </c>
      <c r="E170" s="23">
        <f>'Annual Raw'!F41</f>
        <v>0</v>
      </c>
      <c r="F170" s="23">
        <f>'Annual Raw'!G41</f>
        <v>0</v>
      </c>
      <c r="G170" s="23">
        <f>'Annual Raw'!H41</f>
        <v>0</v>
      </c>
      <c r="H170" s="23">
        <f>'Annual Raw'!I41</f>
        <v>0</v>
      </c>
      <c r="I170" s="23">
        <f>'Annual Raw'!J41</f>
        <v>0</v>
      </c>
      <c r="J170" s="23">
        <f>'Annual Raw'!K41</f>
        <v>0</v>
      </c>
      <c r="K170" s="23">
        <f>'Annual Raw'!L41</f>
        <v>0</v>
      </c>
      <c r="L170" s="23">
        <f>'Annual Raw'!M41</f>
        <v>0</v>
      </c>
      <c r="M170" s="23">
        <f>'Annual Raw'!N41</f>
        <v>0</v>
      </c>
      <c r="N170" s="23">
        <f>'Annual Raw'!O41</f>
        <v>0</v>
      </c>
      <c r="O170" s="23">
        <f>'Annual Raw'!P41</f>
        <v>0.05</v>
      </c>
      <c r="P170" s="23">
        <f>'Annual Raw'!Q41</f>
        <v>1090</v>
      </c>
      <c r="Q170" s="23">
        <f>'Annual Raw'!R41</f>
        <v>1099.81</v>
      </c>
      <c r="R170" s="23">
        <f>'Annual Raw'!S41</f>
        <v>1099.81</v>
      </c>
      <c r="S170" s="23">
        <f>'Annual Raw'!T41</f>
        <v>1099.81</v>
      </c>
      <c r="T170" s="23">
        <f>'Annual Raw'!U41</f>
        <v>1099.81</v>
      </c>
      <c r="U170" s="23">
        <f>'Annual Raw'!V41</f>
        <v>1099.81</v>
      </c>
      <c r="V170" s="23">
        <f>'Annual Raw'!W41</f>
        <v>1099.81</v>
      </c>
      <c r="W170" s="23">
        <f>'Annual Raw'!X41</f>
        <v>1099.81</v>
      </c>
      <c r="X170" s="23">
        <f>'Annual Raw'!Y41</f>
        <v>1115.49</v>
      </c>
      <c r="Y170" s="23">
        <f>'Annual Raw'!Z41</f>
        <v>1115.49</v>
      </c>
      <c r="Z170" s="23">
        <f>'Annual Raw'!AA41</f>
        <v>1201.28</v>
      </c>
      <c r="AA170" s="23">
        <f>'Annual Raw'!AB41</f>
        <v>1201.28</v>
      </c>
      <c r="AB170" s="24">
        <f>+CP170</f>
        <v>1201.28</v>
      </c>
      <c r="AC170" s="24">
        <f>+CT170</f>
        <v>1201.28</v>
      </c>
      <c r="AD170" s="24">
        <f>+CX170</f>
        <v>1201.28</v>
      </c>
      <c r="AE170" s="24">
        <f>+DB170</f>
        <v>1201.28</v>
      </c>
      <c r="AJ170" s="23">
        <f>+'QTR Raw'!D56</f>
        <v>0</v>
      </c>
      <c r="AK170" s="23">
        <f t="shared" ref="AK170:CE170" si="1219">+AJ170</f>
        <v>0</v>
      </c>
      <c r="AL170" s="23">
        <f>+'QTR Raw'!F56</f>
        <v>0</v>
      </c>
      <c r="AM170" s="23">
        <f t="shared" si="1219"/>
        <v>0</v>
      </c>
      <c r="AN170" s="23">
        <f>+'QTR Raw'!H56</f>
        <v>0</v>
      </c>
      <c r="AO170" s="23">
        <f t="shared" si="1219"/>
        <v>0</v>
      </c>
      <c r="AP170" s="23">
        <f>+'QTR Raw'!J56</f>
        <v>0</v>
      </c>
      <c r="AQ170" s="23">
        <f t="shared" si="1219"/>
        <v>0</v>
      </c>
      <c r="AR170" s="23">
        <f>+'QTR Raw'!L56</f>
        <v>0</v>
      </c>
      <c r="AS170" s="23">
        <f t="shared" si="1219"/>
        <v>0</v>
      </c>
      <c r="AT170" s="23">
        <f>+'QTR Raw'!N56</f>
        <v>1090</v>
      </c>
      <c r="AU170" s="23">
        <f t="shared" si="1219"/>
        <v>1090</v>
      </c>
      <c r="AV170" s="23">
        <f>+'QTR Raw'!P56</f>
        <v>1099.81</v>
      </c>
      <c r="AW170" s="23">
        <f t="shared" si="1219"/>
        <v>1099.81</v>
      </c>
      <c r="AX170" s="23">
        <f>+'QTR Raw'!R56</f>
        <v>1099.81</v>
      </c>
      <c r="AY170" s="23">
        <f t="shared" si="1219"/>
        <v>1099.81</v>
      </c>
      <c r="AZ170" s="23">
        <f>+'QTR Raw'!T56</f>
        <v>1099.81</v>
      </c>
      <c r="BA170" s="23">
        <f t="shared" si="1219"/>
        <v>1099.81</v>
      </c>
      <c r="BB170" s="23">
        <f>+'QTR Raw'!V56</f>
        <v>1099.81</v>
      </c>
      <c r="BC170" s="23">
        <f t="shared" si="1219"/>
        <v>1099.81</v>
      </c>
      <c r="BD170" s="23">
        <f>+'QTR Raw'!X56</f>
        <v>1099.81</v>
      </c>
      <c r="BE170" s="23">
        <f t="shared" si="1219"/>
        <v>1099.81</v>
      </c>
      <c r="BF170" s="23">
        <f>+'QTR Raw'!Z56</f>
        <v>1099.81</v>
      </c>
      <c r="BG170" s="23">
        <f t="shared" si="1219"/>
        <v>1099.81</v>
      </c>
      <c r="BH170" s="23">
        <f>+'QTR Raw'!AB56</f>
        <v>4325.47</v>
      </c>
      <c r="BI170" s="23">
        <f t="shared" si="1219"/>
        <v>4325.47</v>
      </c>
      <c r="BJ170" s="23">
        <f>+'QTR Raw'!AD56</f>
        <v>1099.81</v>
      </c>
      <c r="BK170" s="23">
        <f t="shared" si="1219"/>
        <v>1099.81</v>
      </c>
      <c r="BL170" s="23">
        <f>+'QTR Raw'!AF56</f>
        <v>1099.81</v>
      </c>
      <c r="BM170" s="23">
        <f t="shared" si="1219"/>
        <v>1099.81</v>
      </c>
      <c r="BN170" s="23">
        <f>+'QTR Raw'!AH56</f>
        <v>1099.81</v>
      </c>
      <c r="BO170" s="23">
        <f t="shared" si="1219"/>
        <v>1099.81</v>
      </c>
      <c r="BP170" s="23">
        <f>+'QTR Raw'!AJ56</f>
        <v>1099.81</v>
      </c>
      <c r="BQ170" s="23">
        <f t="shared" si="1219"/>
        <v>1099.81</v>
      </c>
      <c r="BR170" s="23">
        <f>+'QTR Raw'!AL56</f>
        <v>1099.81</v>
      </c>
      <c r="BS170" s="23">
        <f t="shared" si="1219"/>
        <v>1099.81</v>
      </c>
      <c r="BT170" s="23">
        <f>+'QTR Raw'!AN56</f>
        <v>1099.81</v>
      </c>
      <c r="BU170" s="23">
        <f t="shared" si="1219"/>
        <v>1099.81</v>
      </c>
      <c r="BV170" s="23">
        <f>+'QTR Raw'!AP56</f>
        <v>1099.81</v>
      </c>
      <c r="BW170" s="23">
        <f t="shared" si="1219"/>
        <v>1099.81</v>
      </c>
      <c r="BX170" s="23">
        <f>+'QTR Raw'!AR56</f>
        <v>1115.49</v>
      </c>
      <c r="BY170" s="23">
        <f t="shared" si="1219"/>
        <v>1115.49</v>
      </c>
      <c r="BZ170" s="23">
        <f>+'QTR Raw'!AT56</f>
        <v>1115.49</v>
      </c>
      <c r="CA170" s="23">
        <f t="shared" si="1219"/>
        <v>1115.49</v>
      </c>
      <c r="CB170" s="23">
        <f>+'QTR Raw'!AV56</f>
        <v>1115.49</v>
      </c>
      <c r="CC170" s="23">
        <f t="shared" si="1219"/>
        <v>1115.49</v>
      </c>
      <c r="CD170" s="23">
        <f>+'QTR Raw'!AX56</f>
        <v>1115.49</v>
      </c>
      <c r="CE170" s="23">
        <f t="shared" si="1219"/>
        <v>1115.49</v>
      </c>
      <c r="CF170" s="23">
        <f>+'QTR Raw'!AZ56</f>
        <v>1201.28</v>
      </c>
      <c r="CG170" s="23">
        <f t="shared" ref="CG170:CG171" si="1220">+CF170</f>
        <v>1201.28</v>
      </c>
      <c r="CH170" s="23">
        <f>Z170</f>
        <v>1201.28</v>
      </c>
      <c r="CI170" s="23">
        <f>CH170</f>
        <v>1201.28</v>
      </c>
      <c r="CJ170" s="23">
        <f>+'QTR Raw'!BD56</f>
        <v>1201.28</v>
      </c>
      <c r="CK170" s="23">
        <f t="shared" ref="CK170:DB170" si="1221">CJ170</f>
        <v>1201.28</v>
      </c>
      <c r="CL170" s="23">
        <f>+'QTR Raw'!BF56</f>
        <v>1201.28</v>
      </c>
      <c r="CM170" s="24">
        <f t="shared" si="1221"/>
        <v>1201.28</v>
      </c>
      <c r="CN170" s="24">
        <f t="shared" si="1221"/>
        <v>1201.28</v>
      </c>
      <c r="CO170" s="24">
        <f t="shared" si="1221"/>
        <v>1201.28</v>
      </c>
      <c r="CP170" s="24">
        <f t="shared" si="1221"/>
        <v>1201.28</v>
      </c>
      <c r="CQ170" s="24">
        <f t="shared" si="1221"/>
        <v>1201.28</v>
      </c>
      <c r="CR170" s="24">
        <f t="shared" si="1221"/>
        <v>1201.28</v>
      </c>
      <c r="CS170" s="24">
        <f t="shared" si="1221"/>
        <v>1201.28</v>
      </c>
      <c r="CT170" s="24">
        <f t="shared" si="1221"/>
        <v>1201.28</v>
      </c>
      <c r="CU170" s="24">
        <f t="shared" si="1221"/>
        <v>1201.28</v>
      </c>
      <c r="CV170" s="24">
        <f t="shared" si="1221"/>
        <v>1201.28</v>
      </c>
      <c r="CW170" s="24">
        <f t="shared" si="1221"/>
        <v>1201.28</v>
      </c>
      <c r="CX170" s="24">
        <f t="shared" si="1221"/>
        <v>1201.28</v>
      </c>
      <c r="CY170" s="24">
        <f t="shared" si="1221"/>
        <v>1201.28</v>
      </c>
      <c r="CZ170" s="24">
        <f t="shared" si="1221"/>
        <v>1201.28</v>
      </c>
      <c r="DA170" s="24">
        <f t="shared" si="1221"/>
        <v>1201.28</v>
      </c>
      <c r="DB170" s="24">
        <f t="shared" si="1221"/>
        <v>1201.28</v>
      </c>
      <c r="DE170" s="123"/>
      <c r="DF170" s="23">
        <v>0</v>
      </c>
      <c r="DG170" s="23">
        <v>1201.28</v>
      </c>
    </row>
    <row r="171" spans="1:111" s="23" customFormat="1" outlineLevel="1" x14ac:dyDescent="0.2">
      <c r="A171" s="23" t="s">
        <v>42</v>
      </c>
      <c r="B171" s="23">
        <f>'Annual Raw'!C42</f>
        <v>0</v>
      </c>
      <c r="C171" s="23">
        <f>'Annual Raw'!D42</f>
        <v>0</v>
      </c>
      <c r="D171" s="23">
        <f>'Annual Raw'!E42</f>
        <v>0</v>
      </c>
      <c r="E171" s="23">
        <f>'Annual Raw'!F42</f>
        <v>0</v>
      </c>
      <c r="F171" s="23">
        <f>'Annual Raw'!G42</f>
        <v>0</v>
      </c>
      <c r="G171" s="23">
        <f>'Annual Raw'!H42</f>
        <v>0</v>
      </c>
      <c r="H171" s="23">
        <f>'Annual Raw'!I42</f>
        <v>0</v>
      </c>
      <c r="I171" s="23">
        <f>'Annual Raw'!J42</f>
        <v>0</v>
      </c>
      <c r="J171" s="23">
        <f>'Annual Raw'!K42</f>
        <v>0</v>
      </c>
      <c r="K171" s="23">
        <f>'Annual Raw'!L42</f>
        <v>0</v>
      </c>
      <c r="L171" s="23">
        <f>'Annual Raw'!M42</f>
        <v>0</v>
      </c>
      <c r="M171" s="23">
        <f>'Annual Raw'!N42</f>
        <v>0</v>
      </c>
      <c r="N171" s="23">
        <f>'Annual Raw'!O42</f>
        <v>0</v>
      </c>
      <c r="O171" s="23">
        <f>'Annual Raw'!P42</f>
        <v>0</v>
      </c>
      <c r="P171" s="23">
        <f>'Annual Raw'!Q42</f>
        <v>0</v>
      </c>
      <c r="Q171" s="23">
        <f>'Annual Raw'!R42</f>
        <v>0</v>
      </c>
      <c r="R171" s="23">
        <f>'Annual Raw'!S42</f>
        <v>0</v>
      </c>
      <c r="S171" s="23">
        <f>'Annual Raw'!T42</f>
        <v>0</v>
      </c>
      <c r="T171" s="23">
        <f>'Annual Raw'!U42</f>
        <v>0</v>
      </c>
      <c r="U171" s="23">
        <f>'Annual Raw'!V42</f>
        <v>0</v>
      </c>
      <c r="V171" s="23">
        <f>'Annual Raw'!W42</f>
        <v>0</v>
      </c>
      <c r="W171" s="23">
        <f>'Annual Raw'!X42</f>
        <v>0</v>
      </c>
      <c r="X171" s="23">
        <f>'Annual Raw'!Y42</f>
        <v>0</v>
      </c>
      <c r="Y171" s="23">
        <f>'Annual Raw'!Z42</f>
        <v>0</v>
      </c>
      <c r="Z171" s="23">
        <f>'Annual Raw'!AA42</f>
        <v>0</v>
      </c>
      <c r="AA171" s="23">
        <f>'Annual Raw'!AB42</f>
        <v>0</v>
      </c>
      <c r="AB171" s="24">
        <f t="shared" ref="AB171:AB172" si="1222">+CP171</f>
        <v>0</v>
      </c>
      <c r="AC171" s="24">
        <f t="shared" ref="AC171:AC172" si="1223">+CT171</f>
        <v>0</v>
      </c>
      <c r="AD171" s="24">
        <f t="shared" ref="AD171:AD172" si="1224">+CX171</f>
        <v>0</v>
      </c>
      <c r="AE171" s="24">
        <f t="shared" ref="AE171:AE172" si="1225">+DB171</f>
        <v>0</v>
      </c>
      <c r="AJ171" s="23">
        <f>+'QTR Raw'!D57</f>
        <v>0</v>
      </c>
      <c r="AK171" s="23">
        <f t="shared" ref="AK171:CE171" si="1226">+AJ171</f>
        <v>0</v>
      </c>
      <c r="AL171" s="23">
        <f>+'QTR Raw'!F57</f>
        <v>0</v>
      </c>
      <c r="AM171" s="23">
        <f t="shared" si="1226"/>
        <v>0</v>
      </c>
      <c r="AN171" s="23">
        <f>+'QTR Raw'!H57</f>
        <v>0</v>
      </c>
      <c r="AO171" s="23">
        <f t="shared" si="1226"/>
        <v>0</v>
      </c>
      <c r="AP171" s="23">
        <f>+'QTR Raw'!J57</f>
        <v>0</v>
      </c>
      <c r="AQ171" s="23">
        <f t="shared" si="1226"/>
        <v>0</v>
      </c>
      <c r="AR171" s="23">
        <f>+'QTR Raw'!L57</f>
        <v>0</v>
      </c>
      <c r="AS171" s="23">
        <f t="shared" si="1226"/>
        <v>0</v>
      </c>
      <c r="AT171" s="23">
        <f>+'QTR Raw'!N57</f>
        <v>0</v>
      </c>
      <c r="AU171" s="23">
        <f t="shared" si="1226"/>
        <v>0</v>
      </c>
      <c r="AV171" s="23">
        <f>+'QTR Raw'!P57</f>
        <v>0</v>
      </c>
      <c r="AW171" s="23">
        <f t="shared" si="1226"/>
        <v>0</v>
      </c>
      <c r="AX171" s="23">
        <f>+'QTR Raw'!R57</f>
        <v>0</v>
      </c>
      <c r="AY171" s="23">
        <f t="shared" si="1226"/>
        <v>0</v>
      </c>
      <c r="AZ171" s="23">
        <f>+'QTR Raw'!T57</f>
        <v>0</v>
      </c>
      <c r="BA171" s="23">
        <f t="shared" si="1226"/>
        <v>0</v>
      </c>
      <c r="BB171" s="23">
        <f>+'QTR Raw'!V57</f>
        <v>0</v>
      </c>
      <c r="BC171" s="23">
        <f t="shared" si="1226"/>
        <v>0</v>
      </c>
      <c r="BD171" s="23">
        <f>+'QTR Raw'!X57</f>
        <v>0</v>
      </c>
      <c r="BE171" s="23">
        <f t="shared" si="1226"/>
        <v>0</v>
      </c>
      <c r="BF171" s="23">
        <f>+'QTR Raw'!Z57</f>
        <v>0</v>
      </c>
      <c r="BG171" s="23">
        <f t="shared" si="1226"/>
        <v>0</v>
      </c>
      <c r="BH171" s="23">
        <f>+'QTR Raw'!AB57</f>
        <v>0</v>
      </c>
      <c r="BI171" s="23">
        <f t="shared" si="1226"/>
        <v>0</v>
      </c>
      <c r="BJ171" s="23">
        <f>+'QTR Raw'!AD57</f>
        <v>0</v>
      </c>
      <c r="BK171" s="23">
        <f t="shared" si="1226"/>
        <v>0</v>
      </c>
      <c r="BL171" s="23">
        <f>+'QTR Raw'!AF57</f>
        <v>0</v>
      </c>
      <c r="BM171" s="23">
        <f t="shared" si="1226"/>
        <v>0</v>
      </c>
      <c r="BN171" s="23">
        <f>+'QTR Raw'!AH57</f>
        <v>0</v>
      </c>
      <c r="BO171" s="23">
        <f t="shared" si="1226"/>
        <v>0</v>
      </c>
      <c r="BP171" s="23">
        <f>+'QTR Raw'!AJ57</f>
        <v>0</v>
      </c>
      <c r="BQ171" s="23">
        <f t="shared" si="1226"/>
        <v>0</v>
      </c>
      <c r="BR171" s="23">
        <f>+'QTR Raw'!AL57</f>
        <v>0</v>
      </c>
      <c r="BS171" s="23">
        <f t="shared" si="1226"/>
        <v>0</v>
      </c>
      <c r="BT171" s="23">
        <f>+'QTR Raw'!AN57</f>
        <v>0</v>
      </c>
      <c r="BU171" s="23">
        <f t="shared" si="1226"/>
        <v>0</v>
      </c>
      <c r="BV171" s="23">
        <f>+'QTR Raw'!AP57</f>
        <v>0</v>
      </c>
      <c r="BW171" s="23">
        <f t="shared" si="1226"/>
        <v>0</v>
      </c>
      <c r="BX171" s="23">
        <f>+'QTR Raw'!AR57</f>
        <v>0</v>
      </c>
      <c r="BY171" s="23">
        <f t="shared" si="1226"/>
        <v>0</v>
      </c>
      <c r="BZ171" s="23">
        <f>+'QTR Raw'!AT57</f>
        <v>0</v>
      </c>
      <c r="CA171" s="23">
        <f t="shared" si="1226"/>
        <v>0</v>
      </c>
      <c r="CB171" s="23">
        <f>+'QTR Raw'!AV57</f>
        <v>0</v>
      </c>
      <c r="CC171" s="23">
        <f t="shared" si="1226"/>
        <v>0</v>
      </c>
      <c r="CD171" s="23">
        <f>+'QTR Raw'!AX57</f>
        <v>0</v>
      </c>
      <c r="CE171" s="23">
        <f t="shared" si="1226"/>
        <v>0</v>
      </c>
      <c r="CF171" s="23">
        <f>+'QTR Raw'!AZ57</f>
        <v>0</v>
      </c>
      <c r="CG171" s="23">
        <f t="shared" si="1220"/>
        <v>0</v>
      </c>
      <c r="CH171" s="23">
        <f t="shared" ref="CH171:CH172" si="1227">Z171</f>
        <v>0</v>
      </c>
      <c r="CI171" s="23">
        <f>CH171</f>
        <v>0</v>
      </c>
      <c r="CJ171" s="23">
        <f>+'QTR Raw'!BD57</f>
        <v>0</v>
      </c>
      <c r="CK171" s="23">
        <f t="shared" ref="CK171:DB171" si="1228">CJ171</f>
        <v>0</v>
      </c>
      <c r="CL171" s="23">
        <f>+'QTR Raw'!BF57</f>
        <v>0</v>
      </c>
      <c r="CM171" s="24">
        <f t="shared" si="1228"/>
        <v>0</v>
      </c>
      <c r="CN171" s="24">
        <f t="shared" si="1228"/>
        <v>0</v>
      </c>
      <c r="CO171" s="24">
        <f t="shared" si="1228"/>
        <v>0</v>
      </c>
      <c r="CP171" s="24">
        <f t="shared" si="1228"/>
        <v>0</v>
      </c>
      <c r="CQ171" s="24">
        <f t="shared" si="1228"/>
        <v>0</v>
      </c>
      <c r="CR171" s="24">
        <f t="shared" si="1228"/>
        <v>0</v>
      </c>
      <c r="CS171" s="24">
        <f t="shared" si="1228"/>
        <v>0</v>
      </c>
      <c r="CT171" s="24">
        <f t="shared" si="1228"/>
        <v>0</v>
      </c>
      <c r="CU171" s="24">
        <f t="shared" si="1228"/>
        <v>0</v>
      </c>
      <c r="CV171" s="24">
        <f t="shared" si="1228"/>
        <v>0</v>
      </c>
      <c r="CW171" s="24">
        <f t="shared" si="1228"/>
        <v>0</v>
      </c>
      <c r="CX171" s="24">
        <f t="shared" si="1228"/>
        <v>0</v>
      </c>
      <c r="CY171" s="24">
        <f t="shared" si="1228"/>
        <v>0</v>
      </c>
      <c r="CZ171" s="24">
        <f t="shared" si="1228"/>
        <v>0</v>
      </c>
      <c r="DA171" s="24">
        <f t="shared" si="1228"/>
        <v>0</v>
      </c>
      <c r="DB171" s="24">
        <f t="shared" si="1228"/>
        <v>0</v>
      </c>
      <c r="DE171" s="123"/>
      <c r="DF171" s="23">
        <v>0</v>
      </c>
      <c r="DG171" s="23">
        <v>0</v>
      </c>
    </row>
    <row r="172" spans="1:111" s="23" customFormat="1" outlineLevel="1" x14ac:dyDescent="0.2">
      <c r="A172" s="23" t="s">
        <v>43</v>
      </c>
      <c r="B172" s="23">
        <f>'Annual Raw'!C43</f>
        <v>0</v>
      </c>
      <c r="C172" s="23">
        <f>'Annual Raw'!D43</f>
        <v>0</v>
      </c>
      <c r="D172" s="23">
        <f>'Annual Raw'!E43</f>
        <v>0</v>
      </c>
      <c r="E172" s="23">
        <f>'Annual Raw'!F43</f>
        <v>0</v>
      </c>
      <c r="F172" s="23">
        <f>'Annual Raw'!G43</f>
        <v>0</v>
      </c>
      <c r="G172" s="23">
        <f>'Annual Raw'!H43</f>
        <v>0</v>
      </c>
      <c r="H172" s="23">
        <f>'Annual Raw'!I43</f>
        <v>0</v>
      </c>
      <c r="I172" s="23">
        <f>'Annual Raw'!J43</f>
        <v>0</v>
      </c>
      <c r="J172" s="23">
        <f>'Annual Raw'!K43</f>
        <v>0</v>
      </c>
      <c r="K172" s="23">
        <f>'Annual Raw'!L43</f>
        <v>0</v>
      </c>
      <c r="L172" s="23">
        <f>'Annual Raw'!M43</f>
        <v>0</v>
      </c>
      <c r="M172" s="23">
        <f>'Annual Raw'!N43</f>
        <v>0</v>
      </c>
      <c r="N172" s="23">
        <f>'Annual Raw'!O43</f>
        <v>0</v>
      </c>
      <c r="O172" s="23">
        <f>'Annual Raw'!P43</f>
        <v>-2.7028999999999998E-3</v>
      </c>
      <c r="P172" s="23">
        <f>'Annual Raw'!Q43</f>
        <v>-6.75</v>
      </c>
      <c r="Q172" s="23">
        <f>'Annual Raw'!R43</f>
        <v>1572</v>
      </c>
      <c r="R172" s="23">
        <f>'Annual Raw'!S43</f>
        <v>1846.72</v>
      </c>
      <c r="S172" s="23">
        <f>'Annual Raw'!T43</f>
        <v>3108.05</v>
      </c>
      <c r="T172" s="23">
        <f>'Annual Raw'!U43</f>
        <v>3535.04</v>
      </c>
      <c r="U172" s="23">
        <f>'Annual Raw'!V43</f>
        <v>4119.7299999999996</v>
      </c>
      <c r="V172" s="23">
        <f>'Annual Raw'!W43</f>
        <v>4989.7700000000004</v>
      </c>
      <c r="W172" s="23">
        <f>'Annual Raw'!X43</f>
        <v>5757.36</v>
      </c>
      <c r="X172" s="23">
        <f>'Annual Raw'!Y43</f>
        <v>10633.68</v>
      </c>
      <c r="Y172" s="23">
        <f>'Annual Raw'!Z43</f>
        <v>11526.06</v>
      </c>
      <c r="Z172" s="23">
        <f>'Annual Raw'!AA43</f>
        <v>20866.919999999998</v>
      </c>
      <c r="AA172" s="23">
        <f>'Annual Raw'!AB43</f>
        <v>24226.26</v>
      </c>
      <c r="AB172" s="24">
        <f t="shared" si="1222"/>
        <v>27873.802740710005</v>
      </c>
      <c r="AC172" s="24">
        <f t="shared" si="1223"/>
        <v>31827.531329480706</v>
      </c>
      <c r="AD172" s="24">
        <f t="shared" si="1224"/>
        <v>37001.203345489928</v>
      </c>
      <c r="AE172" s="24">
        <f t="shared" si="1225"/>
        <v>42714.843322116722</v>
      </c>
      <c r="AJ172" s="23">
        <f>+'QTR Raw'!D58</f>
        <v>0</v>
      </c>
      <c r="AK172" s="23">
        <f>+AJ172+AK101</f>
        <v>0</v>
      </c>
      <c r="AL172" s="23">
        <f>+'QTR Raw'!F58</f>
        <v>0</v>
      </c>
      <c r="AM172" s="23">
        <f>+AL172+AM101</f>
        <v>0</v>
      </c>
      <c r="AN172" s="23">
        <f>+'QTR Raw'!H58</f>
        <v>0</v>
      </c>
      <c r="AO172" s="23">
        <f>+AN172+AO101</f>
        <v>0</v>
      </c>
      <c r="AP172" s="23">
        <f>+'QTR Raw'!J58</f>
        <v>0</v>
      </c>
      <c r="AQ172" s="23">
        <f>+AP172+AQ101</f>
        <v>0</v>
      </c>
      <c r="AR172" s="23">
        <f>+'QTR Raw'!L58</f>
        <v>0</v>
      </c>
      <c r="AS172" s="23">
        <f>+AR172+AS101</f>
        <v>6.17</v>
      </c>
      <c r="AT172" s="23">
        <f>+'QTR Raw'!N58</f>
        <v>-6.75</v>
      </c>
      <c r="AU172" s="23">
        <f>+AT172+AU101</f>
        <v>24.139999999999993</v>
      </c>
      <c r="AV172" s="23">
        <f>+'QTR Raw'!P58</f>
        <v>1396.36</v>
      </c>
      <c r="AW172" s="23">
        <f>+AV172+AW101</f>
        <v>1471.1399999999999</v>
      </c>
      <c r="AX172" s="23">
        <f>+'QTR Raw'!R58</f>
        <v>1572</v>
      </c>
      <c r="AY172" s="23">
        <f>+AX172+AY101</f>
        <v>1694.71</v>
      </c>
      <c r="AZ172" s="23">
        <f>+'QTR Raw'!T58</f>
        <v>1727.91</v>
      </c>
      <c r="BA172" s="23">
        <f>+AZ172+BA101</f>
        <v>1827.19</v>
      </c>
      <c r="BB172" s="23">
        <f>+'QTR Raw'!V58</f>
        <v>1846.72</v>
      </c>
      <c r="BC172" s="23">
        <f>+BB172+BC101</f>
        <v>1930.8200000000002</v>
      </c>
      <c r="BD172" s="23">
        <f>+'QTR Raw'!X58</f>
        <v>1894.55</v>
      </c>
      <c r="BE172" s="23">
        <f>+BD172+BE101</f>
        <v>2736.43</v>
      </c>
      <c r="BF172" s="23">
        <f>+'QTR Raw'!Z58</f>
        <v>4956.68</v>
      </c>
      <c r="BG172" s="23">
        <f>+BF172+BG101</f>
        <v>5126.0200000000004</v>
      </c>
      <c r="BH172" s="23">
        <f>+'QTR Raw'!AB58</f>
        <v>3443.11</v>
      </c>
      <c r="BI172" s="23">
        <f>+BH172+BI101</f>
        <v>3596.7700000000004</v>
      </c>
      <c r="BJ172" s="23">
        <f>+'QTR Raw'!AD58</f>
        <v>6943.07</v>
      </c>
      <c r="BK172" s="23">
        <f>+BJ172+BK101</f>
        <v>7156.49</v>
      </c>
      <c r="BL172" s="23">
        <f>+'QTR Raw'!AF58</f>
        <v>8169.59</v>
      </c>
      <c r="BM172" s="23">
        <f>+BL172+BM101</f>
        <v>8373.26</v>
      </c>
      <c r="BN172" s="23">
        <f>+'QTR Raw'!AH58</f>
        <v>7399.15</v>
      </c>
      <c r="BO172" s="23">
        <f>+BN172+BO101</f>
        <v>7782.7</v>
      </c>
      <c r="BP172" s="23">
        <f>+'QTR Raw'!AJ58</f>
        <v>7285.54</v>
      </c>
      <c r="BQ172" s="23">
        <f>+BP172+BQ101</f>
        <v>7680.85</v>
      </c>
      <c r="BR172" s="23">
        <f>+'QTR Raw'!AL58</f>
        <v>7819.47</v>
      </c>
      <c r="BS172" s="23">
        <f>+BR172+BS101</f>
        <v>8254.8900000000012</v>
      </c>
      <c r="BT172" s="23">
        <f>+'QTR Raw'!AN58</f>
        <v>8549.0400000000009</v>
      </c>
      <c r="BU172" s="23">
        <f>+BT172+BU101</f>
        <v>8816.07</v>
      </c>
      <c r="BV172" s="23">
        <f>+'QTR Raw'!AP58</f>
        <v>8813.01</v>
      </c>
      <c r="BW172" s="23">
        <f>+BV172+BW101</f>
        <v>8999</v>
      </c>
      <c r="BX172" s="23">
        <f>+'QTR Raw'!AR58</f>
        <v>9520.14</v>
      </c>
      <c r="BY172" s="23">
        <f>+BX172+BY101</f>
        <v>9994.8599999999988</v>
      </c>
      <c r="BZ172" s="23">
        <f>+'QTR Raw'!AT58</f>
        <v>10633.68</v>
      </c>
      <c r="CA172" s="23">
        <f>+BZ172+CA101</f>
        <v>10808.74</v>
      </c>
      <c r="CB172" s="23">
        <f>+'QTR Raw'!AV58</f>
        <v>10782.05</v>
      </c>
      <c r="CC172" s="23">
        <f>+CB172+CC101</f>
        <v>11106.949999999999</v>
      </c>
      <c r="CD172" s="23">
        <f>+'QTR Raw'!AX58</f>
        <v>11526.06</v>
      </c>
      <c r="CE172" s="23">
        <f>+CD172+CE101</f>
        <v>10702.14</v>
      </c>
      <c r="CF172" s="23">
        <f>+'QTR Raw'!AZ58</f>
        <v>19783.939999999999</v>
      </c>
      <c r="CG172" s="23">
        <f>+CF172+CG101</f>
        <v>20345.719999999998</v>
      </c>
      <c r="CH172" s="23">
        <f t="shared" si="1227"/>
        <v>20866.919999999998</v>
      </c>
      <c r="CI172" s="23">
        <f>CH172+CI101</f>
        <v>21379.399999999998</v>
      </c>
      <c r="CJ172" s="23">
        <f>+'QTR Raw'!BD58</f>
        <v>22182.55</v>
      </c>
      <c r="CK172" s="23">
        <f t="shared" ref="CK172:DB172" si="1229">CJ172+CK101</f>
        <v>22734.86</v>
      </c>
      <c r="CL172" s="23">
        <f>+'QTR Raw'!BF58</f>
        <v>24226.26</v>
      </c>
      <c r="CM172" s="24">
        <f t="shared" si="1229"/>
        <v>25245.237881628262</v>
      </c>
      <c r="CN172" s="24">
        <f t="shared" si="1229"/>
        <v>26145.643134769423</v>
      </c>
      <c r="CO172" s="24">
        <f t="shared" si="1229"/>
        <v>27022.202093332191</v>
      </c>
      <c r="CP172" s="24">
        <f t="shared" si="1229"/>
        <v>27873.802740710005</v>
      </c>
      <c r="CQ172" s="24">
        <f t="shared" si="1229"/>
        <v>28877.969734487353</v>
      </c>
      <c r="CR172" s="24">
        <f t="shared" si="1229"/>
        <v>29818.063370815184</v>
      </c>
      <c r="CS172" s="24">
        <f t="shared" si="1229"/>
        <v>30783.32354428172</v>
      </c>
      <c r="CT172" s="24">
        <f t="shared" si="1229"/>
        <v>31827.531329480706</v>
      </c>
      <c r="CU172" s="24">
        <f t="shared" si="1229"/>
        <v>33031.661687200212</v>
      </c>
      <c r="CV172" s="24">
        <f t="shared" si="1229"/>
        <v>34201.788792175379</v>
      </c>
      <c r="CW172" s="24">
        <f t="shared" si="1229"/>
        <v>35608.014267791885</v>
      </c>
      <c r="CX172" s="24">
        <f t="shared" si="1229"/>
        <v>37001.203345489928</v>
      </c>
      <c r="CY172" s="24">
        <f t="shared" si="1229"/>
        <v>38407.475574619799</v>
      </c>
      <c r="CZ172" s="24">
        <f t="shared" si="1229"/>
        <v>39766.95764169265</v>
      </c>
      <c r="DA172" s="24">
        <f t="shared" si="1229"/>
        <v>41192.644687042201</v>
      </c>
      <c r="DB172" s="24">
        <f t="shared" si="1229"/>
        <v>42714.843322116722</v>
      </c>
      <c r="DE172" s="123"/>
      <c r="DF172" s="23">
        <v>0</v>
      </c>
      <c r="DG172" s="23">
        <v>23259.11877691904</v>
      </c>
    </row>
    <row r="173" spans="1:111" s="22" customFormat="1" x14ac:dyDescent="0.2">
      <c r="A173" s="22" t="s">
        <v>44</v>
      </c>
      <c r="B173" s="22">
        <f>B170+B171+B172</f>
        <v>0</v>
      </c>
      <c r="C173" s="22">
        <f t="shared" ref="C173:V173" si="1230">C170+C171+C172</f>
        <v>0</v>
      </c>
      <c r="D173" s="22">
        <f t="shared" si="1230"/>
        <v>0</v>
      </c>
      <c r="E173" s="22">
        <f t="shared" si="1230"/>
        <v>0</v>
      </c>
      <c r="F173" s="22">
        <f t="shared" si="1230"/>
        <v>0</v>
      </c>
      <c r="G173" s="22">
        <f t="shared" si="1230"/>
        <v>0</v>
      </c>
      <c r="H173" s="22">
        <f t="shared" si="1230"/>
        <v>0</v>
      </c>
      <c r="I173" s="22">
        <f t="shared" si="1230"/>
        <v>0</v>
      </c>
      <c r="J173" s="22">
        <f t="shared" si="1230"/>
        <v>0</v>
      </c>
      <c r="K173" s="22">
        <f t="shared" si="1230"/>
        <v>0</v>
      </c>
      <c r="L173" s="22">
        <f t="shared" si="1230"/>
        <v>0</v>
      </c>
      <c r="M173" s="22">
        <f>M170+M171+M172</f>
        <v>0</v>
      </c>
      <c r="N173" s="22">
        <f t="shared" si="1230"/>
        <v>0</v>
      </c>
      <c r="O173" s="22">
        <f t="shared" si="1230"/>
        <v>4.7297100000000002E-2</v>
      </c>
      <c r="P173" s="22">
        <f t="shared" si="1230"/>
        <v>1083.25</v>
      </c>
      <c r="Q173" s="22">
        <f t="shared" si="1230"/>
        <v>2671.81</v>
      </c>
      <c r="R173" s="22">
        <f t="shared" si="1230"/>
        <v>2946.5299999999997</v>
      </c>
      <c r="S173" s="22">
        <f t="shared" si="1230"/>
        <v>4207.8600000000006</v>
      </c>
      <c r="T173" s="22">
        <f t="shared" si="1230"/>
        <v>4634.8500000000004</v>
      </c>
      <c r="U173" s="22">
        <f t="shared" si="1230"/>
        <v>5219.5399999999991</v>
      </c>
      <c r="V173" s="22">
        <f t="shared" si="1230"/>
        <v>6089.58</v>
      </c>
      <c r="W173" s="22">
        <f t="shared" ref="W173" si="1231">W170+W171+W172</f>
        <v>6857.17</v>
      </c>
      <c r="X173" s="22">
        <f t="shared" ref="X173:Y173" si="1232">X170+X171+X172</f>
        <v>11749.17</v>
      </c>
      <c r="Y173" s="22">
        <f t="shared" si="1232"/>
        <v>12641.55</v>
      </c>
      <c r="Z173" s="22">
        <f>Z170+Z171+Z172</f>
        <v>22068.199999999997</v>
      </c>
      <c r="AA173" s="22">
        <f>AA170+AA171+AA172</f>
        <v>25427.539999999997</v>
      </c>
      <c r="AB173" s="21">
        <f t="shared" ref="AB173:AD173" si="1233">AB170+AB171+AB172</f>
        <v>29075.082740710004</v>
      </c>
      <c r="AC173" s="21">
        <f t="shared" si="1233"/>
        <v>33028.811329480704</v>
      </c>
      <c r="AD173" s="21">
        <f t="shared" si="1233"/>
        <v>38202.483345489927</v>
      </c>
      <c r="AE173" s="21">
        <f t="shared" ref="AE173" si="1234">AE170+AE171+AE172</f>
        <v>43916.12332211672</v>
      </c>
      <c r="AJ173" s="22">
        <f t="shared" ref="AJ173" si="1235">AJ170+AJ171+AJ172</f>
        <v>0</v>
      </c>
      <c r="AK173" s="22">
        <f t="shared" ref="AK173" si="1236">AK170+AK171+AK172</f>
        <v>0</v>
      </c>
      <c r="AL173" s="22">
        <f t="shared" ref="AL173:AM173" si="1237">AL170+AL171+AL172</f>
        <v>0</v>
      </c>
      <c r="AM173" s="22">
        <f t="shared" si="1237"/>
        <v>0</v>
      </c>
      <c r="AN173" s="22">
        <f t="shared" ref="AN173:AO173" si="1238">AN170+AN171+AN172</f>
        <v>0</v>
      </c>
      <c r="AO173" s="22">
        <f t="shared" si="1238"/>
        <v>0</v>
      </c>
      <c r="AP173" s="22">
        <f t="shared" ref="AP173:CE173" si="1239">AP170+AP171+AP172</f>
        <v>0</v>
      </c>
      <c r="AQ173" s="22">
        <f t="shared" si="1239"/>
        <v>0</v>
      </c>
      <c r="AR173" s="22">
        <f t="shared" si="1239"/>
        <v>0</v>
      </c>
      <c r="AS173" s="22">
        <f t="shared" si="1239"/>
        <v>6.17</v>
      </c>
      <c r="AT173" s="22">
        <f t="shared" si="1239"/>
        <v>1083.25</v>
      </c>
      <c r="AU173" s="22">
        <f t="shared" si="1239"/>
        <v>1114.1400000000001</v>
      </c>
      <c r="AV173" s="22">
        <f t="shared" si="1239"/>
        <v>2496.17</v>
      </c>
      <c r="AW173" s="22">
        <f t="shared" si="1239"/>
        <v>2570.9499999999998</v>
      </c>
      <c r="AX173" s="22">
        <f t="shared" si="1239"/>
        <v>2671.81</v>
      </c>
      <c r="AY173" s="22">
        <f t="shared" si="1239"/>
        <v>2794.52</v>
      </c>
      <c r="AZ173" s="22">
        <f t="shared" si="1239"/>
        <v>2827.7200000000003</v>
      </c>
      <c r="BA173" s="22">
        <f t="shared" si="1239"/>
        <v>2927</v>
      </c>
      <c r="BB173" s="22">
        <f t="shared" si="1239"/>
        <v>2946.5299999999997</v>
      </c>
      <c r="BC173" s="22">
        <f t="shared" si="1239"/>
        <v>3030.63</v>
      </c>
      <c r="BD173" s="22">
        <f t="shared" si="1239"/>
        <v>2994.3599999999997</v>
      </c>
      <c r="BE173" s="22">
        <f t="shared" si="1239"/>
        <v>3836.24</v>
      </c>
      <c r="BF173" s="22">
        <f t="shared" si="1239"/>
        <v>6056.49</v>
      </c>
      <c r="BG173" s="22">
        <f t="shared" si="1239"/>
        <v>6225.83</v>
      </c>
      <c r="BH173" s="22">
        <f t="shared" si="1239"/>
        <v>7768.58</v>
      </c>
      <c r="BI173" s="22">
        <f t="shared" si="1239"/>
        <v>7922.2400000000007</v>
      </c>
      <c r="BJ173" s="22">
        <f t="shared" si="1239"/>
        <v>8042.8799999999992</v>
      </c>
      <c r="BK173" s="22">
        <f t="shared" si="1239"/>
        <v>8256.2999999999993</v>
      </c>
      <c r="BL173" s="22">
        <f t="shared" si="1239"/>
        <v>9269.4</v>
      </c>
      <c r="BM173" s="22">
        <f t="shared" si="1239"/>
        <v>9473.07</v>
      </c>
      <c r="BN173" s="22">
        <f t="shared" si="1239"/>
        <v>8498.9599999999991</v>
      </c>
      <c r="BO173" s="22">
        <f t="shared" si="1239"/>
        <v>8882.51</v>
      </c>
      <c r="BP173" s="22">
        <f t="shared" si="1239"/>
        <v>8385.35</v>
      </c>
      <c r="BQ173" s="22">
        <f t="shared" si="1239"/>
        <v>8780.66</v>
      </c>
      <c r="BR173" s="22">
        <f t="shared" si="1239"/>
        <v>8919.2800000000007</v>
      </c>
      <c r="BS173" s="22">
        <f t="shared" si="1239"/>
        <v>9354.7000000000007</v>
      </c>
      <c r="BT173" s="22">
        <f t="shared" si="1239"/>
        <v>9648.85</v>
      </c>
      <c r="BU173" s="22">
        <f t="shared" si="1239"/>
        <v>9915.8799999999992</v>
      </c>
      <c r="BV173" s="22">
        <f t="shared" si="1239"/>
        <v>9912.82</v>
      </c>
      <c r="BW173" s="22">
        <f t="shared" si="1239"/>
        <v>10098.81</v>
      </c>
      <c r="BX173" s="22">
        <f t="shared" si="1239"/>
        <v>10635.63</v>
      </c>
      <c r="BY173" s="22">
        <f t="shared" si="1239"/>
        <v>11110.349999999999</v>
      </c>
      <c r="BZ173" s="22">
        <f t="shared" si="1239"/>
        <v>11749.17</v>
      </c>
      <c r="CA173" s="22">
        <f t="shared" si="1239"/>
        <v>11924.23</v>
      </c>
      <c r="CB173" s="22">
        <f t="shared" si="1239"/>
        <v>11897.539999999999</v>
      </c>
      <c r="CC173" s="22">
        <f t="shared" si="1239"/>
        <v>12222.439999999999</v>
      </c>
      <c r="CD173" s="22">
        <f t="shared" si="1239"/>
        <v>12641.55</v>
      </c>
      <c r="CE173" s="22">
        <f t="shared" si="1239"/>
        <v>11817.63</v>
      </c>
      <c r="CF173" s="22">
        <f t="shared" ref="CF173:CG173" si="1240">CF170+CF171+CF172</f>
        <v>20985.219999999998</v>
      </c>
      <c r="CG173" s="22">
        <f t="shared" si="1240"/>
        <v>21546.999999999996</v>
      </c>
      <c r="CH173" s="22">
        <f t="shared" ref="CH173:CI173" si="1241">CH170+CH171+CH172</f>
        <v>22068.199999999997</v>
      </c>
      <c r="CI173" s="22">
        <f t="shared" si="1241"/>
        <v>22580.679999999997</v>
      </c>
      <c r="CJ173" s="22">
        <f t="shared" ref="CJ173:DB173" si="1242">CJ170+CJ171+CJ172</f>
        <v>23383.829999999998</v>
      </c>
      <c r="CK173" s="22">
        <f t="shared" si="1242"/>
        <v>23936.14</v>
      </c>
      <c r="CL173" s="22">
        <f t="shared" ref="CL173" si="1243">CL170+CL171+CL172</f>
        <v>25427.539999999997</v>
      </c>
      <c r="CM173" s="21">
        <f t="shared" si="1242"/>
        <v>26446.517881628261</v>
      </c>
      <c r="CN173" s="21">
        <f t="shared" si="1242"/>
        <v>27346.923134769422</v>
      </c>
      <c r="CO173" s="21">
        <f t="shared" si="1242"/>
        <v>28223.48209333219</v>
      </c>
      <c r="CP173" s="21">
        <f t="shared" si="1242"/>
        <v>29075.082740710004</v>
      </c>
      <c r="CQ173" s="21">
        <f t="shared" si="1242"/>
        <v>30079.249734487352</v>
      </c>
      <c r="CR173" s="21">
        <f t="shared" si="1242"/>
        <v>31019.343370815182</v>
      </c>
      <c r="CS173" s="21">
        <f t="shared" si="1242"/>
        <v>31984.603544281719</v>
      </c>
      <c r="CT173" s="21">
        <f t="shared" si="1242"/>
        <v>33028.811329480704</v>
      </c>
      <c r="CU173" s="21">
        <f t="shared" si="1242"/>
        <v>34232.941687200211</v>
      </c>
      <c r="CV173" s="21">
        <f t="shared" si="1242"/>
        <v>35403.068792175378</v>
      </c>
      <c r="CW173" s="21">
        <f t="shared" si="1242"/>
        <v>36809.294267791884</v>
      </c>
      <c r="CX173" s="21">
        <f t="shared" si="1242"/>
        <v>38202.483345489927</v>
      </c>
      <c r="CY173" s="21">
        <f t="shared" si="1242"/>
        <v>39608.755574619798</v>
      </c>
      <c r="CZ173" s="21">
        <f t="shared" si="1242"/>
        <v>40968.237641692649</v>
      </c>
      <c r="DA173" s="21">
        <f t="shared" si="1242"/>
        <v>42393.924687042199</v>
      </c>
      <c r="DB173" s="21">
        <f t="shared" si="1242"/>
        <v>43916.12332211672</v>
      </c>
      <c r="DE173" s="126"/>
      <c r="DF173" s="22">
        <v>0</v>
      </c>
      <c r="DG173" s="22">
        <v>24460.398776919039</v>
      </c>
    </row>
    <row r="174" spans="1:111" s="22" customFormat="1" x14ac:dyDescent="0.2">
      <c r="AB174" s="21"/>
      <c r="AC174" s="21"/>
      <c r="AD174" s="21"/>
      <c r="AE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E174" s="126"/>
    </row>
    <row r="175" spans="1:111" s="23" customFormat="1" x14ac:dyDescent="0.2">
      <c r="A175" s="23" t="s">
        <v>23</v>
      </c>
      <c r="B175" s="23">
        <f>'Annual Raw'!C45</f>
        <v>0</v>
      </c>
      <c r="C175" s="23">
        <f>'Annual Raw'!D45</f>
        <v>0</v>
      </c>
      <c r="D175" s="23">
        <f>'Annual Raw'!E45</f>
        <v>0</v>
      </c>
      <c r="E175" s="23">
        <f>'Annual Raw'!F45</f>
        <v>0</v>
      </c>
      <c r="F175" s="23">
        <f>'Annual Raw'!G45</f>
        <v>0</v>
      </c>
      <c r="G175" s="23">
        <f>'Annual Raw'!H45</f>
        <v>0</v>
      </c>
      <c r="H175" s="23">
        <f>'Annual Raw'!I45</f>
        <v>0</v>
      </c>
      <c r="I175" s="23">
        <f>'Annual Raw'!J45</f>
        <v>0</v>
      </c>
      <c r="J175" s="23">
        <f>'Annual Raw'!K45</f>
        <v>0</v>
      </c>
      <c r="K175" s="23">
        <f>'Annual Raw'!L45</f>
        <v>0</v>
      </c>
      <c r="L175" s="23">
        <f>'Annual Raw'!M45</f>
        <v>0</v>
      </c>
      <c r="M175" s="23">
        <f>'Annual Raw'!N45</f>
        <v>0</v>
      </c>
      <c r="N175" s="23">
        <f>'Annual Raw'!O45</f>
        <v>0</v>
      </c>
      <c r="O175" s="23">
        <f>'Annual Raw'!P45</f>
        <v>0</v>
      </c>
      <c r="P175" s="23">
        <f>'Annual Raw'!Q45</f>
        <v>0</v>
      </c>
      <c r="Q175" s="23">
        <f>'Annual Raw'!R45</f>
        <v>0</v>
      </c>
      <c r="R175" s="23">
        <f>'Annual Raw'!S45</f>
        <v>0</v>
      </c>
      <c r="S175" s="23">
        <f>'Annual Raw'!T45</f>
        <v>0</v>
      </c>
      <c r="T175" s="23">
        <f>'Annual Raw'!U45</f>
        <v>0</v>
      </c>
      <c r="U175" s="23">
        <f>'Annual Raw'!V45</f>
        <v>1062.1300000000001</v>
      </c>
      <c r="V175" s="23">
        <f>'Annual Raw'!W45</f>
        <v>1103.58</v>
      </c>
      <c r="W175" s="23">
        <f>'Annual Raw'!X45</f>
        <v>1093.68</v>
      </c>
      <c r="X175" s="23">
        <f>'Annual Raw'!Y45</f>
        <v>1126.5999999999999</v>
      </c>
      <c r="Y175" s="23">
        <f>'Annual Raw'!Z45</f>
        <v>1061.58</v>
      </c>
      <c r="Z175" s="23">
        <f>'Annual Raw'!AA45</f>
        <v>943.06</v>
      </c>
      <c r="AA175" s="23">
        <f>'Annual Raw'!AB45</f>
        <v>1098.0999999999999</v>
      </c>
      <c r="AB175" s="24">
        <f>+CP175</f>
        <v>1098.0999999999999</v>
      </c>
      <c r="AC175" s="24">
        <f>+CT175</f>
        <v>1098.0999999999999</v>
      </c>
      <c r="AD175" s="24">
        <f>+CX175</f>
        <v>1098.0999999999999</v>
      </c>
      <c r="AE175" s="24">
        <f>+DB175</f>
        <v>1098.0999999999999</v>
      </c>
      <c r="AJ175" s="23">
        <f>+'QTR Raw'!D60</f>
        <v>0</v>
      </c>
      <c r="AK175" s="23">
        <f t="shared" ref="AK175:CE175" si="1244">+AJ175</f>
        <v>0</v>
      </c>
      <c r="AL175" s="23">
        <f>+'QTR Raw'!F60</f>
        <v>0</v>
      </c>
      <c r="AM175" s="23">
        <f t="shared" si="1244"/>
        <v>0</v>
      </c>
      <c r="AN175" s="23">
        <f>+'QTR Raw'!H60</f>
        <v>0</v>
      </c>
      <c r="AO175" s="23">
        <f t="shared" si="1244"/>
        <v>0</v>
      </c>
      <c r="AP175" s="23">
        <f>+'QTR Raw'!J60</f>
        <v>0</v>
      </c>
      <c r="AQ175" s="23">
        <f t="shared" si="1244"/>
        <v>0</v>
      </c>
      <c r="AR175" s="23">
        <f>+'QTR Raw'!L60</f>
        <v>0</v>
      </c>
      <c r="AS175" s="23">
        <f t="shared" si="1244"/>
        <v>0</v>
      </c>
      <c r="AT175" s="23">
        <f>+'QTR Raw'!N60</f>
        <v>0</v>
      </c>
      <c r="AU175" s="23">
        <f t="shared" si="1244"/>
        <v>0</v>
      </c>
      <c r="AV175" s="23">
        <f>+'QTR Raw'!P60</f>
        <v>0</v>
      </c>
      <c r="AW175" s="23">
        <f t="shared" si="1244"/>
        <v>0</v>
      </c>
      <c r="AX175" s="23">
        <f>+'QTR Raw'!R60</f>
        <v>0</v>
      </c>
      <c r="AY175" s="23">
        <f t="shared" si="1244"/>
        <v>0</v>
      </c>
      <c r="AZ175" s="23">
        <f>+'QTR Raw'!T60</f>
        <v>0</v>
      </c>
      <c r="BA175" s="23">
        <f t="shared" si="1244"/>
        <v>0</v>
      </c>
      <c r="BB175" s="23">
        <f>+'QTR Raw'!V60</f>
        <v>0</v>
      </c>
      <c r="BC175" s="23">
        <f t="shared" si="1244"/>
        <v>0</v>
      </c>
      <c r="BD175" s="23">
        <f>+'QTR Raw'!X60</f>
        <v>0</v>
      </c>
      <c r="BE175" s="23">
        <f t="shared" si="1244"/>
        <v>0</v>
      </c>
      <c r="BF175" s="23">
        <f>+'QTR Raw'!Z60</f>
        <v>0</v>
      </c>
      <c r="BG175" s="23">
        <f t="shared" si="1244"/>
        <v>0</v>
      </c>
      <c r="BH175" s="22">
        <f>+'QTR Raw'!AB60</f>
        <v>0</v>
      </c>
      <c r="BI175" s="23">
        <f t="shared" si="1244"/>
        <v>0</v>
      </c>
      <c r="BJ175" s="23">
        <f>+'QTR Raw'!AD60</f>
        <v>0</v>
      </c>
      <c r="BK175" s="23">
        <f t="shared" si="1244"/>
        <v>0</v>
      </c>
      <c r="BL175" s="23">
        <f>+'QTR Raw'!AF60</f>
        <v>0</v>
      </c>
      <c r="BM175" s="23">
        <f t="shared" si="1244"/>
        <v>0</v>
      </c>
      <c r="BN175" s="23">
        <f>+'QTR Raw'!AH60</f>
        <v>1062.1300000000001</v>
      </c>
      <c r="BO175" s="23">
        <f t="shared" si="1244"/>
        <v>1062.1300000000001</v>
      </c>
      <c r="BP175" s="23">
        <f>+'QTR Raw'!AJ60</f>
        <v>1034.07</v>
      </c>
      <c r="BQ175" s="23">
        <f t="shared" si="1244"/>
        <v>1034.07</v>
      </c>
      <c r="BR175" s="23">
        <f>+'QTR Raw'!AL60</f>
        <v>1103.58</v>
      </c>
      <c r="BS175" s="23">
        <f t="shared" si="1244"/>
        <v>1103.58</v>
      </c>
      <c r="BT175" s="23">
        <f>+'QTR Raw'!AN60</f>
        <v>1113.47</v>
      </c>
      <c r="BU175" s="23">
        <f t="shared" si="1244"/>
        <v>1113.47</v>
      </c>
      <c r="BV175" s="23">
        <f>+'QTR Raw'!AP60</f>
        <v>1093.68</v>
      </c>
      <c r="BW175" s="23">
        <f t="shared" si="1244"/>
        <v>1093.68</v>
      </c>
      <c r="BX175" s="23">
        <f>+'QTR Raw'!AR60</f>
        <v>1005.98</v>
      </c>
      <c r="BY175" s="23">
        <f t="shared" si="1244"/>
        <v>1005.98</v>
      </c>
      <c r="BZ175" s="23">
        <f>+'QTR Raw'!AT60</f>
        <v>1126.5999999999999</v>
      </c>
      <c r="CA175" s="23">
        <f t="shared" si="1244"/>
        <v>1126.5999999999999</v>
      </c>
      <c r="CB175" s="23">
        <f>+'QTR Raw'!AV60</f>
        <v>1018.97</v>
      </c>
      <c r="CC175" s="23">
        <f t="shared" si="1244"/>
        <v>1018.97</v>
      </c>
      <c r="CD175" s="23">
        <f>+'QTR Raw'!AX60</f>
        <v>1061.58</v>
      </c>
      <c r="CE175" s="23">
        <f t="shared" si="1244"/>
        <v>1061.58</v>
      </c>
      <c r="CF175" s="23">
        <f>+'QTR Raw'!AZ60</f>
        <v>836.4</v>
      </c>
      <c r="CG175" s="23">
        <f t="shared" ref="CG175:CI175" si="1245">+CF175</f>
        <v>836.4</v>
      </c>
      <c r="CH175" s="23">
        <f t="shared" ref="CH175:CH180" si="1246">Z175</f>
        <v>943.06</v>
      </c>
      <c r="CI175" s="23">
        <f t="shared" si="1245"/>
        <v>943.06</v>
      </c>
      <c r="CJ175" s="23">
        <f>+'QTR Raw'!BD60</f>
        <v>1016.98</v>
      </c>
      <c r="CK175" s="23">
        <f t="shared" ref="CK175" si="1247">+CJ175</f>
        <v>1016.98</v>
      </c>
      <c r="CL175" s="23">
        <f>+'QTR Raw'!BF60</f>
        <v>1098.0999999999999</v>
      </c>
      <c r="CM175" s="24">
        <f t="shared" ref="CM175" si="1248">+CL175</f>
        <v>1098.0999999999999</v>
      </c>
      <c r="CN175" s="24">
        <f t="shared" ref="CN175" si="1249">+CM175</f>
        <v>1098.0999999999999</v>
      </c>
      <c r="CO175" s="24">
        <f t="shared" ref="CO175" si="1250">+CN175</f>
        <v>1098.0999999999999</v>
      </c>
      <c r="CP175" s="24">
        <f t="shared" ref="CP175" si="1251">+CO175</f>
        <v>1098.0999999999999</v>
      </c>
      <c r="CQ175" s="24">
        <f t="shared" ref="CQ175" si="1252">+CP175</f>
        <v>1098.0999999999999</v>
      </c>
      <c r="CR175" s="24">
        <f t="shared" ref="CR175" si="1253">+CQ175</f>
        <v>1098.0999999999999</v>
      </c>
      <c r="CS175" s="24">
        <f t="shared" ref="CS175" si="1254">+CR175</f>
        <v>1098.0999999999999</v>
      </c>
      <c r="CT175" s="24">
        <f t="shared" ref="CT175" si="1255">+CS175</f>
        <v>1098.0999999999999</v>
      </c>
      <c r="CU175" s="24">
        <f t="shared" ref="CU175" si="1256">+CT175</f>
        <v>1098.0999999999999</v>
      </c>
      <c r="CV175" s="24">
        <f t="shared" ref="CV175" si="1257">+CU175</f>
        <v>1098.0999999999999</v>
      </c>
      <c r="CW175" s="24">
        <f t="shared" ref="CW175" si="1258">+CV175</f>
        <v>1098.0999999999999</v>
      </c>
      <c r="CX175" s="24">
        <f t="shared" ref="CX175" si="1259">+CW175</f>
        <v>1098.0999999999999</v>
      </c>
      <c r="CY175" s="24">
        <f t="shared" ref="CY175" si="1260">+CX175</f>
        <v>1098.0999999999999</v>
      </c>
      <c r="CZ175" s="24">
        <f t="shared" ref="CZ175" si="1261">+CY175</f>
        <v>1098.0999999999999</v>
      </c>
      <c r="DA175" s="24">
        <f t="shared" ref="DA175" si="1262">+CZ175</f>
        <v>1098.0999999999999</v>
      </c>
      <c r="DB175" s="24">
        <f t="shared" ref="DB175" si="1263">+DA175</f>
        <v>1098.0999999999999</v>
      </c>
      <c r="DE175" s="123"/>
      <c r="DF175" s="23">
        <v>0</v>
      </c>
      <c r="DG175" s="23">
        <v>1016.98</v>
      </c>
    </row>
    <row r="176" spans="1:111" s="23" customFormat="1" x14ac:dyDescent="0.2">
      <c r="AB176" s="24"/>
      <c r="AC176" s="24"/>
      <c r="AD176" s="24"/>
      <c r="AE176" s="24"/>
      <c r="BH176" s="22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E176" s="123"/>
    </row>
    <row r="177" spans="1:111" s="23" customFormat="1" outlineLevel="1" x14ac:dyDescent="0.2">
      <c r="A177" s="23" t="s">
        <v>45</v>
      </c>
      <c r="B177" s="23">
        <f>'Annual Raw'!C47</f>
        <v>0</v>
      </c>
      <c r="C177" s="23">
        <f>'Annual Raw'!D47</f>
        <v>0</v>
      </c>
      <c r="D177" s="23">
        <f>'Annual Raw'!E47</f>
        <v>0</v>
      </c>
      <c r="E177" s="23">
        <f>'Annual Raw'!F47</f>
        <v>0</v>
      </c>
      <c r="F177" s="23">
        <f>'Annual Raw'!G47</f>
        <v>0</v>
      </c>
      <c r="G177" s="23">
        <f>'Annual Raw'!H47</f>
        <v>0</v>
      </c>
      <c r="H177" s="23">
        <f>'Annual Raw'!I47</f>
        <v>0</v>
      </c>
      <c r="I177" s="23">
        <f>'Annual Raw'!J47</f>
        <v>0</v>
      </c>
      <c r="J177" s="23">
        <f>'Annual Raw'!K47</f>
        <v>0</v>
      </c>
      <c r="K177" s="23">
        <f>'Annual Raw'!L47</f>
        <v>0</v>
      </c>
      <c r="L177" s="23">
        <f>'Annual Raw'!M47</f>
        <v>0</v>
      </c>
      <c r="M177" s="23">
        <f>'Annual Raw'!N47</f>
        <v>0</v>
      </c>
      <c r="N177" s="23">
        <f>'Annual Raw'!O47</f>
        <v>0</v>
      </c>
      <c r="O177" s="23">
        <f>'Annual Raw'!P47</f>
        <v>0</v>
      </c>
      <c r="P177" s="23">
        <f>'Annual Raw'!Q47</f>
        <v>5311.96</v>
      </c>
      <c r="Q177" s="23">
        <f>'Annual Raw'!R47</f>
        <v>5093.78</v>
      </c>
      <c r="R177" s="23">
        <f>'Annual Raw'!S47</f>
        <v>7729.08</v>
      </c>
      <c r="S177" s="23">
        <f>'Annual Raw'!T47</f>
        <v>8594.56</v>
      </c>
      <c r="T177" s="23">
        <f>'Annual Raw'!U47</f>
        <v>16304.11</v>
      </c>
      <c r="U177" s="23">
        <f>'Annual Raw'!V47</f>
        <v>20194.43</v>
      </c>
      <c r="V177" s="23">
        <f>'Annual Raw'!W47</f>
        <v>21781.84</v>
      </c>
      <c r="W177" s="23">
        <f>'Annual Raw'!X47</f>
        <v>25450.5</v>
      </c>
      <c r="X177" s="23">
        <f>'Annual Raw'!Y47</f>
        <v>27847.42</v>
      </c>
      <c r="Y177" s="23">
        <f>'Annual Raw'!Z47</f>
        <v>29924.42</v>
      </c>
      <c r="Z177" s="23">
        <f>'Annual Raw'!AA47</f>
        <v>35153.800000000003</v>
      </c>
      <c r="AA177" s="23">
        <f>'Annual Raw'!AB47</f>
        <v>42625.120000000003</v>
      </c>
      <c r="AB177" s="24">
        <f t="shared" ref="AB177:AB180" si="1264">+CP177</f>
        <v>0</v>
      </c>
      <c r="AC177" s="24">
        <f t="shared" ref="AC177:AC180" si="1265">+CT177</f>
        <v>0</v>
      </c>
      <c r="AD177" s="24">
        <f t="shared" ref="AD177:AD180" si="1266">+CX177</f>
        <v>0</v>
      </c>
      <c r="AE177" s="24">
        <f t="shared" ref="AE177:AE180" si="1267">+DB177</f>
        <v>0</v>
      </c>
      <c r="AJ177" s="23">
        <f>+'QTR Raw'!D62</f>
        <v>0</v>
      </c>
      <c r="AK177" s="23">
        <f t="shared" ref="AK177:CC180" si="1268">+AJ177</f>
        <v>0</v>
      </c>
      <c r="AL177" s="23">
        <f>+'QTR Raw'!F62</f>
        <v>0</v>
      </c>
      <c r="AM177" s="23">
        <f t="shared" si="1268"/>
        <v>0</v>
      </c>
      <c r="AN177" s="23">
        <f>+'QTR Raw'!H62</f>
        <v>0</v>
      </c>
      <c r="AO177" s="23">
        <f t="shared" si="1268"/>
        <v>0</v>
      </c>
      <c r="AP177" s="23">
        <f>+'QTR Raw'!J62</f>
        <v>0</v>
      </c>
      <c r="AQ177" s="23">
        <f t="shared" si="1268"/>
        <v>0</v>
      </c>
      <c r="AR177" s="23">
        <f>+'QTR Raw'!L62</f>
        <v>0</v>
      </c>
      <c r="AS177" s="23">
        <f t="shared" si="1268"/>
        <v>0</v>
      </c>
      <c r="AT177" s="23">
        <f>+'QTR Raw'!N62</f>
        <v>0</v>
      </c>
      <c r="AU177" s="23">
        <f t="shared" si="1268"/>
        <v>0</v>
      </c>
      <c r="AV177" s="23">
        <f>+'QTR Raw'!P62</f>
        <v>0</v>
      </c>
      <c r="AW177" s="23">
        <f t="shared" si="1268"/>
        <v>0</v>
      </c>
      <c r="AX177" s="23">
        <f>+'QTR Raw'!R62</f>
        <v>0</v>
      </c>
      <c r="AY177" s="23">
        <f t="shared" si="1268"/>
        <v>0</v>
      </c>
      <c r="AZ177" s="23">
        <f>+'QTR Raw'!T62</f>
        <v>0</v>
      </c>
      <c r="BA177" s="23">
        <f t="shared" si="1268"/>
        <v>0</v>
      </c>
      <c r="BB177" s="23">
        <f>+'QTR Raw'!V62</f>
        <v>0</v>
      </c>
      <c r="BC177" s="23">
        <f t="shared" si="1268"/>
        <v>0</v>
      </c>
      <c r="BD177" s="23">
        <f>+'QTR Raw'!X62</f>
        <v>0</v>
      </c>
      <c r="BE177" s="23">
        <f t="shared" si="1268"/>
        <v>0</v>
      </c>
      <c r="BF177" s="23">
        <f>+'QTR Raw'!Z62</f>
        <v>0</v>
      </c>
      <c r="BG177" s="23">
        <f t="shared" si="1268"/>
        <v>0</v>
      </c>
      <c r="BH177" s="22">
        <f>+'QTR Raw'!AB62</f>
        <v>0</v>
      </c>
      <c r="BI177" s="23">
        <f t="shared" si="1268"/>
        <v>0</v>
      </c>
      <c r="BJ177" s="23">
        <f>+'QTR Raw'!AD62</f>
        <v>0</v>
      </c>
      <c r="BK177" s="23">
        <f t="shared" si="1268"/>
        <v>0</v>
      </c>
      <c r="BL177" s="23">
        <f>+'QTR Raw'!AF62</f>
        <v>0</v>
      </c>
      <c r="BM177" s="23">
        <f t="shared" si="1268"/>
        <v>0</v>
      </c>
      <c r="BN177" s="23">
        <f>+'QTR Raw'!AH62</f>
        <v>0</v>
      </c>
      <c r="BO177" s="23">
        <f t="shared" si="1268"/>
        <v>0</v>
      </c>
      <c r="BP177" s="23">
        <f>+'QTR Raw'!AJ62</f>
        <v>0</v>
      </c>
      <c r="BQ177" s="23">
        <f t="shared" si="1268"/>
        <v>0</v>
      </c>
      <c r="BR177" s="23">
        <f>+'QTR Raw'!AL62</f>
        <v>0</v>
      </c>
      <c r="BS177" s="23">
        <f t="shared" si="1268"/>
        <v>0</v>
      </c>
      <c r="BT177" s="23">
        <f>+'QTR Raw'!AN62</f>
        <v>0</v>
      </c>
      <c r="BU177" s="23">
        <f t="shared" si="1268"/>
        <v>0</v>
      </c>
      <c r="BV177" s="23">
        <f>+'QTR Raw'!AP62</f>
        <v>0</v>
      </c>
      <c r="BW177" s="23">
        <f t="shared" si="1268"/>
        <v>0</v>
      </c>
      <c r="BX177" s="23">
        <f>+'QTR Raw'!AR62</f>
        <v>0</v>
      </c>
      <c r="BY177" s="23">
        <f t="shared" si="1268"/>
        <v>0</v>
      </c>
      <c r="BZ177" s="23">
        <f>+'QTR Raw'!AT62</f>
        <v>0</v>
      </c>
      <c r="CA177" s="23">
        <f t="shared" si="1268"/>
        <v>0</v>
      </c>
      <c r="CB177" s="23">
        <f>+'QTR Raw'!AV62</f>
        <v>0</v>
      </c>
      <c r="CC177" s="23">
        <f t="shared" si="1268"/>
        <v>0</v>
      </c>
      <c r="CD177" s="23">
        <f>+'QTR Raw'!AX62</f>
        <v>0</v>
      </c>
      <c r="CE177" s="23">
        <f t="shared" ref="CE177:CE180" si="1269">+CD177</f>
        <v>0</v>
      </c>
      <c r="CF177" s="23">
        <f>+'QTR Raw'!AZ62</f>
        <v>0</v>
      </c>
      <c r="CG177" s="23">
        <f t="shared" ref="CG177:CI180" si="1270">+CF177</f>
        <v>0</v>
      </c>
      <c r="CH177" s="23">
        <f t="shared" si="1246"/>
        <v>35153.800000000003</v>
      </c>
      <c r="CI177" s="23">
        <f t="shared" si="1270"/>
        <v>35153.800000000003</v>
      </c>
      <c r="CJ177" s="23">
        <f>+'QTR Raw'!BD62</f>
        <v>0</v>
      </c>
      <c r="CK177" s="23">
        <f t="shared" ref="CK177:CK180" si="1271">+CJ177</f>
        <v>0</v>
      </c>
      <c r="CL177" s="23">
        <f>+'QTR Raw'!BF62</f>
        <v>0</v>
      </c>
      <c r="CM177" s="24">
        <f t="shared" ref="CM177:CM180" si="1272">+CL177</f>
        <v>0</v>
      </c>
      <c r="CN177" s="24">
        <f t="shared" ref="CN177:CN180" si="1273">+CM177</f>
        <v>0</v>
      </c>
      <c r="CO177" s="24">
        <f t="shared" ref="CO177:CO180" si="1274">+CN177</f>
        <v>0</v>
      </c>
      <c r="CP177" s="24">
        <f t="shared" ref="CP177:CP180" si="1275">+CO177</f>
        <v>0</v>
      </c>
      <c r="CQ177" s="24">
        <f t="shared" ref="CQ177:CQ180" si="1276">+CP177</f>
        <v>0</v>
      </c>
      <c r="CR177" s="24">
        <f t="shared" ref="CR177:CR180" si="1277">+CQ177</f>
        <v>0</v>
      </c>
      <c r="CS177" s="24">
        <f t="shared" ref="CS177:CS180" si="1278">+CR177</f>
        <v>0</v>
      </c>
      <c r="CT177" s="24">
        <f t="shared" ref="CT177:CT180" si="1279">+CS177</f>
        <v>0</v>
      </c>
      <c r="CU177" s="24">
        <f t="shared" ref="CU177:CU180" si="1280">+CT177</f>
        <v>0</v>
      </c>
      <c r="CV177" s="24">
        <f t="shared" ref="CV177:CV180" si="1281">+CU177</f>
        <v>0</v>
      </c>
      <c r="CW177" s="24">
        <f t="shared" ref="CW177:CW180" si="1282">+CV177</f>
        <v>0</v>
      </c>
      <c r="CX177" s="24">
        <f t="shared" ref="CX177:CX180" si="1283">+CW177</f>
        <v>0</v>
      </c>
      <c r="CY177" s="24">
        <f t="shared" ref="CY177:CY180" si="1284">+CX177</f>
        <v>0</v>
      </c>
      <c r="CZ177" s="24">
        <f t="shared" ref="CZ177:CZ180" si="1285">+CY177</f>
        <v>0</v>
      </c>
      <c r="DA177" s="24">
        <f t="shared" ref="DA177:DA180" si="1286">+CZ177</f>
        <v>0</v>
      </c>
      <c r="DB177" s="24">
        <f t="shared" ref="DB177:DB180" si="1287">+DA177</f>
        <v>0</v>
      </c>
      <c r="DE177" s="123"/>
      <c r="DF177" s="23">
        <v>0</v>
      </c>
      <c r="DG177" s="23">
        <v>0</v>
      </c>
    </row>
    <row r="178" spans="1:111" s="23" customFormat="1" outlineLevel="1" x14ac:dyDescent="0.2">
      <c r="A178" s="23" t="s">
        <v>46</v>
      </c>
      <c r="B178" s="23">
        <f>'Annual Raw'!C48</f>
        <v>0</v>
      </c>
      <c r="C178" s="23">
        <f>'Annual Raw'!D48</f>
        <v>0</v>
      </c>
      <c r="D178" s="23">
        <f>'Annual Raw'!E48</f>
        <v>0</v>
      </c>
      <c r="E178" s="23">
        <f>'Annual Raw'!F48</f>
        <v>0</v>
      </c>
      <c r="F178" s="23">
        <f>'Annual Raw'!G48</f>
        <v>0</v>
      </c>
      <c r="G178" s="23">
        <f>'Annual Raw'!H48</f>
        <v>0</v>
      </c>
      <c r="H178" s="23">
        <f>'Annual Raw'!I48</f>
        <v>0</v>
      </c>
      <c r="I178" s="23">
        <f>'Annual Raw'!J48</f>
        <v>0</v>
      </c>
      <c r="J178" s="23">
        <f>'Annual Raw'!K48</f>
        <v>0</v>
      </c>
      <c r="K178" s="23">
        <f>'Annual Raw'!L48</f>
        <v>0</v>
      </c>
      <c r="L178" s="23">
        <f>'Annual Raw'!M48</f>
        <v>0</v>
      </c>
      <c r="M178" s="23">
        <f>'Annual Raw'!N48</f>
        <v>0</v>
      </c>
      <c r="N178" s="23">
        <f>'Annual Raw'!O48</f>
        <v>0</v>
      </c>
      <c r="O178" s="23">
        <f>'Annual Raw'!P48</f>
        <v>0</v>
      </c>
      <c r="P178" s="23">
        <f>'Annual Raw'!Q48</f>
        <v>0</v>
      </c>
      <c r="Q178" s="23">
        <f>'Annual Raw'!R48</f>
        <v>0</v>
      </c>
      <c r="R178" s="23">
        <f>'Annual Raw'!S48</f>
        <v>0</v>
      </c>
      <c r="S178" s="23">
        <f>'Annual Raw'!T48</f>
        <v>1848.63</v>
      </c>
      <c r="T178" s="23">
        <f>'Annual Raw'!U48</f>
        <v>3408.03</v>
      </c>
      <c r="U178" s="23">
        <f>'Annual Raw'!V48</f>
        <v>5374.64</v>
      </c>
      <c r="V178" s="23">
        <f>'Annual Raw'!W48</f>
        <v>4856.67</v>
      </c>
      <c r="W178" s="23">
        <f>'Annual Raw'!X48</f>
        <v>5379.19</v>
      </c>
      <c r="X178" s="23">
        <f>'Annual Raw'!Y48</f>
        <v>3482.97</v>
      </c>
      <c r="Y178" s="23">
        <f>'Annual Raw'!Z48</f>
        <v>3635.2</v>
      </c>
      <c r="Z178" s="23">
        <f>'Annual Raw'!AA48</f>
        <v>1838.49</v>
      </c>
      <c r="AA178" s="23">
        <f>'Annual Raw'!AB48</f>
        <v>2742.2</v>
      </c>
      <c r="AB178" s="24">
        <f t="shared" si="1264"/>
        <v>45367.32</v>
      </c>
      <c r="AC178" s="24">
        <f t="shared" si="1265"/>
        <v>45367.32</v>
      </c>
      <c r="AD178" s="24">
        <f t="shared" si="1266"/>
        <v>45367.32</v>
      </c>
      <c r="AE178" s="24">
        <f t="shared" si="1267"/>
        <v>45367.32</v>
      </c>
      <c r="AJ178" s="23">
        <f>+'QTR Raw'!D63</f>
        <v>0</v>
      </c>
      <c r="AK178" s="23">
        <f t="shared" si="1268"/>
        <v>0</v>
      </c>
      <c r="AL178" s="23">
        <f>+'QTR Raw'!F63</f>
        <v>0</v>
      </c>
      <c r="AM178" s="23">
        <f t="shared" si="1268"/>
        <v>0</v>
      </c>
      <c r="AN178" s="23">
        <f>+'QTR Raw'!H63</f>
        <v>0</v>
      </c>
      <c r="AO178" s="23">
        <f t="shared" si="1268"/>
        <v>0</v>
      </c>
      <c r="AP178" s="23">
        <f>+'QTR Raw'!J63</f>
        <v>0</v>
      </c>
      <c r="AQ178" s="23">
        <f t="shared" si="1268"/>
        <v>0</v>
      </c>
      <c r="AR178" s="23">
        <f>+'QTR Raw'!L63</f>
        <v>0</v>
      </c>
      <c r="AS178" s="23">
        <f t="shared" si="1268"/>
        <v>0</v>
      </c>
      <c r="AT178" s="23">
        <f>+'QTR Raw'!N63</f>
        <v>5311.96</v>
      </c>
      <c r="AU178" s="23">
        <f t="shared" si="1268"/>
        <v>5311.96</v>
      </c>
      <c r="AV178" s="23">
        <f>+'QTR Raw'!P63</f>
        <v>5135.66</v>
      </c>
      <c r="AW178" s="23">
        <f t="shared" si="1268"/>
        <v>5135.66</v>
      </c>
      <c r="AX178" s="23">
        <f>+'QTR Raw'!R63</f>
        <v>5093.78</v>
      </c>
      <c r="AY178" s="23">
        <f t="shared" si="1268"/>
        <v>5093.78</v>
      </c>
      <c r="AZ178" s="23">
        <f>+'QTR Raw'!T63</f>
        <v>7410.97</v>
      </c>
      <c r="BA178" s="23">
        <f t="shared" si="1268"/>
        <v>7410.97</v>
      </c>
      <c r="BB178" s="23">
        <f>+'QTR Raw'!V63</f>
        <v>7729.08</v>
      </c>
      <c r="BC178" s="23">
        <f t="shared" si="1268"/>
        <v>7729.08</v>
      </c>
      <c r="BD178" s="23">
        <f>+'QTR Raw'!X63</f>
        <v>7628.64</v>
      </c>
      <c r="BE178" s="23">
        <f t="shared" si="1268"/>
        <v>7628.64</v>
      </c>
      <c r="BF178" s="23">
        <f>+'QTR Raw'!Z63</f>
        <v>8594.56</v>
      </c>
      <c r="BG178" s="23">
        <f t="shared" si="1268"/>
        <v>8594.56</v>
      </c>
      <c r="BH178" s="23">
        <f>+'QTR Raw'!AB63</f>
        <v>16476.439999999999</v>
      </c>
      <c r="BI178" s="23">
        <f t="shared" si="1268"/>
        <v>16476.439999999999</v>
      </c>
      <c r="BJ178" s="23">
        <f>+'QTR Raw'!AD63</f>
        <v>16304.11</v>
      </c>
      <c r="BK178" s="23">
        <f t="shared" si="1268"/>
        <v>16304.11</v>
      </c>
      <c r="BL178" s="23">
        <f>+'QTR Raw'!AF63</f>
        <v>16631.78</v>
      </c>
      <c r="BM178" s="23">
        <f t="shared" si="1268"/>
        <v>16631.78</v>
      </c>
      <c r="BN178" s="23">
        <f>+'QTR Raw'!AH63</f>
        <v>22289.65</v>
      </c>
      <c r="BO178" s="23">
        <f t="shared" si="1268"/>
        <v>22289.65</v>
      </c>
      <c r="BP178" s="23">
        <f>+'QTR Raw'!AJ63</f>
        <v>22202.89</v>
      </c>
      <c r="BQ178" s="23">
        <f t="shared" si="1268"/>
        <v>22202.89</v>
      </c>
      <c r="BR178" s="23">
        <f>+'QTR Raw'!AL63</f>
        <v>23808.81</v>
      </c>
      <c r="BS178" s="23">
        <f t="shared" si="1268"/>
        <v>23808.81</v>
      </c>
      <c r="BT178" s="23">
        <f>+'QTR Raw'!AN63</f>
        <v>25785.85</v>
      </c>
      <c r="BU178" s="23">
        <f t="shared" si="1268"/>
        <v>25785.85</v>
      </c>
      <c r="BV178" s="23">
        <f>+'QTR Raw'!AP63</f>
        <v>27774.04</v>
      </c>
      <c r="BW178" s="23">
        <f t="shared" si="1268"/>
        <v>27774.04</v>
      </c>
      <c r="BX178" s="23">
        <f>+'QTR Raw'!AR63</f>
        <v>30287.21</v>
      </c>
      <c r="BY178" s="23">
        <f t="shared" si="1268"/>
        <v>30287.21</v>
      </c>
      <c r="BZ178" s="23">
        <f>+'QTR Raw'!AT63</f>
        <v>31330.39</v>
      </c>
      <c r="CA178" s="23">
        <f t="shared" si="1268"/>
        <v>31330.39</v>
      </c>
      <c r="CB178" s="23">
        <f>+'QTR Raw'!AV63</f>
        <v>33576.910000000003</v>
      </c>
      <c r="CC178" s="23">
        <f t="shared" si="1268"/>
        <v>33576.910000000003</v>
      </c>
      <c r="CD178" s="23">
        <f>+'QTR Raw'!AX63</f>
        <v>33559.620000000003</v>
      </c>
      <c r="CE178" s="23">
        <f t="shared" si="1269"/>
        <v>33559.620000000003</v>
      </c>
      <c r="CF178" s="23">
        <f>+'QTR Raw'!AZ63</f>
        <v>35994.1</v>
      </c>
      <c r="CG178" s="23">
        <f t="shared" si="1270"/>
        <v>35994.1</v>
      </c>
      <c r="CH178" s="23">
        <f t="shared" si="1246"/>
        <v>1838.49</v>
      </c>
      <c r="CI178" s="23">
        <f t="shared" si="1270"/>
        <v>1838.49</v>
      </c>
      <c r="CJ178" s="23">
        <f>+'QTR Raw'!BD63</f>
        <v>41280.120000000003</v>
      </c>
      <c r="CK178" s="23">
        <f t="shared" si="1271"/>
        <v>41280.120000000003</v>
      </c>
      <c r="CL178" s="23">
        <f>+'QTR Raw'!BF63</f>
        <v>45367.32</v>
      </c>
      <c r="CM178" s="24">
        <f t="shared" si="1272"/>
        <v>45367.32</v>
      </c>
      <c r="CN178" s="24">
        <f t="shared" si="1273"/>
        <v>45367.32</v>
      </c>
      <c r="CO178" s="24">
        <f t="shared" si="1274"/>
        <v>45367.32</v>
      </c>
      <c r="CP178" s="24">
        <f t="shared" si="1275"/>
        <v>45367.32</v>
      </c>
      <c r="CQ178" s="24">
        <f t="shared" si="1276"/>
        <v>45367.32</v>
      </c>
      <c r="CR178" s="24">
        <f t="shared" si="1277"/>
        <v>45367.32</v>
      </c>
      <c r="CS178" s="24">
        <f t="shared" si="1278"/>
        <v>45367.32</v>
      </c>
      <c r="CT178" s="24">
        <f t="shared" si="1279"/>
        <v>45367.32</v>
      </c>
      <c r="CU178" s="24">
        <f t="shared" si="1280"/>
        <v>45367.32</v>
      </c>
      <c r="CV178" s="24">
        <f t="shared" si="1281"/>
        <v>45367.32</v>
      </c>
      <c r="CW178" s="24">
        <f t="shared" si="1282"/>
        <v>45367.32</v>
      </c>
      <c r="CX178" s="24">
        <f t="shared" si="1283"/>
        <v>45367.32</v>
      </c>
      <c r="CY178" s="24">
        <f t="shared" si="1284"/>
        <v>45367.32</v>
      </c>
      <c r="CZ178" s="24">
        <f t="shared" si="1285"/>
        <v>45367.32</v>
      </c>
      <c r="DA178" s="24">
        <f t="shared" si="1286"/>
        <v>45367.32</v>
      </c>
      <c r="DB178" s="24">
        <f t="shared" si="1287"/>
        <v>45367.32</v>
      </c>
      <c r="DE178" s="123"/>
      <c r="DF178" s="23">
        <v>0</v>
      </c>
      <c r="DG178" s="23">
        <v>41280.120000000003</v>
      </c>
    </row>
    <row r="179" spans="1:111" s="23" customFormat="1" outlineLevel="1" x14ac:dyDescent="0.2">
      <c r="A179" s="23" t="s">
        <v>47</v>
      </c>
      <c r="B179" s="23">
        <f>'Annual Raw'!C87+'Annual Raw'!C88+'Annual Raw'!C89+'Annual Raw'!C90</f>
        <v>0</v>
      </c>
      <c r="C179" s="23">
        <f>'Annual Raw'!D87+'Annual Raw'!D88+'Annual Raw'!D89+'Annual Raw'!D90</f>
        <v>0</v>
      </c>
      <c r="D179" s="23">
        <f>'Annual Raw'!E87+'Annual Raw'!E88+'Annual Raw'!E89+'Annual Raw'!E90</f>
        <v>0</v>
      </c>
      <c r="E179" s="23">
        <f>'Annual Raw'!F87+'Annual Raw'!F88+'Annual Raw'!F89+'Annual Raw'!F90</f>
        <v>0</v>
      </c>
      <c r="F179" s="23">
        <f>'Annual Raw'!G87+'Annual Raw'!G88+'Annual Raw'!G89+'Annual Raw'!G90</f>
        <v>0</v>
      </c>
      <c r="G179" s="23">
        <f>'Annual Raw'!H87+'Annual Raw'!H88+'Annual Raw'!H89+'Annual Raw'!H90</f>
        <v>0</v>
      </c>
      <c r="H179" s="23">
        <f>'Annual Raw'!I87+'Annual Raw'!I88+'Annual Raw'!I89+'Annual Raw'!I90</f>
        <v>0</v>
      </c>
      <c r="I179" s="23">
        <f>'Annual Raw'!J87+'Annual Raw'!J88+'Annual Raw'!J89+'Annual Raw'!J90</f>
        <v>0</v>
      </c>
      <c r="J179" s="23">
        <f>'Annual Raw'!K87+'Annual Raw'!K88+'Annual Raw'!K89+'Annual Raw'!K90</f>
        <v>0</v>
      </c>
      <c r="K179" s="23">
        <f>'Annual Raw'!L87+'Annual Raw'!L88+'Annual Raw'!L89+'Annual Raw'!L90</f>
        <v>0</v>
      </c>
      <c r="L179" s="23">
        <f>'Annual Raw'!M87+'Annual Raw'!M88+'Annual Raw'!M89+'Annual Raw'!M90</f>
        <v>0</v>
      </c>
      <c r="M179" s="23">
        <f>'Annual Raw'!N87+'Annual Raw'!N88+'Annual Raw'!N89+'Annual Raw'!N90</f>
        <v>0</v>
      </c>
      <c r="N179" s="23">
        <f>'Annual Raw'!O87+'Annual Raw'!O88+'Annual Raw'!O89+'Annual Raw'!O90</f>
        <v>0</v>
      </c>
      <c r="O179" s="23">
        <f>'Annual Raw'!P87+'Annual Raw'!P88+'Annual Raw'!P89+'Annual Raw'!P90</f>
        <v>0</v>
      </c>
      <c r="P179" s="23">
        <f>'Annual Raw'!Q87+'Annual Raw'!Q88+'Annual Raw'!Q89+'Annual Raw'!Q90</f>
        <v>803.43000000000006</v>
      </c>
      <c r="Q179" s="23">
        <f>'Annual Raw'!R87+'Annual Raw'!R88+'Annual Raw'!R89+'Annual Raw'!R90</f>
        <v>645.75</v>
      </c>
      <c r="R179" s="23">
        <f>'Annual Raw'!S87+'Annual Raw'!S88+'Annual Raw'!S89+'Annual Raw'!S90</f>
        <v>314.45</v>
      </c>
      <c r="S179" s="23">
        <f>'Annual Raw'!T87+'Annual Raw'!T88+'Annual Raw'!T89+'Annual Raw'!T90</f>
        <v>823.13</v>
      </c>
      <c r="T179" s="23">
        <f>'Annual Raw'!U87+'Annual Raw'!U88+'Annual Raw'!U89+'Annual Raw'!U90</f>
        <v>2200.1</v>
      </c>
      <c r="U179" s="23">
        <f>'Annual Raw'!V87+'Annual Raw'!V88+'Annual Raw'!V89+'Annual Raw'!V90</f>
        <v>720.27</v>
      </c>
      <c r="V179" s="23">
        <f>'Annual Raw'!W87+'Annual Raw'!W88+'Annual Raw'!W89+'Annual Raw'!W90</f>
        <v>1185.7</v>
      </c>
      <c r="W179" s="23">
        <f>'Annual Raw'!X87+'Annual Raw'!X88+'Annual Raw'!X89+'Annual Raw'!X90</f>
        <v>585.12</v>
      </c>
      <c r="X179" s="23">
        <f>'Annual Raw'!Y87+'Annual Raw'!Y88+'Annual Raw'!Y89+'Annual Raw'!Y90</f>
        <v>681.81999999999994</v>
      </c>
      <c r="Y179" s="23">
        <f>'Annual Raw'!Z87+'Annual Raw'!Z88+'Annual Raw'!Z89+'Annual Raw'!Z90</f>
        <v>901.38</v>
      </c>
      <c r="Z179" s="23">
        <f>'Annual Raw'!AA87+'Annual Raw'!AA88+'Annual Raw'!AA89+'Annual Raw'!AA90</f>
        <v>1231.3000000000002</v>
      </c>
      <c r="AA179" s="23">
        <f>'Annual Raw'!AB87+'Annual Raw'!AB88+'Annual Raw'!AB89+'Annual Raw'!AB90</f>
        <v>1442.6299999999999</v>
      </c>
      <c r="AB179" s="24">
        <f t="shared" si="1264"/>
        <v>0</v>
      </c>
      <c r="AC179" s="24">
        <f t="shared" si="1265"/>
        <v>0</v>
      </c>
      <c r="AD179" s="24">
        <f t="shared" si="1266"/>
        <v>0</v>
      </c>
      <c r="AE179" s="24">
        <f t="shared" si="1267"/>
        <v>0</v>
      </c>
      <c r="AJ179" s="23">
        <f>+'QTR Raw'!D90</f>
        <v>0</v>
      </c>
      <c r="AK179" s="23">
        <f t="shared" si="1268"/>
        <v>0</v>
      </c>
      <c r="AL179" s="23">
        <f>+'QTR Raw'!F90</f>
        <v>0</v>
      </c>
      <c r="AM179" s="23">
        <f t="shared" si="1268"/>
        <v>0</v>
      </c>
      <c r="AN179" s="23">
        <f>+'QTR Raw'!H90</f>
        <v>0</v>
      </c>
      <c r="AO179" s="23">
        <f t="shared" si="1268"/>
        <v>0</v>
      </c>
      <c r="AP179" s="23">
        <f>+'QTR Raw'!J90</f>
        <v>0</v>
      </c>
      <c r="AQ179" s="23">
        <f t="shared" si="1268"/>
        <v>0</v>
      </c>
      <c r="AR179" s="23">
        <f>+'QTR Raw'!L90</f>
        <v>0</v>
      </c>
      <c r="AS179" s="23">
        <f t="shared" si="1268"/>
        <v>0</v>
      </c>
      <c r="AT179" s="23">
        <f>+'QTR Raw'!N90</f>
        <v>0</v>
      </c>
      <c r="AU179" s="23">
        <f t="shared" si="1268"/>
        <v>0</v>
      </c>
      <c r="AV179" s="23">
        <f>+'QTR Raw'!P90</f>
        <v>0</v>
      </c>
      <c r="AW179" s="23">
        <f t="shared" si="1268"/>
        <v>0</v>
      </c>
      <c r="AX179" s="23">
        <f>+'QTR Raw'!R90</f>
        <v>0</v>
      </c>
      <c r="AY179" s="23">
        <f t="shared" si="1268"/>
        <v>0</v>
      </c>
      <c r="AZ179" s="23">
        <f>+'QTR Raw'!T90</f>
        <v>0</v>
      </c>
      <c r="BA179" s="23">
        <f t="shared" si="1268"/>
        <v>0</v>
      </c>
      <c r="BB179" s="23">
        <f>+'QTR Raw'!V90</f>
        <v>0</v>
      </c>
      <c r="BC179" s="23">
        <f t="shared" si="1268"/>
        <v>0</v>
      </c>
      <c r="BD179" s="23">
        <f>+'QTR Raw'!X90</f>
        <v>0</v>
      </c>
      <c r="BE179" s="23">
        <f t="shared" si="1268"/>
        <v>0</v>
      </c>
      <c r="BF179" s="23">
        <f>+'QTR Raw'!Z90</f>
        <v>0</v>
      </c>
      <c r="BG179" s="23">
        <f t="shared" si="1268"/>
        <v>0</v>
      </c>
      <c r="BH179" s="22">
        <f>+'QTR Raw'!AB90</f>
        <v>0</v>
      </c>
      <c r="BI179" s="23">
        <f t="shared" si="1268"/>
        <v>0</v>
      </c>
      <c r="BJ179" s="23">
        <f>+'QTR Raw'!AD90</f>
        <v>0</v>
      </c>
      <c r="BK179" s="23">
        <f t="shared" si="1268"/>
        <v>0</v>
      </c>
      <c r="BL179" s="23">
        <f>+'QTR Raw'!AF90</f>
        <v>0</v>
      </c>
      <c r="BM179" s="23">
        <f t="shared" si="1268"/>
        <v>0</v>
      </c>
      <c r="BN179" s="23">
        <f>+'QTR Raw'!AH90</f>
        <v>0</v>
      </c>
      <c r="BO179" s="23">
        <f t="shared" si="1268"/>
        <v>0</v>
      </c>
      <c r="BP179" s="23">
        <f>+'QTR Raw'!AJ90</f>
        <v>0</v>
      </c>
      <c r="BQ179" s="23">
        <f t="shared" si="1268"/>
        <v>0</v>
      </c>
      <c r="BR179" s="23">
        <f>+'QTR Raw'!AL90</f>
        <v>0</v>
      </c>
      <c r="BS179" s="23">
        <f t="shared" si="1268"/>
        <v>0</v>
      </c>
      <c r="BT179" s="23">
        <f>+'QTR Raw'!AN90</f>
        <v>0</v>
      </c>
      <c r="BU179" s="23">
        <f t="shared" si="1268"/>
        <v>0</v>
      </c>
      <c r="BV179" s="23">
        <f>+'QTR Raw'!AP90</f>
        <v>0</v>
      </c>
      <c r="BW179" s="23">
        <f t="shared" si="1268"/>
        <v>0</v>
      </c>
      <c r="BX179" s="23">
        <f>+'QTR Raw'!AR90</f>
        <v>0</v>
      </c>
      <c r="BY179" s="23">
        <f t="shared" si="1268"/>
        <v>0</v>
      </c>
      <c r="BZ179" s="23">
        <f>+'QTR Raw'!AT90</f>
        <v>0</v>
      </c>
      <c r="CA179" s="23">
        <f t="shared" si="1268"/>
        <v>0</v>
      </c>
      <c r="CB179" s="23">
        <f>+'QTR Raw'!AV90</f>
        <v>0</v>
      </c>
      <c r="CC179" s="23">
        <f t="shared" si="1268"/>
        <v>0</v>
      </c>
      <c r="CD179" s="23">
        <f>+'QTR Raw'!AX90</f>
        <v>0</v>
      </c>
      <c r="CE179" s="23">
        <f t="shared" si="1269"/>
        <v>0</v>
      </c>
      <c r="CF179" s="23">
        <f>+'QTR Raw'!AZ90</f>
        <v>0</v>
      </c>
      <c r="CG179" s="23">
        <f t="shared" si="1270"/>
        <v>0</v>
      </c>
      <c r="CH179" s="23">
        <f>+Z179</f>
        <v>1231.3000000000002</v>
      </c>
      <c r="CI179" s="23">
        <f t="shared" si="1270"/>
        <v>1231.3000000000002</v>
      </c>
      <c r="CJ179" s="23">
        <f>+'QTR Raw'!BD90</f>
        <v>0</v>
      </c>
      <c r="CK179" s="23">
        <f t="shared" si="1271"/>
        <v>0</v>
      </c>
      <c r="CL179" s="23">
        <f>+'QTR Raw'!BF90</f>
        <v>0</v>
      </c>
      <c r="CM179" s="24">
        <f t="shared" si="1272"/>
        <v>0</v>
      </c>
      <c r="CN179" s="24">
        <f t="shared" si="1273"/>
        <v>0</v>
      </c>
      <c r="CO179" s="24">
        <f t="shared" si="1274"/>
        <v>0</v>
      </c>
      <c r="CP179" s="24">
        <f t="shared" si="1275"/>
        <v>0</v>
      </c>
      <c r="CQ179" s="24">
        <f t="shared" si="1276"/>
        <v>0</v>
      </c>
      <c r="CR179" s="24">
        <f t="shared" si="1277"/>
        <v>0</v>
      </c>
      <c r="CS179" s="24">
        <f t="shared" si="1278"/>
        <v>0</v>
      </c>
      <c r="CT179" s="24">
        <f t="shared" si="1279"/>
        <v>0</v>
      </c>
      <c r="CU179" s="24">
        <f t="shared" si="1280"/>
        <v>0</v>
      </c>
      <c r="CV179" s="24">
        <f t="shared" si="1281"/>
        <v>0</v>
      </c>
      <c r="CW179" s="24">
        <f t="shared" si="1282"/>
        <v>0</v>
      </c>
      <c r="CX179" s="24">
        <f t="shared" si="1283"/>
        <v>0</v>
      </c>
      <c r="CY179" s="24">
        <f t="shared" si="1284"/>
        <v>0</v>
      </c>
      <c r="CZ179" s="24">
        <f t="shared" si="1285"/>
        <v>0</v>
      </c>
      <c r="DA179" s="24">
        <f t="shared" si="1286"/>
        <v>0</v>
      </c>
      <c r="DB179" s="24">
        <f t="shared" si="1287"/>
        <v>0</v>
      </c>
      <c r="DE179" s="123"/>
      <c r="DF179" s="23">
        <v>0</v>
      </c>
      <c r="DG179" s="23">
        <v>0</v>
      </c>
    </row>
    <row r="180" spans="1:111" s="23" customFormat="1" outlineLevel="1" x14ac:dyDescent="0.2">
      <c r="A180" s="23" t="s">
        <v>48</v>
      </c>
      <c r="B180" s="23">
        <f>'Annual Raw'!C56</f>
        <v>0</v>
      </c>
      <c r="C180" s="23">
        <f>'Annual Raw'!D56</f>
        <v>0</v>
      </c>
      <c r="D180" s="23">
        <f>'Annual Raw'!E56</f>
        <v>0</v>
      </c>
      <c r="E180" s="23">
        <f>'Annual Raw'!F56</f>
        <v>0</v>
      </c>
      <c r="F180" s="23">
        <f>'Annual Raw'!G56</f>
        <v>0</v>
      </c>
      <c r="G180" s="23">
        <f>'Annual Raw'!H56</f>
        <v>0</v>
      </c>
      <c r="H180" s="23">
        <f>'Annual Raw'!I56</f>
        <v>0</v>
      </c>
      <c r="I180" s="23">
        <f>'Annual Raw'!J56</f>
        <v>0</v>
      </c>
      <c r="J180" s="23">
        <f>'Annual Raw'!K56</f>
        <v>0</v>
      </c>
      <c r="K180" s="23">
        <f>'Annual Raw'!L56</f>
        <v>0</v>
      </c>
      <c r="L180" s="23">
        <f>'Annual Raw'!M56</f>
        <v>0</v>
      </c>
      <c r="M180" s="23">
        <f>'Annual Raw'!N56</f>
        <v>0</v>
      </c>
      <c r="N180" s="23">
        <f>'Annual Raw'!O56</f>
        <v>0</v>
      </c>
      <c r="O180" s="23">
        <f>'Annual Raw'!P56</f>
        <v>0</v>
      </c>
      <c r="P180" s="23">
        <f>'Annual Raw'!Q56</f>
        <v>3585.81</v>
      </c>
      <c r="Q180" s="23">
        <f>'Annual Raw'!R56</f>
        <v>2845.42</v>
      </c>
      <c r="R180" s="23">
        <f>'Annual Raw'!S56</f>
        <v>931.28</v>
      </c>
      <c r="S180" s="23">
        <f>'Annual Raw'!T56</f>
        <v>1010.65</v>
      </c>
      <c r="T180" s="23">
        <f>'Annual Raw'!U56</f>
        <v>1632.78</v>
      </c>
      <c r="U180" s="23">
        <f>'Annual Raw'!V56</f>
        <v>1235.81</v>
      </c>
      <c r="V180" s="23">
        <f>'Annual Raw'!W56</f>
        <v>1966.47</v>
      </c>
      <c r="W180" s="23">
        <f>'Annual Raw'!X56</f>
        <v>1455.42</v>
      </c>
      <c r="X180" s="23">
        <f>'Annual Raw'!Y56</f>
        <v>2186.63</v>
      </c>
      <c r="Y180" s="23">
        <f>'Annual Raw'!Z56</f>
        <v>2547.87</v>
      </c>
      <c r="Z180" s="23">
        <f>'Annual Raw'!AA56</f>
        <v>1982.49</v>
      </c>
      <c r="AA180" s="23">
        <f>'Annual Raw'!AB56</f>
        <v>4504.42</v>
      </c>
      <c r="AB180" s="24">
        <f t="shared" si="1264"/>
        <v>3531.13</v>
      </c>
      <c r="AC180" s="24">
        <f t="shared" si="1265"/>
        <v>3531.13</v>
      </c>
      <c r="AD180" s="24">
        <f t="shared" si="1266"/>
        <v>3531.13</v>
      </c>
      <c r="AE180" s="24">
        <f t="shared" si="1267"/>
        <v>3531.13</v>
      </c>
      <c r="AJ180" s="23">
        <f>+'QTR Raw'!D88</f>
        <v>0</v>
      </c>
      <c r="AK180" s="23">
        <f t="shared" si="1268"/>
        <v>0</v>
      </c>
      <c r="AL180" s="23">
        <f>+'QTR Raw'!F88</f>
        <v>0</v>
      </c>
      <c r="AM180" s="23">
        <f t="shared" si="1268"/>
        <v>0</v>
      </c>
      <c r="AN180" s="23">
        <f>+'QTR Raw'!H88</f>
        <v>0</v>
      </c>
      <c r="AO180" s="23">
        <f t="shared" si="1268"/>
        <v>0</v>
      </c>
      <c r="AP180" s="23">
        <f>+'QTR Raw'!J88</f>
        <v>0</v>
      </c>
      <c r="AQ180" s="23">
        <f t="shared" si="1268"/>
        <v>0</v>
      </c>
      <c r="AR180" s="23">
        <f>+'QTR Raw'!L88</f>
        <v>0</v>
      </c>
      <c r="AS180" s="23">
        <f t="shared" si="1268"/>
        <v>0</v>
      </c>
      <c r="AT180" s="23">
        <f>+'QTR Raw'!N88</f>
        <v>3585.81</v>
      </c>
      <c r="AU180" s="23">
        <f t="shared" si="1268"/>
        <v>3585.81</v>
      </c>
      <c r="AV180" s="23">
        <f>+'QTR Raw'!P88</f>
        <v>2641.97</v>
      </c>
      <c r="AW180" s="23">
        <f t="shared" si="1268"/>
        <v>2641.97</v>
      </c>
      <c r="AX180" s="23">
        <f>+'QTR Raw'!R88</f>
        <v>2845.42</v>
      </c>
      <c r="AY180" s="23">
        <f t="shared" si="1268"/>
        <v>2845.42</v>
      </c>
      <c r="AZ180" s="23">
        <f>+'QTR Raw'!T88</f>
        <v>1393.44</v>
      </c>
      <c r="BA180" s="23">
        <f t="shared" si="1268"/>
        <v>1393.44</v>
      </c>
      <c r="BB180" s="23">
        <f>+'QTR Raw'!V88</f>
        <v>931.28</v>
      </c>
      <c r="BC180" s="23">
        <f t="shared" si="1268"/>
        <v>931.28</v>
      </c>
      <c r="BD180" s="23">
        <f>+'QTR Raw'!X88</f>
        <v>727.43</v>
      </c>
      <c r="BE180" s="23">
        <f t="shared" si="1268"/>
        <v>727.43</v>
      </c>
      <c r="BF180" s="23">
        <f>+'QTR Raw'!Z88</f>
        <v>1010.65</v>
      </c>
      <c r="BG180" s="23">
        <f t="shared" si="1268"/>
        <v>1010.65</v>
      </c>
      <c r="BH180" s="23">
        <f>+'QTR Raw'!AB88</f>
        <v>1911.86</v>
      </c>
      <c r="BI180" s="23">
        <f t="shared" si="1268"/>
        <v>1911.86</v>
      </c>
      <c r="BJ180" s="23">
        <f>+'QTR Raw'!AD88</f>
        <v>1632.78</v>
      </c>
      <c r="BK180" s="23">
        <f t="shared" si="1268"/>
        <v>1632.78</v>
      </c>
      <c r="BL180" s="23">
        <f>+'QTR Raw'!AF88</f>
        <v>1159.6500000000001</v>
      </c>
      <c r="BM180" s="23">
        <f t="shared" si="1268"/>
        <v>1159.6500000000001</v>
      </c>
      <c r="BN180" s="23">
        <f>+'QTR Raw'!AH88</f>
        <v>1235.81</v>
      </c>
      <c r="BO180" s="23">
        <f t="shared" si="1268"/>
        <v>1235.81</v>
      </c>
      <c r="BP180" s="23">
        <f>+'QTR Raw'!AJ88</f>
        <v>1780.49</v>
      </c>
      <c r="BQ180" s="23">
        <f t="shared" si="1268"/>
        <v>1780.49</v>
      </c>
      <c r="BR180" s="23">
        <f>+'QTR Raw'!AL88</f>
        <v>3152.17</v>
      </c>
      <c r="BS180" s="23">
        <f t="shared" si="1268"/>
        <v>3152.17</v>
      </c>
      <c r="BT180" s="23">
        <f>+'QTR Raw'!AN88</f>
        <v>2965.96</v>
      </c>
      <c r="BU180" s="23">
        <f t="shared" si="1268"/>
        <v>2965.96</v>
      </c>
      <c r="BV180" s="23">
        <f>+'QTR Raw'!AP88</f>
        <v>2040.54</v>
      </c>
      <c r="BW180" s="23">
        <f t="shared" si="1268"/>
        <v>2040.54</v>
      </c>
      <c r="BX180" s="23">
        <f>+'QTR Raw'!AR88</f>
        <v>3232.18</v>
      </c>
      <c r="BY180" s="23">
        <f t="shared" si="1268"/>
        <v>3232.18</v>
      </c>
      <c r="BZ180" s="23">
        <f>+'QTR Raw'!AT88</f>
        <v>2868.45</v>
      </c>
      <c r="CA180" s="23">
        <f t="shared" si="1268"/>
        <v>2868.45</v>
      </c>
      <c r="CB180" s="23">
        <f>+'QTR Raw'!AV88</f>
        <v>2386.12</v>
      </c>
      <c r="CC180" s="23">
        <f t="shared" si="1268"/>
        <v>2386.12</v>
      </c>
      <c r="CD180" s="23">
        <f>+'QTR Raw'!AX88</f>
        <v>3449.25</v>
      </c>
      <c r="CE180" s="23">
        <f t="shared" si="1269"/>
        <v>3449.25</v>
      </c>
      <c r="CF180" s="23">
        <f>+'QTR Raw'!AZ88</f>
        <v>2956.76</v>
      </c>
      <c r="CG180" s="23">
        <f t="shared" si="1270"/>
        <v>2956.76</v>
      </c>
      <c r="CH180" s="23">
        <f t="shared" si="1246"/>
        <v>1982.49</v>
      </c>
      <c r="CI180" s="23">
        <f t="shared" si="1270"/>
        <v>1982.49</v>
      </c>
      <c r="CJ180" s="23">
        <f>+'QTR Raw'!BD88</f>
        <v>4093.53</v>
      </c>
      <c r="CK180" s="23">
        <f t="shared" si="1271"/>
        <v>4093.53</v>
      </c>
      <c r="CL180" s="23">
        <f>+'QTR Raw'!BF88</f>
        <v>3531.13</v>
      </c>
      <c r="CM180" s="24">
        <f t="shared" si="1272"/>
        <v>3531.13</v>
      </c>
      <c r="CN180" s="24">
        <f t="shared" si="1273"/>
        <v>3531.13</v>
      </c>
      <c r="CO180" s="24">
        <f t="shared" si="1274"/>
        <v>3531.13</v>
      </c>
      <c r="CP180" s="24">
        <f t="shared" si="1275"/>
        <v>3531.13</v>
      </c>
      <c r="CQ180" s="24">
        <f t="shared" si="1276"/>
        <v>3531.13</v>
      </c>
      <c r="CR180" s="24">
        <f t="shared" si="1277"/>
        <v>3531.13</v>
      </c>
      <c r="CS180" s="24">
        <f t="shared" si="1278"/>
        <v>3531.13</v>
      </c>
      <c r="CT180" s="24">
        <f t="shared" si="1279"/>
        <v>3531.13</v>
      </c>
      <c r="CU180" s="24">
        <f t="shared" si="1280"/>
        <v>3531.13</v>
      </c>
      <c r="CV180" s="24">
        <f t="shared" si="1281"/>
        <v>3531.13</v>
      </c>
      <c r="CW180" s="24">
        <f t="shared" si="1282"/>
        <v>3531.13</v>
      </c>
      <c r="CX180" s="24">
        <f t="shared" si="1283"/>
        <v>3531.13</v>
      </c>
      <c r="CY180" s="24">
        <f t="shared" si="1284"/>
        <v>3531.13</v>
      </c>
      <c r="CZ180" s="24">
        <f t="shared" si="1285"/>
        <v>3531.13</v>
      </c>
      <c r="DA180" s="24">
        <f t="shared" si="1286"/>
        <v>3531.13</v>
      </c>
      <c r="DB180" s="24">
        <f t="shared" si="1287"/>
        <v>3531.13</v>
      </c>
      <c r="DE180" s="123"/>
      <c r="DF180" s="23">
        <v>0</v>
      </c>
      <c r="DG180" s="23">
        <v>4093.53</v>
      </c>
    </row>
    <row r="181" spans="1:111" s="22" customFormat="1" x14ac:dyDescent="0.2">
      <c r="A181" s="22" t="s">
        <v>49</v>
      </c>
      <c r="B181" s="22">
        <f>SUM(B177:B180)</f>
        <v>0</v>
      </c>
      <c r="C181" s="22">
        <f t="shared" ref="C181:V181" si="1288">SUM(C177:C180)</f>
        <v>0</v>
      </c>
      <c r="D181" s="22">
        <f t="shared" si="1288"/>
        <v>0</v>
      </c>
      <c r="E181" s="22">
        <f t="shared" si="1288"/>
        <v>0</v>
      </c>
      <c r="F181" s="22">
        <f t="shared" si="1288"/>
        <v>0</v>
      </c>
      <c r="G181" s="22">
        <f t="shared" si="1288"/>
        <v>0</v>
      </c>
      <c r="H181" s="22">
        <f t="shared" si="1288"/>
        <v>0</v>
      </c>
      <c r="I181" s="22">
        <f t="shared" si="1288"/>
        <v>0</v>
      </c>
      <c r="J181" s="22">
        <f t="shared" si="1288"/>
        <v>0</v>
      </c>
      <c r="K181" s="22">
        <f t="shared" si="1288"/>
        <v>0</v>
      </c>
      <c r="L181" s="22">
        <f t="shared" si="1288"/>
        <v>0</v>
      </c>
      <c r="M181" s="22">
        <f t="shared" si="1288"/>
        <v>0</v>
      </c>
      <c r="N181" s="22">
        <f t="shared" si="1288"/>
        <v>0</v>
      </c>
      <c r="O181" s="22">
        <f t="shared" si="1288"/>
        <v>0</v>
      </c>
      <c r="P181" s="22">
        <f t="shared" si="1288"/>
        <v>9701.2000000000007</v>
      </c>
      <c r="Q181" s="22">
        <f t="shared" si="1288"/>
        <v>8584.9500000000007</v>
      </c>
      <c r="R181" s="22">
        <f t="shared" si="1288"/>
        <v>8974.81</v>
      </c>
      <c r="S181" s="22">
        <f t="shared" si="1288"/>
        <v>12276.969999999998</v>
      </c>
      <c r="T181" s="22">
        <f t="shared" si="1288"/>
        <v>23545.019999999997</v>
      </c>
      <c r="U181" s="22">
        <f t="shared" si="1288"/>
        <v>27525.15</v>
      </c>
      <c r="V181" s="22">
        <f t="shared" si="1288"/>
        <v>29790.680000000004</v>
      </c>
      <c r="W181" s="22">
        <f t="shared" ref="W181" si="1289">SUM(W177:W180)</f>
        <v>32870.229999999996</v>
      </c>
      <c r="X181" s="22">
        <f t="shared" ref="X181:Y181" si="1290">SUM(X177:X180)</f>
        <v>34198.839999999997</v>
      </c>
      <c r="Y181" s="22">
        <f t="shared" si="1290"/>
        <v>37008.869999999995</v>
      </c>
      <c r="Z181" s="22">
        <f>SUM(Z177:Z180)</f>
        <v>40206.080000000002</v>
      </c>
      <c r="AA181" s="22">
        <f>SUM(AA177:AA180)</f>
        <v>51314.369999999995</v>
      </c>
      <c r="AB181" s="21">
        <f t="shared" ref="AB181:AD181" si="1291">SUM(AB177:AB180)</f>
        <v>48898.45</v>
      </c>
      <c r="AC181" s="21">
        <f t="shared" si="1291"/>
        <v>48898.45</v>
      </c>
      <c r="AD181" s="21">
        <f t="shared" si="1291"/>
        <v>48898.45</v>
      </c>
      <c r="AE181" s="21">
        <f t="shared" ref="AE181" si="1292">SUM(AE177:AE180)</f>
        <v>48898.45</v>
      </c>
      <c r="AJ181" s="22">
        <f t="shared" ref="AJ181" si="1293">SUM(AJ177:AJ180)</f>
        <v>0</v>
      </c>
      <c r="AK181" s="22">
        <f t="shared" ref="AK181" si="1294">SUM(AK177:AK180)</f>
        <v>0</v>
      </c>
      <c r="AL181" s="22">
        <f t="shared" ref="AL181:AM181" si="1295">SUM(AL177:AL180)</f>
        <v>0</v>
      </c>
      <c r="AM181" s="22">
        <f t="shared" si="1295"/>
        <v>0</v>
      </c>
      <c r="AN181" s="22">
        <f t="shared" ref="AN181:AO181" si="1296">SUM(AN177:AN180)</f>
        <v>0</v>
      </c>
      <c r="AO181" s="22">
        <f t="shared" si="1296"/>
        <v>0</v>
      </c>
      <c r="AP181" s="22">
        <f t="shared" ref="AP181:CE181" si="1297">SUM(AP177:AP180)</f>
        <v>0</v>
      </c>
      <c r="AQ181" s="22">
        <f t="shared" si="1297"/>
        <v>0</v>
      </c>
      <c r="AR181" s="22">
        <f t="shared" si="1297"/>
        <v>0</v>
      </c>
      <c r="AS181" s="22">
        <f t="shared" si="1297"/>
        <v>0</v>
      </c>
      <c r="AT181" s="22">
        <f t="shared" si="1297"/>
        <v>8897.77</v>
      </c>
      <c r="AU181" s="22">
        <f t="shared" si="1297"/>
        <v>8897.77</v>
      </c>
      <c r="AV181" s="22">
        <f t="shared" si="1297"/>
        <v>7777.6299999999992</v>
      </c>
      <c r="AW181" s="22">
        <f t="shared" si="1297"/>
        <v>7777.6299999999992</v>
      </c>
      <c r="AX181" s="22">
        <f t="shared" si="1297"/>
        <v>7939.2</v>
      </c>
      <c r="AY181" s="22">
        <f t="shared" si="1297"/>
        <v>7939.2</v>
      </c>
      <c r="AZ181" s="22">
        <f t="shared" si="1297"/>
        <v>8804.41</v>
      </c>
      <c r="BA181" s="22">
        <f t="shared" si="1297"/>
        <v>8804.41</v>
      </c>
      <c r="BB181" s="22">
        <f t="shared" si="1297"/>
        <v>8660.36</v>
      </c>
      <c r="BC181" s="22">
        <f t="shared" si="1297"/>
        <v>8660.36</v>
      </c>
      <c r="BD181" s="22">
        <f t="shared" si="1297"/>
        <v>8356.07</v>
      </c>
      <c r="BE181" s="22">
        <f t="shared" si="1297"/>
        <v>8356.07</v>
      </c>
      <c r="BF181" s="22">
        <f t="shared" si="1297"/>
        <v>9605.2099999999991</v>
      </c>
      <c r="BG181" s="22">
        <f t="shared" si="1297"/>
        <v>9605.2099999999991</v>
      </c>
      <c r="BH181" s="22">
        <f t="shared" ref="BH181" si="1298">SUM(BH177:BH180)</f>
        <v>18388.3</v>
      </c>
      <c r="BI181" s="22">
        <f t="shared" si="1297"/>
        <v>18388.3</v>
      </c>
      <c r="BJ181" s="22">
        <f t="shared" si="1297"/>
        <v>17936.89</v>
      </c>
      <c r="BK181" s="22">
        <f t="shared" si="1297"/>
        <v>17936.89</v>
      </c>
      <c r="BL181" s="22">
        <f t="shared" si="1297"/>
        <v>17791.43</v>
      </c>
      <c r="BM181" s="22">
        <f t="shared" si="1297"/>
        <v>17791.43</v>
      </c>
      <c r="BN181" s="22">
        <f t="shared" si="1297"/>
        <v>23525.460000000003</v>
      </c>
      <c r="BO181" s="22">
        <f t="shared" si="1297"/>
        <v>23525.460000000003</v>
      </c>
      <c r="BP181" s="22">
        <f t="shared" si="1297"/>
        <v>23983.38</v>
      </c>
      <c r="BQ181" s="22">
        <f t="shared" si="1297"/>
        <v>23983.38</v>
      </c>
      <c r="BR181" s="22">
        <f t="shared" si="1297"/>
        <v>26960.980000000003</v>
      </c>
      <c r="BS181" s="22">
        <f t="shared" si="1297"/>
        <v>26960.980000000003</v>
      </c>
      <c r="BT181" s="22">
        <f t="shared" si="1297"/>
        <v>28751.809999999998</v>
      </c>
      <c r="BU181" s="22">
        <f t="shared" si="1297"/>
        <v>28751.809999999998</v>
      </c>
      <c r="BV181" s="22">
        <f t="shared" si="1297"/>
        <v>29814.58</v>
      </c>
      <c r="BW181" s="22">
        <f t="shared" si="1297"/>
        <v>29814.58</v>
      </c>
      <c r="BX181" s="22">
        <f t="shared" si="1297"/>
        <v>33519.39</v>
      </c>
      <c r="BY181" s="22">
        <f t="shared" si="1297"/>
        <v>33519.39</v>
      </c>
      <c r="BZ181" s="22">
        <f t="shared" si="1297"/>
        <v>34198.839999999997</v>
      </c>
      <c r="CA181" s="22">
        <f t="shared" si="1297"/>
        <v>34198.839999999997</v>
      </c>
      <c r="CB181" s="22">
        <f t="shared" si="1297"/>
        <v>35963.030000000006</v>
      </c>
      <c r="CC181" s="22">
        <f t="shared" si="1297"/>
        <v>35963.030000000006</v>
      </c>
      <c r="CD181" s="22">
        <f t="shared" si="1297"/>
        <v>37008.870000000003</v>
      </c>
      <c r="CE181" s="22">
        <f t="shared" si="1297"/>
        <v>37008.870000000003</v>
      </c>
      <c r="CF181" s="22">
        <f t="shared" ref="CF181:CG181" si="1299">SUM(CF177:CF180)</f>
        <v>38950.86</v>
      </c>
      <c r="CG181" s="22">
        <f t="shared" si="1299"/>
        <v>38950.86</v>
      </c>
      <c r="CH181" s="22">
        <f t="shared" ref="CH181:CI181" si="1300">SUM(CH177:CH180)</f>
        <v>40206.080000000002</v>
      </c>
      <c r="CI181" s="22">
        <f t="shared" si="1300"/>
        <v>40206.080000000002</v>
      </c>
      <c r="CJ181" s="22">
        <f t="shared" ref="CJ181:DB181" si="1301">SUM(CJ177:CJ180)</f>
        <v>45373.65</v>
      </c>
      <c r="CK181" s="22">
        <f t="shared" si="1301"/>
        <v>45373.65</v>
      </c>
      <c r="CL181" s="22">
        <f t="shared" ref="CL181" si="1302">SUM(CL177:CL180)</f>
        <v>48898.45</v>
      </c>
      <c r="CM181" s="21">
        <f t="shared" si="1301"/>
        <v>48898.45</v>
      </c>
      <c r="CN181" s="21">
        <f t="shared" si="1301"/>
        <v>48898.45</v>
      </c>
      <c r="CO181" s="21">
        <f t="shared" si="1301"/>
        <v>48898.45</v>
      </c>
      <c r="CP181" s="21">
        <f t="shared" si="1301"/>
        <v>48898.45</v>
      </c>
      <c r="CQ181" s="21">
        <f t="shared" si="1301"/>
        <v>48898.45</v>
      </c>
      <c r="CR181" s="21">
        <f t="shared" si="1301"/>
        <v>48898.45</v>
      </c>
      <c r="CS181" s="21">
        <f t="shared" si="1301"/>
        <v>48898.45</v>
      </c>
      <c r="CT181" s="21">
        <f t="shared" si="1301"/>
        <v>48898.45</v>
      </c>
      <c r="CU181" s="21">
        <f t="shared" si="1301"/>
        <v>48898.45</v>
      </c>
      <c r="CV181" s="21">
        <f t="shared" si="1301"/>
        <v>48898.45</v>
      </c>
      <c r="CW181" s="21">
        <f t="shared" si="1301"/>
        <v>48898.45</v>
      </c>
      <c r="CX181" s="21">
        <f t="shared" si="1301"/>
        <v>48898.45</v>
      </c>
      <c r="CY181" s="21">
        <f t="shared" si="1301"/>
        <v>48898.45</v>
      </c>
      <c r="CZ181" s="21">
        <f t="shared" si="1301"/>
        <v>48898.45</v>
      </c>
      <c r="DA181" s="21">
        <f t="shared" si="1301"/>
        <v>48898.45</v>
      </c>
      <c r="DB181" s="21">
        <f t="shared" si="1301"/>
        <v>48898.45</v>
      </c>
      <c r="DE181" s="126"/>
      <c r="DF181" s="22">
        <v>0</v>
      </c>
      <c r="DG181" s="22">
        <v>45373.65</v>
      </c>
    </row>
    <row r="182" spans="1:111" s="26" customFormat="1" x14ac:dyDescent="0.2">
      <c r="A182" s="26" t="s">
        <v>437</v>
      </c>
      <c r="B182" s="26">
        <f>B181+B173+B175</f>
        <v>0</v>
      </c>
      <c r="C182" s="26">
        <f t="shared" ref="C182:V182" si="1303">C181+C173+C175</f>
        <v>0</v>
      </c>
      <c r="D182" s="26">
        <f>D181+D173+D175</f>
        <v>0</v>
      </c>
      <c r="E182" s="26">
        <f t="shared" si="1303"/>
        <v>0</v>
      </c>
      <c r="F182" s="26">
        <f t="shared" si="1303"/>
        <v>0</v>
      </c>
      <c r="G182" s="26">
        <f t="shared" si="1303"/>
        <v>0</v>
      </c>
      <c r="H182" s="26">
        <f t="shared" si="1303"/>
        <v>0</v>
      </c>
      <c r="I182" s="26">
        <f t="shared" si="1303"/>
        <v>0</v>
      </c>
      <c r="J182" s="26">
        <f t="shared" si="1303"/>
        <v>0</v>
      </c>
      <c r="K182" s="26">
        <f t="shared" si="1303"/>
        <v>0</v>
      </c>
      <c r="L182" s="26">
        <f t="shared" si="1303"/>
        <v>0</v>
      </c>
      <c r="M182" s="26">
        <f t="shared" si="1303"/>
        <v>0</v>
      </c>
      <c r="N182" s="26">
        <f t="shared" si="1303"/>
        <v>0</v>
      </c>
      <c r="O182" s="26">
        <f t="shared" si="1303"/>
        <v>4.7297100000000002E-2</v>
      </c>
      <c r="P182" s="26">
        <f t="shared" si="1303"/>
        <v>10784.45</v>
      </c>
      <c r="Q182" s="26">
        <f t="shared" si="1303"/>
        <v>11256.76</v>
      </c>
      <c r="R182" s="26">
        <f t="shared" si="1303"/>
        <v>11921.34</v>
      </c>
      <c r="S182" s="26">
        <f t="shared" si="1303"/>
        <v>16484.829999999998</v>
      </c>
      <c r="T182" s="26">
        <f t="shared" si="1303"/>
        <v>28179.869999999995</v>
      </c>
      <c r="U182" s="26">
        <f t="shared" si="1303"/>
        <v>33806.82</v>
      </c>
      <c r="V182" s="26">
        <f t="shared" si="1303"/>
        <v>36983.840000000004</v>
      </c>
      <c r="W182" s="26">
        <f t="shared" ref="W182" si="1304">W181+W173+W175</f>
        <v>40821.079999999994</v>
      </c>
      <c r="X182" s="26">
        <f t="shared" ref="X182:Y182" si="1305">X181+X173+X175</f>
        <v>47074.609999999993</v>
      </c>
      <c r="Y182" s="26">
        <f t="shared" si="1305"/>
        <v>50712</v>
      </c>
      <c r="Z182" s="26">
        <f>Z181+Z173+Z175</f>
        <v>63217.34</v>
      </c>
      <c r="AA182" s="26">
        <f>AA181+AA173+AA175</f>
        <v>77840.009999999995</v>
      </c>
      <c r="AB182" s="27">
        <f t="shared" ref="AB182:AD182" si="1306">AB181+AB173+AB175</f>
        <v>79071.632740710003</v>
      </c>
      <c r="AC182" s="27">
        <f t="shared" si="1306"/>
        <v>83025.361329480715</v>
      </c>
      <c r="AD182" s="27">
        <f t="shared" si="1306"/>
        <v>88199.033345489937</v>
      </c>
      <c r="AE182" s="27">
        <f t="shared" ref="AE182" si="1307">AE181+AE173+AE175</f>
        <v>93912.673322116723</v>
      </c>
      <c r="AJ182" s="26">
        <f t="shared" ref="AJ182" si="1308">AJ181+AJ173+AJ175</f>
        <v>0</v>
      </c>
      <c r="AK182" s="26">
        <f t="shared" ref="AK182" si="1309">AK181+AK173+AK175</f>
        <v>0</v>
      </c>
      <c r="AL182" s="26">
        <f t="shared" ref="AL182" si="1310">AL181+AL173+AL175</f>
        <v>0</v>
      </c>
      <c r="AM182" s="26">
        <f t="shared" ref="AM182:AO182" si="1311">AM181+AM173+AM175</f>
        <v>0</v>
      </c>
      <c r="AN182" s="26">
        <f t="shared" si="1311"/>
        <v>0</v>
      </c>
      <c r="AO182" s="26">
        <f t="shared" si="1311"/>
        <v>0</v>
      </c>
      <c r="AP182" s="26">
        <f t="shared" ref="AP182:CE182" si="1312">AP181+AP173+AP175</f>
        <v>0</v>
      </c>
      <c r="AQ182" s="26">
        <f t="shared" si="1312"/>
        <v>0</v>
      </c>
      <c r="AR182" s="26">
        <f t="shared" si="1312"/>
        <v>0</v>
      </c>
      <c r="AS182" s="26">
        <f t="shared" si="1312"/>
        <v>6.17</v>
      </c>
      <c r="AT182" s="26">
        <f t="shared" si="1312"/>
        <v>9981.02</v>
      </c>
      <c r="AU182" s="26">
        <f t="shared" si="1312"/>
        <v>10011.91</v>
      </c>
      <c r="AV182" s="26">
        <f t="shared" si="1312"/>
        <v>10273.799999999999</v>
      </c>
      <c r="AW182" s="26">
        <f t="shared" si="1312"/>
        <v>10348.579999999998</v>
      </c>
      <c r="AX182" s="26">
        <f t="shared" si="1312"/>
        <v>10611.01</v>
      </c>
      <c r="AY182" s="26">
        <f t="shared" si="1312"/>
        <v>10733.72</v>
      </c>
      <c r="AZ182" s="26">
        <f t="shared" si="1312"/>
        <v>11632.130000000001</v>
      </c>
      <c r="BA182" s="26">
        <f t="shared" si="1312"/>
        <v>11731.41</v>
      </c>
      <c r="BB182" s="26">
        <f t="shared" si="1312"/>
        <v>11606.89</v>
      </c>
      <c r="BC182" s="26">
        <f t="shared" si="1312"/>
        <v>11690.990000000002</v>
      </c>
      <c r="BD182" s="26">
        <f t="shared" si="1312"/>
        <v>11350.43</v>
      </c>
      <c r="BE182" s="26">
        <f t="shared" si="1312"/>
        <v>12192.31</v>
      </c>
      <c r="BF182" s="26">
        <f t="shared" si="1312"/>
        <v>15661.699999999999</v>
      </c>
      <c r="BG182" s="26">
        <f t="shared" si="1312"/>
        <v>15831.039999999999</v>
      </c>
      <c r="BH182" s="26">
        <f t="shared" ref="BH182" si="1313">BH181+BH173+BH175</f>
        <v>26156.879999999997</v>
      </c>
      <c r="BI182" s="26">
        <f t="shared" si="1312"/>
        <v>26310.54</v>
      </c>
      <c r="BJ182" s="26">
        <f t="shared" si="1312"/>
        <v>25979.769999999997</v>
      </c>
      <c r="BK182" s="26">
        <f t="shared" si="1312"/>
        <v>26193.19</v>
      </c>
      <c r="BL182" s="26">
        <f t="shared" si="1312"/>
        <v>27060.83</v>
      </c>
      <c r="BM182" s="26">
        <f t="shared" si="1312"/>
        <v>27264.5</v>
      </c>
      <c r="BN182" s="26">
        <f t="shared" si="1312"/>
        <v>33086.550000000003</v>
      </c>
      <c r="BO182" s="26">
        <f t="shared" si="1312"/>
        <v>33470.1</v>
      </c>
      <c r="BP182" s="26">
        <f t="shared" si="1312"/>
        <v>33402.800000000003</v>
      </c>
      <c r="BQ182" s="26">
        <f t="shared" si="1312"/>
        <v>33798.11</v>
      </c>
      <c r="BR182" s="26">
        <f t="shared" si="1312"/>
        <v>36983.840000000004</v>
      </c>
      <c r="BS182" s="26">
        <f t="shared" si="1312"/>
        <v>37419.260000000009</v>
      </c>
      <c r="BT182" s="26">
        <f t="shared" si="1312"/>
        <v>39514.129999999997</v>
      </c>
      <c r="BU182" s="26">
        <f t="shared" si="1312"/>
        <v>39781.159999999996</v>
      </c>
      <c r="BV182" s="26">
        <f t="shared" si="1312"/>
        <v>40821.08</v>
      </c>
      <c r="BW182" s="26">
        <f t="shared" si="1312"/>
        <v>41007.07</v>
      </c>
      <c r="BX182" s="26">
        <f t="shared" si="1312"/>
        <v>45161</v>
      </c>
      <c r="BY182" s="26">
        <f t="shared" si="1312"/>
        <v>45635.72</v>
      </c>
      <c r="BZ182" s="26">
        <f t="shared" si="1312"/>
        <v>47074.609999999993</v>
      </c>
      <c r="CA182" s="26">
        <f t="shared" si="1312"/>
        <v>47249.669999999991</v>
      </c>
      <c r="CB182" s="26">
        <f t="shared" si="1312"/>
        <v>48879.540000000008</v>
      </c>
      <c r="CC182" s="26">
        <f t="shared" si="1312"/>
        <v>49204.44</v>
      </c>
      <c r="CD182" s="26">
        <f t="shared" si="1312"/>
        <v>50712</v>
      </c>
      <c r="CE182" s="26">
        <f t="shared" si="1312"/>
        <v>49888.08</v>
      </c>
      <c r="CF182" s="26">
        <f t="shared" ref="CF182:CG182" si="1314">CF181+CF173+CF175</f>
        <v>60772.480000000003</v>
      </c>
      <c r="CG182" s="26">
        <f t="shared" si="1314"/>
        <v>61334.26</v>
      </c>
      <c r="CH182" s="26">
        <f t="shared" ref="CH182:CI182" si="1315">CH181+CH173+CH175</f>
        <v>63217.34</v>
      </c>
      <c r="CI182" s="26">
        <f t="shared" si="1315"/>
        <v>63729.819999999992</v>
      </c>
      <c r="CJ182" s="26">
        <f t="shared" ref="CJ182:DB182" si="1316">CJ181+CJ173+CJ175</f>
        <v>69774.459999999992</v>
      </c>
      <c r="CK182" s="26">
        <f t="shared" si="1316"/>
        <v>70326.77</v>
      </c>
      <c r="CL182" s="26">
        <f t="shared" ref="CL182" si="1317">CL181+CL173+CL175</f>
        <v>75424.09</v>
      </c>
      <c r="CM182" s="27">
        <f t="shared" si="1316"/>
        <v>76443.06788162826</v>
      </c>
      <c r="CN182" s="27">
        <f t="shared" si="1316"/>
        <v>77343.473134769418</v>
      </c>
      <c r="CO182" s="27">
        <f t="shared" si="1316"/>
        <v>78220.032093332193</v>
      </c>
      <c r="CP182" s="27">
        <f t="shared" si="1316"/>
        <v>79071.632740710003</v>
      </c>
      <c r="CQ182" s="27">
        <f t="shared" si="1316"/>
        <v>80075.799734487358</v>
      </c>
      <c r="CR182" s="27">
        <f t="shared" si="1316"/>
        <v>81015.893370815189</v>
      </c>
      <c r="CS182" s="27">
        <f t="shared" si="1316"/>
        <v>81981.153544281726</v>
      </c>
      <c r="CT182" s="27">
        <f t="shared" si="1316"/>
        <v>83025.361329480715</v>
      </c>
      <c r="CU182" s="27">
        <f t="shared" si="1316"/>
        <v>84229.491687200207</v>
      </c>
      <c r="CV182" s="27">
        <f t="shared" si="1316"/>
        <v>85399.618792175374</v>
      </c>
      <c r="CW182" s="27">
        <f t="shared" si="1316"/>
        <v>86805.844267791894</v>
      </c>
      <c r="CX182" s="27">
        <f t="shared" si="1316"/>
        <v>88199.033345489937</v>
      </c>
      <c r="CY182" s="27">
        <f t="shared" si="1316"/>
        <v>89605.305574619793</v>
      </c>
      <c r="CZ182" s="27">
        <f t="shared" si="1316"/>
        <v>90964.787641692645</v>
      </c>
      <c r="DA182" s="27">
        <f t="shared" si="1316"/>
        <v>92390.47468704221</v>
      </c>
      <c r="DB182" s="27">
        <f t="shared" si="1316"/>
        <v>93912.673322116723</v>
      </c>
      <c r="DE182" s="121"/>
      <c r="DF182" s="26">
        <v>0</v>
      </c>
      <c r="DG182" s="26">
        <v>70851.028776919033</v>
      </c>
    </row>
    <row r="183" spans="1:111" s="23" customFormat="1" x14ac:dyDescent="0.2">
      <c r="AB183" s="24"/>
      <c r="AC183" s="24"/>
      <c r="AD183" s="24"/>
      <c r="AE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E183" s="123"/>
    </row>
    <row r="184" spans="1:111" s="23" customFormat="1" outlineLevel="1" x14ac:dyDescent="0.2">
      <c r="A184" s="23" t="s">
        <v>50</v>
      </c>
      <c r="B184" s="23">
        <f>'Annual Raw'!C62</f>
        <v>0</v>
      </c>
      <c r="C184" s="23">
        <f>'Annual Raw'!D62</f>
        <v>0</v>
      </c>
      <c r="D184" s="23">
        <f>'Annual Raw'!E62</f>
        <v>0</v>
      </c>
      <c r="E184" s="23">
        <f>'Annual Raw'!F62-E188</f>
        <v>0</v>
      </c>
      <c r="F184" s="23">
        <f>'Annual Raw'!G62-F188</f>
        <v>0</v>
      </c>
      <c r="G184" s="23">
        <f>'Annual Raw'!H62-G188</f>
        <v>0</v>
      </c>
      <c r="H184" s="23">
        <f>'Annual Raw'!I62-H188</f>
        <v>0</v>
      </c>
      <c r="I184" s="23">
        <f>'Annual Raw'!J62-I188</f>
        <v>0</v>
      </c>
      <c r="J184" s="23">
        <f>'Annual Raw'!K62-J188</f>
        <v>0</v>
      </c>
      <c r="K184" s="23">
        <f>'Annual Raw'!L62-K188</f>
        <v>0</v>
      </c>
      <c r="L184" s="23">
        <f>'Annual Raw'!M62-L188</f>
        <v>0</v>
      </c>
      <c r="M184" s="23">
        <f>'Annual Raw'!N62-M188</f>
        <v>0</v>
      </c>
      <c r="N184" s="23">
        <f>'Annual Raw'!O62-N188</f>
        <v>0</v>
      </c>
      <c r="O184" s="23">
        <f>'Annual Raw'!P62-O188</f>
        <v>0</v>
      </c>
      <c r="P184" s="23">
        <f>'Annual Raw'!Q62-P188</f>
        <v>10671.07</v>
      </c>
      <c r="Q184" s="23">
        <f>'Annual Raw'!R62-Q188</f>
        <v>10306.16</v>
      </c>
      <c r="R184" s="23">
        <f>'Annual Raw'!S62-R188</f>
        <v>10661.789999999999</v>
      </c>
      <c r="S184" s="23">
        <f>'Annual Raw'!T62-S188</f>
        <v>10678.99</v>
      </c>
      <c r="T184" s="23">
        <f>'Annual Raw'!U62-T188</f>
        <v>26410.43</v>
      </c>
      <c r="U184" s="23">
        <f>'Annual Raw'!V62-U188</f>
        <v>28061.23</v>
      </c>
      <c r="V184" s="23">
        <f>'Annual Raw'!W62-V188</f>
        <v>31479.579999999998</v>
      </c>
      <c r="W184" s="23">
        <f>'Annual Raw'!X62-W188</f>
        <v>36167.67</v>
      </c>
      <c r="X184" s="23">
        <f>'Annual Raw'!Y62-X188</f>
        <v>40134.92</v>
      </c>
      <c r="Y184" s="23">
        <f>'Annual Raw'!Z62-Y188</f>
        <v>48182.29</v>
      </c>
      <c r="Z184" s="23">
        <f>'Annual Raw'!AA62-Z188</f>
        <v>49905.22</v>
      </c>
      <c r="AA184" s="23">
        <f>'Annual Raw'!AB62-AA188</f>
        <v>59102.18</v>
      </c>
      <c r="AB184" s="24">
        <f t="shared" ref="AB184:AB190" si="1318">+CP184</f>
        <v>80299.600000000006</v>
      </c>
      <c r="AC184" s="24">
        <f t="shared" ref="AC184:AC190" si="1319">+CT184</f>
        <v>103299.6</v>
      </c>
      <c r="AD184" s="24">
        <f t="shared" ref="AD184:AD190" si="1320">+CX184</f>
        <v>119299.6</v>
      </c>
      <c r="AE184" s="24">
        <f t="shared" ref="AE184:AE190" si="1321">+DB184</f>
        <v>135299.6</v>
      </c>
      <c r="AJ184" s="23">
        <f>+'QTR Raw'!D68</f>
        <v>0</v>
      </c>
      <c r="AL184" s="23">
        <f>+'QTR Raw'!F68</f>
        <v>0</v>
      </c>
      <c r="AN184" s="23">
        <f>+'QTR Raw'!H68</f>
        <v>0</v>
      </c>
      <c r="AP184" s="23">
        <f>+'QTR Raw'!J68</f>
        <v>0</v>
      </c>
      <c r="AR184" s="23">
        <f>+'QTR Raw'!L68</f>
        <v>0</v>
      </c>
      <c r="AT184" s="23">
        <f>+'QTR Raw'!N68</f>
        <v>10269.25</v>
      </c>
      <c r="AV184" s="23">
        <f>+'QTR Raw'!P68</f>
        <v>10026.16</v>
      </c>
      <c r="AX184" s="23">
        <f>+'QTR Raw'!R68</f>
        <v>10060.42</v>
      </c>
      <c r="AZ184" s="23">
        <f>+'QTR Raw'!T68</f>
        <v>9471.9</v>
      </c>
      <c r="BB184" s="23">
        <f>+'QTR Raw'!V68</f>
        <v>9532.89</v>
      </c>
      <c r="BD184" s="23">
        <f>+'QTR Raw'!X68</f>
        <v>9254.5499999999993</v>
      </c>
      <c r="BF184" s="23">
        <f>+'QTR Raw'!Z68</f>
        <v>8970.68</v>
      </c>
      <c r="BH184" s="23">
        <f>+'QTR Raw'!AB68</f>
        <v>24908.080000000002</v>
      </c>
      <c r="BJ184" s="23">
        <f>+'QTR Raw'!AD68</f>
        <v>23821.86</v>
      </c>
      <c r="BL184" s="23">
        <f>+'QTR Raw'!AF68</f>
        <v>23639.53</v>
      </c>
      <c r="BN184" s="23">
        <f>+'QTR Raw'!AH68</f>
        <v>24097.85</v>
      </c>
      <c r="BP184" s="23">
        <f>+'QTR Raw'!AJ68</f>
        <v>23692.02</v>
      </c>
      <c r="BR184" s="23">
        <f>+'QTR Raw'!AL68</f>
        <v>26190.98</v>
      </c>
      <c r="BT184" s="23">
        <f>+'QTR Raw'!AN68</f>
        <v>27768.639999999999</v>
      </c>
      <c r="BV184" s="23">
        <f>+'QTR Raw'!AP68</f>
        <v>29000.48</v>
      </c>
      <c r="BX184" s="23">
        <f>+'QTR Raw'!AR68</f>
        <v>30037.09</v>
      </c>
      <c r="BZ184" s="23">
        <f>+'QTR Raw'!AT68</f>
        <v>31394.63</v>
      </c>
      <c r="CB184" s="23">
        <f>+'QTR Raw'!AV68</f>
        <v>35034.22</v>
      </c>
      <c r="CD184" s="23">
        <f>+'QTR Raw'!AX68</f>
        <v>37538.339999999997</v>
      </c>
      <c r="CF184" s="23">
        <f>+'QTR Raw'!AZ68</f>
        <v>36817.279999999999</v>
      </c>
      <c r="CH184" s="23">
        <f t="shared" ref="CH184:CH190" si="1322">Z184</f>
        <v>49905.22</v>
      </c>
      <c r="CI184" s="23">
        <f>CH184</f>
        <v>49905.22</v>
      </c>
      <c r="CJ184" s="23">
        <f>+CJ185+CJ187</f>
        <v>50025.369999999995</v>
      </c>
      <c r="CK184" s="23">
        <f>+CJ184+600</f>
        <v>50625.369999999995</v>
      </c>
      <c r="CL184" s="23">
        <f>+CL185+CL187</f>
        <v>58299.6</v>
      </c>
      <c r="CM184" s="24">
        <f>+CL184+5500</f>
        <v>63799.6</v>
      </c>
      <c r="CN184" s="24">
        <f t="shared" ref="CN184:CP184" si="1323">+CM184+5500</f>
        <v>69299.600000000006</v>
      </c>
      <c r="CO184" s="24">
        <f t="shared" si="1323"/>
        <v>74799.600000000006</v>
      </c>
      <c r="CP184" s="24">
        <f t="shared" si="1323"/>
        <v>80299.600000000006</v>
      </c>
      <c r="CQ184" s="24">
        <f>+CP184+5750</f>
        <v>86049.600000000006</v>
      </c>
      <c r="CR184" s="24">
        <f t="shared" ref="CR184:CT184" si="1324">+CQ184+5750</f>
        <v>91799.6</v>
      </c>
      <c r="CS184" s="24">
        <f t="shared" si="1324"/>
        <v>97549.6</v>
      </c>
      <c r="CT184" s="24">
        <f t="shared" si="1324"/>
        <v>103299.6</v>
      </c>
      <c r="CU184" s="24">
        <f>+CT184+4000</f>
        <v>107299.6</v>
      </c>
      <c r="CV184" s="24">
        <f t="shared" ref="CV184:DB184" si="1325">+CU184+4000</f>
        <v>111299.6</v>
      </c>
      <c r="CW184" s="24">
        <f t="shared" si="1325"/>
        <v>115299.6</v>
      </c>
      <c r="CX184" s="24">
        <f t="shared" si="1325"/>
        <v>119299.6</v>
      </c>
      <c r="CY184" s="24">
        <f t="shared" si="1325"/>
        <v>123299.6</v>
      </c>
      <c r="CZ184" s="24">
        <f t="shared" si="1325"/>
        <v>127299.6</v>
      </c>
      <c r="DA184" s="24">
        <f t="shared" si="1325"/>
        <v>131299.6</v>
      </c>
      <c r="DB184" s="24">
        <f t="shared" si="1325"/>
        <v>135299.6</v>
      </c>
      <c r="DE184" s="123"/>
      <c r="DF184" s="23">
        <v>0</v>
      </c>
      <c r="DG184" s="23">
        <v>51325.369999999995</v>
      </c>
    </row>
    <row r="185" spans="1:111" s="23" customFormat="1" outlineLevel="1" x14ac:dyDescent="0.2">
      <c r="A185" s="23" t="s">
        <v>51</v>
      </c>
      <c r="B185" s="23">
        <f>'Annual Raw'!C63</f>
        <v>0</v>
      </c>
      <c r="C185" s="23">
        <f>'Annual Raw'!D63</f>
        <v>0</v>
      </c>
      <c r="D185" s="23">
        <f>'Annual Raw'!E63</f>
        <v>0</v>
      </c>
      <c r="E185" s="23">
        <f>'Annual Raw'!F63</f>
        <v>0</v>
      </c>
      <c r="F185" s="23">
        <f>'Annual Raw'!G63</f>
        <v>0</v>
      </c>
      <c r="G185" s="23">
        <f>'Annual Raw'!H63</f>
        <v>0</v>
      </c>
      <c r="H185" s="23">
        <f>'Annual Raw'!I63</f>
        <v>0</v>
      </c>
      <c r="I185" s="23">
        <f>'Annual Raw'!J63</f>
        <v>0</v>
      </c>
      <c r="J185" s="23">
        <f>'Annual Raw'!K63</f>
        <v>0</v>
      </c>
      <c r="K185" s="23">
        <f>'Annual Raw'!L63</f>
        <v>0</v>
      </c>
      <c r="L185" s="23">
        <f>'Annual Raw'!M63</f>
        <v>0</v>
      </c>
      <c r="M185" s="23">
        <f>'Annual Raw'!N63</f>
        <v>0</v>
      </c>
      <c r="N185" s="23">
        <f>'Annual Raw'!O63</f>
        <v>0</v>
      </c>
      <c r="O185" s="23">
        <f>'Annual Raw'!P63</f>
        <v>0</v>
      </c>
      <c r="P185" s="23">
        <f>'Annual Raw'!Q63</f>
        <v>411.65</v>
      </c>
      <c r="Q185" s="23">
        <f>'Annual Raw'!R63</f>
        <v>559.65</v>
      </c>
      <c r="R185" s="23">
        <f>'Annual Raw'!S63</f>
        <v>1128.9000000000001</v>
      </c>
      <c r="S185" s="23">
        <f>'Annual Raw'!T63</f>
        <v>1708.31</v>
      </c>
      <c r="T185" s="23">
        <f>'Annual Raw'!U63</f>
        <v>2588.5700000000002</v>
      </c>
      <c r="U185" s="23">
        <f>'Annual Raw'!V63</f>
        <v>3729.12</v>
      </c>
      <c r="V185" s="23">
        <f>'Annual Raw'!W63</f>
        <v>5085.8599999999997</v>
      </c>
      <c r="W185" s="23">
        <f>'Annual Raw'!X63</f>
        <v>6494.19</v>
      </c>
      <c r="X185" s="23">
        <f>'Annual Raw'!Y63</f>
        <v>8088.07</v>
      </c>
      <c r="Y185" s="23">
        <f>'Annual Raw'!Z63</f>
        <v>9860.84</v>
      </c>
      <c r="Z185" s="23">
        <f>'Annual Raw'!AA63</f>
        <v>10948.76</v>
      </c>
      <c r="AA185" s="23">
        <f>'Annual Raw'!AB63</f>
        <v>12896.53</v>
      </c>
      <c r="AB185" s="24">
        <f t="shared" si="1318"/>
        <v>15726.305512709543</v>
      </c>
      <c r="AC185" s="24">
        <f t="shared" si="1319"/>
        <v>19546.018199082962</v>
      </c>
      <c r="AD185" s="24">
        <f t="shared" si="1320"/>
        <v>24226.978020825776</v>
      </c>
      <c r="AE185" s="24">
        <f t="shared" si="1321"/>
        <v>29497.825271258494</v>
      </c>
      <c r="AJ185" s="23">
        <f>+'QTR Raw'!D69</f>
        <v>0</v>
      </c>
      <c r="AL185" s="23">
        <f>+'QTR Raw'!F69</f>
        <v>0</v>
      </c>
      <c r="AN185" s="23">
        <f>+'QTR Raw'!H69</f>
        <v>0</v>
      </c>
      <c r="AP185" s="23">
        <f>+'QTR Raw'!J69</f>
        <v>0</v>
      </c>
      <c r="AR185" s="23">
        <f>+'QTR Raw'!L69</f>
        <v>0</v>
      </c>
      <c r="AT185" s="23">
        <f>+'QTR Raw'!N69</f>
        <v>0</v>
      </c>
      <c r="AV185" s="23">
        <f>+'QTR Raw'!P69</f>
        <v>0</v>
      </c>
      <c r="AX185" s="23">
        <f>+'QTR Raw'!R69</f>
        <v>0</v>
      </c>
      <c r="AZ185" s="23">
        <f>+'QTR Raw'!T69</f>
        <v>0</v>
      </c>
      <c r="BB185" s="23">
        <f>+'QTR Raw'!V69</f>
        <v>0</v>
      </c>
      <c r="BD185" s="23">
        <f>+'QTR Raw'!X69</f>
        <v>0</v>
      </c>
      <c r="BF185" s="23">
        <f>+'QTR Raw'!Z69</f>
        <v>0</v>
      </c>
      <c r="BH185" s="23">
        <f>+'QTR Raw'!AB69</f>
        <v>0</v>
      </c>
      <c r="BJ185" s="23">
        <f>+'QTR Raw'!AD69</f>
        <v>0</v>
      </c>
      <c r="BL185" s="23">
        <f>+'QTR Raw'!AF69</f>
        <v>0</v>
      </c>
      <c r="BN185" s="23">
        <f>+'QTR Raw'!AH69</f>
        <v>0</v>
      </c>
      <c r="BP185" s="23">
        <f>+'QTR Raw'!AJ69</f>
        <v>0</v>
      </c>
      <c r="BR185" s="23">
        <f>+'QTR Raw'!AL69</f>
        <v>0</v>
      </c>
      <c r="BT185" s="23">
        <f>+'QTR Raw'!AN69</f>
        <v>0</v>
      </c>
      <c r="BV185" s="23">
        <f>+'QTR Raw'!AP69</f>
        <v>0</v>
      </c>
      <c r="BX185" s="23">
        <f>+'QTR Raw'!AR69</f>
        <v>0</v>
      </c>
      <c r="BZ185" s="23">
        <f>+'QTR Raw'!AT69</f>
        <v>0</v>
      </c>
      <c r="CB185" s="23">
        <f>+'QTR Raw'!AV69</f>
        <v>0</v>
      </c>
      <c r="CD185" s="23">
        <f>+'QTR Raw'!AX69</f>
        <v>0</v>
      </c>
      <c r="CF185" s="23">
        <f>+'QTR Raw'!AZ69</f>
        <v>0</v>
      </c>
      <c r="CH185" s="23">
        <f t="shared" si="1322"/>
        <v>10948.76</v>
      </c>
      <c r="CI185" s="23">
        <f t="shared" ref="CI185:CL185" si="1326">CH185+CI85</f>
        <v>11413.58</v>
      </c>
      <c r="CJ185" s="23">
        <f t="shared" si="1326"/>
        <v>11922.99</v>
      </c>
      <c r="CK185" s="23">
        <f t="shared" si="1326"/>
        <v>12419.18</v>
      </c>
      <c r="CL185" s="23">
        <f t="shared" si="1326"/>
        <v>12926.99</v>
      </c>
      <c r="CM185" s="24">
        <f t="shared" ref="CM185" si="1327">CL185+CM85</f>
        <v>13530.051050685766</v>
      </c>
      <c r="CN185" s="24">
        <f t="shared" ref="CN185" si="1328">CM185+CN85</f>
        <v>14198.198794597192</v>
      </c>
      <c r="CO185" s="24">
        <f t="shared" ref="CO185" si="1329">CN185+CO85</f>
        <v>14930.568144854718</v>
      </c>
      <c r="CP185" s="24">
        <f t="shared" ref="CP185" si="1330">CO185+CP85</f>
        <v>15726.305512709543</v>
      </c>
      <c r="CQ185" s="24">
        <f t="shared" ref="CQ185" si="1331">CP185+CQ85</f>
        <v>16584.568654718496</v>
      </c>
      <c r="CR185" s="24">
        <f t="shared" ref="CR185" si="1332">CQ185+CR85</f>
        <v>17507.849347387601</v>
      </c>
      <c r="CS185" s="24">
        <f t="shared" ref="CS185" si="1333">CR185+CS85</f>
        <v>18495.283422832003</v>
      </c>
      <c r="CT185" s="24">
        <f t="shared" ref="CT185" si="1334">CS185+CT85</f>
        <v>19546.018199082962</v>
      </c>
      <c r="CU185" s="24">
        <f t="shared" ref="CU185" si="1335">CT185+CU85</f>
        <v>20659.212327425088</v>
      </c>
      <c r="CV185" s="24">
        <f t="shared" ref="CV185" si="1336">CU185+CV85</f>
        <v>21810.775863700499</v>
      </c>
      <c r="CW185" s="24">
        <f t="shared" ref="CW185" si="1337">CV185+CW85</f>
        <v>23000.198828530392</v>
      </c>
      <c r="CX185" s="24">
        <f t="shared" ref="CX185" si="1338">CW185+CX85</f>
        <v>24226.978020825776</v>
      </c>
      <c r="CY185" s="24">
        <f t="shared" ref="CY185" si="1339">CX185+CY85</f>
        <v>25490.616927695173</v>
      </c>
      <c r="CZ185" s="24">
        <f t="shared" ref="CZ185" si="1340">CY185+CZ85</f>
        <v>26790.625635549768</v>
      </c>
      <c r="DA185" s="24">
        <f t="shared" ref="DA185" si="1341">CZ185+DA85</f>
        <v>28126.520742390087</v>
      </c>
      <c r="DB185" s="24">
        <f t="shared" ref="DB185" si="1342">DA185+DB85</f>
        <v>29497.825271258494</v>
      </c>
      <c r="DE185" s="123"/>
      <c r="DF185" s="23">
        <v>0</v>
      </c>
      <c r="DG185" s="23">
        <v>13374.33475</v>
      </c>
    </row>
    <row r="186" spans="1:111" s="23" customFormat="1" outlineLevel="1" x14ac:dyDescent="0.2">
      <c r="A186" s="23" t="s">
        <v>52</v>
      </c>
      <c r="B186" s="23">
        <f>'Annual Raw'!C64</f>
        <v>0</v>
      </c>
      <c r="C186" s="23">
        <f>'Annual Raw'!D64</f>
        <v>0</v>
      </c>
      <c r="D186" s="23">
        <f>'Annual Raw'!E64</f>
        <v>0</v>
      </c>
      <c r="E186" s="23">
        <f>'Annual Raw'!F64</f>
        <v>0</v>
      </c>
      <c r="F186" s="23">
        <f>'Annual Raw'!G64</f>
        <v>0</v>
      </c>
      <c r="G186" s="23">
        <f>'Annual Raw'!H64</f>
        <v>0</v>
      </c>
      <c r="H186" s="23">
        <f>'Annual Raw'!I64</f>
        <v>0</v>
      </c>
      <c r="I186" s="23">
        <f>'Annual Raw'!J64</f>
        <v>0</v>
      </c>
      <c r="J186" s="23">
        <f>'Annual Raw'!K64</f>
        <v>0</v>
      </c>
      <c r="K186" s="23">
        <f>'Annual Raw'!L64</f>
        <v>0</v>
      </c>
      <c r="L186" s="23">
        <f>'Annual Raw'!M64</f>
        <v>0</v>
      </c>
      <c r="M186" s="23">
        <f>'Annual Raw'!N64</f>
        <v>0</v>
      </c>
      <c r="N186" s="23">
        <f>'Annual Raw'!O64</f>
        <v>0</v>
      </c>
      <c r="O186" s="23">
        <f>'Annual Raw'!P64</f>
        <v>0</v>
      </c>
      <c r="P186" s="23">
        <f>'Annual Raw'!Q64</f>
        <v>0</v>
      </c>
      <c r="Q186" s="23">
        <f>'Annual Raw'!R64</f>
        <v>0</v>
      </c>
      <c r="R186" s="23">
        <f>'Annual Raw'!S64</f>
        <v>0</v>
      </c>
      <c r="S186" s="23">
        <f>'Annual Raw'!T64</f>
        <v>0</v>
      </c>
      <c r="T186" s="23">
        <f>'Annual Raw'!U64</f>
        <v>0</v>
      </c>
      <c r="U186" s="23">
        <f>'Annual Raw'!V64</f>
        <v>0</v>
      </c>
      <c r="V186" s="23">
        <f>'Annual Raw'!W64</f>
        <v>0</v>
      </c>
      <c r="W186" s="23">
        <f>'Annual Raw'!X64</f>
        <v>0</v>
      </c>
      <c r="X186" s="23">
        <f>'Annual Raw'!Y64</f>
        <v>0</v>
      </c>
      <c r="Y186" s="23">
        <f>'Annual Raw'!Z64</f>
        <v>0</v>
      </c>
      <c r="Z186" s="23">
        <f>'Annual Raw'!AA64</f>
        <v>0</v>
      </c>
      <c r="AA186" s="23">
        <f>'Annual Raw'!AB64</f>
        <v>0</v>
      </c>
      <c r="AB186" s="24">
        <f t="shared" si="1318"/>
        <v>0</v>
      </c>
      <c r="AC186" s="24">
        <f t="shared" si="1319"/>
        <v>0</v>
      </c>
      <c r="AD186" s="24">
        <f t="shared" si="1320"/>
        <v>0</v>
      </c>
      <c r="AE186" s="24">
        <f t="shared" si="1321"/>
        <v>0</v>
      </c>
      <c r="AJ186" s="23">
        <f>+'QTR Raw'!D70</f>
        <v>0</v>
      </c>
      <c r="AL186" s="23">
        <f>+'QTR Raw'!F70</f>
        <v>0</v>
      </c>
      <c r="AN186" s="23">
        <f>+'QTR Raw'!H70</f>
        <v>0</v>
      </c>
      <c r="AP186" s="23">
        <f>+'QTR Raw'!J70</f>
        <v>0</v>
      </c>
      <c r="AR186" s="23">
        <f>+'QTR Raw'!L70</f>
        <v>0</v>
      </c>
      <c r="AT186" s="23">
        <f>+'QTR Raw'!N70</f>
        <v>0</v>
      </c>
      <c r="AV186" s="23">
        <f>+'QTR Raw'!P70</f>
        <v>0</v>
      </c>
      <c r="AX186" s="23">
        <f>+'QTR Raw'!R70</f>
        <v>0</v>
      </c>
      <c r="AZ186" s="23">
        <f>+'QTR Raw'!T70</f>
        <v>0</v>
      </c>
      <c r="BB186" s="23">
        <f>+'QTR Raw'!V70</f>
        <v>0</v>
      </c>
      <c r="BD186" s="23">
        <f>+'QTR Raw'!X70</f>
        <v>0</v>
      </c>
      <c r="BF186" s="23">
        <f>+'QTR Raw'!Z70</f>
        <v>0</v>
      </c>
      <c r="BH186" s="23">
        <f>+'QTR Raw'!AB70</f>
        <v>0</v>
      </c>
      <c r="BJ186" s="23">
        <f>+'QTR Raw'!AD70</f>
        <v>0</v>
      </c>
      <c r="BL186" s="23">
        <f>+'QTR Raw'!AF70</f>
        <v>0</v>
      </c>
      <c r="BN186" s="23">
        <f>+'QTR Raw'!AH70</f>
        <v>0</v>
      </c>
      <c r="BP186" s="23">
        <f>+'QTR Raw'!AJ70</f>
        <v>0</v>
      </c>
      <c r="BR186" s="23">
        <f>+'QTR Raw'!AL70</f>
        <v>0</v>
      </c>
      <c r="BT186" s="23">
        <f>+'QTR Raw'!AN70</f>
        <v>0</v>
      </c>
      <c r="BV186" s="23">
        <f>+'QTR Raw'!AP70</f>
        <v>0</v>
      </c>
      <c r="BX186" s="23">
        <f>+'QTR Raw'!AR70</f>
        <v>0</v>
      </c>
      <c r="BZ186" s="23">
        <f>+'QTR Raw'!AT70</f>
        <v>0</v>
      </c>
      <c r="CB186" s="23">
        <f>+'QTR Raw'!AV70</f>
        <v>0</v>
      </c>
      <c r="CD186" s="23">
        <f>+'QTR Raw'!AX70</f>
        <v>0</v>
      </c>
      <c r="CF186" s="23">
        <f>+'QTR Raw'!AZ70</f>
        <v>0</v>
      </c>
      <c r="CH186" s="23">
        <f t="shared" si="1322"/>
        <v>0</v>
      </c>
      <c r="CI186" s="23">
        <f>CH186</f>
        <v>0</v>
      </c>
      <c r="CJ186" s="23">
        <f>+'QTR Raw'!BD70</f>
        <v>0</v>
      </c>
      <c r="CK186" s="23">
        <f t="shared" ref="CK186" si="1343">CJ186</f>
        <v>0</v>
      </c>
      <c r="CL186" s="23">
        <f>+'QTR Raw'!BF70</f>
        <v>0</v>
      </c>
      <c r="CM186" s="24">
        <f t="shared" ref="CM186" si="1344">CL186</f>
        <v>0</v>
      </c>
      <c r="CN186" s="24">
        <f t="shared" ref="CN186" si="1345">CM186</f>
        <v>0</v>
      </c>
      <c r="CO186" s="24">
        <f t="shared" ref="CO186" si="1346">CN186</f>
        <v>0</v>
      </c>
      <c r="CP186" s="24">
        <f t="shared" ref="CP186" si="1347">CO186</f>
        <v>0</v>
      </c>
      <c r="CQ186" s="24">
        <f t="shared" ref="CQ186" si="1348">CP186</f>
        <v>0</v>
      </c>
      <c r="CR186" s="24">
        <f t="shared" ref="CR186" si="1349">CQ186</f>
        <v>0</v>
      </c>
      <c r="CS186" s="24">
        <f t="shared" ref="CS186" si="1350">CR186</f>
        <v>0</v>
      </c>
      <c r="CT186" s="24">
        <f t="shared" ref="CT186" si="1351">CS186</f>
        <v>0</v>
      </c>
      <c r="CU186" s="24">
        <f t="shared" ref="CU186" si="1352">CT186</f>
        <v>0</v>
      </c>
      <c r="CV186" s="24">
        <f t="shared" ref="CV186" si="1353">CU186</f>
        <v>0</v>
      </c>
      <c r="CW186" s="24">
        <f t="shared" ref="CW186" si="1354">CV186</f>
        <v>0</v>
      </c>
      <c r="CX186" s="24">
        <f t="shared" ref="CX186" si="1355">CW186</f>
        <v>0</v>
      </c>
      <c r="CY186" s="24">
        <f t="shared" ref="CY186" si="1356">CX186</f>
        <v>0</v>
      </c>
      <c r="CZ186" s="24">
        <f t="shared" ref="CZ186" si="1357">CY186</f>
        <v>0</v>
      </c>
      <c r="DA186" s="24">
        <f t="shared" ref="DA186" si="1358">CZ186</f>
        <v>0</v>
      </c>
      <c r="DB186" s="24">
        <f t="shared" ref="DB186" si="1359">DA186</f>
        <v>0</v>
      </c>
      <c r="DE186" s="123"/>
      <c r="DF186" s="23">
        <v>0</v>
      </c>
      <c r="DG186" s="23">
        <v>0</v>
      </c>
    </row>
    <row r="187" spans="1:111" s="22" customFormat="1" outlineLevel="1" x14ac:dyDescent="0.2">
      <c r="A187" s="22" t="s">
        <v>53</v>
      </c>
      <c r="B187" s="22">
        <f>+B184-B185-B186</f>
        <v>0</v>
      </c>
      <c r="C187" s="22">
        <f t="shared" ref="C187:W187" si="1360">+C184-C185-C186</f>
        <v>0</v>
      </c>
      <c r="D187" s="22">
        <f t="shared" si="1360"/>
        <v>0</v>
      </c>
      <c r="E187" s="22">
        <f t="shared" si="1360"/>
        <v>0</v>
      </c>
      <c r="F187" s="22">
        <f t="shared" si="1360"/>
        <v>0</v>
      </c>
      <c r="G187" s="22">
        <f t="shared" si="1360"/>
        <v>0</v>
      </c>
      <c r="H187" s="22">
        <f t="shared" si="1360"/>
        <v>0</v>
      </c>
      <c r="I187" s="22">
        <f t="shared" si="1360"/>
        <v>0</v>
      </c>
      <c r="J187" s="22">
        <f t="shared" si="1360"/>
        <v>0</v>
      </c>
      <c r="K187" s="22">
        <f t="shared" si="1360"/>
        <v>0</v>
      </c>
      <c r="L187" s="22">
        <f t="shared" si="1360"/>
        <v>0</v>
      </c>
      <c r="M187" s="22">
        <f t="shared" si="1360"/>
        <v>0</v>
      </c>
      <c r="N187" s="22">
        <f t="shared" si="1360"/>
        <v>0</v>
      </c>
      <c r="O187" s="22">
        <f t="shared" si="1360"/>
        <v>0</v>
      </c>
      <c r="P187" s="22">
        <f t="shared" si="1360"/>
        <v>10259.42</v>
      </c>
      <c r="Q187" s="22">
        <f t="shared" si="1360"/>
        <v>9746.51</v>
      </c>
      <c r="R187" s="22">
        <f t="shared" si="1360"/>
        <v>9532.89</v>
      </c>
      <c r="S187" s="22">
        <f t="shared" si="1360"/>
        <v>8970.68</v>
      </c>
      <c r="T187" s="22">
        <f t="shared" si="1360"/>
        <v>23821.86</v>
      </c>
      <c r="U187" s="22">
        <f t="shared" si="1360"/>
        <v>24332.11</v>
      </c>
      <c r="V187" s="22">
        <f t="shared" si="1360"/>
        <v>26393.719999999998</v>
      </c>
      <c r="W187" s="22">
        <f t="shared" si="1360"/>
        <v>29673.48</v>
      </c>
      <c r="X187" s="22">
        <f t="shared" ref="X187:Y187" si="1361">+X184-X185-X186</f>
        <v>32046.85</v>
      </c>
      <c r="Y187" s="22">
        <f t="shared" si="1361"/>
        <v>38321.449999999997</v>
      </c>
      <c r="Z187" s="22">
        <f>+Z184-Z185-Z186</f>
        <v>38956.46</v>
      </c>
      <c r="AA187" s="22">
        <f>+AA184-AA185-AA186</f>
        <v>46205.65</v>
      </c>
      <c r="AB187" s="21">
        <f t="shared" ref="AB187:AE187" si="1362">+AB184-AB185-AB186</f>
        <v>64573.294487290463</v>
      </c>
      <c r="AC187" s="21">
        <f t="shared" si="1362"/>
        <v>83753.581800917047</v>
      </c>
      <c r="AD187" s="21">
        <f t="shared" si="1362"/>
        <v>95072.621979174233</v>
      </c>
      <c r="AE187" s="21">
        <f t="shared" si="1362"/>
        <v>105801.77472874151</v>
      </c>
      <c r="AJ187" s="22">
        <f t="shared" ref="AJ187:AL187" si="1363">+AJ184-AJ185-AJ186</f>
        <v>0</v>
      </c>
      <c r="AK187" s="22">
        <f t="shared" ref="AK187:CE187" si="1364">+AJ187</f>
        <v>0</v>
      </c>
      <c r="AL187" s="22">
        <f t="shared" si="1363"/>
        <v>0</v>
      </c>
      <c r="AM187" s="22">
        <f t="shared" si="1364"/>
        <v>0</v>
      </c>
      <c r="AN187" s="22">
        <f t="shared" ref="AN187" si="1365">+AN184-AN185-AN186</f>
        <v>0</v>
      </c>
      <c r="AO187" s="22">
        <f t="shared" si="1364"/>
        <v>0</v>
      </c>
      <c r="AP187" s="22">
        <f t="shared" ref="AP187:CD187" si="1366">+AP184-AP185-AP186</f>
        <v>0</v>
      </c>
      <c r="AQ187" s="22">
        <f t="shared" si="1364"/>
        <v>0</v>
      </c>
      <c r="AR187" s="22">
        <f t="shared" si="1366"/>
        <v>0</v>
      </c>
      <c r="AS187" s="22">
        <f t="shared" si="1364"/>
        <v>0</v>
      </c>
      <c r="AT187" s="22">
        <f t="shared" si="1366"/>
        <v>10269.25</v>
      </c>
      <c r="AU187" s="22">
        <f t="shared" si="1364"/>
        <v>10269.25</v>
      </c>
      <c r="AV187" s="22">
        <f t="shared" si="1366"/>
        <v>10026.16</v>
      </c>
      <c r="AW187" s="22">
        <f t="shared" si="1364"/>
        <v>10026.16</v>
      </c>
      <c r="AX187" s="22">
        <f t="shared" si="1366"/>
        <v>10060.42</v>
      </c>
      <c r="AY187" s="22">
        <f t="shared" si="1364"/>
        <v>10060.42</v>
      </c>
      <c r="AZ187" s="22">
        <f t="shared" si="1366"/>
        <v>9471.9</v>
      </c>
      <c r="BA187" s="22">
        <f t="shared" si="1364"/>
        <v>9471.9</v>
      </c>
      <c r="BB187" s="22">
        <f t="shared" si="1366"/>
        <v>9532.89</v>
      </c>
      <c r="BC187" s="22">
        <f t="shared" si="1364"/>
        <v>9532.89</v>
      </c>
      <c r="BD187" s="22">
        <f t="shared" si="1366"/>
        <v>9254.5499999999993</v>
      </c>
      <c r="BE187" s="22">
        <f t="shared" si="1364"/>
        <v>9254.5499999999993</v>
      </c>
      <c r="BF187" s="22">
        <f t="shared" si="1366"/>
        <v>8970.68</v>
      </c>
      <c r="BG187" s="22">
        <f t="shared" si="1364"/>
        <v>8970.68</v>
      </c>
      <c r="BH187" s="22">
        <f t="shared" si="1366"/>
        <v>24908.080000000002</v>
      </c>
      <c r="BI187" s="22">
        <f t="shared" si="1364"/>
        <v>24908.080000000002</v>
      </c>
      <c r="BJ187" s="22">
        <f t="shared" si="1366"/>
        <v>23821.86</v>
      </c>
      <c r="BK187" s="22">
        <f t="shared" si="1364"/>
        <v>23821.86</v>
      </c>
      <c r="BL187" s="22">
        <f t="shared" si="1366"/>
        <v>23639.53</v>
      </c>
      <c r="BM187" s="22">
        <f t="shared" si="1364"/>
        <v>23639.53</v>
      </c>
      <c r="BN187" s="22">
        <f t="shared" si="1366"/>
        <v>24097.85</v>
      </c>
      <c r="BO187" s="22">
        <f t="shared" si="1364"/>
        <v>24097.85</v>
      </c>
      <c r="BP187" s="22">
        <f t="shared" si="1366"/>
        <v>23692.02</v>
      </c>
      <c r="BQ187" s="22">
        <f t="shared" si="1364"/>
        <v>23692.02</v>
      </c>
      <c r="BR187" s="22">
        <f t="shared" si="1366"/>
        <v>26190.98</v>
      </c>
      <c r="BS187" s="22">
        <f t="shared" si="1364"/>
        <v>26190.98</v>
      </c>
      <c r="BT187" s="22">
        <f t="shared" si="1366"/>
        <v>27768.639999999999</v>
      </c>
      <c r="BU187" s="22">
        <f t="shared" si="1364"/>
        <v>27768.639999999999</v>
      </c>
      <c r="BV187" s="22">
        <f t="shared" si="1366"/>
        <v>29000.48</v>
      </c>
      <c r="BW187" s="22">
        <f t="shared" si="1364"/>
        <v>29000.48</v>
      </c>
      <c r="BX187" s="22">
        <f t="shared" si="1366"/>
        <v>30037.09</v>
      </c>
      <c r="BY187" s="22">
        <f t="shared" si="1364"/>
        <v>30037.09</v>
      </c>
      <c r="BZ187" s="22">
        <f t="shared" si="1366"/>
        <v>31394.63</v>
      </c>
      <c r="CA187" s="22">
        <f t="shared" si="1364"/>
        <v>31394.63</v>
      </c>
      <c r="CB187" s="22">
        <f t="shared" si="1366"/>
        <v>35034.22</v>
      </c>
      <c r="CC187" s="22">
        <f t="shared" si="1364"/>
        <v>35034.22</v>
      </c>
      <c r="CD187" s="22">
        <f t="shared" si="1366"/>
        <v>37538.339999999997</v>
      </c>
      <c r="CE187" s="22">
        <f t="shared" si="1364"/>
        <v>37538.339999999997</v>
      </c>
      <c r="CF187" s="22">
        <f t="shared" ref="CF187:CK187" si="1367">+CF184-CF185-CF186</f>
        <v>36817.279999999999</v>
      </c>
      <c r="CG187" s="22">
        <f t="shared" ref="CG187:CI190" si="1368">+CF187</f>
        <v>36817.279999999999</v>
      </c>
      <c r="CH187" s="22">
        <f t="shared" si="1367"/>
        <v>38956.46</v>
      </c>
      <c r="CI187" s="22">
        <f t="shared" si="1367"/>
        <v>38491.64</v>
      </c>
      <c r="CJ187" s="22">
        <f>+'QTR Raw'!BD68</f>
        <v>38102.379999999997</v>
      </c>
      <c r="CK187" s="22">
        <f t="shared" si="1367"/>
        <v>38206.189999999995</v>
      </c>
      <c r="CL187" s="22">
        <f>+'QTR Raw'!BF68</f>
        <v>45372.61</v>
      </c>
      <c r="CM187" s="21">
        <f t="shared" ref="CM187:DB187" si="1369">+CM184-CM185-CM186</f>
        <v>50269.54894931423</v>
      </c>
      <c r="CN187" s="21">
        <f t="shared" si="1369"/>
        <v>55101.401205402814</v>
      </c>
      <c r="CO187" s="21">
        <f t="shared" si="1369"/>
        <v>59869.031855145287</v>
      </c>
      <c r="CP187" s="21">
        <f t="shared" si="1369"/>
        <v>64573.294487290463</v>
      </c>
      <c r="CQ187" s="21">
        <f t="shared" si="1369"/>
        <v>69465.031345281517</v>
      </c>
      <c r="CR187" s="21">
        <f t="shared" si="1369"/>
        <v>74291.750652612405</v>
      </c>
      <c r="CS187" s="21">
        <f t="shared" si="1369"/>
        <v>79054.316577168007</v>
      </c>
      <c r="CT187" s="21">
        <f t="shared" si="1369"/>
        <v>83753.581800917047</v>
      </c>
      <c r="CU187" s="21">
        <f t="shared" si="1369"/>
        <v>86640.387672574914</v>
      </c>
      <c r="CV187" s="21">
        <f t="shared" si="1369"/>
        <v>89488.824136299503</v>
      </c>
      <c r="CW187" s="21">
        <f t="shared" si="1369"/>
        <v>92299.40117146961</v>
      </c>
      <c r="CX187" s="21">
        <f t="shared" si="1369"/>
        <v>95072.621979174233</v>
      </c>
      <c r="CY187" s="21">
        <f t="shared" si="1369"/>
        <v>97808.983072304836</v>
      </c>
      <c r="CZ187" s="21">
        <f t="shared" si="1369"/>
        <v>100508.97436445023</v>
      </c>
      <c r="DA187" s="21">
        <f t="shared" si="1369"/>
        <v>103173.07925760992</v>
      </c>
      <c r="DB187" s="21">
        <f t="shared" si="1369"/>
        <v>105801.77472874151</v>
      </c>
      <c r="DE187" s="126"/>
      <c r="DF187" s="22">
        <v>0</v>
      </c>
      <c r="DG187" s="22">
        <v>37951.035249999994</v>
      </c>
    </row>
    <row r="188" spans="1:111" s="23" customFormat="1" outlineLevel="1" x14ac:dyDescent="0.2">
      <c r="A188" s="23" t="s">
        <v>54</v>
      </c>
      <c r="B188" s="23">
        <f>'Annual Raw'!C86</f>
        <v>0</v>
      </c>
      <c r="C188" s="23">
        <f>'Annual Raw'!D86</f>
        <v>0</v>
      </c>
      <c r="D188" s="23">
        <f>'Annual Raw'!E86</f>
        <v>0</v>
      </c>
      <c r="E188" s="23">
        <f>'Annual Raw'!F86</f>
        <v>0</v>
      </c>
      <c r="F188" s="23">
        <f>'Annual Raw'!G86</f>
        <v>0</v>
      </c>
      <c r="G188" s="23">
        <f>'Annual Raw'!H86</f>
        <v>0</v>
      </c>
      <c r="H188" s="23">
        <f>'Annual Raw'!I86</f>
        <v>0</v>
      </c>
      <c r="I188" s="23">
        <f>'Annual Raw'!J86</f>
        <v>0</v>
      </c>
      <c r="J188" s="23">
        <f>'Annual Raw'!K86</f>
        <v>0</v>
      </c>
      <c r="K188" s="23">
        <f>'Annual Raw'!L86</f>
        <v>0</v>
      </c>
      <c r="L188" s="23">
        <f>'Annual Raw'!M86</f>
        <v>0</v>
      </c>
      <c r="M188" s="23">
        <f>'Annual Raw'!N86</f>
        <v>0</v>
      </c>
      <c r="N188" s="23">
        <f>'Annual Raw'!O86</f>
        <v>0</v>
      </c>
      <c r="O188" s="23">
        <f>'Annual Raw'!P86</f>
        <v>0</v>
      </c>
      <c r="P188" s="23">
        <f>'Annual Raw'!Q86</f>
        <v>313.89999999999998</v>
      </c>
      <c r="Q188" s="23">
        <f>'Annual Raw'!R86</f>
        <v>313.91000000000003</v>
      </c>
      <c r="R188" s="23">
        <f>'Annual Raw'!S86</f>
        <v>320.33999999999997</v>
      </c>
      <c r="S188" s="23">
        <f>'Annual Raw'!T86</f>
        <v>320.56</v>
      </c>
      <c r="T188" s="23">
        <f>'Annual Raw'!U86</f>
        <v>590.14</v>
      </c>
      <c r="U188" s="23">
        <f>'Annual Raw'!V86</f>
        <v>592.09</v>
      </c>
      <c r="V188" s="23">
        <f>'Annual Raw'!W86</f>
        <v>592.88</v>
      </c>
      <c r="W188" s="23">
        <f>'Annual Raw'!X86</f>
        <v>598.29</v>
      </c>
      <c r="X188" s="23">
        <f>'Annual Raw'!Y86</f>
        <v>598.29</v>
      </c>
      <c r="Y188" s="23">
        <f>'Annual Raw'!Z86</f>
        <v>598.29</v>
      </c>
      <c r="Z188" s="23">
        <f>'Annual Raw'!AA86</f>
        <v>598.29</v>
      </c>
      <c r="AA188" s="23">
        <f>'Annual Raw'!AB86</f>
        <v>598.29</v>
      </c>
      <c r="AB188" s="24">
        <f t="shared" si="1318"/>
        <v>598.29</v>
      </c>
      <c r="AC188" s="24">
        <f t="shared" si="1319"/>
        <v>598.29</v>
      </c>
      <c r="AD188" s="24">
        <f t="shared" si="1320"/>
        <v>598.29</v>
      </c>
      <c r="AE188" s="24">
        <f t="shared" si="1321"/>
        <v>598.29</v>
      </c>
      <c r="AJ188" s="23">
        <f>+'QTR Raw'!D72</f>
        <v>0</v>
      </c>
      <c r="AK188" s="23">
        <f>+AJ188</f>
        <v>0</v>
      </c>
      <c r="AL188" s="23">
        <f>+'QTR Raw'!F72</f>
        <v>0</v>
      </c>
      <c r="AM188" s="23">
        <f t="shared" ref="AK188:CE190" si="1370">+AL188</f>
        <v>0</v>
      </c>
      <c r="AN188" s="23">
        <f>+'QTR Raw'!H72</f>
        <v>0</v>
      </c>
      <c r="AO188" s="23">
        <f t="shared" si="1370"/>
        <v>0</v>
      </c>
      <c r="AP188" s="23">
        <f>+'QTR Raw'!J72</f>
        <v>0</v>
      </c>
      <c r="AQ188" s="23">
        <f t="shared" si="1370"/>
        <v>0</v>
      </c>
      <c r="AR188" s="23">
        <f>+'QTR Raw'!L72</f>
        <v>0</v>
      </c>
      <c r="AS188" s="23">
        <f t="shared" si="1370"/>
        <v>0</v>
      </c>
      <c r="AT188" s="23">
        <f>+'QTR Raw'!N72</f>
        <v>313.89999999999998</v>
      </c>
      <c r="AU188" s="23">
        <f t="shared" si="1370"/>
        <v>313.89999999999998</v>
      </c>
      <c r="AV188" s="23">
        <f>+'QTR Raw'!P72</f>
        <v>313.89999999999998</v>
      </c>
      <c r="AW188" s="23">
        <f t="shared" si="1370"/>
        <v>313.89999999999998</v>
      </c>
      <c r="AX188" s="23">
        <f>+'QTR Raw'!R72</f>
        <v>0</v>
      </c>
      <c r="AY188" s="23">
        <f t="shared" si="1370"/>
        <v>0</v>
      </c>
      <c r="AZ188" s="23">
        <f>+'QTR Raw'!T72</f>
        <v>313.89999999999998</v>
      </c>
      <c r="BA188" s="23">
        <f t="shared" si="1370"/>
        <v>313.89999999999998</v>
      </c>
      <c r="BB188" s="23">
        <f>+'QTR Raw'!V72</f>
        <v>320.33999999999997</v>
      </c>
      <c r="BC188" s="23">
        <f t="shared" si="1370"/>
        <v>320.33999999999997</v>
      </c>
      <c r="BD188" s="23">
        <f>+'QTR Raw'!X72</f>
        <v>320.54000000000002</v>
      </c>
      <c r="BE188" s="23">
        <f t="shared" si="1370"/>
        <v>320.54000000000002</v>
      </c>
      <c r="BF188" s="23">
        <f>+'QTR Raw'!Z72</f>
        <v>320.56</v>
      </c>
      <c r="BG188" s="23">
        <f t="shared" si="1370"/>
        <v>320.56</v>
      </c>
      <c r="BH188" s="23">
        <f>+'QTR Raw'!AB72</f>
        <v>854.8</v>
      </c>
      <c r="BI188" s="23">
        <f t="shared" si="1370"/>
        <v>854.8</v>
      </c>
      <c r="BJ188" s="23">
        <f>+'QTR Raw'!AD72</f>
        <v>590.14</v>
      </c>
      <c r="BK188" s="23">
        <f t="shared" si="1370"/>
        <v>590.14</v>
      </c>
      <c r="BL188" s="23">
        <f>+'QTR Raw'!AF72</f>
        <v>590.14</v>
      </c>
      <c r="BM188" s="23">
        <f t="shared" si="1370"/>
        <v>590.14</v>
      </c>
      <c r="BN188" s="23">
        <f>+'QTR Raw'!AH72</f>
        <v>592.09</v>
      </c>
      <c r="BO188" s="23">
        <f t="shared" si="1370"/>
        <v>592.09</v>
      </c>
      <c r="BP188" s="23">
        <f>+'QTR Raw'!AJ72</f>
        <v>592.87</v>
      </c>
      <c r="BQ188" s="23">
        <f t="shared" si="1370"/>
        <v>592.87</v>
      </c>
      <c r="BR188" s="23">
        <f>+'QTR Raw'!AL72</f>
        <v>592.88</v>
      </c>
      <c r="BS188" s="23">
        <f t="shared" si="1370"/>
        <v>592.88</v>
      </c>
      <c r="BT188" s="23">
        <f>+'QTR Raw'!AN72</f>
        <v>592.88</v>
      </c>
      <c r="BU188" s="23">
        <f t="shared" si="1370"/>
        <v>592.88</v>
      </c>
      <c r="BV188" s="23">
        <f>+'QTR Raw'!AP72</f>
        <v>598.29</v>
      </c>
      <c r="BW188" s="23">
        <f t="shared" si="1370"/>
        <v>598.29</v>
      </c>
      <c r="BX188" s="23">
        <f>+'QTR Raw'!AR72</f>
        <v>598.29</v>
      </c>
      <c r="BY188" s="23">
        <f t="shared" si="1370"/>
        <v>598.29</v>
      </c>
      <c r="BZ188" s="23">
        <f>+'QTR Raw'!AT72</f>
        <v>598.29</v>
      </c>
      <c r="CA188" s="23">
        <f t="shared" si="1370"/>
        <v>598.29</v>
      </c>
      <c r="CB188" s="23">
        <f>+'QTR Raw'!AV72</f>
        <v>598.29</v>
      </c>
      <c r="CC188" s="23">
        <f t="shared" si="1370"/>
        <v>598.29</v>
      </c>
      <c r="CD188" s="23">
        <f>+'QTR Raw'!AX72</f>
        <v>598.29</v>
      </c>
      <c r="CE188" s="23">
        <f t="shared" si="1370"/>
        <v>598.29</v>
      </c>
      <c r="CF188" s="23">
        <f>+'QTR Raw'!AZ72</f>
        <v>598.29</v>
      </c>
      <c r="CG188" s="23">
        <f t="shared" si="1368"/>
        <v>598.29</v>
      </c>
      <c r="CH188" s="23">
        <f t="shared" si="1322"/>
        <v>598.29</v>
      </c>
      <c r="CI188" s="23">
        <f t="shared" si="1368"/>
        <v>598.29</v>
      </c>
      <c r="CJ188" s="23">
        <f>+'QTR Raw'!BD72</f>
        <v>598.29</v>
      </c>
      <c r="CK188" s="23">
        <f t="shared" ref="CK188:CK190" si="1371">+CJ188</f>
        <v>598.29</v>
      </c>
      <c r="CL188" s="23">
        <f>+'QTR Raw'!BF72</f>
        <v>598.29</v>
      </c>
      <c r="CM188" s="24">
        <f t="shared" ref="CM188:CM190" si="1372">+CL188</f>
        <v>598.29</v>
      </c>
      <c r="CN188" s="24">
        <f t="shared" ref="CN188:CN190" si="1373">+CM188</f>
        <v>598.29</v>
      </c>
      <c r="CO188" s="24">
        <f t="shared" ref="CO188:CO190" si="1374">+CN188</f>
        <v>598.29</v>
      </c>
      <c r="CP188" s="24">
        <f t="shared" ref="CP188:CP190" si="1375">+CO188</f>
        <v>598.29</v>
      </c>
      <c r="CQ188" s="24">
        <f t="shared" ref="CQ188:CQ190" si="1376">+CP188</f>
        <v>598.29</v>
      </c>
      <c r="CR188" s="24">
        <f t="shared" ref="CR188:CR190" si="1377">+CQ188</f>
        <v>598.29</v>
      </c>
      <c r="CS188" s="24">
        <f t="shared" ref="CS188:CS190" si="1378">+CR188</f>
        <v>598.29</v>
      </c>
      <c r="CT188" s="24">
        <f t="shared" ref="CT188:CT190" si="1379">+CS188</f>
        <v>598.29</v>
      </c>
      <c r="CU188" s="24">
        <f t="shared" ref="CU188:CU190" si="1380">+CT188</f>
        <v>598.29</v>
      </c>
      <c r="CV188" s="24">
        <f t="shared" ref="CV188:CV190" si="1381">+CU188</f>
        <v>598.29</v>
      </c>
      <c r="CW188" s="24">
        <f t="shared" ref="CW188:CW190" si="1382">+CV188</f>
        <v>598.29</v>
      </c>
      <c r="CX188" s="24">
        <f t="shared" ref="CX188:CX190" si="1383">+CW188</f>
        <v>598.29</v>
      </c>
      <c r="CY188" s="24">
        <f t="shared" ref="CY188:CY190" si="1384">+CX188</f>
        <v>598.29</v>
      </c>
      <c r="CZ188" s="24">
        <f t="shared" ref="CZ188:CZ190" si="1385">+CY188</f>
        <v>598.29</v>
      </c>
      <c r="DA188" s="24">
        <f t="shared" ref="DA188:DA190" si="1386">+CZ188</f>
        <v>598.29</v>
      </c>
      <c r="DB188" s="24">
        <f t="shared" ref="DB188:DB190" si="1387">+DA188</f>
        <v>598.29</v>
      </c>
      <c r="DE188" s="123"/>
      <c r="DF188" s="23">
        <v>0</v>
      </c>
      <c r="DG188" s="23">
        <v>598.29</v>
      </c>
    </row>
    <row r="189" spans="1:111" s="23" customFormat="1" outlineLevel="1" x14ac:dyDescent="0.2">
      <c r="A189" s="23" t="s">
        <v>55</v>
      </c>
      <c r="B189" s="23">
        <f>'Annual Raw'!C68</f>
        <v>0</v>
      </c>
      <c r="C189" s="23">
        <f>'Annual Raw'!D68</f>
        <v>0</v>
      </c>
      <c r="D189" s="23">
        <f>'Annual Raw'!E68</f>
        <v>0</v>
      </c>
      <c r="E189" s="23">
        <f>'Annual Raw'!F68</f>
        <v>0</v>
      </c>
      <c r="F189" s="23">
        <f>'Annual Raw'!G68</f>
        <v>0</v>
      </c>
      <c r="G189" s="23">
        <f>'Annual Raw'!H68</f>
        <v>0</v>
      </c>
      <c r="H189" s="23">
        <f>'Annual Raw'!I68</f>
        <v>0</v>
      </c>
      <c r="I189" s="23">
        <f>'Annual Raw'!J68</f>
        <v>0</v>
      </c>
      <c r="J189" s="23">
        <f>'Annual Raw'!K68</f>
        <v>0</v>
      </c>
      <c r="K189" s="23">
        <f>'Annual Raw'!L68</f>
        <v>0</v>
      </c>
      <c r="L189" s="23">
        <f>'Annual Raw'!M68</f>
        <v>0</v>
      </c>
      <c r="M189" s="23">
        <f>'Annual Raw'!N68</f>
        <v>0</v>
      </c>
      <c r="N189" s="23">
        <f>'Annual Raw'!O68</f>
        <v>0</v>
      </c>
      <c r="O189" s="23">
        <f>'Annual Raw'!P68</f>
        <v>0</v>
      </c>
      <c r="P189" s="23">
        <f>'Annual Raw'!Q68</f>
        <v>0</v>
      </c>
      <c r="Q189" s="23">
        <f>'Annual Raw'!R68</f>
        <v>0</v>
      </c>
      <c r="R189" s="23">
        <f>'Annual Raw'!S68</f>
        <v>0</v>
      </c>
      <c r="S189" s="23">
        <f>'Annual Raw'!T68</f>
        <v>0</v>
      </c>
      <c r="T189" s="23">
        <f>'Annual Raw'!U68</f>
        <v>0</v>
      </c>
      <c r="U189" s="23">
        <f>'Annual Raw'!V68</f>
        <v>3.28</v>
      </c>
      <c r="V189" s="23">
        <f>'Annual Raw'!W68</f>
        <v>15.41</v>
      </c>
      <c r="W189" s="23">
        <f>'Annual Raw'!X68</f>
        <v>0</v>
      </c>
      <c r="X189" s="23">
        <f>'Annual Raw'!Y68</f>
        <v>0</v>
      </c>
      <c r="Y189" s="23">
        <f>'Annual Raw'!Z68</f>
        <v>0</v>
      </c>
      <c r="Z189" s="23">
        <f>'Annual Raw'!AA68</f>
        <v>6.88</v>
      </c>
      <c r="AA189" s="23">
        <f>'Annual Raw'!AB68</f>
        <v>0</v>
      </c>
      <c r="AB189" s="24">
        <f t="shared" si="1318"/>
        <v>0</v>
      </c>
      <c r="AC189" s="24">
        <f t="shared" si="1319"/>
        <v>0</v>
      </c>
      <c r="AD189" s="24">
        <f t="shared" si="1320"/>
        <v>0</v>
      </c>
      <c r="AE189" s="24">
        <f t="shared" si="1321"/>
        <v>0</v>
      </c>
      <c r="AK189" s="23">
        <f t="shared" si="1370"/>
        <v>0</v>
      </c>
      <c r="AM189" s="23">
        <f t="shared" si="1370"/>
        <v>0</v>
      </c>
      <c r="AO189" s="23">
        <f t="shared" si="1370"/>
        <v>0</v>
      </c>
      <c r="AQ189" s="23">
        <f t="shared" si="1370"/>
        <v>0</v>
      </c>
      <c r="AS189" s="23">
        <f t="shared" si="1370"/>
        <v>0</v>
      </c>
      <c r="AU189" s="23">
        <f t="shared" si="1370"/>
        <v>0</v>
      </c>
      <c r="AW189" s="23">
        <f t="shared" si="1370"/>
        <v>0</v>
      </c>
      <c r="AY189" s="23">
        <f t="shared" si="1370"/>
        <v>0</v>
      </c>
      <c r="BA189" s="23">
        <f t="shared" si="1370"/>
        <v>0</v>
      </c>
      <c r="BC189" s="23">
        <f t="shared" si="1370"/>
        <v>0</v>
      </c>
      <c r="BE189" s="23">
        <f t="shared" si="1370"/>
        <v>0</v>
      </c>
      <c r="BG189" s="23">
        <f t="shared" si="1370"/>
        <v>0</v>
      </c>
      <c r="BI189" s="23">
        <f t="shared" si="1370"/>
        <v>0</v>
      </c>
      <c r="BK189" s="23">
        <f t="shared" si="1370"/>
        <v>0</v>
      </c>
      <c r="BM189" s="23">
        <f t="shared" si="1370"/>
        <v>0</v>
      </c>
      <c r="BO189" s="23">
        <f t="shared" si="1370"/>
        <v>0</v>
      </c>
      <c r="BQ189" s="23">
        <f t="shared" si="1370"/>
        <v>0</v>
      </c>
      <c r="BS189" s="23">
        <f t="shared" si="1370"/>
        <v>0</v>
      </c>
      <c r="BU189" s="23">
        <f t="shared" si="1370"/>
        <v>0</v>
      </c>
      <c r="BW189" s="23">
        <f t="shared" si="1370"/>
        <v>0</v>
      </c>
      <c r="BY189" s="23">
        <f t="shared" si="1370"/>
        <v>0</v>
      </c>
      <c r="CA189" s="23">
        <f t="shared" si="1370"/>
        <v>0</v>
      </c>
      <c r="CC189" s="23">
        <f t="shared" si="1370"/>
        <v>0</v>
      </c>
      <c r="CE189" s="23">
        <f t="shared" si="1370"/>
        <v>0</v>
      </c>
      <c r="CG189" s="23">
        <f t="shared" si="1368"/>
        <v>0</v>
      </c>
      <c r="CH189" s="23">
        <f t="shared" si="1322"/>
        <v>6.88</v>
      </c>
      <c r="CI189" s="23">
        <f t="shared" si="1368"/>
        <v>6.88</v>
      </c>
      <c r="CK189" s="23">
        <f t="shared" si="1371"/>
        <v>0</v>
      </c>
      <c r="CM189" s="24">
        <f t="shared" si="1372"/>
        <v>0</v>
      </c>
      <c r="CN189" s="24">
        <f t="shared" si="1373"/>
        <v>0</v>
      </c>
      <c r="CO189" s="24">
        <f t="shared" si="1374"/>
        <v>0</v>
      </c>
      <c r="CP189" s="24">
        <f t="shared" si="1375"/>
        <v>0</v>
      </c>
      <c r="CQ189" s="24">
        <f t="shared" si="1376"/>
        <v>0</v>
      </c>
      <c r="CR189" s="24">
        <f t="shared" si="1377"/>
        <v>0</v>
      </c>
      <c r="CS189" s="24">
        <f t="shared" si="1378"/>
        <v>0</v>
      </c>
      <c r="CT189" s="24">
        <f t="shared" si="1379"/>
        <v>0</v>
      </c>
      <c r="CU189" s="24">
        <f t="shared" si="1380"/>
        <v>0</v>
      </c>
      <c r="CV189" s="24">
        <f t="shared" si="1381"/>
        <v>0</v>
      </c>
      <c r="CW189" s="24">
        <f t="shared" si="1382"/>
        <v>0</v>
      </c>
      <c r="CX189" s="24">
        <f t="shared" si="1383"/>
        <v>0</v>
      </c>
      <c r="CY189" s="24">
        <f t="shared" si="1384"/>
        <v>0</v>
      </c>
      <c r="CZ189" s="24">
        <f t="shared" si="1385"/>
        <v>0</v>
      </c>
      <c r="DA189" s="24">
        <f t="shared" si="1386"/>
        <v>0</v>
      </c>
      <c r="DB189" s="24">
        <f t="shared" si="1387"/>
        <v>0</v>
      </c>
      <c r="DE189" s="123"/>
      <c r="DF189" s="23">
        <v>0</v>
      </c>
      <c r="DG189" s="23">
        <v>0</v>
      </c>
    </row>
    <row r="190" spans="1:111" s="23" customFormat="1" outlineLevel="1" x14ac:dyDescent="0.2">
      <c r="A190" s="23" t="s">
        <v>56</v>
      </c>
      <c r="B190" s="23">
        <f>'Annual Raw'!C67+'Annual Raw'!C66+'Annual Raw'!C69+'Annual Raw'!C70</f>
        <v>0</v>
      </c>
      <c r="C190" s="23">
        <f>'Annual Raw'!D67+'Annual Raw'!D66+'Annual Raw'!D69+'Annual Raw'!D70</f>
        <v>0</v>
      </c>
      <c r="D190" s="23">
        <f>'Annual Raw'!E67+'Annual Raw'!E66+'Annual Raw'!E69+'Annual Raw'!E70</f>
        <v>0</v>
      </c>
      <c r="E190" s="23">
        <f>'Annual Raw'!F67+'Annual Raw'!F66+'Annual Raw'!F69+'Annual Raw'!F70</f>
        <v>0</v>
      </c>
      <c r="F190" s="23">
        <f>'Annual Raw'!G67+'Annual Raw'!G66+'Annual Raw'!G69+'Annual Raw'!G70</f>
        <v>0</v>
      </c>
      <c r="G190" s="23">
        <f>'Annual Raw'!H67+'Annual Raw'!H66+'Annual Raw'!H69+'Annual Raw'!H70</f>
        <v>0</v>
      </c>
      <c r="H190" s="23">
        <f>'Annual Raw'!I67+'Annual Raw'!I66+'Annual Raw'!I69+'Annual Raw'!I70</f>
        <v>0</v>
      </c>
      <c r="I190" s="23">
        <f>'Annual Raw'!J67+'Annual Raw'!J66+'Annual Raw'!J69+'Annual Raw'!J70</f>
        <v>0</v>
      </c>
      <c r="J190" s="23">
        <f>'Annual Raw'!K67+'Annual Raw'!K66+'Annual Raw'!K69+'Annual Raw'!K70</f>
        <v>0</v>
      </c>
      <c r="K190" s="23">
        <f>'Annual Raw'!L67+'Annual Raw'!L66+'Annual Raw'!L69+'Annual Raw'!L70</f>
        <v>0</v>
      </c>
      <c r="L190" s="23">
        <f>'Annual Raw'!M67+'Annual Raw'!M66+'Annual Raw'!M69+'Annual Raw'!M70</f>
        <v>0</v>
      </c>
      <c r="M190" s="23">
        <f>'Annual Raw'!N67+'Annual Raw'!N66+'Annual Raw'!N69+'Annual Raw'!N70</f>
        <v>0</v>
      </c>
      <c r="N190" s="23">
        <f>'Annual Raw'!O67+'Annual Raw'!O66+'Annual Raw'!O69+'Annual Raw'!O70</f>
        <v>0</v>
      </c>
      <c r="O190" s="23">
        <f>'Annual Raw'!P67+'Annual Raw'!P66+'Annual Raw'!P69+'Annual Raw'!P70</f>
        <v>0</v>
      </c>
      <c r="P190" s="23">
        <f>'Annual Raw'!Q67+'Annual Raw'!Q66+'Annual Raw'!Q69+'Annual Raw'!Q70</f>
        <v>9.83</v>
      </c>
      <c r="Q190" s="23">
        <f>'Annual Raw'!R67+'Annual Raw'!R66+'Annual Raw'!R69+'Annual Raw'!R70</f>
        <v>258.22000000000003</v>
      </c>
      <c r="R190" s="23">
        <f>'Annual Raw'!S67+'Annual Raw'!S66+'Annual Raw'!S69+'Annual Raw'!S70</f>
        <v>1342.64</v>
      </c>
      <c r="S190" s="23">
        <f>'Annual Raw'!T67+'Annual Raw'!T66+'Annual Raw'!T69+'Annual Raw'!T70</f>
        <v>2352.79</v>
      </c>
      <c r="T190" s="23">
        <f>'Annual Raw'!U67+'Annual Raw'!U66+'Annual Raw'!U69+'Annual Raw'!U70</f>
        <v>694.06</v>
      </c>
      <c r="U190" s="23">
        <f>'Annual Raw'!V67+'Annual Raw'!V66+'Annual Raw'!V69+'Annual Raw'!V70</f>
        <v>2208.96</v>
      </c>
      <c r="V190" s="23">
        <f>'Annual Raw'!W67+'Annual Raw'!W66+'Annual Raw'!W69+'Annual Raw'!W70</f>
        <v>5239.7299999999996</v>
      </c>
      <c r="W190" s="23">
        <f>'Annual Raw'!X67+'Annual Raw'!X66+'Annual Raw'!X69+'Annual Raw'!X70</f>
        <v>5060.16</v>
      </c>
      <c r="X190" s="23">
        <f>'Annual Raw'!Y67+'Annual Raw'!Y66+'Annual Raw'!Y69+'Annual Raw'!Y70</f>
        <v>6200.44</v>
      </c>
      <c r="Y190" s="23">
        <f>'Annual Raw'!Z67+'Annual Raw'!Z66+'Annual Raw'!Z69+'Annual Raw'!Z70</f>
        <v>3002.69</v>
      </c>
      <c r="Z190" s="23">
        <f>'Annual Raw'!AA67+'Annual Raw'!AA66+'Annual Raw'!AA69+'Annual Raw'!AA70</f>
        <v>5695.36</v>
      </c>
      <c r="AA190" s="23">
        <f>'Annual Raw'!AB67+'Annual Raw'!AB66+'Annual Raw'!AB69+'Annual Raw'!AB70</f>
        <v>2053.6</v>
      </c>
      <c r="AB190" s="24">
        <f t="shared" si="1318"/>
        <v>2053.6</v>
      </c>
      <c r="AC190" s="24">
        <f t="shared" si="1319"/>
        <v>2053.6</v>
      </c>
      <c r="AD190" s="24">
        <f t="shared" si="1320"/>
        <v>2053.6</v>
      </c>
      <c r="AE190" s="24">
        <f t="shared" si="1321"/>
        <v>2053.6</v>
      </c>
      <c r="AJ190" s="23">
        <f>+'QTR Raw'!D74+'QTR Raw'!D75</f>
        <v>0</v>
      </c>
      <c r="AK190" s="23">
        <f t="shared" si="1370"/>
        <v>0</v>
      </c>
      <c r="AL190" s="23">
        <f>+'QTR Raw'!F74+'QTR Raw'!F75</f>
        <v>0</v>
      </c>
      <c r="AM190" s="23">
        <f t="shared" si="1370"/>
        <v>0</v>
      </c>
      <c r="AN190" s="23">
        <f>+'QTR Raw'!H74+'QTR Raw'!H75</f>
        <v>0</v>
      </c>
      <c r="AO190" s="23">
        <f t="shared" si="1370"/>
        <v>0</v>
      </c>
      <c r="AP190" s="23">
        <f>+'QTR Raw'!J74+'QTR Raw'!J75</f>
        <v>0</v>
      </c>
      <c r="AQ190" s="23">
        <f t="shared" si="1370"/>
        <v>0</v>
      </c>
      <c r="AR190" s="23">
        <f>+'QTR Raw'!L74+'QTR Raw'!L75</f>
        <v>0</v>
      </c>
      <c r="AS190" s="23">
        <f t="shared" si="1370"/>
        <v>0</v>
      </c>
      <c r="AT190" s="23">
        <f>+'QTR Raw'!N74+'QTR Raw'!N75</f>
        <v>0</v>
      </c>
      <c r="AU190" s="23">
        <f t="shared" si="1370"/>
        <v>0</v>
      </c>
      <c r="AV190" s="23">
        <f>+'QTR Raw'!P74+'QTR Raw'!P75</f>
        <v>0</v>
      </c>
      <c r="AW190" s="23">
        <f t="shared" si="1370"/>
        <v>0</v>
      </c>
      <c r="AX190" s="23">
        <f>+'QTR Raw'!R74+'QTR Raw'!R75</f>
        <v>258.22000000000003</v>
      </c>
      <c r="AY190" s="23">
        <f t="shared" si="1370"/>
        <v>258.22000000000003</v>
      </c>
      <c r="AZ190" s="23">
        <f>+'QTR Raw'!T74+'QTR Raw'!T75</f>
        <v>588.91999999999996</v>
      </c>
      <c r="BA190" s="23">
        <f t="shared" si="1370"/>
        <v>588.91999999999996</v>
      </c>
      <c r="BB190" s="23">
        <f>+'QTR Raw'!V74+'QTR Raw'!V75</f>
        <v>1342.64</v>
      </c>
      <c r="BC190" s="23">
        <f t="shared" si="1370"/>
        <v>1342.64</v>
      </c>
      <c r="BD190" s="23">
        <f>+'QTR Raw'!X74+'QTR Raw'!X75</f>
        <v>1929.74</v>
      </c>
      <c r="BE190" s="23">
        <f t="shared" si="1370"/>
        <v>1929.74</v>
      </c>
      <c r="BF190" s="23">
        <f>+'QTR Raw'!Z74+'QTR Raw'!Z75</f>
        <v>2352.79</v>
      </c>
      <c r="BG190" s="23">
        <f t="shared" si="1370"/>
        <v>2352.79</v>
      </c>
      <c r="BH190" s="23">
        <f>+'QTR Raw'!AB74+'QTR Raw'!AB75</f>
        <v>2399.29</v>
      </c>
      <c r="BI190" s="23">
        <f t="shared" si="1370"/>
        <v>2399.29</v>
      </c>
      <c r="BJ190" s="23">
        <f>+'QTR Raw'!AD74+'QTR Raw'!AD75</f>
        <v>694.06</v>
      </c>
      <c r="BK190" s="23">
        <f t="shared" si="1370"/>
        <v>694.06</v>
      </c>
      <c r="BL190" s="23">
        <f>+'QTR Raw'!AF74+'QTR Raw'!AF75</f>
        <v>1075.92</v>
      </c>
      <c r="BM190" s="23">
        <f t="shared" si="1370"/>
        <v>1075.92</v>
      </c>
      <c r="BN190" s="23">
        <f>+'QTR Raw'!AH74+'QTR Raw'!AH75</f>
        <v>2208.96</v>
      </c>
      <c r="BO190" s="23">
        <f t="shared" si="1370"/>
        <v>2208.96</v>
      </c>
      <c r="BP190" s="23">
        <f>+'QTR Raw'!AJ74+'QTR Raw'!AJ75</f>
        <v>3481.22</v>
      </c>
      <c r="BQ190" s="23">
        <f t="shared" si="1370"/>
        <v>3481.22</v>
      </c>
      <c r="BR190" s="23">
        <f>+'QTR Raw'!AL74+'QTR Raw'!AL75</f>
        <v>5239.7299999999996</v>
      </c>
      <c r="BS190" s="23">
        <f t="shared" si="1370"/>
        <v>5239.7299999999996</v>
      </c>
      <c r="BT190" s="23">
        <f>+'QTR Raw'!AN74+'QTR Raw'!AN75</f>
        <v>4554.8999999999996</v>
      </c>
      <c r="BU190" s="23">
        <f t="shared" si="1370"/>
        <v>4554.8999999999996</v>
      </c>
      <c r="BV190" s="23">
        <f>+'QTR Raw'!AP74+'QTR Raw'!AP75</f>
        <v>5060.16</v>
      </c>
      <c r="BW190" s="23">
        <f t="shared" si="1370"/>
        <v>5060.16</v>
      </c>
      <c r="BX190" s="23">
        <f>+'QTR Raw'!AR74+'QTR Raw'!AR75</f>
        <v>5403.99</v>
      </c>
      <c r="BY190" s="23">
        <f t="shared" si="1370"/>
        <v>5403.99</v>
      </c>
      <c r="BZ190" s="23">
        <f>+'QTR Raw'!AT74+'QTR Raw'!AT75</f>
        <v>6200.44</v>
      </c>
      <c r="CA190" s="23">
        <f t="shared" si="1370"/>
        <v>6200.44</v>
      </c>
      <c r="CB190" s="23">
        <f>+'QTR Raw'!AV74+'QTR Raw'!AV75</f>
        <v>4134.04</v>
      </c>
      <c r="CC190" s="23">
        <f t="shared" si="1370"/>
        <v>4134.04</v>
      </c>
      <c r="CD190" s="23">
        <f>+'QTR Raw'!AX74+'QTR Raw'!AX75</f>
        <v>3002.69</v>
      </c>
      <c r="CE190" s="23">
        <f t="shared" si="1370"/>
        <v>3002.69</v>
      </c>
      <c r="CF190" s="23">
        <f>+'QTR Raw'!AZ74+'QTR Raw'!AZ75</f>
        <v>4354.62</v>
      </c>
      <c r="CG190" s="23">
        <f t="shared" si="1368"/>
        <v>4354.62</v>
      </c>
      <c r="CH190" s="23">
        <f t="shared" si="1322"/>
        <v>5695.36</v>
      </c>
      <c r="CI190" s="23">
        <f t="shared" si="1368"/>
        <v>5695.36</v>
      </c>
      <c r="CJ190" s="23">
        <f>+'QTR Raw'!BD74+'QTR Raw'!BD75</f>
        <v>6991.33</v>
      </c>
      <c r="CK190" s="23">
        <f t="shared" si="1371"/>
        <v>6991.33</v>
      </c>
      <c r="CL190" s="23">
        <f>+'QTR Raw'!BF74+'QTR Raw'!BF75</f>
        <v>2053.6</v>
      </c>
      <c r="CM190" s="24">
        <f t="shared" si="1372"/>
        <v>2053.6</v>
      </c>
      <c r="CN190" s="24">
        <f t="shared" si="1373"/>
        <v>2053.6</v>
      </c>
      <c r="CO190" s="24">
        <f t="shared" si="1374"/>
        <v>2053.6</v>
      </c>
      <c r="CP190" s="24">
        <f t="shared" si="1375"/>
        <v>2053.6</v>
      </c>
      <c r="CQ190" s="24">
        <f t="shared" si="1376"/>
        <v>2053.6</v>
      </c>
      <c r="CR190" s="24">
        <f t="shared" si="1377"/>
        <v>2053.6</v>
      </c>
      <c r="CS190" s="24">
        <f t="shared" si="1378"/>
        <v>2053.6</v>
      </c>
      <c r="CT190" s="24">
        <f t="shared" si="1379"/>
        <v>2053.6</v>
      </c>
      <c r="CU190" s="24">
        <f t="shared" si="1380"/>
        <v>2053.6</v>
      </c>
      <c r="CV190" s="24">
        <f t="shared" si="1381"/>
        <v>2053.6</v>
      </c>
      <c r="CW190" s="24">
        <f t="shared" si="1382"/>
        <v>2053.6</v>
      </c>
      <c r="CX190" s="24">
        <f t="shared" si="1383"/>
        <v>2053.6</v>
      </c>
      <c r="CY190" s="24">
        <f t="shared" si="1384"/>
        <v>2053.6</v>
      </c>
      <c r="CZ190" s="24">
        <f t="shared" si="1385"/>
        <v>2053.6</v>
      </c>
      <c r="DA190" s="24">
        <f t="shared" si="1386"/>
        <v>2053.6</v>
      </c>
      <c r="DB190" s="24">
        <f t="shared" si="1387"/>
        <v>2053.6</v>
      </c>
      <c r="DE190" s="123"/>
      <c r="DF190" s="23">
        <v>0</v>
      </c>
      <c r="DG190" s="23">
        <v>6991.33</v>
      </c>
    </row>
    <row r="191" spans="1:111" s="22" customFormat="1" x14ac:dyDescent="0.2">
      <c r="A191" s="22" t="s">
        <v>57</v>
      </c>
      <c r="B191" s="22">
        <f>B187+B190+B189</f>
        <v>0</v>
      </c>
      <c r="C191" s="22">
        <f t="shared" ref="C191:D191" si="1388">C187+C190+C189</f>
        <v>0</v>
      </c>
      <c r="D191" s="22">
        <f t="shared" si="1388"/>
        <v>0</v>
      </c>
      <c r="E191" s="22">
        <f t="shared" ref="E191:Y191" si="1389">E187+E190+E189+E188</f>
        <v>0</v>
      </c>
      <c r="F191" s="22">
        <f t="shared" si="1389"/>
        <v>0</v>
      </c>
      <c r="G191" s="22">
        <f t="shared" si="1389"/>
        <v>0</v>
      </c>
      <c r="H191" s="22">
        <f t="shared" si="1389"/>
        <v>0</v>
      </c>
      <c r="I191" s="22">
        <f t="shared" si="1389"/>
        <v>0</v>
      </c>
      <c r="J191" s="22">
        <f t="shared" si="1389"/>
        <v>0</v>
      </c>
      <c r="K191" s="22">
        <f t="shared" si="1389"/>
        <v>0</v>
      </c>
      <c r="L191" s="22">
        <f t="shared" si="1389"/>
        <v>0</v>
      </c>
      <c r="M191" s="22">
        <f t="shared" si="1389"/>
        <v>0</v>
      </c>
      <c r="N191" s="22">
        <f t="shared" si="1389"/>
        <v>0</v>
      </c>
      <c r="O191" s="22">
        <f t="shared" si="1389"/>
        <v>0</v>
      </c>
      <c r="P191" s="22">
        <f t="shared" si="1389"/>
        <v>10583.15</v>
      </c>
      <c r="Q191" s="22">
        <f t="shared" si="1389"/>
        <v>10318.64</v>
      </c>
      <c r="R191" s="22">
        <f t="shared" si="1389"/>
        <v>11195.869999999999</v>
      </c>
      <c r="S191" s="22">
        <f t="shared" si="1389"/>
        <v>11644.03</v>
      </c>
      <c r="T191" s="22">
        <f t="shared" si="1389"/>
        <v>25106.06</v>
      </c>
      <c r="U191" s="22">
        <f t="shared" si="1389"/>
        <v>27136.44</v>
      </c>
      <c r="V191" s="22">
        <f t="shared" si="1389"/>
        <v>32241.739999999998</v>
      </c>
      <c r="W191" s="22">
        <f t="shared" si="1389"/>
        <v>35331.93</v>
      </c>
      <c r="X191" s="22">
        <f t="shared" si="1389"/>
        <v>38845.58</v>
      </c>
      <c r="Y191" s="22">
        <f t="shared" si="1389"/>
        <v>41922.43</v>
      </c>
      <c r="Z191" s="22">
        <f>Z187+Z190+Z189+Z188</f>
        <v>45256.99</v>
      </c>
      <c r="AA191" s="22">
        <f>AA187+AA190+AA189+AA188</f>
        <v>48857.54</v>
      </c>
      <c r="AB191" s="161">
        <f t="shared" ref="AB191:AE191" si="1390">AB187+AB190+AB189+AB188</f>
        <v>67225.184487290462</v>
      </c>
      <c r="AC191" s="161">
        <f t="shared" si="1390"/>
        <v>86405.471800917046</v>
      </c>
      <c r="AD191" s="161">
        <f t="shared" si="1390"/>
        <v>97724.511979174233</v>
      </c>
      <c r="AE191" s="161">
        <f t="shared" si="1390"/>
        <v>108453.66472874151</v>
      </c>
      <c r="AJ191" s="22">
        <f t="shared" ref="AJ191" si="1391">AJ187+AJ190+AJ188+AJ189</f>
        <v>0</v>
      </c>
      <c r="AK191" s="22">
        <f t="shared" ref="AK191" si="1392">AK187+AK190+AK188+AK189</f>
        <v>0</v>
      </c>
      <c r="AL191" s="22">
        <f t="shared" ref="AL191:AM191" si="1393">AL187+AL190+AL188+AL189</f>
        <v>0</v>
      </c>
      <c r="AM191" s="22">
        <f t="shared" si="1393"/>
        <v>0</v>
      </c>
      <c r="AN191" s="22">
        <f t="shared" ref="AN191:AO191" si="1394">AN187+AN190+AN188+AN189</f>
        <v>0</v>
      </c>
      <c r="AO191" s="22">
        <f t="shared" si="1394"/>
        <v>0</v>
      </c>
      <c r="AP191" s="22">
        <f t="shared" ref="AP191:CE191" si="1395">AP187+AP190+AP188+AP189</f>
        <v>0</v>
      </c>
      <c r="AQ191" s="22">
        <f t="shared" si="1395"/>
        <v>0</v>
      </c>
      <c r="AR191" s="22">
        <f t="shared" si="1395"/>
        <v>0</v>
      </c>
      <c r="AS191" s="22">
        <f t="shared" si="1395"/>
        <v>0</v>
      </c>
      <c r="AT191" s="22">
        <f t="shared" si="1395"/>
        <v>10583.15</v>
      </c>
      <c r="AU191" s="22">
        <f t="shared" si="1395"/>
        <v>10583.15</v>
      </c>
      <c r="AV191" s="22">
        <f t="shared" si="1395"/>
        <v>10340.06</v>
      </c>
      <c r="AW191" s="22">
        <f t="shared" si="1395"/>
        <v>10340.06</v>
      </c>
      <c r="AX191" s="22">
        <f t="shared" si="1395"/>
        <v>10318.64</v>
      </c>
      <c r="AY191" s="22">
        <f t="shared" si="1395"/>
        <v>10318.64</v>
      </c>
      <c r="AZ191" s="22">
        <f t="shared" si="1395"/>
        <v>10374.719999999999</v>
      </c>
      <c r="BA191" s="22">
        <f t="shared" si="1395"/>
        <v>10374.719999999999</v>
      </c>
      <c r="BB191" s="22">
        <f t="shared" si="1395"/>
        <v>11195.869999999999</v>
      </c>
      <c r="BC191" s="22">
        <f t="shared" si="1395"/>
        <v>11195.869999999999</v>
      </c>
      <c r="BD191" s="22">
        <f t="shared" si="1395"/>
        <v>11504.83</v>
      </c>
      <c r="BE191" s="22">
        <f t="shared" si="1395"/>
        <v>11504.83</v>
      </c>
      <c r="BF191" s="22">
        <f t="shared" si="1395"/>
        <v>11644.03</v>
      </c>
      <c r="BG191" s="22">
        <f t="shared" si="1395"/>
        <v>11644.03</v>
      </c>
      <c r="BH191" s="22">
        <f t="shared" si="1395"/>
        <v>28162.170000000002</v>
      </c>
      <c r="BI191" s="22">
        <f t="shared" si="1395"/>
        <v>28162.170000000002</v>
      </c>
      <c r="BJ191" s="22">
        <f t="shared" si="1395"/>
        <v>25106.06</v>
      </c>
      <c r="BK191" s="22">
        <f t="shared" si="1395"/>
        <v>25106.06</v>
      </c>
      <c r="BL191" s="22">
        <f t="shared" si="1395"/>
        <v>25305.589999999997</v>
      </c>
      <c r="BM191" s="22">
        <f t="shared" si="1395"/>
        <v>25305.589999999997</v>
      </c>
      <c r="BN191" s="22">
        <f t="shared" si="1395"/>
        <v>26898.899999999998</v>
      </c>
      <c r="BO191" s="22">
        <f t="shared" si="1395"/>
        <v>26898.899999999998</v>
      </c>
      <c r="BP191" s="22">
        <f t="shared" si="1395"/>
        <v>27766.11</v>
      </c>
      <c r="BQ191" s="22">
        <f t="shared" si="1395"/>
        <v>27766.11</v>
      </c>
      <c r="BR191" s="22">
        <f t="shared" si="1395"/>
        <v>32023.59</v>
      </c>
      <c r="BS191" s="22">
        <f t="shared" si="1395"/>
        <v>32023.59</v>
      </c>
      <c r="BT191" s="22">
        <f t="shared" si="1395"/>
        <v>32916.42</v>
      </c>
      <c r="BU191" s="22">
        <f t="shared" si="1395"/>
        <v>32916.42</v>
      </c>
      <c r="BV191" s="22">
        <f t="shared" si="1395"/>
        <v>34658.93</v>
      </c>
      <c r="BW191" s="22">
        <f t="shared" si="1395"/>
        <v>34658.93</v>
      </c>
      <c r="BX191" s="22">
        <f t="shared" si="1395"/>
        <v>36039.370000000003</v>
      </c>
      <c r="BY191" s="22">
        <f t="shared" si="1395"/>
        <v>36039.370000000003</v>
      </c>
      <c r="BZ191" s="22">
        <f t="shared" si="1395"/>
        <v>38193.360000000001</v>
      </c>
      <c r="CA191" s="22">
        <f t="shared" si="1395"/>
        <v>38193.360000000001</v>
      </c>
      <c r="CB191" s="22">
        <f t="shared" si="1395"/>
        <v>39766.550000000003</v>
      </c>
      <c r="CC191" s="22">
        <f t="shared" si="1395"/>
        <v>39766.550000000003</v>
      </c>
      <c r="CD191" s="22">
        <f t="shared" si="1395"/>
        <v>41139.32</v>
      </c>
      <c r="CE191" s="22">
        <f t="shared" si="1395"/>
        <v>41139.32</v>
      </c>
      <c r="CF191" s="22">
        <f t="shared" ref="CF191:CG191" si="1396">CF187+CF190+CF188+CF189</f>
        <v>41770.19</v>
      </c>
      <c r="CG191" s="22">
        <f t="shared" si="1396"/>
        <v>41770.19</v>
      </c>
      <c r="CH191" s="22">
        <f t="shared" ref="CH191:CJ191" si="1397">CH187+CH190+CH188+CH189</f>
        <v>45256.99</v>
      </c>
      <c r="CI191" s="22">
        <f t="shared" si="1397"/>
        <v>44792.17</v>
      </c>
      <c r="CJ191" s="22">
        <f t="shared" si="1397"/>
        <v>45692</v>
      </c>
      <c r="CK191" s="22">
        <f t="shared" ref="CK191:DB191" si="1398">CK187+CK190+CK188+CK189</f>
        <v>45795.81</v>
      </c>
      <c r="CL191" s="22">
        <f t="shared" si="1398"/>
        <v>48024.5</v>
      </c>
      <c r="CM191" s="21">
        <f t="shared" si="1398"/>
        <v>52921.43894931423</v>
      </c>
      <c r="CN191" s="21">
        <f t="shared" si="1398"/>
        <v>57753.291205402813</v>
      </c>
      <c r="CO191" s="21">
        <f t="shared" si="1398"/>
        <v>62520.921855145287</v>
      </c>
      <c r="CP191" s="21">
        <f t="shared" si="1398"/>
        <v>67225.184487290462</v>
      </c>
      <c r="CQ191" s="21">
        <f t="shared" si="1398"/>
        <v>72116.921345281517</v>
      </c>
      <c r="CR191" s="21">
        <f t="shared" si="1398"/>
        <v>76943.640652612405</v>
      </c>
      <c r="CS191" s="21">
        <f t="shared" si="1398"/>
        <v>81706.206577168006</v>
      </c>
      <c r="CT191" s="21">
        <f t="shared" si="1398"/>
        <v>86405.471800917046</v>
      </c>
      <c r="CU191" s="21">
        <f t="shared" si="1398"/>
        <v>89292.277672574914</v>
      </c>
      <c r="CV191" s="21">
        <f t="shared" si="1398"/>
        <v>92140.714136299503</v>
      </c>
      <c r="CW191" s="21">
        <f t="shared" si="1398"/>
        <v>94951.291171469609</v>
      </c>
      <c r="CX191" s="21">
        <f t="shared" si="1398"/>
        <v>97724.511979174233</v>
      </c>
      <c r="CY191" s="21">
        <f t="shared" si="1398"/>
        <v>100460.87307230484</v>
      </c>
      <c r="CZ191" s="21">
        <f t="shared" si="1398"/>
        <v>103160.86436445023</v>
      </c>
      <c r="DA191" s="21">
        <f t="shared" si="1398"/>
        <v>105824.96925760992</v>
      </c>
      <c r="DB191" s="21">
        <f t="shared" si="1398"/>
        <v>108453.66472874151</v>
      </c>
      <c r="DE191" s="126"/>
      <c r="DF191" s="22">
        <v>0</v>
      </c>
      <c r="DG191" s="22">
        <v>45540.655249999996</v>
      </c>
    </row>
    <row r="192" spans="1:111" s="23" customFormat="1" x14ac:dyDescent="0.2">
      <c r="AB192" s="24"/>
      <c r="AC192" s="24"/>
      <c r="AD192" s="24"/>
      <c r="AE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E192" s="123"/>
    </row>
    <row r="193" spans="1:111" s="23" customFormat="1" x14ac:dyDescent="0.2">
      <c r="A193" s="23" t="s">
        <v>58</v>
      </c>
      <c r="B193" s="23">
        <f>'Annual Raw'!C71</f>
        <v>0</v>
      </c>
      <c r="C193" s="23">
        <f>'Annual Raw'!D71</f>
        <v>0</v>
      </c>
      <c r="D193" s="23">
        <f>'Annual Raw'!E71</f>
        <v>0</v>
      </c>
      <c r="E193" s="23">
        <f>'Annual Raw'!F71</f>
        <v>0</v>
      </c>
      <c r="F193" s="23">
        <f>'Annual Raw'!G71</f>
        <v>0</v>
      </c>
      <c r="G193" s="23">
        <f>'Annual Raw'!H71</f>
        <v>0</v>
      </c>
      <c r="H193" s="23">
        <f>'Annual Raw'!I71</f>
        <v>0</v>
      </c>
      <c r="I193" s="23">
        <f>'Annual Raw'!J71</f>
        <v>0</v>
      </c>
      <c r="J193" s="23">
        <f>'Annual Raw'!K71</f>
        <v>0</v>
      </c>
      <c r="K193" s="23">
        <f>'Annual Raw'!L71</f>
        <v>0</v>
      </c>
      <c r="L193" s="23">
        <f>'Annual Raw'!M71</f>
        <v>0</v>
      </c>
      <c r="M193" s="23">
        <f>'Annual Raw'!N71</f>
        <v>0</v>
      </c>
      <c r="N193" s="23">
        <f>'Annual Raw'!O71</f>
        <v>0</v>
      </c>
      <c r="O193" s="23">
        <f>'Annual Raw'!P71</f>
        <v>0</v>
      </c>
      <c r="P193" s="23">
        <f>'Annual Raw'!Q71</f>
        <v>0</v>
      </c>
      <c r="Q193" s="23">
        <f>'Annual Raw'!R71</f>
        <v>0</v>
      </c>
      <c r="R193" s="23">
        <f>'Annual Raw'!S71</f>
        <v>0</v>
      </c>
      <c r="S193" s="23">
        <f>'Annual Raw'!T71</f>
        <v>0</v>
      </c>
      <c r="T193" s="23">
        <f>'Annual Raw'!U71</f>
        <v>120.92</v>
      </c>
      <c r="U193" s="23">
        <f>'Annual Raw'!V71</f>
        <v>0</v>
      </c>
      <c r="V193" s="23">
        <f>'Annual Raw'!W71</f>
        <v>267.24</v>
      </c>
      <c r="W193" s="23">
        <f>'Annual Raw'!X71</f>
        <v>264.17</v>
      </c>
      <c r="X193" s="23">
        <f>'Annual Raw'!Y71</f>
        <v>312.89</v>
      </c>
      <c r="Y193" s="23">
        <f>'Annual Raw'!Z71</f>
        <v>323.79000000000002</v>
      </c>
      <c r="Z193" s="23">
        <f>'Annual Raw'!AA71</f>
        <v>348.72</v>
      </c>
      <c r="AA193" s="23">
        <f>'Annual Raw'!AB71</f>
        <v>407.29</v>
      </c>
      <c r="AB193" s="24">
        <f>+CP193</f>
        <v>407.29</v>
      </c>
      <c r="AC193" s="24">
        <f>+CT193</f>
        <v>407.29</v>
      </c>
      <c r="AD193" s="24">
        <f>+CX193</f>
        <v>407.29</v>
      </c>
      <c r="AE193" s="24">
        <f>+DB193</f>
        <v>407.29</v>
      </c>
      <c r="AJ193" s="23">
        <f>+'QTR Raw'!D77</f>
        <v>0</v>
      </c>
      <c r="AK193" s="23">
        <f t="shared" ref="AK193:CE193" si="1399">+AJ193</f>
        <v>0</v>
      </c>
      <c r="AL193" s="23">
        <f>+'QTR Raw'!F77</f>
        <v>0</v>
      </c>
      <c r="AM193" s="23">
        <f t="shared" si="1399"/>
        <v>0</v>
      </c>
      <c r="AN193" s="23">
        <f>+'QTR Raw'!H77</f>
        <v>0</v>
      </c>
      <c r="AO193" s="23">
        <f t="shared" si="1399"/>
        <v>0</v>
      </c>
      <c r="AP193" s="23">
        <f>+'QTR Raw'!J77</f>
        <v>0</v>
      </c>
      <c r="AQ193" s="23">
        <f t="shared" si="1399"/>
        <v>0</v>
      </c>
      <c r="AR193" s="23">
        <f>+'QTR Raw'!L77</f>
        <v>0</v>
      </c>
      <c r="AS193" s="23">
        <f t="shared" si="1399"/>
        <v>0</v>
      </c>
      <c r="AT193" s="23">
        <f>+'QTR Raw'!N77</f>
        <v>0</v>
      </c>
      <c r="AU193" s="23">
        <f t="shared" si="1399"/>
        <v>0</v>
      </c>
      <c r="AV193" s="23">
        <f>+'QTR Raw'!P77</f>
        <v>0</v>
      </c>
      <c r="AW193" s="23">
        <f t="shared" si="1399"/>
        <v>0</v>
      </c>
      <c r="AX193" s="23">
        <f>+'QTR Raw'!R77</f>
        <v>0</v>
      </c>
      <c r="AY193" s="23">
        <f t="shared" si="1399"/>
        <v>0</v>
      </c>
      <c r="AZ193" s="23">
        <f>+'QTR Raw'!T77</f>
        <v>0</v>
      </c>
      <c r="BA193" s="23">
        <f t="shared" si="1399"/>
        <v>0</v>
      </c>
      <c r="BB193" s="23">
        <f>+'QTR Raw'!V77</f>
        <v>0</v>
      </c>
      <c r="BC193" s="23">
        <f t="shared" si="1399"/>
        <v>0</v>
      </c>
      <c r="BD193" s="23">
        <f>+'QTR Raw'!X77</f>
        <v>0</v>
      </c>
      <c r="BE193" s="23">
        <f t="shared" si="1399"/>
        <v>0</v>
      </c>
      <c r="BF193" s="23">
        <f>+'QTR Raw'!Z77</f>
        <v>0</v>
      </c>
      <c r="BG193" s="23">
        <f t="shared" si="1399"/>
        <v>0</v>
      </c>
      <c r="BH193" s="23">
        <f>+'QTR Raw'!AB77</f>
        <v>118</v>
      </c>
      <c r="BI193" s="23">
        <f t="shared" si="1399"/>
        <v>118</v>
      </c>
      <c r="BJ193" s="23">
        <f>+'QTR Raw'!AD77</f>
        <v>120.92</v>
      </c>
      <c r="BK193" s="23">
        <f t="shared" si="1399"/>
        <v>120.92</v>
      </c>
      <c r="BL193" s="23">
        <f>+'QTR Raw'!AF77</f>
        <v>0</v>
      </c>
      <c r="BM193" s="23">
        <f t="shared" si="1399"/>
        <v>0</v>
      </c>
      <c r="BN193" s="23">
        <f>+'QTR Raw'!AH77</f>
        <v>0</v>
      </c>
      <c r="BO193" s="23">
        <f t="shared" si="1399"/>
        <v>0</v>
      </c>
      <c r="BP193" s="23">
        <f>+'QTR Raw'!AJ77</f>
        <v>2.89</v>
      </c>
      <c r="BQ193" s="23">
        <f t="shared" si="1399"/>
        <v>2.89</v>
      </c>
      <c r="BR193" s="23">
        <f>+'QTR Raw'!AL77</f>
        <v>267.24</v>
      </c>
      <c r="BS193" s="23">
        <f t="shared" si="1399"/>
        <v>267.24</v>
      </c>
      <c r="BT193" s="23">
        <f>+'QTR Raw'!AN77</f>
        <v>265.66000000000003</v>
      </c>
      <c r="BU193" s="23">
        <f t="shared" si="1399"/>
        <v>265.66000000000003</v>
      </c>
      <c r="BV193" s="23">
        <f>+'QTR Raw'!AP77</f>
        <v>264.17</v>
      </c>
      <c r="BW193" s="23">
        <f t="shared" si="1399"/>
        <v>264.17</v>
      </c>
      <c r="BX193" s="23">
        <f>+'QTR Raw'!AR77</f>
        <v>313.22000000000003</v>
      </c>
      <c r="BY193" s="23">
        <f t="shared" si="1399"/>
        <v>313.22000000000003</v>
      </c>
      <c r="BZ193" s="23">
        <f>+'QTR Raw'!AT77</f>
        <v>312.89</v>
      </c>
      <c r="CA193" s="23">
        <f t="shared" si="1399"/>
        <v>312.89</v>
      </c>
      <c r="CB193" s="23">
        <f>+'QTR Raw'!AV77</f>
        <v>312.72000000000003</v>
      </c>
      <c r="CC193" s="23">
        <f t="shared" si="1399"/>
        <v>312.72000000000003</v>
      </c>
      <c r="CD193" s="23">
        <f>+'QTR Raw'!AX77</f>
        <v>323.79000000000002</v>
      </c>
      <c r="CE193" s="23">
        <f t="shared" si="1399"/>
        <v>323.79000000000002</v>
      </c>
      <c r="CF193" s="23">
        <f>+'QTR Raw'!AZ77</f>
        <v>348.66</v>
      </c>
      <c r="CG193" s="23">
        <f t="shared" ref="CG193:CI197" si="1400">+CF193</f>
        <v>348.66</v>
      </c>
      <c r="CH193" s="23">
        <f t="shared" ref="CH193:CH221" si="1401">Z193</f>
        <v>348.72</v>
      </c>
      <c r="CI193" s="23">
        <f t="shared" si="1400"/>
        <v>348.72</v>
      </c>
      <c r="CJ193" s="23">
        <f>+'QTR Raw'!BD77</f>
        <v>407.36</v>
      </c>
      <c r="CK193" s="23">
        <f t="shared" ref="CK193" si="1402">+CJ193</f>
        <v>407.36</v>
      </c>
      <c r="CL193" s="23">
        <f>+'QTR Raw'!BF77</f>
        <v>407.29</v>
      </c>
      <c r="CM193" s="24">
        <f t="shared" ref="CM193" si="1403">+CL193</f>
        <v>407.29</v>
      </c>
      <c r="CN193" s="24">
        <f t="shared" ref="CN193" si="1404">+CM193</f>
        <v>407.29</v>
      </c>
      <c r="CO193" s="24">
        <f t="shared" ref="CO193" si="1405">+CN193</f>
        <v>407.29</v>
      </c>
      <c r="CP193" s="24">
        <f t="shared" ref="CP193" si="1406">+CO193</f>
        <v>407.29</v>
      </c>
      <c r="CQ193" s="24">
        <f t="shared" ref="CQ193" si="1407">+CP193</f>
        <v>407.29</v>
      </c>
      <c r="CR193" s="24">
        <f t="shared" ref="CR193" si="1408">+CQ193</f>
        <v>407.29</v>
      </c>
      <c r="CS193" s="24">
        <f t="shared" ref="CS193" si="1409">+CR193</f>
        <v>407.29</v>
      </c>
      <c r="CT193" s="24">
        <f t="shared" ref="CT193" si="1410">+CS193</f>
        <v>407.29</v>
      </c>
      <c r="CU193" s="24">
        <f t="shared" ref="CU193" si="1411">+CT193</f>
        <v>407.29</v>
      </c>
      <c r="CV193" s="24">
        <f t="shared" ref="CV193" si="1412">+CU193</f>
        <v>407.29</v>
      </c>
      <c r="CW193" s="24">
        <f t="shared" ref="CW193" si="1413">+CV193</f>
        <v>407.29</v>
      </c>
      <c r="CX193" s="24">
        <f t="shared" ref="CX193" si="1414">+CW193</f>
        <v>407.29</v>
      </c>
      <c r="CY193" s="24">
        <f t="shared" ref="CY193" si="1415">+CX193</f>
        <v>407.29</v>
      </c>
      <c r="CZ193" s="24">
        <f t="shared" ref="CZ193" si="1416">+CY193</f>
        <v>407.29</v>
      </c>
      <c r="DA193" s="24">
        <f t="shared" ref="DA193" si="1417">+CZ193</f>
        <v>407.29</v>
      </c>
      <c r="DB193" s="24">
        <f t="shared" ref="DB193" si="1418">+DA193</f>
        <v>407.29</v>
      </c>
      <c r="DE193" s="123"/>
      <c r="DF193" s="23">
        <v>0</v>
      </c>
      <c r="DG193" s="23">
        <v>407.36</v>
      </c>
    </row>
    <row r="194" spans="1:111" s="23" customFormat="1" x14ac:dyDescent="0.2">
      <c r="AB194" s="24"/>
      <c r="AC194" s="24"/>
      <c r="AD194" s="24"/>
      <c r="AE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E194" s="123"/>
    </row>
    <row r="195" spans="1:111" s="23" customFormat="1" outlineLevel="1" x14ac:dyDescent="0.2">
      <c r="A195" s="23" t="s">
        <v>59</v>
      </c>
      <c r="B195" s="23">
        <f>'Annual Raw'!C72</f>
        <v>0</v>
      </c>
      <c r="C195" s="23">
        <f>'Annual Raw'!D72</f>
        <v>0</v>
      </c>
      <c r="D195" s="23">
        <f>'Annual Raw'!E72</f>
        <v>0</v>
      </c>
      <c r="E195" s="23">
        <f>'Annual Raw'!F72+'Annual Raw'!F61</f>
        <v>0</v>
      </c>
      <c r="F195" s="23">
        <f>'Annual Raw'!G72+'Annual Raw'!G61</f>
        <v>0</v>
      </c>
      <c r="G195" s="23">
        <f>'Annual Raw'!H72+'Annual Raw'!H61</f>
        <v>0</v>
      </c>
      <c r="H195" s="23">
        <f>'Annual Raw'!I72+'Annual Raw'!I61</f>
        <v>0</v>
      </c>
      <c r="I195" s="23">
        <f>'Annual Raw'!J72+'Annual Raw'!J61</f>
        <v>0</v>
      </c>
      <c r="J195" s="23">
        <f>'Annual Raw'!K72+'Annual Raw'!K61</f>
        <v>0</v>
      </c>
      <c r="K195" s="23">
        <f>'Annual Raw'!L72+'Annual Raw'!L61</f>
        <v>0</v>
      </c>
      <c r="L195" s="23">
        <f>'Annual Raw'!M72+'Annual Raw'!M61</f>
        <v>0</v>
      </c>
      <c r="M195" s="23">
        <f>'Annual Raw'!N72+'Annual Raw'!N61</f>
        <v>0</v>
      </c>
      <c r="N195" s="23">
        <f>'Annual Raw'!O72+'Annual Raw'!O61</f>
        <v>0</v>
      </c>
      <c r="O195" s="23">
        <f>'Annual Raw'!P72+'Annual Raw'!P61</f>
        <v>0</v>
      </c>
      <c r="P195" s="23">
        <f>('Annual Raw'!Q72+'Annual Raw'!Q61)-7.65</f>
        <v>2.5199999999999996</v>
      </c>
      <c r="Q195" s="23">
        <f>('Annual Raw'!R72+'Annual Raw'!R61)-89.87</f>
        <v>5.4399999999999977</v>
      </c>
      <c r="R195" s="23">
        <f>('Annual Raw'!S72+'Annual Raw'!S61)-179.96</f>
        <v>302.24</v>
      </c>
      <c r="S195" s="23">
        <f>('Annual Raw'!T72+'Annual Raw'!T61)-2683.99</f>
        <v>27.5300000000002</v>
      </c>
      <c r="T195" s="23">
        <f>('Annual Raw'!U72+'Annual Raw'!U61)-210.8</f>
        <v>105.93</v>
      </c>
      <c r="U195" s="23">
        <f>('Annual Raw'!V72+'Annual Raw'!V61)-634.34</f>
        <v>122.79999999999995</v>
      </c>
      <c r="V195" s="23">
        <f>('Annual Raw'!W72+'Annual Raw'!W61)-703.84</f>
        <v>1319.25</v>
      </c>
      <c r="W195" s="23">
        <f>('Annual Raw'!X72+'Annual Raw'!X61)-531.54</f>
        <v>2340.11</v>
      </c>
      <c r="X195" s="23">
        <f>('Annual Raw'!Y72+'Annual Raw'!Y61)-770.26</f>
        <v>1011.8199999999999</v>
      </c>
      <c r="Y195" s="23">
        <f>('Annual Raw'!Z72+'Annual Raw'!Z61)-1205.22</f>
        <v>320.14999999999986</v>
      </c>
      <c r="Z195" s="23">
        <f>('Annual Raw'!AA72+'Annual Raw'!AA61)-1088.46</f>
        <v>247.42000000000007</v>
      </c>
      <c r="AA195" s="23">
        <f>('Annual Raw'!AB72+'Annual Raw'!AB61)-1088.46</f>
        <v>2511.1</v>
      </c>
      <c r="AB195" s="24">
        <f t="shared" ref="AB195:AB207" si="1419">+CP195</f>
        <v>0</v>
      </c>
      <c r="AC195" s="24">
        <f t="shared" ref="AC195:AC207" si="1420">+CT195</f>
        <v>0</v>
      </c>
      <c r="AD195" s="24">
        <f t="shared" ref="AD195:AD207" si="1421">+CX195</f>
        <v>0</v>
      </c>
      <c r="AE195" s="24">
        <f t="shared" ref="AE195:AE207" si="1422">+DB195</f>
        <v>0</v>
      </c>
      <c r="AJ195" s="23">
        <f>+'QTR Raw'!D78</f>
        <v>0</v>
      </c>
      <c r="AK195" s="23">
        <f t="shared" ref="AK195:CE207" si="1423">+AJ195</f>
        <v>0</v>
      </c>
      <c r="AL195" s="23">
        <f>+'QTR Raw'!F78</f>
        <v>0</v>
      </c>
      <c r="AM195" s="23">
        <f t="shared" si="1423"/>
        <v>0</v>
      </c>
      <c r="AN195" s="23">
        <f>+'QTR Raw'!H78</f>
        <v>0</v>
      </c>
      <c r="AO195" s="23">
        <f t="shared" si="1423"/>
        <v>0</v>
      </c>
      <c r="AP195" s="23">
        <f>+'QTR Raw'!J78</f>
        <v>0</v>
      </c>
      <c r="AQ195" s="23">
        <f t="shared" si="1423"/>
        <v>0</v>
      </c>
      <c r="AR195" s="23">
        <f>+'QTR Raw'!L78</f>
        <v>0</v>
      </c>
      <c r="AS195" s="23">
        <f t="shared" si="1423"/>
        <v>0</v>
      </c>
      <c r="AT195" s="23">
        <f>+'QTR Raw'!N78</f>
        <v>10.17</v>
      </c>
      <c r="AU195" s="23">
        <f t="shared" si="1423"/>
        <v>10.17</v>
      </c>
      <c r="AV195" s="23">
        <f>+'QTR Raw'!P78</f>
        <v>14.79</v>
      </c>
      <c r="AW195" s="23">
        <f t="shared" si="1423"/>
        <v>14.79</v>
      </c>
      <c r="AX195" s="23">
        <f>+'QTR Raw'!R78</f>
        <v>0</v>
      </c>
      <c r="AY195" s="23">
        <f t="shared" si="1423"/>
        <v>0</v>
      </c>
      <c r="AZ195" s="23">
        <f>+'QTR Raw'!T78</f>
        <v>197.32</v>
      </c>
      <c r="BA195" s="23">
        <f t="shared" si="1423"/>
        <v>197.32</v>
      </c>
      <c r="BB195" s="23">
        <f>+'QTR Raw'!V78</f>
        <v>0</v>
      </c>
      <c r="BC195" s="23">
        <f t="shared" si="1423"/>
        <v>0</v>
      </c>
      <c r="BD195" s="23">
        <f>+'QTR Raw'!X78</f>
        <v>0</v>
      </c>
      <c r="BE195" s="23">
        <f t="shared" si="1423"/>
        <v>0</v>
      </c>
      <c r="BF195" s="23">
        <f>+'QTR Raw'!Z78</f>
        <v>0</v>
      </c>
      <c r="BG195" s="23">
        <f t="shared" si="1423"/>
        <v>0</v>
      </c>
      <c r="BH195" s="23">
        <f>+'QTR Raw'!AB78</f>
        <v>51.03</v>
      </c>
      <c r="BI195" s="23">
        <f t="shared" si="1423"/>
        <v>51.03</v>
      </c>
      <c r="BJ195" s="23">
        <f>+'QTR Raw'!AD78</f>
        <v>41.16</v>
      </c>
      <c r="BK195" s="23">
        <f t="shared" si="1423"/>
        <v>41.16</v>
      </c>
      <c r="BL195" s="23">
        <f>+'QTR Raw'!AF78</f>
        <v>40.04</v>
      </c>
      <c r="BM195" s="23">
        <f t="shared" si="1423"/>
        <v>40.04</v>
      </c>
      <c r="BN195" s="23">
        <f>+'QTR Raw'!AH78</f>
        <v>38.909999999999997</v>
      </c>
      <c r="BO195" s="23">
        <f t="shared" si="1423"/>
        <v>38.909999999999997</v>
      </c>
      <c r="BP195" s="23">
        <f>+'QTR Raw'!AJ78</f>
        <v>37.68</v>
      </c>
      <c r="BQ195" s="23">
        <f t="shared" si="1423"/>
        <v>37.68</v>
      </c>
      <c r="BR195" s="23">
        <f>+'QTR Raw'!AL78</f>
        <v>1073.82</v>
      </c>
      <c r="BS195" s="23">
        <f t="shared" si="1423"/>
        <v>1073.82</v>
      </c>
      <c r="BT195" s="23">
        <f>+'QTR Raw'!AN78</f>
        <v>1071.68</v>
      </c>
      <c r="BU195" s="23">
        <f t="shared" si="1423"/>
        <v>1071.68</v>
      </c>
      <c r="BV195" s="23">
        <f>+'QTR Raw'!AP78</f>
        <v>1128.54</v>
      </c>
      <c r="BW195" s="23">
        <f t="shared" si="1423"/>
        <v>1128.54</v>
      </c>
      <c r="BX195" s="23">
        <f>+'QTR Raw'!AR78</f>
        <v>1135.01</v>
      </c>
      <c r="BY195" s="23">
        <f t="shared" si="1423"/>
        <v>1135.01</v>
      </c>
      <c r="BZ195" s="23">
        <f>+'QTR Raw'!AT78</f>
        <v>26.1</v>
      </c>
      <c r="CA195" s="23">
        <f t="shared" si="1423"/>
        <v>26.1</v>
      </c>
      <c r="CB195" s="23">
        <f>+'QTR Raw'!AV78</f>
        <v>25.16</v>
      </c>
      <c r="CC195" s="23">
        <f t="shared" si="1423"/>
        <v>25.16</v>
      </c>
      <c r="CD195" s="23">
        <f>+'QTR Raw'!AX78</f>
        <v>22.51</v>
      </c>
      <c r="CE195" s="23">
        <f t="shared" si="1423"/>
        <v>22.51</v>
      </c>
      <c r="CF195" s="23">
        <f>+'QTR Raw'!AZ78</f>
        <v>15.64</v>
      </c>
      <c r="CG195" s="23">
        <f t="shared" si="1400"/>
        <v>15.64</v>
      </c>
      <c r="CH195" s="23">
        <f t="shared" si="1401"/>
        <v>247.42000000000007</v>
      </c>
      <c r="CJ195" s="23">
        <f>+'QTR Raw'!BD78</f>
        <v>11.4</v>
      </c>
      <c r="CL195" s="23">
        <f>+'QTR Raw'!BF78</f>
        <v>10.58</v>
      </c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E195" s="123"/>
      <c r="DF195" s="23">
        <v>-1088.46</v>
      </c>
    </row>
    <row r="196" spans="1:111" s="23" customFormat="1" outlineLevel="1" x14ac:dyDescent="0.2">
      <c r="A196" s="23" t="s">
        <v>561</v>
      </c>
      <c r="P196" s="23">
        <v>7.65</v>
      </c>
      <c r="Q196" s="23">
        <v>89.87</v>
      </c>
      <c r="R196" s="23">
        <v>179.96</v>
      </c>
      <c r="S196" s="23">
        <v>2683.99</v>
      </c>
      <c r="T196" s="23">
        <v>210.8</v>
      </c>
      <c r="U196" s="23">
        <v>634.34</v>
      </c>
      <c r="V196" s="23">
        <v>703.84</v>
      </c>
      <c r="W196" s="23">
        <v>531.54</v>
      </c>
      <c r="X196" s="23">
        <v>770.26</v>
      </c>
      <c r="Y196" s="23">
        <v>1205.22</v>
      </c>
      <c r="Z196" s="23">
        <v>1088.46</v>
      </c>
      <c r="AA196" s="23">
        <v>1088.46</v>
      </c>
      <c r="AB196" s="24"/>
      <c r="AC196" s="24"/>
      <c r="AD196" s="24"/>
      <c r="AE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E196" s="123"/>
      <c r="DF196" s="23">
        <v>1088.46</v>
      </c>
    </row>
    <row r="197" spans="1:111" s="23" customFormat="1" outlineLevel="1" x14ac:dyDescent="0.2">
      <c r="A197" s="23" t="s">
        <v>60</v>
      </c>
      <c r="B197" s="23">
        <f>('Annual Raw'!C73+'Annual Raw'!C81)</f>
        <v>0</v>
      </c>
      <c r="C197" s="23">
        <f>('Annual Raw'!D73+'Annual Raw'!D81)</f>
        <v>0</v>
      </c>
      <c r="D197" s="23">
        <f>('Annual Raw'!E73+'Annual Raw'!E81)</f>
        <v>0</v>
      </c>
      <c r="E197" s="23">
        <f>('Annual Raw'!F73+'Annual Raw'!F81)</f>
        <v>0</v>
      </c>
      <c r="F197" s="23">
        <f>('Annual Raw'!G73+'Annual Raw'!G81)</f>
        <v>0</v>
      </c>
      <c r="G197" s="23">
        <f>('Annual Raw'!H73+'Annual Raw'!H81)</f>
        <v>0</v>
      </c>
      <c r="H197" s="23">
        <f>('Annual Raw'!I73+'Annual Raw'!I81)</f>
        <v>0</v>
      </c>
      <c r="I197" s="23">
        <f>('Annual Raw'!J73+'Annual Raw'!J81)</f>
        <v>0</v>
      </c>
      <c r="J197" s="23">
        <f>('Annual Raw'!K73+'Annual Raw'!K81)</f>
        <v>0</v>
      </c>
      <c r="K197" s="23">
        <f>('Annual Raw'!L73+'Annual Raw'!L81)</f>
        <v>0</v>
      </c>
      <c r="L197" s="23">
        <f>('Annual Raw'!M73+'Annual Raw'!M81)</f>
        <v>0</v>
      </c>
      <c r="M197" s="23">
        <f>('Annual Raw'!N73+'Annual Raw'!N81)</f>
        <v>0</v>
      </c>
      <c r="N197" s="23">
        <f>('Annual Raw'!O73+'Annual Raw'!O81)</f>
        <v>0</v>
      </c>
      <c r="O197" s="23">
        <f>('Annual Raw'!P73+'Annual Raw'!P81)</f>
        <v>0</v>
      </c>
      <c r="P197" s="23">
        <f>(('Annual Raw'!Q73+'Annual Raw'!Q81))-0</f>
        <v>0</v>
      </c>
      <c r="Q197" s="23">
        <f>(('Annual Raw'!R73+'Annual Raw'!R81))-0</f>
        <v>29.6</v>
      </c>
      <c r="R197" s="23">
        <f>((((('Annual Raw'!S73+'Annual Raw'!S81))-0)-6.4)-0)-0</f>
        <v>26.29</v>
      </c>
      <c r="S197" s="23">
        <f>((((('Annual Raw'!T73+'Annual Raw'!T81))-0)-1122.03)-0)-0</f>
        <v>44.230000000000018</v>
      </c>
      <c r="T197" s="23">
        <f>((((('Annual Raw'!U73+'Annual Raw'!U81))-0)-1262.52)-0)-732.14</f>
        <v>84.82000000000005</v>
      </c>
      <c r="U197" s="23">
        <f>(((((('Annual Raw'!V73+'Annual Raw'!V81))-0.19)-998.3)-1196.2)-0)-874.83</f>
        <v>62.659999999999513</v>
      </c>
      <c r="V197" s="23">
        <f>(((((('Annual Raw'!W73+'Annual Raw'!W81))-874.47)-242.53)-1130.43)-0)-968.74</f>
        <v>485.90000000000009</v>
      </c>
      <c r="W197" s="23">
        <f>(((((('Annual Raw'!X73+'Annual Raw'!X81))-1131.42)-303.94)-1065.8)-0)-942.05</f>
        <v>75.409999999999854</v>
      </c>
      <c r="X197" s="23">
        <f>(((((('Annual Raw'!Y73+'Annual Raw'!Y81))-1100.85)-899.65)-1028.45)-0)-946.26</f>
        <v>109.13000000000011</v>
      </c>
      <c r="Y197" s="23">
        <f>(((((('Annual Raw'!Z73+'Annual Raw'!Z81))-1622.66)-925.04)-969.91)-602.02)-942.45</f>
        <v>86.590000000000373</v>
      </c>
      <c r="Z197" s="23">
        <f>(((((((('Annual Raw'!AA73+'Annual Raw'!AA81))-2173.59)-1117.49)))-1675.27)-4257.81)-968.28</f>
        <v>94.100000000000136</v>
      </c>
      <c r="AA197" s="23">
        <f>(((((((('Annual Raw'!AB73+'Annual Raw'!AB81))-2173.59)-1117.49)))-1675.27)-4257.81)-968.28</f>
        <v>9858.2399999999961</v>
      </c>
      <c r="AB197" s="24">
        <f t="shared" si="1419"/>
        <v>0</v>
      </c>
      <c r="AC197" s="24">
        <f t="shared" si="1420"/>
        <v>0</v>
      </c>
      <c r="AD197" s="24">
        <f t="shared" si="1421"/>
        <v>0</v>
      </c>
      <c r="AE197" s="24">
        <f t="shared" si="1422"/>
        <v>0</v>
      </c>
      <c r="AJ197" s="23">
        <f>+'QTR Raw'!D79+'QTR Raw'!D76</f>
        <v>0</v>
      </c>
      <c r="AK197" s="23">
        <f t="shared" si="1423"/>
        <v>0</v>
      </c>
      <c r="AL197" s="23">
        <f>+'QTR Raw'!F79+'QTR Raw'!F76</f>
        <v>0</v>
      </c>
      <c r="AM197" s="23">
        <f t="shared" si="1423"/>
        <v>0</v>
      </c>
      <c r="AN197" s="23">
        <f>+'QTR Raw'!H79+'QTR Raw'!H76</f>
        <v>0</v>
      </c>
      <c r="AO197" s="23">
        <f t="shared" si="1423"/>
        <v>0</v>
      </c>
      <c r="AP197" s="23">
        <f>+'QTR Raw'!J79+'QTR Raw'!J76</f>
        <v>0</v>
      </c>
      <c r="AQ197" s="23">
        <f t="shared" si="1423"/>
        <v>0</v>
      </c>
      <c r="AR197" s="23">
        <f>+'QTR Raw'!L79+'QTR Raw'!L76</f>
        <v>0</v>
      </c>
      <c r="AS197" s="23">
        <f t="shared" si="1423"/>
        <v>0</v>
      </c>
      <c r="AT197" s="23">
        <f>+'QTR Raw'!N79+'QTR Raw'!N76</f>
        <v>15.45</v>
      </c>
      <c r="AU197" s="23">
        <f t="shared" si="1423"/>
        <v>15.45</v>
      </c>
      <c r="AV197" s="23">
        <f>+'QTR Raw'!P79+'QTR Raw'!P76</f>
        <v>16.43</v>
      </c>
      <c r="AW197" s="23">
        <f t="shared" si="1423"/>
        <v>16.43</v>
      </c>
      <c r="AX197" s="23">
        <f>+'QTR Raw'!R79+'QTR Raw'!R76</f>
        <v>124.91</v>
      </c>
      <c r="AY197" s="23">
        <f t="shared" si="1423"/>
        <v>124.91</v>
      </c>
      <c r="AZ197" s="23">
        <f>+'QTR Raw'!T79+'QTR Raw'!T76</f>
        <v>90.51</v>
      </c>
      <c r="BA197" s="23">
        <f t="shared" si="1423"/>
        <v>90.51</v>
      </c>
      <c r="BB197" s="23">
        <f>+'QTR Raw'!V79+'QTR Raw'!V76</f>
        <v>238.21</v>
      </c>
      <c r="BC197" s="23">
        <f t="shared" si="1423"/>
        <v>238.21</v>
      </c>
      <c r="BD197" s="23">
        <f>+'QTR Raw'!X79+'QTR Raw'!X76</f>
        <v>189.4</v>
      </c>
      <c r="BE197" s="23">
        <f t="shared" si="1423"/>
        <v>189.4</v>
      </c>
      <c r="BF197" s="23">
        <f>+'QTR Raw'!Z79+'QTR Raw'!Z76</f>
        <v>3871.76</v>
      </c>
      <c r="BG197" s="23">
        <f t="shared" si="1423"/>
        <v>3871.76</v>
      </c>
      <c r="BH197" s="23">
        <f>+'QTR Raw'!AB79+'QTR Raw'!AB76</f>
        <v>1364.13</v>
      </c>
      <c r="BI197" s="23">
        <f t="shared" si="1423"/>
        <v>1364.13</v>
      </c>
      <c r="BJ197" s="23">
        <f>+'QTR Raw'!AD79+'QTR Raw'!AD76</f>
        <v>2355.0500000000002</v>
      </c>
      <c r="BK197" s="23">
        <f t="shared" si="1423"/>
        <v>2355.0500000000002</v>
      </c>
      <c r="BL197" s="23">
        <f>+'QTR Raw'!AF79+'QTR Raw'!AF76</f>
        <v>2698.1</v>
      </c>
      <c r="BM197" s="23">
        <f t="shared" si="1423"/>
        <v>2698.1</v>
      </c>
      <c r="BN197" s="23">
        <f>+'QTR Raw'!AH79+'QTR Raw'!AH76</f>
        <v>4087.95</v>
      </c>
      <c r="BO197" s="23">
        <f t="shared" si="1423"/>
        <v>4087.95</v>
      </c>
      <c r="BP197" s="23">
        <f>+'QTR Raw'!AJ79+'QTR Raw'!AJ76</f>
        <v>4793.7</v>
      </c>
      <c r="BQ197" s="23">
        <f t="shared" si="1423"/>
        <v>4793.7</v>
      </c>
      <c r="BR197" s="23">
        <f>+'QTR Raw'!AL79+'QTR Raw'!AL76</f>
        <v>4869.49</v>
      </c>
      <c r="BS197" s="23">
        <f t="shared" si="1423"/>
        <v>4869.49</v>
      </c>
      <c r="BT197" s="23">
        <f>+'QTR Raw'!AN79+'QTR Raw'!AN76</f>
        <v>5879.58</v>
      </c>
      <c r="BU197" s="23">
        <f t="shared" si="1423"/>
        <v>5879.58</v>
      </c>
      <c r="BV197" s="23">
        <f>+'QTR Raw'!AP79+'QTR Raw'!AP76</f>
        <v>5934.73</v>
      </c>
      <c r="BW197" s="23">
        <f t="shared" si="1423"/>
        <v>5934.73</v>
      </c>
      <c r="BX197" s="23">
        <f>+'QTR Raw'!AR79+'QTR Raw'!AR76</f>
        <v>7697.96</v>
      </c>
      <c r="BY197" s="23">
        <f t="shared" si="1423"/>
        <v>7697.96</v>
      </c>
      <c r="BZ197" s="23">
        <f>+'QTR Raw'!AT79+'QTR Raw'!AT76</f>
        <v>6492.54</v>
      </c>
      <c r="CA197" s="23">
        <f t="shared" si="1423"/>
        <v>6492.54</v>
      </c>
      <c r="CB197" s="23">
        <f>+'QTR Raw'!AV79+'QTR Raw'!AV76</f>
        <v>8154.01</v>
      </c>
      <c r="CC197" s="23">
        <f t="shared" si="1423"/>
        <v>8154.01</v>
      </c>
      <c r="CD197" s="23">
        <f>+'QTR Raw'!AX79+'QTR Raw'!AX76</f>
        <v>7434.64</v>
      </c>
      <c r="CE197" s="23">
        <f t="shared" si="1423"/>
        <v>7434.64</v>
      </c>
      <c r="CF197" s="23">
        <f>+'QTR Raw'!AZ79+'QTR Raw'!AZ76</f>
        <v>10033.290000000001</v>
      </c>
      <c r="CG197" s="23">
        <f t="shared" si="1400"/>
        <v>10033.290000000001</v>
      </c>
      <c r="CH197" s="23">
        <f t="shared" si="1401"/>
        <v>94.100000000000136</v>
      </c>
      <c r="CJ197" s="23">
        <f>+'QTR Raw'!BD79+'QTR Raw'!BD76</f>
        <v>19717.57</v>
      </c>
      <c r="CL197" s="23">
        <f>+'QTR Raw'!BF79+'QTR Raw'!BF76</f>
        <v>26488.62</v>
      </c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E197" s="123"/>
      <c r="DF197" s="23">
        <v>-10192.44</v>
      </c>
    </row>
    <row r="198" spans="1:111" s="23" customFormat="1" outlineLevel="1" x14ac:dyDescent="0.2">
      <c r="A198" s="23" t="s">
        <v>553</v>
      </c>
      <c r="T198" s="23">
        <v>0</v>
      </c>
      <c r="U198" s="23">
        <v>998.3</v>
      </c>
      <c r="V198" s="23">
        <v>242.53</v>
      </c>
      <c r="W198" s="23">
        <v>303.94</v>
      </c>
      <c r="X198" s="23">
        <v>899.65</v>
      </c>
      <c r="Y198" s="23">
        <v>925.04</v>
      </c>
      <c r="Z198" s="75">
        <v>1117.49</v>
      </c>
      <c r="AA198" s="75">
        <v>1117.49</v>
      </c>
      <c r="AB198" s="24"/>
      <c r="AC198" s="24"/>
      <c r="AD198" s="24"/>
      <c r="AE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E198" s="123"/>
      <c r="DF198" s="23">
        <v>1117.49</v>
      </c>
    </row>
    <row r="199" spans="1:111" s="23" customFormat="1" outlineLevel="1" x14ac:dyDescent="0.2">
      <c r="A199" s="23" t="s">
        <v>556</v>
      </c>
      <c r="R199" s="23">
        <v>6.4</v>
      </c>
      <c r="S199" s="23">
        <v>1122.03</v>
      </c>
      <c r="T199" s="23">
        <v>1262.52</v>
      </c>
      <c r="U199" s="23">
        <v>1196.2</v>
      </c>
      <c r="V199" s="23">
        <v>1130.43</v>
      </c>
      <c r="W199" s="23">
        <v>1065.8</v>
      </c>
      <c r="X199" s="23">
        <v>1028.45</v>
      </c>
      <c r="Y199" s="23">
        <v>969.91</v>
      </c>
      <c r="Z199" s="23">
        <v>1675.27</v>
      </c>
      <c r="AA199" s="23">
        <v>1675.27</v>
      </c>
      <c r="AB199" s="24"/>
      <c r="AC199" s="24"/>
      <c r="AD199" s="24"/>
      <c r="AE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E199" s="123"/>
      <c r="DF199" s="23">
        <v>1675.27</v>
      </c>
    </row>
    <row r="200" spans="1:111" s="23" customFormat="1" outlineLevel="1" x14ac:dyDescent="0.2">
      <c r="A200" s="23" t="s">
        <v>557</v>
      </c>
      <c r="R200" s="23">
        <v>0</v>
      </c>
      <c r="S200" s="23">
        <v>0</v>
      </c>
      <c r="T200" s="23">
        <v>0</v>
      </c>
      <c r="U200" s="23">
        <v>0</v>
      </c>
      <c r="V200" s="23">
        <v>0</v>
      </c>
      <c r="W200" s="23">
        <v>0</v>
      </c>
      <c r="X200" s="23">
        <v>0</v>
      </c>
      <c r="Y200" s="23">
        <v>602.02</v>
      </c>
      <c r="Z200" s="23">
        <v>4257.8100000000004</v>
      </c>
      <c r="AA200" s="23">
        <v>4257.8100000000004</v>
      </c>
      <c r="AB200" s="24"/>
      <c r="AC200" s="24"/>
      <c r="AD200" s="24"/>
      <c r="AE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  <c r="DF200" s="23">
        <v>4257.8100000000004</v>
      </c>
    </row>
    <row r="201" spans="1:111" s="23" customFormat="1" outlineLevel="1" x14ac:dyDescent="0.2">
      <c r="A201" s="23" t="s">
        <v>558</v>
      </c>
      <c r="R201" s="23">
        <v>0</v>
      </c>
      <c r="S201" s="23">
        <v>0</v>
      </c>
      <c r="T201" s="23">
        <v>732.14</v>
      </c>
      <c r="U201" s="23">
        <v>874.83</v>
      </c>
      <c r="V201" s="23">
        <v>968.74</v>
      </c>
      <c r="W201" s="23">
        <v>942.05</v>
      </c>
      <c r="X201" s="23">
        <v>946.26</v>
      </c>
      <c r="Y201" s="23">
        <v>942.45</v>
      </c>
      <c r="Z201" s="23">
        <v>968.28</v>
      </c>
      <c r="AA201" s="23">
        <v>968.28</v>
      </c>
      <c r="AB201" s="24"/>
      <c r="AC201" s="24"/>
      <c r="AD201" s="24"/>
      <c r="AE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E201" s="123"/>
      <c r="DF201" s="23">
        <v>968.28</v>
      </c>
    </row>
    <row r="202" spans="1:111" s="23" customFormat="1" outlineLevel="1" x14ac:dyDescent="0.2">
      <c r="A202" s="23" t="s">
        <v>61</v>
      </c>
      <c r="B202" s="23">
        <f>'Annual Raw'!C76</f>
        <v>0</v>
      </c>
      <c r="C202" s="23">
        <f>'Annual Raw'!D76</f>
        <v>0</v>
      </c>
      <c r="D202" s="23">
        <f>'Annual Raw'!E76</f>
        <v>0</v>
      </c>
      <c r="E202" s="23">
        <f>'Annual Raw'!F76</f>
        <v>0</v>
      </c>
      <c r="F202" s="23">
        <f>'Annual Raw'!G76</f>
        <v>0</v>
      </c>
      <c r="G202" s="23">
        <f>'Annual Raw'!H76</f>
        <v>0</v>
      </c>
      <c r="H202" s="23">
        <f>'Annual Raw'!I76</f>
        <v>0</v>
      </c>
      <c r="I202" s="23">
        <f>'Annual Raw'!J76</f>
        <v>0</v>
      </c>
      <c r="J202" s="23">
        <f>'Annual Raw'!K76</f>
        <v>0</v>
      </c>
      <c r="K202" s="23">
        <f>'Annual Raw'!L76</f>
        <v>0</v>
      </c>
      <c r="L202" s="23">
        <f>'Annual Raw'!M76</f>
        <v>0</v>
      </c>
      <c r="M202" s="23">
        <f>'Annual Raw'!N76</f>
        <v>0</v>
      </c>
      <c r="N202" s="23">
        <f>'Annual Raw'!O76</f>
        <v>0</v>
      </c>
      <c r="O202" s="23">
        <f>'Annual Raw'!P76</f>
        <v>0</v>
      </c>
      <c r="P202" s="23">
        <f>'Annual Raw'!Q76</f>
        <v>20.61</v>
      </c>
      <c r="Q202" s="23">
        <f>'Annual Raw'!R76</f>
        <v>21.76</v>
      </c>
      <c r="R202" s="23">
        <f>'Annual Raw'!S76</f>
        <v>38.659999999999997</v>
      </c>
      <c r="S202" s="23">
        <f>'Annual Raw'!T76</f>
        <v>35.340000000000003</v>
      </c>
      <c r="T202" s="23">
        <f>'Annual Raw'!U76</f>
        <v>366.18</v>
      </c>
      <c r="U202" s="23">
        <f>'Annual Raw'!V76</f>
        <v>541.16999999999996</v>
      </c>
      <c r="V202" s="23">
        <f>'Annual Raw'!W76</f>
        <v>233.71</v>
      </c>
      <c r="W202" s="23">
        <f>'Annual Raw'!X76</f>
        <v>250.11</v>
      </c>
      <c r="X202" s="23">
        <f>'Annual Raw'!Y76</f>
        <v>151.91</v>
      </c>
      <c r="Y202" s="23">
        <f>'Annual Raw'!Z76</f>
        <v>255.28</v>
      </c>
      <c r="Z202" s="23">
        <f>'Annual Raw'!AA76</f>
        <v>625.24</v>
      </c>
      <c r="AA202" s="23">
        <f>'Annual Raw'!AB76</f>
        <v>669.45</v>
      </c>
      <c r="AB202" s="24">
        <f t="shared" si="1419"/>
        <v>1433.2201261390949</v>
      </c>
      <c r="AC202" s="24">
        <f t="shared" si="1420"/>
        <v>1732.6021573128903</v>
      </c>
      <c r="AD202" s="24">
        <f t="shared" si="1421"/>
        <v>1994.7845211264214</v>
      </c>
      <c r="AE202" s="24">
        <f t="shared" si="1422"/>
        <v>2254.0155547325257</v>
      </c>
      <c r="AJ202" s="23">
        <f>+'QTR Raw'!D81</f>
        <v>0</v>
      </c>
      <c r="AK202" s="23" t="e">
        <f>+AK246*AK61/90</f>
        <v>#DIV/0!</v>
      </c>
      <c r="AL202" s="23">
        <f>+'QTR Raw'!F81</f>
        <v>0</v>
      </c>
      <c r="AM202" s="23" t="e">
        <f>+AM246*AM61/90</f>
        <v>#DIV/0!</v>
      </c>
      <c r="AN202" s="23">
        <f>+'QTR Raw'!H81</f>
        <v>0</v>
      </c>
      <c r="AO202" s="23" t="e">
        <f>+AO246*AO61/90</f>
        <v>#DIV/0!</v>
      </c>
      <c r="AP202" s="23">
        <f>+'QTR Raw'!J81</f>
        <v>0</v>
      </c>
      <c r="AQ202" s="23" t="e">
        <f>+AQ246*AQ61/90</f>
        <v>#DIV/0!</v>
      </c>
      <c r="AR202" s="23">
        <f>+'QTR Raw'!L81</f>
        <v>0</v>
      </c>
      <c r="AS202" s="23" t="e">
        <f>+AS246*AS61/90</f>
        <v>#DIV/0!</v>
      </c>
      <c r="AT202" s="23">
        <f>+'QTR Raw'!N81</f>
        <v>20.61</v>
      </c>
      <c r="AU202" s="23">
        <f>+AU246*AU61/90</f>
        <v>77.88643445269615</v>
      </c>
      <c r="AV202" s="23">
        <f>+'QTR Raw'!P81</f>
        <v>23.85</v>
      </c>
      <c r="AW202" s="23">
        <f>+AW246*AW61/90</f>
        <v>22.254758613356021</v>
      </c>
      <c r="AX202" s="23">
        <f>+'QTR Raw'!R81</f>
        <v>21.76</v>
      </c>
      <c r="AY202" s="23">
        <f>+AY246*AY61/90</f>
        <v>21.551647965899832</v>
      </c>
      <c r="AZ202" s="23">
        <f>+'QTR Raw'!T81</f>
        <v>22.4</v>
      </c>
      <c r="BA202" s="23">
        <f>+BA246*BA61/90</f>
        <v>23.926362970558078</v>
      </c>
      <c r="BB202" s="23">
        <f>+'QTR Raw'!V81</f>
        <v>38.659999999999997</v>
      </c>
      <c r="BC202" s="23">
        <f>+BC246*BC61/90</f>
        <v>28.185086386619059</v>
      </c>
      <c r="BD202" s="23">
        <f>+'QTR Raw'!X81</f>
        <v>73.400000000000006</v>
      </c>
      <c r="BE202" s="23">
        <f>+BE246*BE61/90</f>
        <v>175.44952488323401</v>
      </c>
      <c r="BF202" s="23">
        <f>+'QTR Raw'!Z81</f>
        <v>35.340000000000003</v>
      </c>
      <c r="BG202" s="23">
        <f>+BG246*BG61/90</f>
        <v>27.082917253129867</v>
      </c>
      <c r="BH202" s="23">
        <f>+'QTR Raw'!AB81</f>
        <v>188.27</v>
      </c>
      <c r="BI202" s="23">
        <f>+BI246*BI61/90</f>
        <v>369.90131612875501</v>
      </c>
      <c r="BJ202" s="23">
        <f>+'QTR Raw'!AD81</f>
        <v>366.18</v>
      </c>
      <c r="BK202" s="23">
        <f>+BK246*BK61/90</f>
        <v>411.13614858812991</v>
      </c>
      <c r="BL202" s="23">
        <f>+'QTR Raw'!AF81</f>
        <v>230.49</v>
      </c>
      <c r="BM202" s="23">
        <f>+BM246*BM61/90</f>
        <v>246.85377681807665</v>
      </c>
      <c r="BN202" s="23">
        <f>+'QTR Raw'!AH81</f>
        <v>541.16999999999996</v>
      </c>
      <c r="BO202" s="23">
        <f>+BO246*BO61/90</f>
        <v>415.4359692936215</v>
      </c>
      <c r="BP202" s="23">
        <f>+'QTR Raw'!AJ81</f>
        <v>219.26</v>
      </c>
      <c r="BQ202" s="23">
        <f>+BQ246*BQ61/90</f>
        <v>264.0873973072874</v>
      </c>
      <c r="BR202" s="23">
        <f>+'QTR Raw'!AL81</f>
        <v>233.71</v>
      </c>
      <c r="BS202" s="23">
        <f>+BS246*BS61/90</f>
        <v>242.5420215945808</v>
      </c>
      <c r="BT202" s="23">
        <f>+'QTR Raw'!AN81</f>
        <v>131.88999999999999</v>
      </c>
      <c r="BU202" s="23">
        <f>+BU246*BU61/90</f>
        <v>151.10492988227142</v>
      </c>
      <c r="BV202" s="23">
        <f>+'QTR Raw'!AP81</f>
        <v>250.11</v>
      </c>
      <c r="BW202" s="23">
        <f>+BW246*BW61/90</f>
        <v>263.32289209440859</v>
      </c>
      <c r="BX202" s="23">
        <f>+'QTR Raw'!AR81</f>
        <v>201.09</v>
      </c>
      <c r="BY202" s="23">
        <f>+BY246*BY61/90</f>
        <v>219.65731082460908</v>
      </c>
      <c r="BZ202" s="23">
        <f>+'QTR Raw'!AT81</f>
        <v>151.91</v>
      </c>
      <c r="CA202" s="23">
        <f>+CA246*CA61/90</f>
        <v>165.76561298642508</v>
      </c>
      <c r="CB202" s="23">
        <f>+'QTR Raw'!AV81</f>
        <v>189.35</v>
      </c>
      <c r="CC202" s="23">
        <f>+CC246*CC61/90</f>
        <v>235.16153960265333</v>
      </c>
      <c r="CD202" s="23">
        <f>+'QTR Raw'!AX81</f>
        <v>255.28</v>
      </c>
      <c r="CE202" s="23">
        <f>+CE246*CE61/90</f>
        <v>291.71021893623123</v>
      </c>
      <c r="CF202" s="23">
        <f>+'QTR Raw'!AZ81</f>
        <v>356.17</v>
      </c>
      <c r="CG202" s="23">
        <f>+CG246*CG61/90</f>
        <v>335.81249158270947</v>
      </c>
      <c r="CH202" s="23">
        <f t="shared" si="1401"/>
        <v>625.24</v>
      </c>
      <c r="CI202" s="23">
        <f>+CI246*CI61/90</f>
        <v>668.85765449645305</v>
      </c>
      <c r="CJ202" s="23">
        <f>+'QTR Raw'!BD81</f>
        <v>710.62</v>
      </c>
      <c r="CK202" s="23">
        <f t="shared" ref="CK202:DB202" si="1424">+CK246*CK61/90</f>
        <v>725.03746806694539</v>
      </c>
      <c r="CL202" s="23">
        <f>+'QTR Raw'!BF81</f>
        <v>669.45</v>
      </c>
      <c r="CM202" s="24">
        <f t="shared" si="1424"/>
        <v>1046.1754704690961</v>
      </c>
      <c r="CN202" s="24">
        <f t="shared" si="1424"/>
        <v>1120.9324727021171</v>
      </c>
      <c r="CO202" s="24">
        <f t="shared" si="1424"/>
        <v>1273.6947189400346</v>
      </c>
      <c r="CP202" s="24">
        <f t="shared" si="1424"/>
        <v>1433.2201261390949</v>
      </c>
      <c r="CQ202" s="24">
        <f t="shared" si="1424"/>
        <v>1558.8237124493878</v>
      </c>
      <c r="CR202" s="24">
        <f t="shared" si="1424"/>
        <v>1560.8750309130824</v>
      </c>
      <c r="CS202" s="24">
        <f t="shared" si="1424"/>
        <v>1632.4750178140814</v>
      </c>
      <c r="CT202" s="24">
        <f t="shared" si="1424"/>
        <v>1732.6021573128903</v>
      </c>
      <c r="CU202" s="24">
        <f t="shared" si="1424"/>
        <v>1816.6560575699918</v>
      </c>
      <c r="CV202" s="24">
        <f t="shared" si="1424"/>
        <v>1804.7875168494611</v>
      </c>
      <c r="CW202" s="24">
        <f t="shared" si="1424"/>
        <v>1945.1483477544143</v>
      </c>
      <c r="CX202" s="24">
        <f t="shared" si="1424"/>
        <v>1994.7845211264214</v>
      </c>
      <c r="CY202" s="24">
        <f t="shared" si="1424"/>
        <v>2071.978448124341</v>
      </c>
      <c r="CZ202" s="24">
        <f t="shared" si="1424"/>
        <v>2070.9566817974019</v>
      </c>
      <c r="DA202" s="24">
        <f t="shared" si="1424"/>
        <v>2152.9510595313541</v>
      </c>
      <c r="DB202" s="24">
        <f t="shared" si="1424"/>
        <v>2254.0155547325257</v>
      </c>
      <c r="DE202" s="123"/>
      <c r="DF202" s="23">
        <v>0</v>
      </c>
      <c r="DG202" s="23">
        <v>848.80604667159491</v>
      </c>
    </row>
    <row r="203" spans="1:111" s="23" customFormat="1" outlineLevel="1" x14ac:dyDescent="0.2">
      <c r="A203" s="23" t="s">
        <v>62</v>
      </c>
      <c r="B203" s="23">
        <f>'Annual Raw'!C77</f>
        <v>0</v>
      </c>
      <c r="C203" s="23">
        <f>'Annual Raw'!D77</f>
        <v>0</v>
      </c>
      <c r="D203" s="23">
        <f>'Annual Raw'!E77</f>
        <v>0</v>
      </c>
      <c r="E203" s="23">
        <f>'Annual Raw'!F77</f>
        <v>0</v>
      </c>
      <c r="F203" s="23">
        <f>'Annual Raw'!G77</f>
        <v>0</v>
      </c>
      <c r="G203" s="23">
        <f>'Annual Raw'!H77</f>
        <v>0</v>
      </c>
      <c r="H203" s="23">
        <f>'Annual Raw'!I77</f>
        <v>0</v>
      </c>
      <c r="I203" s="23">
        <f>'Annual Raw'!J77</f>
        <v>0</v>
      </c>
      <c r="J203" s="23">
        <f>'Annual Raw'!K77</f>
        <v>0</v>
      </c>
      <c r="K203" s="23">
        <f>'Annual Raw'!L77</f>
        <v>0</v>
      </c>
      <c r="L203" s="23">
        <f>'Annual Raw'!M77</f>
        <v>0</v>
      </c>
      <c r="M203" s="23">
        <f>'Annual Raw'!N77</f>
        <v>0</v>
      </c>
      <c r="N203" s="23">
        <f>'Annual Raw'!O77</f>
        <v>0</v>
      </c>
      <c r="O203" s="23">
        <f>'Annual Raw'!P77</f>
        <v>0</v>
      </c>
      <c r="P203" s="23">
        <f>'Annual Raw'!Q77</f>
        <v>448.76</v>
      </c>
      <c r="Q203" s="23">
        <f>'Annual Raw'!R77</f>
        <v>182.35</v>
      </c>
      <c r="R203" s="23">
        <f>'Annual Raw'!S77</f>
        <v>189.56</v>
      </c>
      <c r="S203" s="23">
        <f>'Annual Raw'!T77</f>
        <v>257.83</v>
      </c>
      <c r="T203" s="23">
        <f>'Annual Raw'!U77</f>
        <v>722.05</v>
      </c>
      <c r="U203" s="23">
        <f>'Annual Raw'!V77</f>
        <v>1000.26</v>
      </c>
      <c r="V203" s="23">
        <f>'Annual Raw'!W77</f>
        <v>1013.54</v>
      </c>
      <c r="W203" s="23">
        <f>'Annual Raw'!X77</f>
        <v>1070.8399999999999</v>
      </c>
      <c r="X203" s="23">
        <f>'Annual Raw'!Y77</f>
        <v>1437.59</v>
      </c>
      <c r="Y203" s="23">
        <f>'Annual Raw'!Z77</f>
        <v>3744.54</v>
      </c>
      <c r="Z203" s="23">
        <f>'Annual Raw'!AA77</f>
        <v>4217.8599999999997</v>
      </c>
      <c r="AA203" s="23">
        <f>'Annual Raw'!AB77</f>
        <v>5733.75</v>
      </c>
      <c r="AB203" s="24">
        <f t="shared" si="1419"/>
        <v>10147.798099388367</v>
      </c>
      <c r="AC203" s="24">
        <f t="shared" si="1420"/>
        <v>9909.6887026273544</v>
      </c>
      <c r="AD203" s="24">
        <f t="shared" si="1421"/>
        <v>10730.587043479942</v>
      </c>
      <c r="AE203" s="24">
        <f t="shared" si="1422"/>
        <v>12125.074087579718</v>
      </c>
      <c r="AJ203" s="23">
        <f>+'QTR Raw'!D82</f>
        <v>0</v>
      </c>
      <c r="AK203" s="23" t="e">
        <f>+AK247*AK61/90</f>
        <v>#DIV/0!</v>
      </c>
      <c r="AL203" s="23">
        <f>+'QTR Raw'!F82</f>
        <v>0</v>
      </c>
      <c r="AM203" s="23" t="e">
        <f>+AM247*AM61/90</f>
        <v>#DIV/0!</v>
      </c>
      <c r="AN203" s="23">
        <f>+'QTR Raw'!H82</f>
        <v>0</v>
      </c>
      <c r="AO203" s="23" t="e">
        <f>+AO247*AO61/90</f>
        <v>#DIV/0!</v>
      </c>
      <c r="AP203" s="23">
        <f>+'QTR Raw'!J82</f>
        <v>0</v>
      </c>
      <c r="AQ203" s="23" t="e">
        <f>+AQ247*AQ61/90</f>
        <v>#DIV/0!</v>
      </c>
      <c r="AR203" s="23">
        <f>+'QTR Raw'!L82</f>
        <v>0</v>
      </c>
      <c r="AS203" s="23" t="e">
        <f>+AS247*AS61/90</f>
        <v>#DIV/0!</v>
      </c>
      <c r="AT203" s="23">
        <f>+'QTR Raw'!N82</f>
        <v>448.76</v>
      </c>
      <c r="AU203" s="23">
        <f>+AU247*AU61/90</f>
        <v>1695.8911365837907</v>
      </c>
      <c r="AV203" s="23">
        <f>+'QTR Raw'!P82</f>
        <v>195.86</v>
      </c>
      <c r="AW203" s="23">
        <f>+AW247*AW61/90</f>
        <v>182.75962356444066</v>
      </c>
      <c r="AX203" s="23">
        <f>+'QTR Raw'!R82</f>
        <v>182.35</v>
      </c>
      <c r="AY203" s="23">
        <f>+AY247*AY61/90</f>
        <v>180.60399846423869</v>
      </c>
      <c r="AZ203" s="23">
        <f>+'QTR Raw'!T82</f>
        <v>291.5</v>
      </c>
      <c r="BA203" s="23">
        <f>+BA247*BA61/90</f>
        <v>311.36316097846782</v>
      </c>
      <c r="BB203" s="23">
        <f>+'QTR Raw'!V82</f>
        <v>189.56</v>
      </c>
      <c r="BC203" s="23">
        <f>+BC247*BC61/90</f>
        <v>138.19878363806282</v>
      </c>
      <c r="BD203" s="23">
        <f>+'QTR Raw'!X82</f>
        <v>173.52</v>
      </c>
      <c r="BE203" s="23">
        <f>+BE247*BE61/90</f>
        <v>414.7684135931712</v>
      </c>
      <c r="BF203" s="23">
        <f>+'QTR Raw'!Z82</f>
        <v>257.83</v>
      </c>
      <c r="BG203" s="23">
        <f>+BG247*BG61/90</f>
        <v>197.58881028224314</v>
      </c>
      <c r="BH203" s="23">
        <f>+'QTR Raw'!AB82</f>
        <v>760.34</v>
      </c>
      <c r="BI203" s="23">
        <f>+BI247*BI61/90</f>
        <v>1493.8692659761919</v>
      </c>
      <c r="BJ203" s="23">
        <f>+'QTR Raw'!AD82</f>
        <v>722.05</v>
      </c>
      <c r="BK203" s="23">
        <f>+BK247*BK61/90</f>
        <v>810.69653200081711</v>
      </c>
      <c r="BL203" s="23">
        <f>+'QTR Raw'!AF82</f>
        <v>894.16</v>
      </c>
      <c r="BM203" s="23">
        <f>+BM247*BM61/90</f>
        <v>957.6414294748206</v>
      </c>
      <c r="BN203" s="23">
        <f>+'QTR Raw'!AH82</f>
        <v>1000.26</v>
      </c>
      <c r="BO203" s="23">
        <f>+BO247*BO61/90</f>
        <v>767.86219237141358</v>
      </c>
      <c r="BP203" s="23">
        <f>+'QTR Raw'!AJ82</f>
        <v>1387.82</v>
      </c>
      <c r="BQ203" s="23">
        <f>+BQ247*BQ61/90</f>
        <v>1671.5578387804414</v>
      </c>
      <c r="BR203" s="23">
        <f>+'QTR Raw'!AL82</f>
        <v>1013.54</v>
      </c>
      <c r="BS203" s="23">
        <f>+BS247*BS61/90</f>
        <v>1051.842200021272</v>
      </c>
      <c r="BT203" s="23">
        <f>+'QTR Raw'!AN82</f>
        <v>1137.95</v>
      </c>
      <c r="BU203" s="23">
        <f>+BU247*BU61/90</f>
        <v>1303.7368637465374</v>
      </c>
      <c r="BV203" s="23">
        <f>+'QTR Raw'!AP82</f>
        <v>1070.8399999999999</v>
      </c>
      <c r="BW203" s="23">
        <f>+BW247*BW61/90</f>
        <v>1127.4106823812581</v>
      </c>
      <c r="BX203" s="23">
        <f>+'QTR Raw'!AR82</f>
        <v>1694.43</v>
      </c>
      <c r="BY203" s="23">
        <f>+BY247*BY61/90</f>
        <v>1850.8823769483433</v>
      </c>
      <c r="BZ203" s="23">
        <f>+'QTR Raw'!AT82</f>
        <v>1437.59</v>
      </c>
      <c r="CA203" s="23">
        <f>+CA247*CA61/90</f>
        <v>1568.7116554088263</v>
      </c>
      <c r="CB203" s="23">
        <f>+'QTR Raw'!AV82</f>
        <v>1513.92</v>
      </c>
      <c r="CC203" s="23">
        <f>+CC247*CC61/90</f>
        <v>1880.1994086889301</v>
      </c>
      <c r="CD203" s="23">
        <f>+'QTR Raw'!AX82</f>
        <v>3744.54</v>
      </c>
      <c r="CE203" s="23">
        <f>+CE247*CE61/90</f>
        <v>4278.9117173906116</v>
      </c>
      <c r="CF203" s="23">
        <f>+'QTR Raw'!AZ82</f>
        <v>4422.8900000000003</v>
      </c>
      <c r="CG203" s="23">
        <f>+CG247*CG61/90</f>
        <v>4170.0921214483242</v>
      </c>
      <c r="CH203" s="23">
        <f t="shared" si="1401"/>
        <v>4217.8599999999997</v>
      </c>
      <c r="CI203" s="23">
        <f>+CI247*CI61/90</f>
        <v>4512.1040665894843</v>
      </c>
      <c r="CJ203" s="23">
        <f>+'QTR Raw'!BD82</f>
        <v>6160.26</v>
      </c>
      <c r="CK203" s="23">
        <f t="shared" ref="CK203:DB203" si="1425">+CK247*CK61/90</f>
        <v>6285.2429048353279</v>
      </c>
      <c r="CL203" s="23">
        <f>+'QTR Raw'!BF82</f>
        <v>5733.75</v>
      </c>
      <c r="CM203" s="24">
        <f t="shared" si="1425"/>
        <v>8412.8254756270344</v>
      </c>
      <c r="CN203" s="24">
        <f t="shared" si="1425"/>
        <v>8745.457614063851</v>
      </c>
      <c r="CO203" s="24">
        <f t="shared" si="1425"/>
        <v>9676.7339929512618</v>
      </c>
      <c r="CP203" s="24">
        <f t="shared" si="1425"/>
        <v>10147.798099388367</v>
      </c>
      <c r="CQ203" s="24">
        <f t="shared" si="1425"/>
        <v>10506.781978698989</v>
      </c>
      <c r="CR203" s="24">
        <f t="shared" si="1425"/>
        <v>9989.5683153022765</v>
      </c>
      <c r="CS203" s="24">
        <f t="shared" si="1425"/>
        <v>9892.4071067792047</v>
      </c>
      <c r="CT203" s="24">
        <f t="shared" si="1425"/>
        <v>9909.6887026273544</v>
      </c>
      <c r="CU203" s="24">
        <f t="shared" si="1425"/>
        <v>9772.3767892544547</v>
      </c>
      <c r="CV203" s="24">
        <f t="shared" si="1425"/>
        <v>9708.5320942851849</v>
      </c>
      <c r="CW203" s="24">
        <f t="shared" si="1425"/>
        <v>10463.578114328626</v>
      </c>
      <c r="CX203" s="24">
        <f t="shared" si="1425"/>
        <v>10730.587043479942</v>
      </c>
      <c r="CY203" s="24">
        <f t="shared" si="1425"/>
        <v>11145.837986178985</v>
      </c>
      <c r="CZ203" s="24">
        <f t="shared" si="1425"/>
        <v>11140.341576720622</v>
      </c>
      <c r="DA203" s="24">
        <f t="shared" si="1425"/>
        <v>11581.415686746959</v>
      </c>
      <c r="DB203" s="24">
        <f t="shared" si="1425"/>
        <v>12125.074087579718</v>
      </c>
      <c r="DE203" s="123"/>
      <c r="DF203" s="23">
        <v>0</v>
      </c>
      <c r="DG203" s="23">
        <v>7067.0349681547232</v>
      </c>
    </row>
    <row r="204" spans="1:111" s="23" customFormat="1" outlineLevel="1" x14ac:dyDescent="0.2">
      <c r="A204" s="23" t="s">
        <v>63</v>
      </c>
      <c r="B204" s="23">
        <f>'Annual Raw'!C79</f>
        <v>0</v>
      </c>
      <c r="C204" s="23">
        <f>'Annual Raw'!D79</f>
        <v>0</v>
      </c>
      <c r="D204" s="23">
        <f>'Annual Raw'!E79</f>
        <v>0</v>
      </c>
      <c r="E204" s="23">
        <f>'Annual Raw'!F79</f>
        <v>0</v>
      </c>
      <c r="F204" s="23">
        <f>'Annual Raw'!G79</f>
        <v>0</v>
      </c>
      <c r="G204" s="23">
        <f>'Annual Raw'!H79</f>
        <v>0</v>
      </c>
      <c r="H204" s="23">
        <f>'Annual Raw'!I79</f>
        <v>0</v>
      </c>
      <c r="I204" s="23">
        <f>'Annual Raw'!J79</f>
        <v>0</v>
      </c>
      <c r="J204" s="23">
        <f>'Annual Raw'!K79</f>
        <v>0</v>
      </c>
      <c r="K204" s="23">
        <f>'Annual Raw'!L79</f>
        <v>0</v>
      </c>
      <c r="L204" s="23">
        <f>'Annual Raw'!M79</f>
        <v>0</v>
      </c>
      <c r="M204" s="23">
        <f>'Annual Raw'!N79</f>
        <v>0</v>
      </c>
      <c r="N204" s="23">
        <f>'Annual Raw'!O79</f>
        <v>0</v>
      </c>
      <c r="O204" s="23">
        <f>'Annual Raw'!P79</f>
        <v>0</v>
      </c>
      <c r="P204" s="23">
        <f>'Annual Raw'!Q79</f>
        <v>5.08</v>
      </c>
      <c r="Q204" s="23">
        <f>'Annual Raw'!R79</f>
        <v>3.46</v>
      </c>
      <c r="R204" s="23">
        <f>'Annual Raw'!S79</f>
        <v>41.06</v>
      </c>
      <c r="S204" s="23">
        <f>'Annual Raw'!T79</f>
        <v>171.77</v>
      </c>
      <c r="T204" s="23">
        <f>(('Annual Raw'!U79)-1105.6)-20.35</f>
        <v>614.07000000000005</v>
      </c>
      <c r="U204" s="23">
        <f>(('Annual Raw'!V79)-247.73)-19.53</f>
        <v>435.97</v>
      </c>
      <c r="V204" s="23">
        <f>(('Annual Raw'!W79)-439.45)-35.79</f>
        <v>109.54999999999998</v>
      </c>
      <c r="W204" s="23">
        <f>(('Annual Raw'!X79)-1124.02)-60.41</f>
        <v>234.9800000000001</v>
      </c>
      <c r="X204" s="23">
        <f>(('Annual Raw'!Y79)-1963.83)-46.34</f>
        <v>173.79999999999987</v>
      </c>
      <c r="Y204" s="23">
        <f>(('Annual Raw'!Z79)-1517.53)-40.19</f>
        <v>222.19000000000011</v>
      </c>
      <c r="Z204" s="23">
        <f>(('Annual Raw'!AA79)-3087.61)-87.29</f>
        <v>233.51999999999992</v>
      </c>
      <c r="AA204" s="23">
        <f>(('Annual Raw'!AB79)-3087.61)-87.29</f>
        <v>540.63000000000011</v>
      </c>
      <c r="AB204" s="24">
        <f t="shared" si="1419"/>
        <v>38790.137877285932</v>
      </c>
      <c r="AC204" s="24">
        <f t="shared" si="1420"/>
        <v>41234.057269358607</v>
      </c>
      <c r="AD204" s="24">
        <f t="shared" si="1421"/>
        <v>45844.919420826831</v>
      </c>
      <c r="AE204" s="24">
        <f t="shared" si="1422"/>
        <v>51802.668601845427</v>
      </c>
      <c r="AJ204" s="23">
        <f>+'QTR Raw'!D84</f>
        <v>0</v>
      </c>
      <c r="AK204" s="23">
        <f t="shared" si="1423"/>
        <v>0</v>
      </c>
      <c r="AL204" s="23">
        <f>+'QTR Raw'!F84</f>
        <v>0</v>
      </c>
      <c r="AM204" s="23">
        <f t="shared" si="1423"/>
        <v>0</v>
      </c>
      <c r="AN204" s="23">
        <f>+'QTR Raw'!H84</f>
        <v>0</v>
      </c>
      <c r="AO204" s="23">
        <f t="shared" si="1423"/>
        <v>0</v>
      </c>
      <c r="AP204" s="23">
        <f>+'QTR Raw'!J84</f>
        <v>0</v>
      </c>
      <c r="AQ204" s="23">
        <f t="shared" si="1423"/>
        <v>0</v>
      </c>
      <c r="AR204" s="23">
        <f>+'QTR Raw'!L84</f>
        <v>0</v>
      </c>
      <c r="AS204" s="23">
        <f t="shared" si="1423"/>
        <v>0</v>
      </c>
      <c r="AT204" s="23">
        <f>+'QTR Raw'!N84</f>
        <v>395.94</v>
      </c>
      <c r="AU204" s="23">
        <f t="shared" si="1423"/>
        <v>395.94</v>
      </c>
      <c r="AV204" s="23">
        <f>+'QTR Raw'!P84</f>
        <v>703.73</v>
      </c>
      <c r="AW204" s="23">
        <f t="shared" si="1423"/>
        <v>703.73</v>
      </c>
      <c r="AX204" s="23">
        <f>+'QTR Raw'!R84</f>
        <v>926.64</v>
      </c>
      <c r="AY204" s="23">
        <f t="shared" si="1423"/>
        <v>926.64</v>
      </c>
      <c r="AZ204" s="23">
        <f>+'QTR Raw'!T84</f>
        <v>865.28</v>
      </c>
      <c r="BA204" s="23">
        <f t="shared" si="1423"/>
        <v>865.28</v>
      </c>
      <c r="BB204" s="23">
        <f>+'QTR Raw'!V84</f>
        <v>650.41</v>
      </c>
      <c r="BC204" s="23">
        <f t="shared" si="1423"/>
        <v>650.41</v>
      </c>
      <c r="BD204" s="23">
        <f>+'QTR Raw'!X84</f>
        <v>577.49</v>
      </c>
      <c r="BE204" s="23">
        <f t="shared" si="1423"/>
        <v>577.49</v>
      </c>
      <c r="BF204" s="23">
        <f>+'QTR Raw'!Z84</f>
        <v>790.9</v>
      </c>
      <c r="BG204" s="23">
        <f t="shared" si="1423"/>
        <v>790.9</v>
      </c>
      <c r="BH204" s="23">
        <f>+'QTR Raw'!AB84</f>
        <v>3836.71</v>
      </c>
      <c r="BI204" s="23">
        <f t="shared" si="1423"/>
        <v>3836.71</v>
      </c>
      <c r="BJ204" s="23">
        <f>+'QTR Raw'!AD84</f>
        <v>2921.87</v>
      </c>
      <c r="BK204" s="23">
        <f t="shared" si="1423"/>
        <v>2921.87</v>
      </c>
      <c r="BL204" s="23">
        <f>+'QTR Raw'!AF84</f>
        <v>1951.24</v>
      </c>
      <c r="BM204" s="23">
        <f t="shared" si="1423"/>
        <v>1951.24</v>
      </c>
      <c r="BN204" s="23">
        <f>+'QTR Raw'!AH84</f>
        <v>2125.21</v>
      </c>
      <c r="BO204" s="23">
        <f t="shared" si="1423"/>
        <v>2125.21</v>
      </c>
      <c r="BP204" s="23">
        <f>+'QTR Raw'!AJ84</f>
        <v>2578.61</v>
      </c>
      <c r="BQ204" s="23">
        <f t="shared" si="1423"/>
        <v>2578.61</v>
      </c>
      <c r="BR204" s="23">
        <f>+'QTR Raw'!AL84</f>
        <v>2263.06</v>
      </c>
      <c r="BS204" s="23">
        <f t="shared" si="1423"/>
        <v>2263.06</v>
      </c>
      <c r="BT204" s="23">
        <f>+'QTR Raw'!AN84</f>
        <v>2182.16</v>
      </c>
      <c r="BU204" s="23">
        <f t="shared" si="1423"/>
        <v>2182.16</v>
      </c>
      <c r="BV204" s="23">
        <f>+'QTR Raw'!AP84</f>
        <v>2459.7600000000002</v>
      </c>
      <c r="BW204" s="23">
        <f t="shared" si="1423"/>
        <v>2459.7600000000002</v>
      </c>
      <c r="BX204" s="23">
        <f>+'QTR Raw'!AR84</f>
        <v>1780.79</v>
      </c>
      <c r="BY204" s="23">
        <f t="shared" si="1423"/>
        <v>1780.79</v>
      </c>
      <c r="BZ204" s="23">
        <f>+'QTR Raw'!AT84</f>
        <v>4079.23</v>
      </c>
      <c r="CA204" s="23">
        <f t="shared" si="1423"/>
        <v>4079.23</v>
      </c>
      <c r="CB204" s="23">
        <f>+'QTR Raw'!AV84</f>
        <v>2118.73</v>
      </c>
      <c r="CC204" s="23">
        <f t="shared" si="1423"/>
        <v>2118.73</v>
      </c>
      <c r="CD204" s="23">
        <f>+'QTR Raw'!AX84</f>
        <v>2539.69</v>
      </c>
      <c r="CE204" s="23">
        <f t="shared" si="1423"/>
        <v>2539.69</v>
      </c>
      <c r="CF204" s="23">
        <f>+'QTR Raw'!AZ84</f>
        <v>4787.59</v>
      </c>
      <c r="CG204" s="23">
        <f t="shared" ref="CG204:CG207" si="1426">+CF204</f>
        <v>4787.59</v>
      </c>
      <c r="CH204" s="23">
        <f t="shared" si="1401"/>
        <v>233.51999999999992</v>
      </c>
      <c r="CI204" s="23">
        <f>CI61/90*CI248</f>
        <v>1733.7516986530873</v>
      </c>
      <c r="CJ204" s="23">
        <f>+'QTR Raw'!BD84</f>
        <v>3550.89</v>
      </c>
      <c r="CK204" s="23">
        <f t="shared" ref="CK204:DB204" si="1427">CK61/90*CK248</f>
        <v>23760.03143713528</v>
      </c>
      <c r="CL204" s="23">
        <f>+'QTR Raw'!BF84</f>
        <v>5233.13</v>
      </c>
      <c r="CM204" s="24">
        <f t="shared" si="1427"/>
        <v>31999.426626000699</v>
      </c>
      <c r="CN204" s="24">
        <f t="shared" si="1427"/>
        <v>33351.319265642305</v>
      </c>
      <c r="CO204" s="24">
        <f t="shared" si="1427"/>
        <v>36989.48699137236</v>
      </c>
      <c r="CP204" s="24">
        <f t="shared" si="1427"/>
        <v>38790.137877285932</v>
      </c>
      <c r="CQ204" s="24">
        <f t="shared" si="1427"/>
        <v>40916.781079200955</v>
      </c>
      <c r="CR204" s="24">
        <f t="shared" si="1427"/>
        <v>39696.12920859173</v>
      </c>
      <c r="CS204" s="24">
        <f t="shared" si="1427"/>
        <v>40184.098841368606</v>
      </c>
      <c r="CT204" s="24">
        <f t="shared" si="1427"/>
        <v>41234.057269358607</v>
      </c>
      <c r="CU204" s="24">
        <f t="shared" si="1427"/>
        <v>41751.101280665578</v>
      </c>
      <c r="CV204" s="24">
        <f t="shared" si="1427"/>
        <v>41478.333827733739</v>
      </c>
      <c r="CW204" s="24">
        <f t="shared" si="1427"/>
        <v>44704.161436945491</v>
      </c>
      <c r="CX204" s="24">
        <f t="shared" si="1427"/>
        <v>45844.919420826831</v>
      </c>
      <c r="CY204" s="24">
        <f t="shared" si="1427"/>
        <v>47619.020495662924</v>
      </c>
      <c r="CZ204" s="24">
        <f t="shared" si="1427"/>
        <v>47595.537861609315</v>
      </c>
      <c r="DA204" s="24">
        <f t="shared" si="1427"/>
        <v>49479.964776076857</v>
      </c>
      <c r="DB204" s="24">
        <f t="shared" si="1427"/>
        <v>51802.668601845427</v>
      </c>
      <c r="DE204" s="123"/>
      <c r="DF204" s="23">
        <v>-3174.9</v>
      </c>
      <c r="DG204" s="23">
        <v>26802.606323295986</v>
      </c>
    </row>
    <row r="205" spans="1:111" s="23" customFormat="1" outlineLevel="1" x14ac:dyDescent="0.2">
      <c r="A205" s="23" t="s">
        <v>554</v>
      </c>
      <c r="T205" s="23">
        <v>1105.5999999999999</v>
      </c>
      <c r="U205" s="23">
        <v>247.73</v>
      </c>
      <c r="V205" s="23">
        <v>439.45</v>
      </c>
      <c r="W205" s="23">
        <v>1124.02</v>
      </c>
      <c r="X205" s="23">
        <v>1963.83</v>
      </c>
      <c r="Y205" s="23">
        <v>1517.53</v>
      </c>
      <c r="Z205" s="23">
        <v>3087.61</v>
      </c>
      <c r="AA205" s="23">
        <v>3087.61</v>
      </c>
      <c r="AB205" s="24"/>
      <c r="AC205" s="24"/>
      <c r="AD205" s="24"/>
      <c r="AE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E205" s="123"/>
      <c r="DF205" s="23">
        <v>3087.61</v>
      </c>
    </row>
    <row r="206" spans="1:111" s="23" customFormat="1" outlineLevel="1" x14ac:dyDescent="0.2">
      <c r="A206" s="23" t="s">
        <v>555</v>
      </c>
      <c r="P206" s="23">
        <v>0.68</v>
      </c>
      <c r="Q206" s="23">
        <v>2.41</v>
      </c>
      <c r="R206" s="23">
        <v>4.58</v>
      </c>
      <c r="S206" s="23">
        <v>7.15</v>
      </c>
      <c r="T206" s="23">
        <v>20.350000000000001</v>
      </c>
      <c r="U206" s="23">
        <v>19.53</v>
      </c>
      <c r="V206" s="23">
        <v>35.79</v>
      </c>
      <c r="W206" s="23">
        <v>60.41</v>
      </c>
      <c r="X206" s="23">
        <v>46.34</v>
      </c>
      <c r="Y206" s="23">
        <v>40.19</v>
      </c>
      <c r="Z206" s="23">
        <v>87.29</v>
      </c>
      <c r="AA206" s="23">
        <v>87.29</v>
      </c>
      <c r="AB206" s="24"/>
      <c r="AC206" s="24"/>
      <c r="AD206" s="24"/>
      <c r="AE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E206" s="123"/>
      <c r="DF206" s="23">
        <v>87.29</v>
      </c>
    </row>
    <row r="207" spans="1:111" s="23" customFormat="1" outlineLevel="1" x14ac:dyDescent="0.2">
      <c r="A207" s="23" t="s">
        <v>64</v>
      </c>
      <c r="B207" s="23">
        <f>'Annual Raw'!C80</f>
        <v>0</v>
      </c>
      <c r="C207" s="23">
        <f>'Annual Raw'!D80</f>
        <v>0</v>
      </c>
      <c r="D207" s="23">
        <f>'Annual Raw'!E80</f>
        <v>0</v>
      </c>
      <c r="E207" s="23">
        <f>'Annual Raw'!F80</f>
        <v>0</v>
      </c>
      <c r="F207" s="23">
        <f>'Annual Raw'!G80</f>
        <v>0</v>
      </c>
      <c r="G207" s="23">
        <f>'Annual Raw'!H80</f>
        <v>0</v>
      </c>
      <c r="H207" s="23">
        <f>'Annual Raw'!I80</f>
        <v>0</v>
      </c>
      <c r="I207" s="23">
        <f>'Annual Raw'!J80</f>
        <v>0</v>
      </c>
      <c r="J207" s="23">
        <f>'Annual Raw'!K80</f>
        <v>0</v>
      </c>
      <c r="K207" s="23">
        <f>'Annual Raw'!L80</f>
        <v>0</v>
      </c>
      <c r="L207" s="23">
        <f>'Annual Raw'!M80</f>
        <v>0</v>
      </c>
      <c r="M207" s="23">
        <f>'Annual Raw'!N80</f>
        <v>0</v>
      </c>
      <c r="N207" s="23">
        <f>'Annual Raw'!O80</f>
        <v>0</v>
      </c>
      <c r="O207" s="23">
        <f>'Annual Raw'!P80</f>
        <v>0</v>
      </c>
      <c r="P207" s="23">
        <f>((('Annual Raw'!Q80)-0)-0)-391.54</f>
        <v>2.5499999999999545</v>
      </c>
      <c r="Q207" s="23">
        <f>((('Annual Raw'!R80)-2.48)-0)-920.57</f>
        <v>0.30999999999994543</v>
      </c>
      <c r="R207" s="23">
        <f>((('Annual Raw'!S80)-10.92)-0)-595.65</f>
        <v>2.9500000000000455</v>
      </c>
      <c r="S207" s="23">
        <f>((('Annual Raw'!T80)-9.35)-0)-596.41</f>
        <v>615.69000000000017</v>
      </c>
      <c r="T207" s="23">
        <f>((('Annual Raw'!U80)-86.89)-0)-1071.45</f>
        <v>32.259999999999764</v>
      </c>
      <c r="U207" s="23">
        <f>((('Annual Raw'!V80)-293.33)-0)-1105.97</f>
        <v>2431.96</v>
      </c>
      <c r="V207" s="23">
        <f>((('Annual Raw'!W80)-370.27)-0)-1266.29</f>
        <v>66.1400000000001</v>
      </c>
      <c r="W207" s="23">
        <f>((('Annual Raw'!X80)-196.29)-0)-819.61</f>
        <v>32.260000000000105</v>
      </c>
      <c r="X207" s="23">
        <f>((('Annual Raw'!Y80)-127.36)-0)-1719.26</f>
        <v>525.83999999999992</v>
      </c>
      <c r="Y207" s="23">
        <f>((('Annual Raw'!Z80)-218.86)-290.87)-0</f>
        <v>657.82999999999993</v>
      </c>
      <c r="Z207" s="23">
        <f>((('Annual Raw'!AA80)-703.18)-765.4)-0</f>
        <v>1045.6500000000001</v>
      </c>
      <c r="AA207" s="23">
        <f>((('Annual Raw'!AB80)-703.18)-765.4)-0</f>
        <v>2070.71</v>
      </c>
      <c r="AB207" s="24">
        <f t="shared" si="1419"/>
        <v>0</v>
      </c>
      <c r="AC207" s="24">
        <f t="shared" si="1420"/>
        <v>0</v>
      </c>
      <c r="AD207" s="24">
        <f t="shared" si="1421"/>
        <v>0</v>
      </c>
      <c r="AE207" s="24">
        <f t="shared" si="1422"/>
        <v>0</v>
      </c>
      <c r="AJ207" s="23">
        <f>+'QTR Raw'!D85</f>
        <v>0</v>
      </c>
      <c r="AK207" s="23">
        <f t="shared" si="1423"/>
        <v>0</v>
      </c>
      <c r="AL207" s="23">
        <f>+'QTR Raw'!F85</f>
        <v>0</v>
      </c>
      <c r="AM207" s="23">
        <f t="shared" si="1423"/>
        <v>0</v>
      </c>
      <c r="AN207" s="23">
        <f>+'QTR Raw'!H85</f>
        <v>0</v>
      </c>
      <c r="AO207" s="23">
        <f t="shared" si="1423"/>
        <v>0</v>
      </c>
      <c r="AP207" s="23">
        <f>+'QTR Raw'!J85</f>
        <v>0</v>
      </c>
      <c r="AQ207" s="23">
        <f t="shared" si="1423"/>
        <v>0</v>
      </c>
      <c r="AR207" s="23">
        <f>+'QTR Raw'!L85</f>
        <v>0</v>
      </c>
      <c r="AS207" s="23">
        <f t="shared" si="1423"/>
        <v>0</v>
      </c>
      <c r="AT207" s="23">
        <f>+'QTR Raw'!N85</f>
        <v>3.23</v>
      </c>
      <c r="AU207" s="23">
        <f t="shared" si="1423"/>
        <v>3.23</v>
      </c>
      <c r="AV207" s="23">
        <f>+'QTR Raw'!P85</f>
        <v>31.25</v>
      </c>
      <c r="AW207" s="23">
        <f t="shared" si="1423"/>
        <v>31.25</v>
      </c>
      <c r="AX207" s="23">
        <f>+'QTR Raw'!R85</f>
        <v>0.18</v>
      </c>
      <c r="AY207" s="23">
        <f t="shared" si="1423"/>
        <v>0.18</v>
      </c>
      <c r="AZ207" s="23">
        <f>+'QTR Raw'!T85</f>
        <v>13.16</v>
      </c>
      <c r="BA207" s="23">
        <f t="shared" si="1423"/>
        <v>13.16</v>
      </c>
      <c r="BB207" s="23">
        <f>+'QTR Raw'!V85</f>
        <v>0.17</v>
      </c>
      <c r="BC207" s="23">
        <f t="shared" si="1423"/>
        <v>0.17</v>
      </c>
      <c r="BD207" s="23">
        <f>+'QTR Raw'!X85</f>
        <v>0.09</v>
      </c>
      <c r="BE207" s="23">
        <f t="shared" si="1423"/>
        <v>0.09</v>
      </c>
      <c r="BF207" s="23">
        <f>+'QTR Raw'!Z85</f>
        <v>0.11</v>
      </c>
      <c r="BG207" s="23">
        <f t="shared" si="1423"/>
        <v>0.11</v>
      </c>
      <c r="BH207" s="23">
        <f>+'QTR Raw'!AB85</f>
        <v>0.22</v>
      </c>
      <c r="BI207" s="23">
        <f t="shared" si="1423"/>
        <v>0.22</v>
      </c>
      <c r="BJ207" s="23">
        <f>+'QTR Raw'!AD85</f>
        <v>8.75</v>
      </c>
      <c r="BK207" s="23">
        <f t="shared" si="1423"/>
        <v>8.75</v>
      </c>
      <c r="BL207" s="23">
        <f>+'QTR Raw'!AF85</f>
        <v>509.54</v>
      </c>
      <c r="BM207" s="23">
        <f t="shared" si="1423"/>
        <v>509.54</v>
      </c>
      <c r="BN207" s="23">
        <f>+'QTR Raw'!AH85</f>
        <v>2409.2800000000002</v>
      </c>
      <c r="BO207" s="23">
        <f t="shared" si="1423"/>
        <v>2409.2800000000002</v>
      </c>
      <c r="BP207" s="23">
        <f>+'QTR Raw'!AJ85</f>
        <v>1124.2</v>
      </c>
      <c r="BQ207" s="23">
        <f t="shared" si="1423"/>
        <v>1124.2</v>
      </c>
      <c r="BR207" s="23">
        <f>+'QTR Raw'!AL85</f>
        <v>24.43</v>
      </c>
      <c r="BS207" s="23">
        <f t="shared" si="1423"/>
        <v>24.43</v>
      </c>
      <c r="BT207" s="23">
        <f>+'QTR Raw'!AN85</f>
        <v>91.05</v>
      </c>
      <c r="BU207" s="23">
        <f t="shared" si="1423"/>
        <v>91.05</v>
      </c>
      <c r="BV207" s="23">
        <f>+'QTR Raw'!AP85</f>
        <v>7.81</v>
      </c>
      <c r="BW207" s="23">
        <f t="shared" si="1423"/>
        <v>7.81</v>
      </c>
      <c r="BX207" s="23">
        <f>+'QTR Raw'!AR85</f>
        <v>504.1</v>
      </c>
      <c r="BY207" s="23">
        <f t="shared" si="1423"/>
        <v>504.1</v>
      </c>
      <c r="BZ207" s="23">
        <f>+'QTR Raw'!AT85</f>
        <v>477.2</v>
      </c>
      <c r="CA207" s="23">
        <f t="shared" si="1423"/>
        <v>477.2</v>
      </c>
      <c r="CB207" s="23">
        <f>+'QTR Raw'!AV85</f>
        <v>476.88</v>
      </c>
      <c r="CC207" s="23">
        <f t="shared" si="1423"/>
        <v>476.88</v>
      </c>
      <c r="CD207" s="23">
        <f>+'QTR Raw'!AX85</f>
        <v>407.78</v>
      </c>
      <c r="CE207" s="23">
        <f t="shared" si="1423"/>
        <v>407.78</v>
      </c>
      <c r="CF207" s="23">
        <f>+'QTR Raw'!AZ85</f>
        <v>7.83</v>
      </c>
      <c r="CG207" s="23">
        <f t="shared" si="1426"/>
        <v>7.83</v>
      </c>
      <c r="CH207" s="23">
        <f t="shared" si="1401"/>
        <v>1045.6500000000001</v>
      </c>
      <c r="CJ207" s="23">
        <f>+'QTR Raw'!BD85</f>
        <v>7.7</v>
      </c>
      <c r="CL207" s="23">
        <f>+'QTR Raw'!BF85</f>
        <v>5.77</v>
      </c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E207" s="123"/>
      <c r="DF207" s="23">
        <v>-1468.58</v>
      </c>
    </row>
    <row r="208" spans="1:111" s="23" customFormat="1" outlineLevel="1" x14ac:dyDescent="0.2">
      <c r="A208" s="23" t="s">
        <v>562</v>
      </c>
      <c r="P208" s="23">
        <v>0</v>
      </c>
      <c r="Q208" s="23">
        <v>2.48</v>
      </c>
      <c r="R208" s="23">
        <v>10.92</v>
      </c>
      <c r="S208" s="23">
        <v>9.35</v>
      </c>
      <c r="T208" s="23">
        <v>86.89</v>
      </c>
      <c r="U208" s="23">
        <v>293.33</v>
      </c>
      <c r="V208" s="23">
        <v>370.27</v>
      </c>
      <c r="W208" s="23">
        <v>196.29</v>
      </c>
      <c r="X208" s="23">
        <v>127.36</v>
      </c>
      <c r="Y208" s="23">
        <v>218.86</v>
      </c>
      <c r="Z208" s="23">
        <v>703.18</v>
      </c>
      <c r="AA208" s="23">
        <v>703.18</v>
      </c>
      <c r="AB208" s="24"/>
      <c r="AC208" s="24"/>
      <c r="AD208" s="24"/>
      <c r="AE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  <c r="DF208" s="23">
        <v>703.18</v>
      </c>
    </row>
    <row r="209" spans="1:111" s="23" customFormat="1" outlineLevel="1" x14ac:dyDescent="0.2">
      <c r="A209" s="23" t="s">
        <v>563</v>
      </c>
      <c r="P209" s="23">
        <v>0</v>
      </c>
      <c r="Q209" s="23">
        <v>0</v>
      </c>
      <c r="R209" s="23">
        <v>0</v>
      </c>
      <c r="S209" s="23">
        <v>0</v>
      </c>
      <c r="T209" s="23">
        <v>0</v>
      </c>
      <c r="U209" s="23">
        <v>0</v>
      </c>
      <c r="V209" s="23">
        <v>0</v>
      </c>
      <c r="W209" s="23">
        <v>0</v>
      </c>
      <c r="X209" s="23">
        <v>0</v>
      </c>
      <c r="Y209" s="23">
        <v>290.87</v>
      </c>
      <c r="Z209" s="75">
        <v>765.4</v>
      </c>
      <c r="AA209" s="75">
        <v>765.4</v>
      </c>
      <c r="AB209" s="24"/>
      <c r="AC209" s="24"/>
      <c r="AD209" s="24"/>
      <c r="AE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E209" s="123"/>
      <c r="DF209" s="23">
        <v>765.4</v>
      </c>
    </row>
    <row r="210" spans="1:111" s="23" customFormat="1" outlineLevel="1" x14ac:dyDescent="0.2">
      <c r="A210" s="23" t="s">
        <v>564</v>
      </c>
      <c r="P210" s="23">
        <v>391.54</v>
      </c>
      <c r="Q210" s="23">
        <v>920.57</v>
      </c>
      <c r="R210" s="23">
        <v>595.65</v>
      </c>
      <c r="S210" s="23">
        <v>596.41</v>
      </c>
      <c r="T210" s="23">
        <v>1071.45</v>
      </c>
      <c r="U210" s="23">
        <v>1105.97</v>
      </c>
      <c r="V210" s="23">
        <v>1266.29</v>
      </c>
      <c r="W210" s="23">
        <v>819.61</v>
      </c>
      <c r="X210" s="23">
        <v>1719.26</v>
      </c>
      <c r="Y210" s="23">
        <v>0</v>
      </c>
      <c r="Z210" s="23">
        <v>0</v>
      </c>
      <c r="AA210" s="23">
        <v>0</v>
      </c>
      <c r="AB210" s="24"/>
      <c r="AC210" s="24"/>
      <c r="AD210" s="24"/>
      <c r="AE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E210" s="123"/>
      <c r="DF210" s="23">
        <v>0</v>
      </c>
    </row>
    <row r="211" spans="1:111" s="22" customFormat="1" x14ac:dyDescent="0.2">
      <c r="A211" s="22" t="s">
        <v>65</v>
      </c>
      <c r="B211" s="22">
        <f t="shared" ref="B211:O211" si="1428">SUM(B195:B207)</f>
        <v>0</v>
      </c>
      <c r="C211" s="22">
        <f t="shared" si="1428"/>
        <v>0</v>
      </c>
      <c r="D211" s="22">
        <f t="shared" si="1428"/>
        <v>0</v>
      </c>
      <c r="E211" s="22">
        <f t="shared" si="1428"/>
        <v>0</v>
      </c>
      <c r="F211" s="22">
        <f t="shared" si="1428"/>
        <v>0</v>
      </c>
      <c r="G211" s="22">
        <f t="shared" si="1428"/>
        <v>0</v>
      </c>
      <c r="H211" s="22">
        <f t="shared" si="1428"/>
        <v>0</v>
      </c>
      <c r="I211" s="22">
        <f t="shared" si="1428"/>
        <v>0</v>
      </c>
      <c r="J211" s="22">
        <f t="shared" si="1428"/>
        <v>0</v>
      </c>
      <c r="K211" s="22">
        <f t="shared" si="1428"/>
        <v>0</v>
      </c>
      <c r="L211" s="22">
        <f t="shared" si="1428"/>
        <v>0</v>
      </c>
      <c r="M211" s="22">
        <f t="shared" si="1428"/>
        <v>0</v>
      </c>
      <c r="N211" s="22">
        <f t="shared" si="1428"/>
        <v>0</v>
      </c>
      <c r="O211" s="22">
        <f t="shared" si="1428"/>
        <v>0</v>
      </c>
      <c r="P211" s="22">
        <f t="shared" ref="P211:Y211" si="1429">SUM(P195:P210)</f>
        <v>879.38999999999987</v>
      </c>
      <c r="Q211" s="22">
        <f t="shared" si="1429"/>
        <v>1258.25</v>
      </c>
      <c r="R211" s="22">
        <f t="shared" si="1429"/>
        <v>1398.27</v>
      </c>
      <c r="S211" s="22">
        <f t="shared" si="1429"/>
        <v>5571.3200000000006</v>
      </c>
      <c r="T211" s="22">
        <f t="shared" si="1429"/>
        <v>6415.0599999999995</v>
      </c>
      <c r="U211" s="22">
        <f t="shared" si="1429"/>
        <v>9965.0499999999993</v>
      </c>
      <c r="V211" s="22">
        <f t="shared" si="1429"/>
        <v>8385.43</v>
      </c>
      <c r="W211" s="22">
        <f t="shared" si="1429"/>
        <v>9047.3700000000026</v>
      </c>
      <c r="X211" s="22">
        <f t="shared" si="1429"/>
        <v>10911.500000000002</v>
      </c>
      <c r="Y211" s="22">
        <f t="shared" si="1429"/>
        <v>11998.670000000004</v>
      </c>
      <c r="Z211" s="22">
        <f>SUM(Z195:Z210)</f>
        <v>20214.580000000005</v>
      </c>
      <c r="AA211" s="22">
        <f>SUM(AA195:AA210)</f>
        <v>35134.67</v>
      </c>
      <c r="AB211" s="21">
        <f>SUM(AB195:AB207)</f>
        <v>50371.156102813395</v>
      </c>
      <c r="AC211" s="21">
        <f>SUM(AC195:AC207)</f>
        <v>52876.348129298851</v>
      </c>
      <c r="AD211" s="21">
        <f>SUM(AD195:AD207)</f>
        <v>58570.290985433196</v>
      </c>
      <c r="AE211" s="21">
        <f>SUM(AE195:AE207)</f>
        <v>66181.758244157667</v>
      </c>
      <c r="AJ211" s="22">
        <f t="shared" ref="AJ211:BO211" si="1430">SUM(AJ195:AJ207)</f>
        <v>0</v>
      </c>
      <c r="AK211" s="22" t="e">
        <f t="shared" si="1430"/>
        <v>#DIV/0!</v>
      </c>
      <c r="AL211" s="22">
        <f t="shared" si="1430"/>
        <v>0</v>
      </c>
      <c r="AM211" s="22" t="e">
        <f t="shared" si="1430"/>
        <v>#DIV/0!</v>
      </c>
      <c r="AN211" s="22">
        <f t="shared" si="1430"/>
        <v>0</v>
      </c>
      <c r="AO211" s="22" t="e">
        <f t="shared" si="1430"/>
        <v>#DIV/0!</v>
      </c>
      <c r="AP211" s="22">
        <f t="shared" si="1430"/>
        <v>0</v>
      </c>
      <c r="AQ211" s="22" t="e">
        <f t="shared" si="1430"/>
        <v>#DIV/0!</v>
      </c>
      <c r="AR211" s="22">
        <f t="shared" si="1430"/>
        <v>0</v>
      </c>
      <c r="AS211" s="22" t="e">
        <f t="shared" si="1430"/>
        <v>#DIV/0!</v>
      </c>
      <c r="AT211" s="22">
        <f t="shared" si="1430"/>
        <v>894.16000000000008</v>
      </c>
      <c r="AU211" s="22">
        <f t="shared" si="1430"/>
        <v>2198.5675710364867</v>
      </c>
      <c r="AV211" s="22">
        <f t="shared" si="1430"/>
        <v>985.91000000000008</v>
      </c>
      <c r="AW211" s="22">
        <f t="shared" si="1430"/>
        <v>971.21438217779667</v>
      </c>
      <c r="AX211" s="22">
        <f t="shared" si="1430"/>
        <v>1255.8399999999999</v>
      </c>
      <c r="AY211" s="22">
        <f t="shared" si="1430"/>
        <v>1253.8856464301386</v>
      </c>
      <c r="AZ211" s="22">
        <f t="shared" si="1430"/>
        <v>1480.17</v>
      </c>
      <c r="BA211" s="22">
        <f t="shared" si="1430"/>
        <v>1501.559523949026</v>
      </c>
      <c r="BB211" s="22">
        <f t="shared" si="1430"/>
        <v>1117.01</v>
      </c>
      <c r="BC211" s="22">
        <f t="shared" si="1430"/>
        <v>1055.1738700246819</v>
      </c>
      <c r="BD211" s="22">
        <f t="shared" si="1430"/>
        <v>1013.9000000000001</v>
      </c>
      <c r="BE211" s="22">
        <f t="shared" si="1430"/>
        <v>1357.1979384764052</v>
      </c>
      <c r="BF211" s="22">
        <f t="shared" si="1430"/>
        <v>4955.9399999999996</v>
      </c>
      <c r="BG211" s="22">
        <f t="shared" si="1430"/>
        <v>4887.4417275353726</v>
      </c>
      <c r="BH211" s="22">
        <f t="shared" si="1430"/>
        <v>6200.7</v>
      </c>
      <c r="BI211" s="22">
        <f t="shared" si="1430"/>
        <v>7115.8605821049468</v>
      </c>
      <c r="BJ211" s="22">
        <f t="shared" si="1430"/>
        <v>6415.0599999999995</v>
      </c>
      <c r="BK211" s="22">
        <f t="shared" si="1430"/>
        <v>6548.6626805889464</v>
      </c>
      <c r="BL211" s="22">
        <f t="shared" si="1430"/>
        <v>6323.57</v>
      </c>
      <c r="BM211" s="22">
        <f t="shared" si="1430"/>
        <v>6403.415206292897</v>
      </c>
      <c r="BN211" s="22">
        <f t="shared" si="1430"/>
        <v>10202.780000000001</v>
      </c>
      <c r="BO211" s="22">
        <f t="shared" si="1430"/>
        <v>9844.6481616650344</v>
      </c>
      <c r="BP211" s="22">
        <f t="shared" ref="BP211:CU211" si="1431">SUM(BP195:BP207)</f>
        <v>10141.27</v>
      </c>
      <c r="BQ211" s="22">
        <f t="shared" si="1431"/>
        <v>10469.835236087731</v>
      </c>
      <c r="BR211" s="22">
        <f t="shared" si="1431"/>
        <v>9478.0499999999993</v>
      </c>
      <c r="BS211" s="22">
        <f t="shared" si="1431"/>
        <v>9525.1842216158529</v>
      </c>
      <c r="BT211" s="22">
        <f t="shared" si="1431"/>
        <v>10494.31</v>
      </c>
      <c r="BU211" s="22">
        <f t="shared" si="1431"/>
        <v>10679.311793628809</v>
      </c>
      <c r="BV211" s="22">
        <f t="shared" si="1431"/>
        <v>10851.789999999999</v>
      </c>
      <c r="BW211" s="22">
        <f t="shared" si="1431"/>
        <v>10921.573574475666</v>
      </c>
      <c r="BX211" s="22">
        <f t="shared" si="1431"/>
        <v>13013.38</v>
      </c>
      <c r="BY211" s="22">
        <f t="shared" si="1431"/>
        <v>13188.399687772953</v>
      </c>
      <c r="BZ211" s="22">
        <f t="shared" si="1431"/>
        <v>12664.570000000002</v>
      </c>
      <c r="CA211" s="22">
        <f t="shared" si="1431"/>
        <v>12809.547268395252</v>
      </c>
      <c r="CB211" s="22">
        <f t="shared" si="1431"/>
        <v>12478.05</v>
      </c>
      <c r="CC211" s="22">
        <f t="shared" si="1431"/>
        <v>12890.140948291582</v>
      </c>
      <c r="CD211" s="22">
        <f t="shared" si="1431"/>
        <v>14404.440000000002</v>
      </c>
      <c r="CE211" s="22">
        <f t="shared" si="1431"/>
        <v>14975.241936326845</v>
      </c>
      <c r="CF211" s="22">
        <f t="shared" si="1431"/>
        <v>19623.410000000003</v>
      </c>
      <c r="CG211" s="22">
        <f t="shared" si="1431"/>
        <v>19350.254613031037</v>
      </c>
      <c r="CH211" s="22">
        <f t="shared" si="1431"/>
        <v>6463.7899999999991</v>
      </c>
      <c r="CI211" s="22">
        <f t="shared" si="1431"/>
        <v>6914.7134197390251</v>
      </c>
      <c r="CJ211" s="22">
        <f t="shared" si="1431"/>
        <v>30158.44</v>
      </c>
      <c r="CK211" s="22">
        <f t="shared" si="1431"/>
        <v>30770.311810037554</v>
      </c>
      <c r="CL211" s="22">
        <f t="shared" ref="CL211" si="1432">SUM(CL195:CL207)</f>
        <v>38141.299999999996</v>
      </c>
      <c r="CM211" s="21">
        <f t="shared" si="1431"/>
        <v>41458.427572096829</v>
      </c>
      <c r="CN211" s="21">
        <f t="shared" si="1431"/>
        <v>43217.709352408274</v>
      </c>
      <c r="CO211" s="21">
        <f t="shared" si="1431"/>
        <v>47939.915703263658</v>
      </c>
      <c r="CP211" s="21">
        <f t="shared" si="1431"/>
        <v>50371.156102813395</v>
      </c>
      <c r="CQ211" s="21">
        <f t="shared" si="1431"/>
        <v>52982.386770349331</v>
      </c>
      <c r="CR211" s="21">
        <f t="shared" si="1431"/>
        <v>51246.572554807091</v>
      </c>
      <c r="CS211" s="21">
        <f t="shared" si="1431"/>
        <v>51708.980965961891</v>
      </c>
      <c r="CT211" s="21">
        <f t="shared" si="1431"/>
        <v>52876.348129298851</v>
      </c>
      <c r="CU211" s="21">
        <f t="shared" si="1431"/>
        <v>53340.134127490026</v>
      </c>
      <c r="CV211" s="21">
        <f t="shared" ref="CV211:DB211" si="1433">SUM(CV195:CV207)</f>
        <v>52991.653438868387</v>
      </c>
      <c r="CW211" s="21">
        <f t="shared" si="1433"/>
        <v>57112.88789902853</v>
      </c>
      <c r="CX211" s="21">
        <f t="shared" si="1433"/>
        <v>58570.290985433196</v>
      </c>
      <c r="CY211" s="21">
        <f t="shared" si="1433"/>
        <v>60836.836929966252</v>
      </c>
      <c r="CZ211" s="21">
        <f t="shared" si="1433"/>
        <v>60806.836120127336</v>
      </c>
      <c r="DA211" s="21">
        <f t="shared" si="1433"/>
        <v>63214.331522355169</v>
      </c>
      <c r="DB211" s="21">
        <f t="shared" si="1433"/>
        <v>66181.758244157667</v>
      </c>
      <c r="DE211" s="126"/>
      <c r="DF211" s="22">
        <v>-2173.5899999999997</v>
      </c>
      <c r="DG211" s="22">
        <v>34718.447338122307</v>
      </c>
    </row>
    <row r="212" spans="1:111" s="23" customFormat="1" outlineLevel="1" x14ac:dyDescent="0.2">
      <c r="A212" s="23" t="s">
        <v>66</v>
      </c>
      <c r="B212" s="23">
        <f>'Annual Raw'!C50+'Annual Raw'!C58</f>
        <v>0</v>
      </c>
      <c r="C212" s="23">
        <f>'Annual Raw'!D50+'Annual Raw'!D58</f>
        <v>0</v>
      </c>
      <c r="D212" s="23">
        <f>'Annual Raw'!E50+'Annual Raw'!E58</f>
        <v>0</v>
      </c>
      <c r="E212" s="23">
        <f>'Annual Raw'!F50+'Annual Raw'!F58</f>
        <v>0</v>
      </c>
      <c r="F212" s="23">
        <f>'Annual Raw'!G50+'Annual Raw'!G58</f>
        <v>0</v>
      </c>
      <c r="G212" s="23">
        <f>'Annual Raw'!H50+'Annual Raw'!H58</f>
        <v>0</v>
      </c>
      <c r="H212" s="23">
        <f>'Annual Raw'!I50+'Annual Raw'!I58</f>
        <v>0</v>
      </c>
      <c r="I212" s="23">
        <f>'Annual Raw'!J50+'Annual Raw'!J58</f>
        <v>0</v>
      </c>
      <c r="J212" s="23">
        <f>'Annual Raw'!K50+'Annual Raw'!K58</f>
        <v>0</v>
      </c>
      <c r="K212" s="23">
        <f>'Annual Raw'!L50+'Annual Raw'!L58</f>
        <v>0</v>
      </c>
      <c r="L212" s="23">
        <f>'Annual Raw'!M50+'Annual Raw'!M58</f>
        <v>0</v>
      </c>
      <c r="M212" s="23">
        <f>'Annual Raw'!N50+'Annual Raw'!N58</f>
        <v>0</v>
      </c>
      <c r="N212" s="23">
        <f>'Annual Raw'!O50+'Annual Raw'!O58</f>
        <v>0</v>
      </c>
      <c r="O212" s="23">
        <f>'Annual Raw'!P50+'Annual Raw'!P58</f>
        <v>0</v>
      </c>
      <c r="P212" s="23">
        <f>'Annual Raw'!Q50+'Annual Raw'!Q58</f>
        <v>3.1</v>
      </c>
      <c r="Q212" s="23">
        <f>'Annual Raw'!R50+'Annual Raw'!R58</f>
        <v>3.35</v>
      </c>
      <c r="R212" s="23">
        <f>(('Annual Raw'!S50+'Annual Raw'!S58)-0.29)-0</f>
        <v>246.36</v>
      </c>
      <c r="S212" s="23">
        <f>(('Annual Raw'!T50+'Annual Raw'!T58)-2.61)-0</f>
        <v>279.02999999999997</v>
      </c>
      <c r="T212" s="23">
        <f>(('Annual Raw'!U50+'Annual Raw'!U58)-45.52)-224.82</f>
        <v>137.44</v>
      </c>
      <c r="U212" s="23">
        <f>(('Annual Raw'!V50+'Annual Raw'!V58)-228.31)-226.9</f>
        <v>242.67</v>
      </c>
      <c r="V212" s="23">
        <f>(('Annual Raw'!W50+'Annual Raw'!W58)-393.34)-231.77</f>
        <v>285.37000000000012</v>
      </c>
      <c r="W212" s="23">
        <f>(('Annual Raw'!X50+'Annual Raw'!X58)-268.61)-290.25</f>
        <v>132.31999999999994</v>
      </c>
      <c r="X212" s="23">
        <f>(('Annual Raw'!Y50+'Annual Raw'!Y58)-219.96)-332.96</f>
        <v>170.57</v>
      </c>
      <c r="Y212" s="23">
        <f>(('Annual Raw'!Z50+'Annual Raw'!Z58)-301.27)-420.37</f>
        <v>257.34000000000003</v>
      </c>
      <c r="Z212" s="75">
        <f>(('Annual Raw'!AA50+'Annual Raw'!AA58)-729.01)-474.75</f>
        <v>390.18000000000006</v>
      </c>
      <c r="AA212" s="75">
        <f>(('Annual Raw'!AB50+'Annual Raw'!AB58)-729.01)-474.75</f>
        <v>959.16000000000008</v>
      </c>
      <c r="AB212" s="24">
        <f t="shared" ref="AB212:AB221" si="1434">+CP212</f>
        <v>0</v>
      </c>
      <c r="AC212" s="24">
        <f t="shared" ref="AC212:AC221" si="1435">+CT212</f>
        <v>0</v>
      </c>
      <c r="AD212" s="24">
        <f t="shared" ref="AD212:AD221" si="1436">+CX212</f>
        <v>0</v>
      </c>
      <c r="AE212" s="24">
        <f t="shared" ref="AE212:AE221" si="1437">+DB212</f>
        <v>0</v>
      </c>
      <c r="AJ212" s="23">
        <f>+'QTR Raw'!D64</f>
        <v>0</v>
      </c>
      <c r="AK212" s="23">
        <f t="shared" ref="AK212:CE221" si="1438">+AJ212</f>
        <v>0</v>
      </c>
      <c r="AL212" s="23">
        <f>+'QTR Raw'!F64</f>
        <v>0</v>
      </c>
      <c r="AM212" s="23">
        <f t="shared" si="1438"/>
        <v>0</v>
      </c>
      <c r="AN212" s="23">
        <f>+'QTR Raw'!H64</f>
        <v>0</v>
      </c>
      <c r="AO212" s="23">
        <f t="shared" si="1438"/>
        <v>0</v>
      </c>
      <c r="AP212" s="23">
        <f>+'QTR Raw'!J64</f>
        <v>0</v>
      </c>
      <c r="AQ212" s="23">
        <f t="shared" si="1438"/>
        <v>0</v>
      </c>
      <c r="AR212" s="23">
        <f>+'QTR Raw'!L64</f>
        <v>0</v>
      </c>
      <c r="AS212" s="23">
        <f t="shared" si="1438"/>
        <v>0</v>
      </c>
      <c r="AT212" s="23">
        <f>+'QTR Raw'!N64</f>
        <v>3.1</v>
      </c>
      <c r="AU212" s="23">
        <f t="shared" si="1438"/>
        <v>3.1</v>
      </c>
      <c r="AV212" s="23">
        <f>+'QTR Raw'!P64</f>
        <v>0</v>
      </c>
      <c r="AW212" s="23">
        <f t="shared" si="1438"/>
        <v>0</v>
      </c>
      <c r="AX212" s="23">
        <f>+'QTR Raw'!R64</f>
        <v>3.35</v>
      </c>
      <c r="AY212" s="23">
        <f t="shared" si="1438"/>
        <v>3.35</v>
      </c>
      <c r="AZ212" s="23">
        <f>+'QTR Raw'!T64</f>
        <v>8.92</v>
      </c>
      <c r="BA212" s="23">
        <f t="shared" si="1438"/>
        <v>8.92</v>
      </c>
      <c r="BB212" s="23">
        <f>+'QTR Raw'!V64</f>
        <v>246.65</v>
      </c>
      <c r="BC212" s="23">
        <f t="shared" si="1438"/>
        <v>246.65</v>
      </c>
      <c r="BD212" s="23">
        <f>+'QTR Raw'!X64</f>
        <v>352.21</v>
      </c>
      <c r="BE212" s="23">
        <f t="shared" si="1438"/>
        <v>352.21</v>
      </c>
      <c r="BF212" s="23">
        <f>+'QTR Raw'!Z64</f>
        <v>281.64</v>
      </c>
      <c r="BG212" s="23">
        <f t="shared" si="1438"/>
        <v>281.64</v>
      </c>
      <c r="BH212" s="23">
        <f>+'QTR Raw'!AB64</f>
        <v>4110.84</v>
      </c>
      <c r="BI212" s="23">
        <f t="shared" si="1438"/>
        <v>4110.84</v>
      </c>
      <c r="BJ212" s="23">
        <f>+'QTR Raw'!AD64</f>
        <v>407.78</v>
      </c>
      <c r="BK212" s="23">
        <f t="shared" si="1438"/>
        <v>407.78</v>
      </c>
      <c r="BL212" s="23">
        <f>+'QTR Raw'!AF64</f>
        <v>404.63</v>
      </c>
      <c r="BM212" s="23">
        <f t="shared" si="1438"/>
        <v>404.63</v>
      </c>
      <c r="BN212" s="23">
        <f>+'QTR Raw'!AH64</f>
        <v>697.88</v>
      </c>
      <c r="BO212" s="23">
        <f t="shared" si="1438"/>
        <v>697.88</v>
      </c>
      <c r="BP212" s="23">
        <f>+'QTR Raw'!AJ64</f>
        <v>760.98</v>
      </c>
      <c r="BQ212" s="23">
        <f t="shared" si="1438"/>
        <v>760.98</v>
      </c>
      <c r="BR212" s="23">
        <f>+'QTR Raw'!AL64</f>
        <v>910.48</v>
      </c>
      <c r="BS212" s="23">
        <f t="shared" si="1438"/>
        <v>910.48</v>
      </c>
      <c r="BT212" s="23">
        <f>+'QTR Raw'!AN64</f>
        <v>837.03</v>
      </c>
      <c r="BU212" s="23">
        <f t="shared" si="1438"/>
        <v>837.03</v>
      </c>
      <c r="BV212" s="23">
        <f>+'QTR Raw'!AP64</f>
        <v>691.18</v>
      </c>
      <c r="BW212" s="23">
        <f t="shared" si="1438"/>
        <v>691.18</v>
      </c>
      <c r="BX212" s="23">
        <f>+'QTR Raw'!AR64</f>
        <v>954</v>
      </c>
      <c r="BY212" s="23">
        <f t="shared" si="1438"/>
        <v>954</v>
      </c>
      <c r="BZ212" s="23">
        <f>+'QTR Raw'!AT64</f>
        <v>723.49</v>
      </c>
      <c r="CA212" s="23">
        <f t="shared" si="1438"/>
        <v>723.49</v>
      </c>
      <c r="CB212" s="23">
        <f>+'QTR Raw'!AV64</f>
        <v>918.3</v>
      </c>
      <c r="CC212" s="23">
        <f t="shared" si="1438"/>
        <v>918.3</v>
      </c>
      <c r="CD212" s="23">
        <f>+'QTR Raw'!AX64</f>
        <v>978.98</v>
      </c>
      <c r="CE212" s="23">
        <f t="shared" si="1438"/>
        <v>978.98</v>
      </c>
      <c r="CF212" s="23">
        <f>+'QTR Raw'!AZ64</f>
        <v>1169.4100000000001</v>
      </c>
      <c r="CG212" s="23">
        <f t="shared" ref="CG212:CG217" si="1439">+CF212</f>
        <v>1169.4100000000001</v>
      </c>
      <c r="CH212" s="23">
        <f t="shared" si="1401"/>
        <v>390.18000000000006</v>
      </c>
      <c r="CJ212" s="23">
        <f>+'QTR Raw'!BD64</f>
        <v>1787.08</v>
      </c>
      <c r="CL212" s="23">
        <f>+'QTR Raw'!BF64</f>
        <v>2284.4899999999998</v>
      </c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  <c r="DF212" s="23">
        <v>-1203.76</v>
      </c>
    </row>
    <row r="213" spans="1:111" s="23" customFormat="1" outlineLevel="1" x14ac:dyDescent="0.2">
      <c r="A213" s="23" t="s">
        <v>559</v>
      </c>
      <c r="R213" s="23">
        <v>0.28999999999999998</v>
      </c>
      <c r="S213" s="23">
        <v>2.61</v>
      </c>
      <c r="T213" s="23">
        <v>45.52</v>
      </c>
      <c r="U213" s="23">
        <v>228.31</v>
      </c>
      <c r="V213" s="23">
        <v>393.34</v>
      </c>
      <c r="W213" s="23">
        <v>268.61</v>
      </c>
      <c r="X213" s="23">
        <v>219.96</v>
      </c>
      <c r="Y213" s="23">
        <v>301.27</v>
      </c>
      <c r="Z213" s="23">
        <v>729.01</v>
      </c>
      <c r="AA213" s="23">
        <v>729.01</v>
      </c>
      <c r="AB213" s="24"/>
      <c r="AC213" s="24"/>
      <c r="AD213" s="24"/>
      <c r="AE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E213" s="123"/>
      <c r="DF213" s="23">
        <v>729.01</v>
      </c>
    </row>
    <row r="214" spans="1:111" s="23" customFormat="1" outlineLevel="1" x14ac:dyDescent="0.2">
      <c r="A214" s="23" t="s">
        <v>560</v>
      </c>
      <c r="R214" s="23">
        <v>0</v>
      </c>
      <c r="S214" s="23">
        <v>0</v>
      </c>
      <c r="T214" s="23">
        <v>224.82</v>
      </c>
      <c r="U214" s="23">
        <v>226.9</v>
      </c>
      <c r="V214" s="23">
        <v>231.77</v>
      </c>
      <c r="W214" s="23">
        <v>290.25</v>
      </c>
      <c r="X214" s="23">
        <v>332.96</v>
      </c>
      <c r="Y214" s="23">
        <v>420.37</v>
      </c>
      <c r="Z214" s="23">
        <v>474.75</v>
      </c>
      <c r="AA214" s="23">
        <v>474.75</v>
      </c>
      <c r="AB214" s="24"/>
      <c r="AC214" s="24"/>
      <c r="AD214" s="24"/>
      <c r="AE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E214" s="123"/>
      <c r="DF214" s="23">
        <v>474.75</v>
      </c>
    </row>
    <row r="215" spans="1:111" s="23" customFormat="1" outlineLevel="1" x14ac:dyDescent="0.2">
      <c r="A215" s="23" t="s">
        <v>67</v>
      </c>
      <c r="B215" s="23">
        <f>'Annual Raw'!C51</f>
        <v>0</v>
      </c>
      <c r="C215" s="23">
        <f>'Annual Raw'!D51</f>
        <v>0</v>
      </c>
      <c r="D215" s="23">
        <f>'Annual Raw'!E51</f>
        <v>0</v>
      </c>
      <c r="E215" s="23">
        <f>'Annual Raw'!F51</f>
        <v>0</v>
      </c>
      <c r="F215" s="23">
        <f>'Annual Raw'!G51</f>
        <v>0</v>
      </c>
      <c r="G215" s="23">
        <f>'Annual Raw'!H51</f>
        <v>0</v>
      </c>
      <c r="H215" s="23">
        <f>'Annual Raw'!I51</f>
        <v>0</v>
      </c>
      <c r="I215" s="23">
        <f>'Annual Raw'!J51</f>
        <v>0</v>
      </c>
      <c r="J215" s="23">
        <f>'Annual Raw'!K51</f>
        <v>0</v>
      </c>
      <c r="K215" s="23">
        <f>'Annual Raw'!L51</f>
        <v>0</v>
      </c>
      <c r="L215" s="23">
        <f>'Annual Raw'!M51</f>
        <v>0</v>
      </c>
      <c r="M215" s="23">
        <f>'Annual Raw'!N51</f>
        <v>0</v>
      </c>
      <c r="N215" s="23">
        <f>'Annual Raw'!O51</f>
        <v>0</v>
      </c>
      <c r="O215" s="23">
        <f>'Annual Raw'!P51</f>
        <v>0</v>
      </c>
      <c r="P215" s="23">
        <f>'Annual Raw'!Q51</f>
        <v>0</v>
      </c>
      <c r="Q215" s="23">
        <f>'Annual Raw'!R51</f>
        <v>0</v>
      </c>
      <c r="R215" s="23">
        <f>'Annual Raw'!S51</f>
        <v>0</v>
      </c>
      <c r="S215" s="23">
        <f>'Annual Raw'!T51</f>
        <v>0</v>
      </c>
      <c r="T215" s="23">
        <f>'Annual Raw'!U51</f>
        <v>21.8</v>
      </c>
      <c r="U215" s="23">
        <f>'Annual Raw'!V51</f>
        <v>29.35</v>
      </c>
      <c r="V215" s="23">
        <f>'Annual Raw'!W51</f>
        <v>31.93</v>
      </c>
      <c r="W215" s="23">
        <f>'Annual Raw'!X51</f>
        <v>32.22</v>
      </c>
      <c r="X215" s="23">
        <f>'Annual Raw'!Y51</f>
        <v>32.76</v>
      </c>
      <c r="Y215" s="23">
        <f>'Annual Raw'!Z51</f>
        <v>37.39</v>
      </c>
      <c r="Z215" s="23">
        <f>'Annual Raw'!AA51</f>
        <v>38.880000000000003</v>
      </c>
      <c r="AA215" s="23">
        <f>'Annual Raw'!AB51</f>
        <v>40.06</v>
      </c>
      <c r="AB215" s="24">
        <f t="shared" si="1434"/>
        <v>0</v>
      </c>
      <c r="AC215" s="24">
        <f t="shared" si="1435"/>
        <v>0</v>
      </c>
      <c r="AD215" s="24">
        <f t="shared" si="1436"/>
        <v>0</v>
      </c>
      <c r="AE215" s="24">
        <f t="shared" si="1437"/>
        <v>0</v>
      </c>
      <c r="AJ215" s="23">
        <f>+'QTR Raw'!D65</f>
        <v>0</v>
      </c>
      <c r="AK215" s="23">
        <f t="shared" si="1438"/>
        <v>0</v>
      </c>
      <c r="AL215" s="23">
        <f>+'QTR Raw'!F65</f>
        <v>0</v>
      </c>
      <c r="AM215" s="23">
        <f t="shared" si="1438"/>
        <v>0</v>
      </c>
      <c r="AN215" s="23">
        <f>+'QTR Raw'!H65</f>
        <v>0</v>
      </c>
      <c r="AO215" s="23">
        <f t="shared" si="1438"/>
        <v>0</v>
      </c>
      <c r="AP215" s="23">
        <f>+'QTR Raw'!J65</f>
        <v>0</v>
      </c>
      <c r="AQ215" s="23">
        <f t="shared" si="1438"/>
        <v>0</v>
      </c>
      <c r="AR215" s="23">
        <f>+'QTR Raw'!L65</f>
        <v>0</v>
      </c>
      <c r="AS215" s="23">
        <f t="shared" si="1438"/>
        <v>0</v>
      </c>
      <c r="AT215" s="23">
        <f>+'QTR Raw'!N65</f>
        <v>0</v>
      </c>
      <c r="AU215" s="23">
        <f t="shared" si="1438"/>
        <v>0</v>
      </c>
      <c r="AV215" s="23">
        <f>+'QTR Raw'!P65</f>
        <v>0</v>
      </c>
      <c r="AW215" s="23">
        <f t="shared" si="1438"/>
        <v>0</v>
      </c>
      <c r="AX215" s="23">
        <f>+'QTR Raw'!R65</f>
        <v>0</v>
      </c>
      <c r="AY215" s="23">
        <f t="shared" si="1438"/>
        <v>0</v>
      </c>
      <c r="AZ215" s="23">
        <f>+'QTR Raw'!T65</f>
        <v>0</v>
      </c>
      <c r="BA215" s="23">
        <f t="shared" si="1438"/>
        <v>0</v>
      </c>
      <c r="BB215" s="23">
        <f>+'QTR Raw'!V65</f>
        <v>0</v>
      </c>
      <c r="BC215" s="23">
        <f t="shared" si="1438"/>
        <v>0</v>
      </c>
      <c r="BD215" s="23">
        <f>+'QTR Raw'!X65</f>
        <v>0</v>
      </c>
      <c r="BE215" s="23">
        <f t="shared" si="1438"/>
        <v>0</v>
      </c>
      <c r="BF215" s="23">
        <f>+'QTR Raw'!Z65</f>
        <v>0</v>
      </c>
      <c r="BG215" s="23">
        <f t="shared" si="1438"/>
        <v>0</v>
      </c>
      <c r="BH215" s="23">
        <f>+'QTR Raw'!AB65</f>
        <v>0</v>
      </c>
      <c r="BI215" s="23">
        <f t="shared" si="1438"/>
        <v>0</v>
      </c>
      <c r="BJ215" s="23">
        <f>+'QTR Raw'!AD65</f>
        <v>21.8</v>
      </c>
      <c r="BK215" s="23">
        <f t="shared" si="1438"/>
        <v>21.8</v>
      </c>
      <c r="BL215" s="23">
        <f>+'QTR Raw'!AF65</f>
        <v>21.8</v>
      </c>
      <c r="BM215" s="23">
        <f t="shared" si="1438"/>
        <v>21.8</v>
      </c>
      <c r="BN215" s="23">
        <f>+'QTR Raw'!AH65</f>
        <v>29.35</v>
      </c>
      <c r="BO215" s="23">
        <f t="shared" si="1438"/>
        <v>29.35</v>
      </c>
      <c r="BP215" s="23">
        <f>+'QTR Raw'!AJ65</f>
        <v>34.979999999999997</v>
      </c>
      <c r="BQ215" s="23">
        <f t="shared" si="1438"/>
        <v>34.979999999999997</v>
      </c>
      <c r="BR215" s="23">
        <f>+'QTR Raw'!AL65</f>
        <v>31.93</v>
      </c>
      <c r="BS215" s="23">
        <f t="shared" si="1438"/>
        <v>31.93</v>
      </c>
      <c r="BT215" s="23">
        <f>+'QTR Raw'!AN65</f>
        <v>33.43</v>
      </c>
      <c r="BU215" s="23">
        <f t="shared" si="1438"/>
        <v>33.43</v>
      </c>
      <c r="BV215" s="23">
        <f>+'QTR Raw'!AP65</f>
        <v>32.22</v>
      </c>
      <c r="BW215" s="23">
        <f t="shared" si="1438"/>
        <v>32.22</v>
      </c>
      <c r="BX215" s="23">
        <f>+'QTR Raw'!AR65</f>
        <v>33.72</v>
      </c>
      <c r="BY215" s="23">
        <f t="shared" si="1438"/>
        <v>33.72</v>
      </c>
      <c r="BZ215" s="23">
        <f>+'QTR Raw'!AT65</f>
        <v>32.76</v>
      </c>
      <c r="CA215" s="23">
        <f t="shared" si="1438"/>
        <v>32.76</v>
      </c>
      <c r="CB215" s="23">
        <f>+'QTR Raw'!AV65</f>
        <v>34.26</v>
      </c>
      <c r="CC215" s="23">
        <f t="shared" si="1438"/>
        <v>34.26</v>
      </c>
      <c r="CD215" s="23">
        <f>+'QTR Raw'!AX65</f>
        <v>37.39</v>
      </c>
      <c r="CE215" s="23">
        <f t="shared" si="1438"/>
        <v>37.39</v>
      </c>
      <c r="CF215" s="23">
        <f>+'QTR Raw'!AZ65</f>
        <v>40.39</v>
      </c>
      <c r="CG215" s="23">
        <f t="shared" si="1439"/>
        <v>40.39</v>
      </c>
      <c r="CH215" s="23">
        <f t="shared" si="1401"/>
        <v>38.880000000000003</v>
      </c>
      <c r="CJ215" s="23">
        <f>+'QTR Raw'!BD65</f>
        <v>38.880000000000003</v>
      </c>
      <c r="CL215" s="23">
        <f>+'QTR Raw'!BF65</f>
        <v>40.06</v>
      </c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E215" s="123"/>
      <c r="DF215" s="23">
        <v>0</v>
      </c>
    </row>
    <row r="216" spans="1:111" s="23" customFormat="1" outlineLevel="1" x14ac:dyDescent="0.2">
      <c r="A216" s="23" t="s">
        <v>68</v>
      </c>
      <c r="B216" s="23">
        <f>'Annual Raw'!C52</f>
        <v>0</v>
      </c>
      <c r="C216" s="23">
        <f>'Annual Raw'!D52</f>
        <v>0</v>
      </c>
      <c r="D216" s="23">
        <f>'Annual Raw'!E52</f>
        <v>0</v>
      </c>
      <c r="E216" s="23">
        <f>'Annual Raw'!F52</f>
        <v>0</v>
      </c>
      <c r="F216" s="23">
        <f>'Annual Raw'!G52</f>
        <v>0</v>
      </c>
      <c r="G216" s="23">
        <f>'Annual Raw'!H52</f>
        <v>0</v>
      </c>
      <c r="H216" s="23">
        <f>'Annual Raw'!I52</f>
        <v>0</v>
      </c>
      <c r="I216" s="23">
        <f>'Annual Raw'!J52</f>
        <v>0</v>
      </c>
      <c r="J216" s="23">
        <f>'Annual Raw'!K52</f>
        <v>0</v>
      </c>
      <c r="K216" s="23">
        <f>'Annual Raw'!L52</f>
        <v>0</v>
      </c>
      <c r="L216" s="23">
        <f>'Annual Raw'!M52</f>
        <v>0</v>
      </c>
      <c r="M216" s="23">
        <f>'Annual Raw'!N52</f>
        <v>0</v>
      </c>
      <c r="N216" s="23">
        <f>'Annual Raw'!O52</f>
        <v>0</v>
      </c>
      <c r="O216" s="23">
        <f>'Annual Raw'!P52</f>
        <v>0</v>
      </c>
      <c r="P216" s="23">
        <f>'Annual Raw'!Q52</f>
        <v>7.5</v>
      </c>
      <c r="Q216" s="23">
        <f>'Annual Raw'!R52</f>
        <v>5.57</v>
      </c>
      <c r="R216" s="23">
        <f>'Annual Raw'!S52</f>
        <v>281.3</v>
      </c>
      <c r="S216" s="23">
        <f>'Annual Raw'!T52</f>
        <v>9.57</v>
      </c>
      <c r="T216" s="23">
        <f>'Annual Raw'!U52</f>
        <v>447.07</v>
      </c>
      <c r="U216" s="23">
        <f>'Annual Raw'!V52</f>
        <v>275.58</v>
      </c>
      <c r="V216" s="23">
        <f>'Annual Raw'!W52</f>
        <v>584.52</v>
      </c>
      <c r="W216" s="23">
        <f>'Annual Raw'!X52</f>
        <v>617.47</v>
      </c>
      <c r="X216" s="23">
        <f>'Annual Raw'!Y52</f>
        <v>527.73</v>
      </c>
      <c r="Y216" s="23">
        <f>'Annual Raw'!Z52</f>
        <v>630.23</v>
      </c>
      <c r="Z216" s="23">
        <f>'Annual Raw'!AA52</f>
        <v>553.57000000000005</v>
      </c>
      <c r="AA216" s="23">
        <f>'Annual Raw'!AB52</f>
        <v>680.99</v>
      </c>
      <c r="AB216" s="24">
        <f t="shared" si="1434"/>
        <v>0</v>
      </c>
      <c r="AC216" s="24">
        <f t="shared" si="1435"/>
        <v>0</v>
      </c>
      <c r="AD216" s="24">
        <f t="shared" si="1436"/>
        <v>0</v>
      </c>
      <c r="AE216" s="24">
        <f t="shared" si="1437"/>
        <v>0</v>
      </c>
      <c r="AJ216" s="23">
        <f>+'QTR Raw'!D66</f>
        <v>0</v>
      </c>
      <c r="AK216" s="23">
        <f t="shared" si="1438"/>
        <v>0</v>
      </c>
      <c r="AL216" s="23">
        <f>+'QTR Raw'!F66</f>
        <v>0</v>
      </c>
      <c r="AM216" s="23">
        <f t="shared" si="1438"/>
        <v>0</v>
      </c>
      <c r="AN216" s="23">
        <f>+'QTR Raw'!H66</f>
        <v>0</v>
      </c>
      <c r="AO216" s="23">
        <f t="shared" si="1438"/>
        <v>0</v>
      </c>
      <c r="AP216" s="23">
        <f>+'QTR Raw'!J66</f>
        <v>0</v>
      </c>
      <c r="AQ216" s="23">
        <f t="shared" si="1438"/>
        <v>0</v>
      </c>
      <c r="AR216" s="23">
        <f>+'QTR Raw'!L66</f>
        <v>0</v>
      </c>
      <c r="AS216" s="23">
        <f t="shared" si="1438"/>
        <v>0</v>
      </c>
      <c r="AT216" s="23">
        <f>+'QTR Raw'!N66</f>
        <v>7.5</v>
      </c>
      <c r="AU216" s="23">
        <f t="shared" si="1438"/>
        <v>7.5</v>
      </c>
      <c r="AV216" s="23">
        <f>+'QTR Raw'!P66</f>
        <v>9.31</v>
      </c>
      <c r="AW216" s="23">
        <f t="shared" si="1438"/>
        <v>9.31</v>
      </c>
      <c r="AX216" s="23">
        <f>+'QTR Raw'!R66</f>
        <v>5.57</v>
      </c>
      <c r="AY216" s="23">
        <f t="shared" si="1438"/>
        <v>5.57</v>
      </c>
      <c r="AZ216" s="23">
        <f>+'QTR Raw'!T66</f>
        <v>8.17</v>
      </c>
      <c r="BA216" s="23">
        <f t="shared" si="1438"/>
        <v>8.17</v>
      </c>
      <c r="BB216" s="23">
        <f>+'QTR Raw'!V66</f>
        <v>4.62</v>
      </c>
      <c r="BC216" s="23">
        <f t="shared" si="1438"/>
        <v>4.62</v>
      </c>
      <c r="BD216" s="23">
        <f>+'QTR Raw'!X66</f>
        <v>2.66</v>
      </c>
      <c r="BE216" s="23">
        <f t="shared" si="1438"/>
        <v>2.66</v>
      </c>
      <c r="BF216" s="23">
        <f>+'QTR Raw'!Z66</f>
        <v>3.55</v>
      </c>
      <c r="BG216" s="23">
        <f t="shared" si="1438"/>
        <v>3.55</v>
      </c>
      <c r="BH216" s="23">
        <f>+'QTR Raw'!AB66</f>
        <v>192.42</v>
      </c>
      <c r="BI216" s="23">
        <f t="shared" si="1438"/>
        <v>192.42</v>
      </c>
      <c r="BJ216" s="23">
        <f>+'QTR Raw'!AD66</f>
        <v>447.07</v>
      </c>
      <c r="BK216" s="23">
        <f t="shared" si="1438"/>
        <v>447.07</v>
      </c>
      <c r="BL216" s="23">
        <f>+'QTR Raw'!AF66</f>
        <v>447.61</v>
      </c>
      <c r="BM216" s="23">
        <f t="shared" si="1438"/>
        <v>447.61</v>
      </c>
      <c r="BN216" s="23">
        <f>+'QTR Raw'!AH66</f>
        <v>275.58</v>
      </c>
      <c r="BO216" s="23">
        <f t="shared" si="1438"/>
        <v>275.58</v>
      </c>
      <c r="BP216" s="23">
        <f>+'QTR Raw'!AJ66</f>
        <v>349.7</v>
      </c>
      <c r="BQ216" s="23">
        <f t="shared" si="1438"/>
        <v>349.7</v>
      </c>
      <c r="BR216" s="23">
        <f>+'QTR Raw'!AL66</f>
        <v>584.52</v>
      </c>
      <c r="BS216" s="23">
        <f t="shared" si="1438"/>
        <v>584.52</v>
      </c>
      <c r="BT216" s="23">
        <f>+'QTR Raw'!AN66</f>
        <v>656.16</v>
      </c>
      <c r="BU216" s="23">
        <f t="shared" si="1438"/>
        <v>656.16</v>
      </c>
      <c r="BV216" s="23">
        <f>+'QTR Raw'!AP66</f>
        <v>617.47</v>
      </c>
      <c r="BW216" s="23">
        <f t="shared" si="1438"/>
        <v>617.47</v>
      </c>
      <c r="BX216" s="23">
        <f>+'QTR Raw'!AR66</f>
        <v>641.01</v>
      </c>
      <c r="BY216" s="23">
        <f t="shared" si="1438"/>
        <v>641.01</v>
      </c>
      <c r="BZ216" s="23">
        <f>+'QTR Raw'!AT66</f>
        <v>527.73</v>
      </c>
      <c r="CA216" s="23">
        <f t="shared" si="1438"/>
        <v>527.73</v>
      </c>
      <c r="CB216" s="23">
        <f>+'QTR Raw'!AV66</f>
        <v>597.95000000000005</v>
      </c>
      <c r="CC216" s="23">
        <f t="shared" si="1438"/>
        <v>597.95000000000005</v>
      </c>
      <c r="CD216" s="23">
        <f>+'QTR Raw'!AX66</f>
        <v>630.23</v>
      </c>
      <c r="CE216" s="23">
        <f t="shared" si="1438"/>
        <v>630.23</v>
      </c>
      <c r="CF216" s="23">
        <f>+'QTR Raw'!AZ66</f>
        <v>602.92999999999995</v>
      </c>
      <c r="CG216" s="23">
        <f t="shared" si="1439"/>
        <v>602.92999999999995</v>
      </c>
      <c r="CH216" s="23">
        <f t="shared" si="1401"/>
        <v>553.57000000000005</v>
      </c>
      <c r="CJ216" s="23">
        <f>+'QTR Raw'!BD66</f>
        <v>546.11</v>
      </c>
      <c r="CL216" s="23">
        <f>+'QTR Raw'!BF66</f>
        <v>680.99</v>
      </c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E216" s="123"/>
      <c r="DF216" s="23">
        <v>0</v>
      </c>
    </row>
    <row r="217" spans="1:111" s="23" customFormat="1" outlineLevel="1" x14ac:dyDescent="0.2">
      <c r="A217" s="23" t="s">
        <v>69</v>
      </c>
      <c r="B217" s="23">
        <v>0</v>
      </c>
      <c r="C217" s="23">
        <v>0</v>
      </c>
      <c r="D217" s="23">
        <v>0</v>
      </c>
      <c r="E217" s="23">
        <v>0</v>
      </c>
      <c r="F217" s="23">
        <v>0</v>
      </c>
      <c r="G217" s="23">
        <v>0</v>
      </c>
      <c r="H217" s="23">
        <v>0</v>
      </c>
      <c r="I217" s="23">
        <v>0</v>
      </c>
      <c r="J217" s="23">
        <v>0</v>
      </c>
      <c r="K217" s="23">
        <v>0</v>
      </c>
      <c r="L217" s="23">
        <v>0</v>
      </c>
      <c r="M217" s="23">
        <v>0</v>
      </c>
      <c r="N217" s="23">
        <v>0</v>
      </c>
      <c r="O217" s="23">
        <v>0</v>
      </c>
      <c r="P217" s="23">
        <v>0</v>
      </c>
      <c r="Q217" s="23">
        <v>0</v>
      </c>
      <c r="R217" s="23">
        <v>0</v>
      </c>
      <c r="S217" s="23">
        <v>0</v>
      </c>
      <c r="T217" s="23">
        <v>0</v>
      </c>
      <c r="U217" s="23">
        <v>0</v>
      </c>
      <c r="V217" s="23">
        <v>0</v>
      </c>
      <c r="W217" s="23">
        <v>0</v>
      </c>
      <c r="X217" s="23">
        <v>0</v>
      </c>
      <c r="Y217" s="23">
        <v>0</v>
      </c>
      <c r="Z217" s="23">
        <v>0</v>
      </c>
      <c r="AA217" s="23">
        <v>0</v>
      </c>
      <c r="AB217" s="24">
        <f t="shared" si="1434"/>
        <v>4736.3576825435339</v>
      </c>
      <c r="AC217" s="24">
        <f t="shared" si="1435"/>
        <v>5725.7244640339277</v>
      </c>
      <c r="AD217" s="24">
        <f t="shared" si="1436"/>
        <v>6592.1576311572926</v>
      </c>
      <c r="AE217" s="24">
        <f t="shared" si="1437"/>
        <v>7448.8375473691394</v>
      </c>
      <c r="AJ217" s="23">
        <f>+'QTR Raw'!D87</f>
        <v>0</v>
      </c>
      <c r="AK217" s="23">
        <f t="shared" si="1438"/>
        <v>0</v>
      </c>
      <c r="AL217" s="23">
        <f>+'QTR Raw'!F87</f>
        <v>0</v>
      </c>
      <c r="AM217" s="23">
        <f t="shared" si="1438"/>
        <v>0</v>
      </c>
      <c r="AN217" s="23">
        <f>+'QTR Raw'!H87</f>
        <v>0</v>
      </c>
      <c r="AO217" s="23">
        <f t="shared" si="1438"/>
        <v>0</v>
      </c>
      <c r="AP217" s="23">
        <f>+'QTR Raw'!J87</f>
        <v>0</v>
      </c>
      <c r="AQ217" s="23">
        <f t="shared" si="1438"/>
        <v>0</v>
      </c>
      <c r="AR217" s="23">
        <f>+'QTR Raw'!L87</f>
        <v>0</v>
      </c>
      <c r="AS217" s="23">
        <f t="shared" si="1438"/>
        <v>0</v>
      </c>
      <c r="AT217" s="23">
        <f>+'QTR Raw'!N87</f>
        <v>0</v>
      </c>
      <c r="AU217" s="23">
        <f t="shared" si="1438"/>
        <v>0</v>
      </c>
      <c r="AV217" s="23">
        <f>+'QTR Raw'!P87</f>
        <v>0</v>
      </c>
      <c r="AW217" s="23">
        <f t="shared" si="1438"/>
        <v>0</v>
      </c>
      <c r="AX217" s="23">
        <f>+'QTR Raw'!R87</f>
        <v>0</v>
      </c>
      <c r="AY217" s="23">
        <f t="shared" si="1438"/>
        <v>0</v>
      </c>
      <c r="AZ217" s="23">
        <f>+'QTR Raw'!T87</f>
        <v>0</v>
      </c>
      <c r="BA217" s="23">
        <f t="shared" si="1438"/>
        <v>0</v>
      </c>
      <c r="BB217" s="23">
        <f>+'QTR Raw'!V87</f>
        <v>0</v>
      </c>
      <c r="BC217" s="23">
        <f t="shared" si="1438"/>
        <v>0</v>
      </c>
      <c r="BD217" s="23">
        <f>+'QTR Raw'!X87</f>
        <v>0</v>
      </c>
      <c r="BE217" s="23">
        <f t="shared" si="1438"/>
        <v>0</v>
      </c>
      <c r="BF217" s="23">
        <f>+'QTR Raw'!Z87</f>
        <v>0</v>
      </c>
      <c r="BG217" s="23">
        <f t="shared" si="1438"/>
        <v>0</v>
      </c>
      <c r="BH217" s="23">
        <f>+'QTR Raw'!AB87</f>
        <v>0</v>
      </c>
      <c r="BI217" s="23">
        <f t="shared" si="1438"/>
        <v>0</v>
      </c>
      <c r="BJ217" s="23">
        <f>+'QTR Raw'!AD87</f>
        <v>0</v>
      </c>
      <c r="BK217" s="23">
        <f t="shared" si="1438"/>
        <v>0</v>
      </c>
      <c r="BL217" s="23">
        <f>+'QTR Raw'!AF87</f>
        <v>0</v>
      </c>
      <c r="BM217" s="23">
        <f t="shared" si="1438"/>
        <v>0</v>
      </c>
      <c r="BN217" s="23">
        <f>+'QTR Raw'!AH87</f>
        <v>0</v>
      </c>
      <c r="BO217" s="23">
        <f t="shared" si="1438"/>
        <v>0</v>
      </c>
      <c r="BP217" s="23">
        <f>+'QTR Raw'!AJ87</f>
        <v>0</v>
      </c>
      <c r="BQ217" s="23">
        <f t="shared" si="1438"/>
        <v>0</v>
      </c>
      <c r="BR217" s="23">
        <f>+'QTR Raw'!AL87</f>
        <v>0</v>
      </c>
      <c r="BS217" s="23">
        <f t="shared" si="1438"/>
        <v>0</v>
      </c>
      <c r="BT217" s="23">
        <f>+'QTR Raw'!AN87</f>
        <v>0</v>
      </c>
      <c r="BU217" s="23">
        <f t="shared" si="1438"/>
        <v>0</v>
      </c>
      <c r="BV217" s="23">
        <f>+'QTR Raw'!AP87</f>
        <v>0</v>
      </c>
      <c r="BW217" s="23">
        <f t="shared" si="1438"/>
        <v>0</v>
      </c>
      <c r="BX217" s="23">
        <f>+'QTR Raw'!AR87</f>
        <v>0</v>
      </c>
      <c r="BY217" s="23">
        <f t="shared" si="1438"/>
        <v>0</v>
      </c>
      <c r="BZ217" s="23">
        <f>+'QTR Raw'!AT87</f>
        <v>0</v>
      </c>
      <c r="CA217" s="23">
        <f t="shared" si="1438"/>
        <v>0</v>
      </c>
      <c r="CB217" s="23">
        <f>+'QTR Raw'!AV87</f>
        <v>0</v>
      </c>
      <c r="CC217" s="23">
        <f t="shared" si="1438"/>
        <v>0</v>
      </c>
      <c r="CD217" s="23">
        <f>+'QTR Raw'!AX87</f>
        <v>0</v>
      </c>
      <c r="CE217" s="23">
        <f t="shared" si="1438"/>
        <v>0</v>
      </c>
      <c r="CF217" s="23">
        <f>+'QTR Raw'!AZ87</f>
        <v>0</v>
      </c>
      <c r="CG217" s="23">
        <f t="shared" si="1439"/>
        <v>0</v>
      </c>
      <c r="CH217" s="23">
        <f t="shared" si="1401"/>
        <v>0</v>
      </c>
      <c r="CI217" s="23">
        <f>CI61/90*CI251</f>
        <v>3466.1768930972703</v>
      </c>
      <c r="CJ217" s="23">
        <f>+'QTR Raw'!BD87</f>
        <v>0</v>
      </c>
      <c r="CK217" s="23">
        <f t="shared" ref="CK217:DB217" si="1440">CK61/90*CK251</f>
        <v>6622.5094966061897</v>
      </c>
      <c r="CL217" s="23">
        <f>+'QTR Raw'!BF87</f>
        <v>0</v>
      </c>
      <c r="CM217" s="24">
        <f t="shared" si="1440"/>
        <v>5685.7142311116286</v>
      </c>
      <c r="CN217" s="24">
        <f t="shared" si="1440"/>
        <v>5170.7424102767864</v>
      </c>
      <c r="CO217" s="24">
        <f t="shared" si="1440"/>
        <v>4981.4687111432258</v>
      </c>
      <c r="CP217" s="24">
        <f t="shared" si="1440"/>
        <v>4736.3576825435339</v>
      </c>
      <c r="CQ217" s="24">
        <f t="shared" si="1440"/>
        <v>5151.4394275776112</v>
      </c>
      <c r="CR217" s="24">
        <f t="shared" si="1440"/>
        <v>5158.2184127367409</v>
      </c>
      <c r="CS217" s="24">
        <f t="shared" si="1440"/>
        <v>5394.8346462403242</v>
      </c>
      <c r="CT217" s="24">
        <f t="shared" si="1440"/>
        <v>5725.7244640339277</v>
      </c>
      <c r="CU217" s="24">
        <f t="shared" si="1440"/>
        <v>6003.4971027024376</v>
      </c>
      <c r="CV217" s="24">
        <f t="shared" si="1440"/>
        <v>5964.2751764979148</v>
      </c>
      <c r="CW217" s="24">
        <f t="shared" si="1440"/>
        <v>6428.1251376171094</v>
      </c>
      <c r="CX217" s="24">
        <f t="shared" si="1440"/>
        <v>6592.1576311572926</v>
      </c>
      <c r="CY217" s="24">
        <f t="shared" si="1440"/>
        <v>6847.260139497881</v>
      </c>
      <c r="CZ217" s="24">
        <f t="shared" si="1440"/>
        <v>6843.8835117879444</v>
      </c>
      <c r="DA217" s="24">
        <f t="shared" si="1440"/>
        <v>7114.8500533699116</v>
      </c>
      <c r="DB217" s="24">
        <f t="shared" si="1440"/>
        <v>7448.8375473691394</v>
      </c>
      <c r="DE217" s="123"/>
      <c r="DF217" s="23">
        <v>0</v>
      </c>
      <c r="DG217" s="23">
        <v>5441.1024381827156</v>
      </c>
    </row>
    <row r="218" spans="1:111" s="23" customFormat="1" outlineLevel="1" x14ac:dyDescent="0.2">
      <c r="A218" s="23" t="s">
        <v>70</v>
      </c>
      <c r="B218" s="23">
        <f>'Annual Raw'!C54</f>
        <v>0</v>
      </c>
      <c r="C218" s="23">
        <f>'Annual Raw'!D54</f>
        <v>0</v>
      </c>
      <c r="D218" s="23">
        <f>'Annual Raw'!E54</f>
        <v>0</v>
      </c>
      <c r="E218" s="23">
        <f>'Annual Raw'!F54</f>
        <v>0</v>
      </c>
      <c r="F218" s="23">
        <f>'Annual Raw'!G54</f>
        <v>0</v>
      </c>
      <c r="G218" s="23">
        <f>'Annual Raw'!H54</f>
        <v>0</v>
      </c>
      <c r="H218" s="23">
        <f>'Annual Raw'!I54</f>
        <v>0</v>
      </c>
      <c r="I218" s="23">
        <f>'Annual Raw'!J54</f>
        <v>0</v>
      </c>
      <c r="J218" s="23">
        <f>'Annual Raw'!K54</f>
        <v>0</v>
      </c>
      <c r="K218" s="23">
        <f>'Annual Raw'!L54</f>
        <v>0</v>
      </c>
      <c r="L218" s="23">
        <f>'Annual Raw'!M54</f>
        <v>0</v>
      </c>
      <c r="M218" s="23">
        <f>'Annual Raw'!N54</f>
        <v>0</v>
      </c>
      <c r="N218" s="23">
        <f>'Annual Raw'!O54</f>
        <v>0</v>
      </c>
      <c r="O218" s="23">
        <f>'Annual Raw'!P54</f>
        <v>2.1410999999999999E-3</v>
      </c>
      <c r="P218" s="23">
        <f>'Annual Raw'!Q54</f>
        <v>48.94</v>
      </c>
      <c r="Q218" s="23">
        <f>'Annual Raw'!R54</f>
        <v>8.08</v>
      </c>
      <c r="R218" s="23">
        <f>'Annual Raw'!S54</f>
        <v>27.15</v>
      </c>
      <c r="S218" s="23">
        <f>'Annual Raw'!T54</f>
        <v>39.49</v>
      </c>
      <c r="T218" s="23">
        <f>'Annual Raw'!U54</f>
        <v>1236.92</v>
      </c>
      <c r="U218" s="23">
        <f>'Annual Raw'!V54</f>
        <v>1751.51</v>
      </c>
      <c r="V218" s="23">
        <f>'Annual Raw'!W54</f>
        <v>1241.01</v>
      </c>
      <c r="W218" s="23">
        <f>'Annual Raw'!X54</f>
        <v>1607.91</v>
      </c>
      <c r="X218" s="23">
        <f>'Annual Raw'!Y54</f>
        <v>1800.43</v>
      </c>
      <c r="Y218" s="23">
        <f>'Annual Raw'!Z54</f>
        <v>1515.92</v>
      </c>
      <c r="Z218" s="23">
        <f>'Annual Raw'!AA54</f>
        <v>2955.62</v>
      </c>
      <c r="AA218" s="23">
        <f>'Annual Raw'!AB54</f>
        <v>4993.6499999999996</v>
      </c>
      <c r="AB218" s="24">
        <f t="shared" si="1434"/>
        <v>1941.2820266553515</v>
      </c>
      <c r="AC218" s="24">
        <f t="shared" si="1435"/>
        <v>2346.7919309761178</v>
      </c>
      <c r="AD218" s="24">
        <f t="shared" si="1436"/>
        <v>2701.9152656925512</v>
      </c>
      <c r="AE218" s="24">
        <f t="shared" si="1437"/>
        <v>3053.0410537782118</v>
      </c>
      <c r="AJ218" s="23">
        <f>+'QTR Raw'!D89</f>
        <v>0</v>
      </c>
      <c r="AK218" s="23" t="e">
        <f>+AK250*AK61/90</f>
        <v>#DIV/0!</v>
      </c>
      <c r="AL218" s="23">
        <f>+'QTR Raw'!F89</f>
        <v>0</v>
      </c>
      <c r="AM218" s="23" t="e">
        <f>+AM250*AM61/90</f>
        <v>#DIV/0!</v>
      </c>
      <c r="AN218" s="23">
        <f>+'QTR Raw'!H89</f>
        <v>0</v>
      </c>
      <c r="AO218" s="23" t="e">
        <f>+AO250*AO61/90</f>
        <v>#DIV/0!</v>
      </c>
      <c r="AP218" s="23">
        <f>+'QTR Raw'!J89</f>
        <v>0</v>
      </c>
      <c r="AQ218" s="23" t="e">
        <f>+AQ250*AQ61/90</f>
        <v>#DIV/0!</v>
      </c>
      <c r="AR218" s="23">
        <f>+'QTR Raw'!L89</f>
        <v>0</v>
      </c>
      <c r="AS218" s="23" t="e">
        <f>+AS250*AS61/90</f>
        <v>#DIV/0!</v>
      </c>
      <c r="AT218" s="23">
        <f>+'QTR Raw'!N89</f>
        <v>48.94</v>
      </c>
      <c r="AU218" s="23">
        <f>+AU250*AU61/90</f>
        <v>184.94721504681951</v>
      </c>
      <c r="AV218" s="23">
        <f>+'QTR Raw'!P89</f>
        <v>41.81</v>
      </c>
      <c r="AW218" s="23">
        <f>+AW250*AW61/90</f>
        <v>39.013478307103355</v>
      </c>
      <c r="AX218" s="23">
        <f>+'QTR Raw'!R89</f>
        <v>8.08</v>
      </c>
      <c r="AY218" s="23">
        <f>+AY250*AY61/90</f>
        <v>8.0026339873378038</v>
      </c>
      <c r="AZ218" s="23">
        <f>+'QTR Raw'!T89</f>
        <v>19.07</v>
      </c>
      <c r="BA218" s="23">
        <f>+BA250*BA61/90</f>
        <v>20.369452761095651</v>
      </c>
      <c r="BB218" s="23">
        <f>+'QTR Raw'!V89</f>
        <v>27.15</v>
      </c>
      <c r="BC218" s="23">
        <f>+BC250*BC61/90</f>
        <v>19.793716901104695</v>
      </c>
      <c r="BD218" s="23">
        <f>+'QTR Raw'!X89</f>
        <v>31.35</v>
      </c>
      <c r="BE218" s="23">
        <f>+BE250*BE61/90</f>
        <v>74.936547753261394</v>
      </c>
      <c r="BF218" s="23">
        <f>+'QTR Raw'!Z89</f>
        <v>39.49</v>
      </c>
      <c r="BG218" s="23">
        <f>+BG250*BG61/90</f>
        <v>30.263282465367805</v>
      </c>
      <c r="BH218" s="23">
        <f>+'QTR Raw'!AB89</f>
        <v>1430.48</v>
      </c>
      <c r="BI218" s="23">
        <f>+BI250*BI61/90</f>
        <v>2810.5191198590396</v>
      </c>
      <c r="BJ218" s="23">
        <f>+'QTR Raw'!AD89</f>
        <v>1236.92</v>
      </c>
      <c r="BK218" s="23">
        <f>+BK250*BK61/90</f>
        <v>1388.7774452772671</v>
      </c>
      <c r="BL218" s="23">
        <f>+'QTR Raw'!AF89</f>
        <v>1064.5899999999999</v>
      </c>
      <c r="BM218" s="23">
        <f>+BM250*BM61/90</f>
        <v>1140.1712103030768</v>
      </c>
      <c r="BN218" s="23">
        <f>+'QTR Raw'!AH89</f>
        <v>1751.51</v>
      </c>
      <c r="BO218" s="23">
        <f>+BO250*BO61/90</f>
        <v>1344.5687206930745</v>
      </c>
      <c r="BP218" s="23">
        <f>+'QTR Raw'!AJ89</f>
        <v>1430.3</v>
      </c>
      <c r="BQ218" s="23">
        <f>+BQ250*BQ61/90</f>
        <v>1722.7228147797737</v>
      </c>
      <c r="BR218" s="23">
        <f>+'QTR Raw'!AL89</f>
        <v>1241.01</v>
      </c>
      <c r="BS218" s="23">
        <f>+BS250*BS61/90</f>
        <v>1287.9084087933368</v>
      </c>
      <c r="BT218" s="23">
        <f>+'QTR Raw'!AN89</f>
        <v>1092.4100000000001</v>
      </c>
      <c r="BU218" s="23">
        <f>+BU250*BU61/90</f>
        <v>1251.562184037396</v>
      </c>
      <c r="BV218" s="23">
        <f>+'QTR Raw'!AP89</f>
        <v>1607.91</v>
      </c>
      <c r="BW218" s="23">
        <f>+BW250*BW61/90</f>
        <v>1692.8531903063472</v>
      </c>
      <c r="BX218" s="23">
        <f>+'QTR Raw'!AR89</f>
        <v>1392.99</v>
      </c>
      <c r="BY218" s="23">
        <f>+BY250*BY61/90</f>
        <v>1521.6094157122295</v>
      </c>
      <c r="BZ218" s="23">
        <f>+'QTR Raw'!AT89</f>
        <v>1800.43</v>
      </c>
      <c r="CA218" s="23">
        <f>+CA250*CA61/90</f>
        <v>1964.6460574626378</v>
      </c>
      <c r="CB218" s="23">
        <f>+'QTR Raw'!AV89</f>
        <v>1659.92</v>
      </c>
      <c r="CC218" s="23">
        <f>+CC250*CC61/90</f>
        <v>2061.5228033653889</v>
      </c>
      <c r="CD218" s="23">
        <f>+'QTR Raw'!AX89</f>
        <v>1515.92</v>
      </c>
      <c r="CE218" s="23">
        <f>+CE250*CE61/90</f>
        <v>1732.252252780522</v>
      </c>
      <c r="CF218" s="23">
        <f>+'QTR Raw'!AZ89</f>
        <v>1623.93</v>
      </c>
      <c r="CG218" s="23">
        <f>+CG250*CG61/90</f>
        <v>1531.1114901757851</v>
      </c>
      <c r="CH218" s="23">
        <f t="shared" si="1401"/>
        <v>2955.62</v>
      </c>
      <c r="CI218" s="23">
        <f>+CI250*CI61/90</f>
        <v>3161.8083628411591</v>
      </c>
      <c r="CJ218" s="23">
        <f>+'QTR Raw'!BD89</f>
        <v>4390.34</v>
      </c>
      <c r="CK218" s="23">
        <f t="shared" ref="CK218:DB218" si="1441">+CK250*CK61/90</f>
        <v>4479.4137479286146</v>
      </c>
      <c r="CL218" s="23">
        <f>+'QTR Raw'!BF89</f>
        <v>4993.6499999999996</v>
      </c>
      <c r="CM218" s="24">
        <f t="shared" si="1441"/>
        <v>3122.1514294460467</v>
      </c>
      <c r="CN218" s="24">
        <f t="shared" si="1441"/>
        <v>2640.3347606188745</v>
      </c>
      <c r="CO218" s="24">
        <f t="shared" si="1441"/>
        <v>2316.1413812829755</v>
      </c>
      <c r="CP218" s="24">
        <f t="shared" si="1441"/>
        <v>1941.2820266553515</v>
      </c>
      <c r="CQ218" s="24">
        <f t="shared" si="1441"/>
        <v>2111.4108018104121</v>
      </c>
      <c r="CR218" s="24">
        <f t="shared" si="1441"/>
        <v>2114.1892917240616</v>
      </c>
      <c r="CS218" s="24">
        <f t="shared" si="1441"/>
        <v>2211.1707428945138</v>
      </c>
      <c r="CT218" s="24">
        <f t="shared" si="1441"/>
        <v>2346.7919309761178</v>
      </c>
      <c r="CU218" s="24">
        <f t="shared" si="1441"/>
        <v>2460.6420806240703</v>
      </c>
      <c r="CV218" s="24">
        <f t="shared" si="1441"/>
        <v>2444.5662634043802</v>
      </c>
      <c r="CW218" s="24">
        <f t="shared" si="1441"/>
        <v>2634.6835756809114</v>
      </c>
      <c r="CX218" s="24">
        <f t="shared" si="1441"/>
        <v>2701.9152656925512</v>
      </c>
      <c r="CY218" s="24">
        <f t="shared" si="1441"/>
        <v>2806.4736516061625</v>
      </c>
      <c r="CZ218" s="24">
        <f t="shared" si="1441"/>
        <v>2805.0896795492868</v>
      </c>
      <c r="DA218" s="24">
        <f t="shared" si="1441"/>
        <v>2916.1502269688276</v>
      </c>
      <c r="DB218" s="24">
        <f t="shared" si="1441"/>
        <v>3053.0410537782118</v>
      </c>
      <c r="DE218" s="123"/>
      <c r="DF218" s="23">
        <v>0</v>
      </c>
      <c r="DG218" s="23">
        <v>3166.7253438172465</v>
      </c>
    </row>
    <row r="219" spans="1:111" s="23" customFormat="1" outlineLevel="1" x14ac:dyDescent="0.2">
      <c r="A219" s="23" t="s">
        <v>71</v>
      </c>
      <c r="B219" s="23">
        <f>'Annual Raw'!C55-Template!B179</f>
        <v>0</v>
      </c>
      <c r="C219" s="23">
        <f>'Annual Raw'!D55-Template!C179</f>
        <v>0</v>
      </c>
      <c r="D219" s="23">
        <f>'Annual Raw'!E55-Template!D179</f>
        <v>0</v>
      </c>
      <c r="E219" s="23">
        <f>'Annual Raw'!F55-Template!E179</f>
        <v>0</v>
      </c>
      <c r="F219" s="23">
        <f>'Annual Raw'!G55-Template!F179</f>
        <v>0</v>
      </c>
      <c r="G219" s="23">
        <f>'Annual Raw'!H55-Template!G179</f>
        <v>0</v>
      </c>
      <c r="H219" s="23">
        <f>'Annual Raw'!I55-Template!H179</f>
        <v>0</v>
      </c>
      <c r="I219" s="23">
        <f>'Annual Raw'!J55-Template!I179</f>
        <v>0</v>
      </c>
      <c r="J219" s="23">
        <f>'Annual Raw'!K55-Template!J179</f>
        <v>0</v>
      </c>
      <c r="K219" s="23">
        <f>'Annual Raw'!L55-Template!K179</f>
        <v>0</v>
      </c>
      <c r="L219" s="23">
        <f>'Annual Raw'!M55-Template!L179</f>
        <v>0</v>
      </c>
      <c r="M219" s="23">
        <f>'Annual Raw'!N55-Template!M179</f>
        <v>0</v>
      </c>
      <c r="N219" s="23">
        <f>'Annual Raw'!O55-Template!N179</f>
        <v>0</v>
      </c>
      <c r="O219" s="23">
        <f>'Annual Raw'!P55-Template!O179</f>
        <v>5.6179999999999999E-4</v>
      </c>
      <c r="P219" s="23">
        <f>('Annual Raw'!Q55-Template!P179)-411.01</f>
        <v>234.29999999999995</v>
      </c>
      <c r="Q219" s="23">
        <f>('Annual Raw'!R55-Template!Q179)-137.88</f>
        <v>287.90999999999997</v>
      </c>
      <c r="R219" s="23">
        <f>('Annual Raw'!S55-Template!R179)-155.6</f>
        <v>453.37</v>
      </c>
      <c r="S219" s="23">
        <f>('Annual Raw'!T55-Template!S179)-113.51</f>
        <v>335.79000000000008</v>
      </c>
      <c r="T219" s="23">
        <f>('Annual Raw'!U55-Template!T179)-151.9</f>
        <v>1389.29</v>
      </c>
      <c r="U219" s="23">
        <f>('Annual Raw'!V55-Template!U179)-491.65</f>
        <v>1584.3400000000001</v>
      </c>
      <c r="V219" s="23">
        <f>('Annual Raw'!W55-Template!V179)-765.25</f>
        <v>1461.87</v>
      </c>
      <c r="W219" s="23">
        <f>('Annual Raw'!X55-Template!W179)-644.82</f>
        <v>1551.7199999999998</v>
      </c>
      <c r="X219" s="23">
        <f>('Annual Raw'!Y55-Template!X179)-920.85</f>
        <v>1300.2599999999998</v>
      </c>
      <c r="Y219" s="23">
        <f>('Annual Raw'!Z55-Template!Y179)-1052.37</f>
        <v>1897.4499999999998</v>
      </c>
      <c r="Z219" s="23">
        <f>('Annual Raw'!AA55-Template!Z179)-1589.48</f>
        <v>2146.9</v>
      </c>
      <c r="AA219" s="23">
        <f>('Annual Raw'!AB55-Template!AA179)-1589.48</f>
        <v>2801.81</v>
      </c>
      <c r="AB219" s="24">
        <f t="shared" si="1434"/>
        <v>0</v>
      </c>
      <c r="AC219" s="24">
        <f t="shared" si="1435"/>
        <v>0</v>
      </c>
      <c r="AD219" s="24">
        <f t="shared" si="1436"/>
        <v>0</v>
      </c>
      <c r="AE219" s="24">
        <f t="shared" si="1437"/>
        <v>0</v>
      </c>
      <c r="AJ219" s="23">
        <f>+'QTR Raw'!D91</f>
        <v>0</v>
      </c>
      <c r="AK219" s="23">
        <f t="shared" si="1438"/>
        <v>0</v>
      </c>
      <c r="AL219" s="23">
        <f>+'QTR Raw'!F91</f>
        <v>0</v>
      </c>
      <c r="AM219" s="23">
        <f t="shared" si="1438"/>
        <v>0</v>
      </c>
      <c r="AN219" s="23">
        <f>+'QTR Raw'!H91</f>
        <v>0</v>
      </c>
      <c r="AO219" s="23">
        <f t="shared" si="1438"/>
        <v>0</v>
      </c>
      <c r="AP219" s="23">
        <f>+'QTR Raw'!J91</f>
        <v>0</v>
      </c>
      <c r="AQ219" s="23">
        <f t="shared" si="1438"/>
        <v>0</v>
      </c>
      <c r="AR219" s="23">
        <f>+'QTR Raw'!L91</f>
        <v>0</v>
      </c>
      <c r="AS219" s="23">
        <f t="shared" si="1438"/>
        <v>0</v>
      </c>
      <c r="AT219" s="23">
        <f>+'QTR Raw'!N91</f>
        <v>1448.74</v>
      </c>
      <c r="AU219" s="23">
        <f t="shared" si="1438"/>
        <v>1448.74</v>
      </c>
      <c r="AV219" s="23">
        <f>+'QTR Raw'!P91</f>
        <v>1100.52</v>
      </c>
      <c r="AW219" s="23">
        <f t="shared" si="1438"/>
        <v>1100.52</v>
      </c>
      <c r="AX219" s="23">
        <f>+'QTR Raw'!R91</f>
        <v>1116.1400000000001</v>
      </c>
      <c r="AY219" s="23">
        <f t="shared" si="1438"/>
        <v>1116.1400000000001</v>
      </c>
      <c r="AZ219" s="23">
        <f>+'QTR Raw'!T91</f>
        <v>369.01</v>
      </c>
      <c r="BA219" s="23">
        <f t="shared" si="1438"/>
        <v>369.01</v>
      </c>
      <c r="BB219" s="23">
        <f>+'QTR Raw'!V91</f>
        <v>923.42</v>
      </c>
      <c r="BC219" s="23">
        <f t="shared" si="1438"/>
        <v>923.42</v>
      </c>
      <c r="BD219" s="23">
        <f>+'QTR Raw'!X91</f>
        <v>1230.23</v>
      </c>
      <c r="BE219" s="23">
        <f t="shared" si="1438"/>
        <v>1230.23</v>
      </c>
      <c r="BF219" s="23">
        <f>+'QTR Raw'!Z91</f>
        <v>1276.51</v>
      </c>
      <c r="BG219" s="23">
        <f t="shared" si="1438"/>
        <v>1276.51</v>
      </c>
      <c r="BH219" s="23">
        <f>+'QTR Raw'!AB91</f>
        <v>3574.25</v>
      </c>
      <c r="BI219" s="23">
        <f t="shared" si="1438"/>
        <v>3574.25</v>
      </c>
      <c r="BJ219" s="23">
        <f>+'QTR Raw'!AD91</f>
        <v>3756.48</v>
      </c>
      <c r="BK219" s="23">
        <f t="shared" si="1438"/>
        <v>3756.48</v>
      </c>
      <c r="BL219" s="23">
        <f>+'QTR Raw'!AF91</f>
        <v>3769.55</v>
      </c>
      <c r="BM219" s="23">
        <f t="shared" si="1438"/>
        <v>3769.55</v>
      </c>
      <c r="BN219" s="23">
        <f>+'QTR Raw'!AH91</f>
        <v>2836.55</v>
      </c>
      <c r="BO219" s="23">
        <f t="shared" si="1438"/>
        <v>2836.55</v>
      </c>
      <c r="BP219" s="23">
        <f>+'QTR Raw'!AJ91</f>
        <v>2574.66</v>
      </c>
      <c r="BQ219" s="23">
        <f t="shared" si="1438"/>
        <v>2574.66</v>
      </c>
      <c r="BR219" s="23">
        <f>+'QTR Raw'!AL91</f>
        <v>2233.6</v>
      </c>
      <c r="BS219" s="23">
        <f t="shared" si="1438"/>
        <v>2233.6</v>
      </c>
      <c r="BT219" s="23">
        <f>+'QTR Raw'!AN91</f>
        <v>1859.96</v>
      </c>
      <c r="BU219" s="23">
        <f t="shared" si="1438"/>
        <v>1859.96</v>
      </c>
      <c r="BV219" s="23">
        <f>+'QTR Raw'!AP91</f>
        <v>2208.88</v>
      </c>
      <c r="BW219" s="23">
        <f t="shared" si="1438"/>
        <v>2208.88</v>
      </c>
      <c r="BX219" s="23">
        <f>+'QTR Raw'!AR91</f>
        <v>1937.18</v>
      </c>
      <c r="BY219" s="23">
        <f t="shared" si="1438"/>
        <v>1937.18</v>
      </c>
      <c r="BZ219" s="23">
        <f>+'QTR Raw'!AT91</f>
        <v>2229.12</v>
      </c>
      <c r="CA219" s="23">
        <f t="shared" si="1438"/>
        <v>2229.12</v>
      </c>
      <c r="CB219" s="23">
        <f>+'QTR Raw'!AV91</f>
        <v>2105.0100000000002</v>
      </c>
      <c r="CC219" s="23">
        <f t="shared" si="1438"/>
        <v>2105.0100000000002</v>
      </c>
      <c r="CD219" s="23">
        <f>+'QTR Raw'!AX91</f>
        <v>2953</v>
      </c>
      <c r="CE219" s="23">
        <f t="shared" si="1438"/>
        <v>2953</v>
      </c>
      <c r="CF219" s="23">
        <f>+'QTR Raw'!AZ91</f>
        <v>3126.57</v>
      </c>
      <c r="CG219" s="23">
        <f t="shared" ref="CG219:CG221" si="1442">+CF219</f>
        <v>3126.57</v>
      </c>
      <c r="CH219" s="23">
        <f t="shared" si="1401"/>
        <v>2146.9</v>
      </c>
      <c r="CJ219" s="23">
        <f>+'QTR Raw'!BD91</f>
        <v>4009.52</v>
      </c>
      <c r="CL219" s="23">
        <f>+'QTR Raw'!BF91</f>
        <v>6714.63</v>
      </c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E219" s="123"/>
      <c r="DF219" s="23">
        <v>-1589.48</v>
      </c>
    </row>
    <row r="220" spans="1:111" s="23" customFormat="1" outlineLevel="1" x14ac:dyDescent="0.2">
      <c r="A220" s="23" t="s">
        <v>565</v>
      </c>
      <c r="P220" s="23">
        <v>411.01</v>
      </c>
      <c r="Q220" s="23">
        <v>137.88</v>
      </c>
      <c r="R220" s="23">
        <v>155.6</v>
      </c>
      <c r="S220" s="23">
        <v>113.51</v>
      </c>
      <c r="T220" s="23">
        <v>151.9</v>
      </c>
      <c r="U220" s="23">
        <v>491.65</v>
      </c>
      <c r="V220" s="23">
        <v>765.25</v>
      </c>
      <c r="W220" s="23">
        <v>644.82000000000005</v>
      </c>
      <c r="X220" s="23">
        <v>920.85</v>
      </c>
      <c r="Y220" s="23">
        <v>1052.3699999999999</v>
      </c>
      <c r="Z220" s="23">
        <v>1589.48</v>
      </c>
      <c r="AA220" s="23">
        <v>1589.48</v>
      </c>
      <c r="AB220" s="24"/>
      <c r="AC220" s="24"/>
      <c r="AD220" s="24"/>
      <c r="AE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E220" s="123"/>
      <c r="DF220" s="23">
        <v>1589.48</v>
      </c>
    </row>
    <row r="221" spans="1:111" s="23" customFormat="1" outlineLevel="1" x14ac:dyDescent="0.2">
      <c r="A221" s="23" t="s">
        <v>72</v>
      </c>
      <c r="B221" s="23">
        <f>'Annual Raw'!C57</f>
        <v>0</v>
      </c>
      <c r="C221" s="23">
        <f>'Annual Raw'!D57</f>
        <v>0</v>
      </c>
      <c r="D221" s="23">
        <f>'Annual Raw'!E57</f>
        <v>0</v>
      </c>
      <c r="E221" s="23">
        <f>'Annual Raw'!F57</f>
        <v>0</v>
      </c>
      <c r="F221" s="23">
        <f>'Annual Raw'!G57</f>
        <v>0</v>
      </c>
      <c r="G221" s="23">
        <f>'Annual Raw'!H57</f>
        <v>0</v>
      </c>
      <c r="H221" s="23">
        <f>'Annual Raw'!I57</f>
        <v>0</v>
      </c>
      <c r="I221" s="23">
        <f>'Annual Raw'!J57</f>
        <v>0</v>
      </c>
      <c r="J221" s="23">
        <f>'Annual Raw'!K57</f>
        <v>0</v>
      </c>
      <c r="K221" s="23">
        <f>'Annual Raw'!L57</f>
        <v>0</v>
      </c>
      <c r="L221" s="23">
        <f>'Annual Raw'!M57</f>
        <v>0</v>
      </c>
      <c r="M221" s="23">
        <f>'Annual Raw'!N57</f>
        <v>0</v>
      </c>
      <c r="N221" s="23">
        <f>'Annual Raw'!O57</f>
        <v>0</v>
      </c>
      <c r="O221" s="23">
        <f>'Annual Raw'!P57</f>
        <v>0</v>
      </c>
      <c r="P221" s="23">
        <f>'Annual Raw'!Q57</f>
        <v>3.1</v>
      </c>
      <c r="Q221" s="23">
        <f>'Annual Raw'!R57</f>
        <v>46.13</v>
      </c>
      <c r="R221" s="23">
        <f>'Annual Raw'!S57</f>
        <v>2.33</v>
      </c>
      <c r="S221" s="23">
        <f>'Annual Raw'!T57</f>
        <v>607.63</v>
      </c>
      <c r="T221" s="23">
        <f>'Annual Raw'!U57</f>
        <v>78.739999999999995</v>
      </c>
      <c r="U221" s="23">
        <f>'Annual Raw'!V57</f>
        <v>102.69</v>
      </c>
      <c r="V221" s="23">
        <f>'Annual Raw'!W57</f>
        <v>68.33</v>
      </c>
      <c r="W221" s="23">
        <f>'Annual Raw'!X57</f>
        <v>83.25</v>
      </c>
      <c r="X221" s="23">
        <f>'Annual Raw'!Y57</f>
        <v>127.3</v>
      </c>
      <c r="Y221" s="23">
        <f>'Annual Raw'!Z57</f>
        <v>101.69</v>
      </c>
      <c r="Z221" s="23">
        <f>'Annual Raw'!AA57</f>
        <v>110.61</v>
      </c>
      <c r="AA221" s="23">
        <f>'Annual Raw'!AB57</f>
        <v>235.86</v>
      </c>
      <c r="AB221" s="24">
        <f t="shared" si="1434"/>
        <v>0</v>
      </c>
      <c r="AC221" s="24">
        <f t="shared" si="1435"/>
        <v>0</v>
      </c>
      <c r="AD221" s="24">
        <f t="shared" si="1436"/>
        <v>0</v>
      </c>
      <c r="AE221" s="24">
        <f t="shared" si="1437"/>
        <v>0</v>
      </c>
      <c r="AJ221" s="23">
        <f>+'QTR Raw'!D92</f>
        <v>0</v>
      </c>
      <c r="AK221" s="23">
        <f t="shared" si="1438"/>
        <v>0</v>
      </c>
      <c r="AL221" s="23">
        <f>+'QTR Raw'!F92</f>
        <v>0</v>
      </c>
      <c r="AM221" s="23">
        <f t="shared" si="1438"/>
        <v>0</v>
      </c>
      <c r="AN221" s="23">
        <f>+'QTR Raw'!H92</f>
        <v>0</v>
      </c>
      <c r="AO221" s="23">
        <f t="shared" si="1438"/>
        <v>0</v>
      </c>
      <c r="AP221" s="23">
        <f>+'QTR Raw'!J92</f>
        <v>0</v>
      </c>
      <c r="AQ221" s="23">
        <f t="shared" si="1438"/>
        <v>0</v>
      </c>
      <c r="AR221" s="23">
        <f>+'QTR Raw'!L92</f>
        <v>0</v>
      </c>
      <c r="AS221" s="23">
        <f t="shared" si="1438"/>
        <v>0</v>
      </c>
      <c r="AT221" s="23">
        <f>+'QTR Raw'!N92</f>
        <v>3.1</v>
      </c>
      <c r="AU221" s="23">
        <f t="shared" si="1438"/>
        <v>3.1</v>
      </c>
      <c r="AV221" s="23">
        <f>+'QTR Raw'!P92</f>
        <v>41.62</v>
      </c>
      <c r="AW221" s="23">
        <f t="shared" si="1438"/>
        <v>41.62</v>
      </c>
      <c r="AX221" s="23">
        <f>+'QTR Raw'!R92</f>
        <v>1.53</v>
      </c>
      <c r="AY221" s="23">
        <f t="shared" si="1438"/>
        <v>1.53</v>
      </c>
      <c r="AZ221" s="23">
        <f>+'QTR Raw'!T92</f>
        <v>102.6</v>
      </c>
      <c r="BA221" s="23">
        <f t="shared" si="1438"/>
        <v>102.6</v>
      </c>
      <c r="BB221" s="23">
        <f>+'QTR Raw'!V92</f>
        <v>2.33</v>
      </c>
      <c r="BC221" s="23">
        <f t="shared" si="1438"/>
        <v>2.33</v>
      </c>
      <c r="BD221" s="23">
        <f>+'QTR Raw'!X92</f>
        <v>1.07</v>
      </c>
      <c r="BE221" s="23">
        <f t="shared" si="1438"/>
        <v>1.07</v>
      </c>
      <c r="BF221" s="23">
        <f>+'QTR Raw'!Z92</f>
        <v>1.34</v>
      </c>
      <c r="BG221" s="23">
        <f t="shared" si="1438"/>
        <v>1.34</v>
      </c>
      <c r="BH221" s="23">
        <f>+'QTR Raw'!AB92</f>
        <v>33.46</v>
      </c>
      <c r="BI221" s="23">
        <f t="shared" si="1438"/>
        <v>33.46</v>
      </c>
      <c r="BJ221" s="23">
        <f>+'QTR Raw'!AD92</f>
        <v>63.55</v>
      </c>
      <c r="BK221" s="23">
        <f t="shared" si="1438"/>
        <v>63.55</v>
      </c>
      <c r="BL221" s="23">
        <f>+'QTR Raw'!AF92</f>
        <v>58.96</v>
      </c>
      <c r="BM221" s="23">
        <f t="shared" si="1438"/>
        <v>58.96</v>
      </c>
      <c r="BN221" s="23">
        <f>+'QTR Raw'!AH92</f>
        <v>62.4</v>
      </c>
      <c r="BO221" s="23">
        <f t="shared" si="1438"/>
        <v>62.4</v>
      </c>
      <c r="BP221" s="23">
        <f>+'QTR Raw'!AJ92</f>
        <v>62.37</v>
      </c>
      <c r="BQ221" s="23">
        <f t="shared" si="1438"/>
        <v>62.37</v>
      </c>
      <c r="BR221" s="23">
        <f>+'QTR Raw'!AL92</f>
        <v>61.85</v>
      </c>
      <c r="BS221" s="23">
        <f t="shared" si="1438"/>
        <v>61.85</v>
      </c>
      <c r="BT221" s="23">
        <f>+'QTR Raw'!AN92</f>
        <v>62.2</v>
      </c>
      <c r="BU221" s="23">
        <f t="shared" si="1438"/>
        <v>62.2</v>
      </c>
      <c r="BV221" s="23">
        <f>+'QTR Raw'!AP92</f>
        <v>70.91</v>
      </c>
      <c r="BW221" s="23">
        <f t="shared" si="1438"/>
        <v>70.91</v>
      </c>
      <c r="BX221" s="23">
        <f>+'QTR Raw'!AR92</f>
        <v>72.2</v>
      </c>
      <c r="BY221" s="23">
        <f t="shared" si="1438"/>
        <v>72.2</v>
      </c>
      <c r="BZ221" s="23">
        <f>+'QTR Raw'!AT92</f>
        <v>119.29</v>
      </c>
      <c r="CA221" s="23">
        <f t="shared" si="1438"/>
        <v>119.29</v>
      </c>
      <c r="CB221" s="23">
        <f>+'QTR Raw'!AV92</f>
        <v>80</v>
      </c>
      <c r="CC221" s="23">
        <f t="shared" si="1438"/>
        <v>80</v>
      </c>
      <c r="CD221" s="23">
        <f>+'QTR Raw'!AX92</f>
        <v>98.51</v>
      </c>
      <c r="CE221" s="23">
        <f t="shared" si="1438"/>
        <v>98.51</v>
      </c>
      <c r="CF221" s="23">
        <f>+'QTR Raw'!AZ92</f>
        <v>89.61</v>
      </c>
      <c r="CG221" s="23">
        <f t="shared" si="1442"/>
        <v>89.61</v>
      </c>
      <c r="CH221" s="23">
        <f t="shared" si="1401"/>
        <v>110.61</v>
      </c>
      <c r="CJ221" s="23">
        <f>+'QTR Raw'!BD92</f>
        <v>109.23</v>
      </c>
      <c r="CL221" s="23">
        <f>+'QTR Raw'!BF92</f>
        <v>206.87</v>
      </c>
      <c r="CM221" s="24"/>
      <c r="CN221" s="24"/>
      <c r="CO221" s="24"/>
      <c r="CP221" s="24"/>
      <c r="CQ221" s="24"/>
      <c r="CR221" s="24"/>
      <c r="CS221" s="24"/>
      <c r="CT221" s="24"/>
      <c r="CU221" s="24"/>
      <c r="CV221" s="24"/>
      <c r="CW221" s="24"/>
      <c r="CX221" s="24"/>
      <c r="CY221" s="24"/>
      <c r="CZ221" s="24"/>
      <c r="DA221" s="24"/>
      <c r="DB221" s="24"/>
      <c r="DE221" s="123"/>
      <c r="DF221" s="23">
        <v>0</v>
      </c>
    </row>
    <row r="222" spans="1:111" s="22" customFormat="1" x14ac:dyDescent="0.2">
      <c r="A222" s="22" t="s">
        <v>73</v>
      </c>
      <c r="B222" s="22">
        <f>SUM(B212:B221)</f>
        <v>0</v>
      </c>
      <c r="C222" s="22">
        <f t="shared" ref="C222:V222" si="1443">SUM(C212:C221)</f>
        <v>0</v>
      </c>
      <c r="D222" s="22">
        <f t="shared" si="1443"/>
        <v>0</v>
      </c>
      <c r="E222" s="22">
        <f t="shared" si="1443"/>
        <v>0</v>
      </c>
      <c r="F222" s="22">
        <f t="shared" si="1443"/>
        <v>0</v>
      </c>
      <c r="G222" s="22">
        <f t="shared" si="1443"/>
        <v>0</v>
      </c>
      <c r="H222" s="22">
        <f t="shared" si="1443"/>
        <v>0</v>
      </c>
      <c r="I222" s="22">
        <f t="shared" si="1443"/>
        <v>0</v>
      </c>
      <c r="J222" s="22">
        <f t="shared" si="1443"/>
        <v>0</v>
      </c>
      <c r="K222" s="22">
        <f t="shared" si="1443"/>
        <v>0</v>
      </c>
      <c r="L222" s="22">
        <f t="shared" si="1443"/>
        <v>0</v>
      </c>
      <c r="M222" s="22">
        <f t="shared" si="1443"/>
        <v>0</v>
      </c>
      <c r="N222" s="22">
        <f t="shared" si="1443"/>
        <v>0</v>
      </c>
      <c r="O222" s="22">
        <f t="shared" si="1443"/>
        <v>2.7028999999999998E-3</v>
      </c>
      <c r="P222" s="22">
        <f t="shared" si="1443"/>
        <v>707.94999999999993</v>
      </c>
      <c r="Q222" s="22">
        <f t="shared" si="1443"/>
        <v>488.91999999999996</v>
      </c>
      <c r="R222" s="22">
        <f t="shared" si="1443"/>
        <v>1166.3999999999999</v>
      </c>
      <c r="S222" s="22">
        <f t="shared" si="1443"/>
        <v>1387.63</v>
      </c>
      <c r="T222" s="22">
        <f t="shared" si="1443"/>
        <v>3733.5</v>
      </c>
      <c r="U222" s="22">
        <f t="shared" si="1443"/>
        <v>4932.9999999999991</v>
      </c>
      <c r="V222" s="22">
        <f t="shared" si="1443"/>
        <v>5063.3899999999994</v>
      </c>
      <c r="W222" s="22">
        <f t="shared" ref="W222" si="1444">SUM(W212:W221)</f>
        <v>5228.57</v>
      </c>
      <c r="X222" s="22">
        <f t="shared" ref="X222:Y222" si="1445">SUM(X212:X221)</f>
        <v>5432.8200000000006</v>
      </c>
      <c r="Y222" s="22">
        <f t="shared" si="1445"/>
        <v>6214.0299999999988</v>
      </c>
      <c r="Z222" s="22">
        <f>SUM(Z212:Z221)</f>
        <v>8989</v>
      </c>
      <c r="AA222" s="22">
        <f>SUM(AA212:AA221)</f>
        <v>12504.77</v>
      </c>
      <c r="AB222" s="21">
        <f t="shared" ref="AB222:AD222" si="1446">SUM(AB212:AB221)</f>
        <v>6677.6397091988856</v>
      </c>
      <c r="AC222" s="21">
        <f t="shared" si="1446"/>
        <v>8072.516395010045</v>
      </c>
      <c r="AD222" s="21">
        <f t="shared" si="1446"/>
        <v>9294.0728968498443</v>
      </c>
      <c r="AE222" s="21">
        <f t="shared" ref="AE222" si="1447">SUM(AE212:AE221)</f>
        <v>10501.878601147351</v>
      </c>
      <c r="AJ222" s="22">
        <f t="shared" ref="AJ222" si="1448">SUM(AJ212:AJ221)</f>
        <v>0</v>
      </c>
      <c r="AK222" s="22" t="e">
        <f t="shared" ref="AK222" si="1449">SUM(AK212:AK221)</f>
        <v>#DIV/0!</v>
      </c>
      <c r="AL222" s="22">
        <f t="shared" ref="AL222:AM222" si="1450">SUM(AL212:AL221)</f>
        <v>0</v>
      </c>
      <c r="AM222" s="22" t="e">
        <f t="shared" si="1450"/>
        <v>#DIV/0!</v>
      </c>
      <c r="AN222" s="22">
        <f t="shared" ref="AN222:AO222" si="1451">SUM(AN212:AN221)</f>
        <v>0</v>
      </c>
      <c r="AO222" s="22" t="e">
        <f t="shared" si="1451"/>
        <v>#DIV/0!</v>
      </c>
      <c r="AP222" s="22">
        <f t="shared" ref="AP222:CE222" si="1452">SUM(AP212:AP221)</f>
        <v>0</v>
      </c>
      <c r="AQ222" s="22" t="e">
        <f t="shared" si="1452"/>
        <v>#DIV/0!</v>
      </c>
      <c r="AR222" s="22">
        <f t="shared" si="1452"/>
        <v>0</v>
      </c>
      <c r="AS222" s="22" t="e">
        <f t="shared" si="1452"/>
        <v>#DIV/0!</v>
      </c>
      <c r="AT222" s="22">
        <f t="shared" si="1452"/>
        <v>1511.3799999999999</v>
      </c>
      <c r="AU222" s="22">
        <f t="shared" si="1452"/>
        <v>1647.3872150468194</v>
      </c>
      <c r="AV222" s="22">
        <f t="shared" si="1452"/>
        <v>1193.2599999999998</v>
      </c>
      <c r="AW222" s="22">
        <f t="shared" si="1452"/>
        <v>1190.4634783071033</v>
      </c>
      <c r="AX222" s="22">
        <f t="shared" si="1452"/>
        <v>1134.67</v>
      </c>
      <c r="AY222" s="22">
        <f t="shared" si="1452"/>
        <v>1134.5926339873379</v>
      </c>
      <c r="AZ222" s="22">
        <f t="shared" si="1452"/>
        <v>507.77</v>
      </c>
      <c r="BA222" s="22">
        <f t="shared" si="1452"/>
        <v>509.06945276109559</v>
      </c>
      <c r="BB222" s="22">
        <f t="shared" si="1452"/>
        <v>1204.1699999999998</v>
      </c>
      <c r="BC222" s="22">
        <f t="shared" si="1452"/>
        <v>1196.8137169011047</v>
      </c>
      <c r="BD222" s="22">
        <f t="shared" si="1452"/>
        <v>1617.52</v>
      </c>
      <c r="BE222" s="22">
        <f t="shared" si="1452"/>
        <v>1661.1065477532613</v>
      </c>
      <c r="BF222" s="22">
        <f t="shared" si="1452"/>
        <v>1602.53</v>
      </c>
      <c r="BG222" s="22">
        <f t="shared" si="1452"/>
        <v>1593.3032824653676</v>
      </c>
      <c r="BH222" s="22">
        <f t="shared" ref="BH222" si="1453">SUM(BH212:BH221)</f>
        <v>9341.4499999999989</v>
      </c>
      <c r="BI222" s="22">
        <f t="shared" si="1452"/>
        <v>10721.489119859039</v>
      </c>
      <c r="BJ222" s="22">
        <f t="shared" si="1452"/>
        <v>5933.6</v>
      </c>
      <c r="BK222" s="22">
        <f t="shared" si="1452"/>
        <v>6085.4574452772677</v>
      </c>
      <c r="BL222" s="22">
        <f t="shared" si="1452"/>
        <v>5767.14</v>
      </c>
      <c r="BM222" s="22">
        <f t="shared" si="1452"/>
        <v>5842.721210303077</v>
      </c>
      <c r="BN222" s="22">
        <f t="shared" si="1452"/>
        <v>5653.2699999999995</v>
      </c>
      <c r="BO222" s="22">
        <f t="shared" si="1452"/>
        <v>5246.3287206930745</v>
      </c>
      <c r="BP222" s="22">
        <f t="shared" si="1452"/>
        <v>5212.99</v>
      </c>
      <c r="BQ222" s="22">
        <f t="shared" si="1452"/>
        <v>5505.4128147797737</v>
      </c>
      <c r="BR222" s="22">
        <f t="shared" si="1452"/>
        <v>5063.3899999999994</v>
      </c>
      <c r="BS222" s="22">
        <f t="shared" si="1452"/>
        <v>5110.2884087933362</v>
      </c>
      <c r="BT222" s="22">
        <f t="shared" si="1452"/>
        <v>4541.1899999999996</v>
      </c>
      <c r="BU222" s="22">
        <f t="shared" si="1452"/>
        <v>4700.3421840373958</v>
      </c>
      <c r="BV222" s="22">
        <f t="shared" si="1452"/>
        <v>5228.57</v>
      </c>
      <c r="BW222" s="22">
        <f t="shared" si="1452"/>
        <v>5313.5131903063466</v>
      </c>
      <c r="BX222" s="22">
        <f t="shared" si="1452"/>
        <v>5031.1000000000004</v>
      </c>
      <c r="BY222" s="22">
        <f t="shared" si="1452"/>
        <v>5159.7194157122294</v>
      </c>
      <c r="BZ222" s="22">
        <f t="shared" si="1452"/>
        <v>5432.82</v>
      </c>
      <c r="CA222" s="22">
        <f t="shared" si="1452"/>
        <v>5597.0360574626375</v>
      </c>
      <c r="CB222" s="22">
        <f t="shared" si="1452"/>
        <v>5395.4400000000005</v>
      </c>
      <c r="CC222" s="22">
        <f t="shared" si="1452"/>
        <v>5797.0428033653889</v>
      </c>
      <c r="CD222" s="22">
        <f t="shared" si="1452"/>
        <v>6214.0300000000007</v>
      </c>
      <c r="CE222" s="22">
        <f t="shared" si="1452"/>
        <v>6430.3622527805219</v>
      </c>
      <c r="CF222" s="22">
        <f t="shared" ref="CF222:CG222" si="1454">SUM(CF212:CF221)</f>
        <v>6652.8399999999992</v>
      </c>
      <c r="CG222" s="22">
        <f t="shared" si="1454"/>
        <v>6560.0214901757854</v>
      </c>
      <c r="CH222" s="22">
        <f t="shared" ref="CH222:CI222" si="1455">SUM(CH212:CH221)</f>
        <v>6195.7599999999993</v>
      </c>
      <c r="CI222" s="22">
        <f t="shared" si="1455"/>
        <v>6627.985255938429</v>
      </c>
      <c r="CJ222" s="22">
        <f t="shared" ref="CJ222:DB222" si="1456">SUM(CJ212:CJ221)</f>
        <v>10881.16</v>
      </c>
      <c r="CK222" s="22">
        <f t="shared" si="1456"/>
        <v>11101.923244534804</v>
      </c>
      <c r="CL222" s="22">
        <f t="shared" ref="CL222" si="1457">SUM(CL212:CL221)</f>
        <v>14920.69</v>
      </c>
      <c r="CM222" s="21">
        <f t="shared" si="1456"/>
        <v>8807.8656605576762</v>
      </c>
      <c r="CN222" s="21">
        <f t="shared" si="1456"/>
        <v>7811.0771708956609</v>
      </c>
      <c r="CO222" s="21">
        <f t="shared" si="1456"/>
        <v>7297.6100924262009</v>
      </c>
      <c r="CP222" s="21">
        <f t="shared" si="1456"/>
        <v>6677.6397091988856</v>
      </c>
      <c r="CQ222" s="21">
        <f t="shared" si="1456"/>
        <v>7262.8502293880229</v>
      </c>
      <c r="CR222" s="21">
        <f t="shared" si="1456"/>
        <v>7272.4077044608021</v>
      </c>
      <c r="CS222" s="21">
        <f t="shared" si="1456"/>
        <v>7606.005389134838</v>
      </c>
      <c r="CT222" s="21">
        <f t="shared" si="1456"/>
        <v>8072.516395010045</v>
      </c>
      <c r="CU222" s="21">
        <f t="shared" si="1456"/>
        <v>8464.1391833265079</v>
      </c>
      <c r="CV222" s="21">
        <f t="shared" si="1456"/>
        <v>8408.841439902295</v>
      </c>
      <c r="CW222" s="21">
        <f t="shared" si="1456"/>
        <v>9062.8087132980218</v>
      </c>
      <c r="CX222" s="21">
        <f t="shared" si="1456"/>
        <v>9294.0728968498443</v>
      </c>
      <c r="CY222" s="21">
        <f t="shared" si="1456"/>
        <v>9653.7337911040431</v>
      </c>
      <c r="CZ222" s="21">
        <f t="shared" si="1456"/>
        <v>9648.9731913372307</v>
      </c>
      <c r="DA222" s="21">
        <f t="shared" si="1456"/>
        <v>10031.00028033874</v>
      </c>
      <c r="DB222" s="21">
        <f t="shared" si="1456"/>
        <v>10501.878601147351</v>
      </c>
      <c r="DE222" s="126"/>
      <c r="DF222" s="22">
        <v>0</v>
      </c>
      <c r="DG222" s="22">
        <v>8607.8277819999621</v>
      </c>
    </row>
    <row r="223" spans="1:111" s="22" customFormat="1" x14ac:dyDescent="0.2">
      <c r="A223" s="22" t="s">
        <v>74</v>
      </c>
      <c r="B223" s="22">
        <f>B211-B222</f>
        <v>0</v>
      </c>
      <c r="C223" s="22">
        <f t="shared" ref="C223:V223" si="1458">C211-C222</f>
        <v>0</v>
      </c>
      <c r="D223" s="22">
        <f t="shared" si="1458"/>
        <v>0</v>
      </c>
      <c r="E223" s="22">
        <f t="shared" si="1458"/>
        <v>0</v>
      </c>
      <c r="F223" s="22">
        <f t="shared" si="1458"/>
        <v>0</v>
      </c>
      <c r="G223" s="22">
        <f t="shared" si="1458"/>
        <v>0</v>
      </c>
      <c r="H223" s="22">
        <f t="shared" si="1458"/>
        <v>0</v>
      </c>
      <c r="I223" s="22">
        <f t="shared" si="1458"/>
        <v>0</v>
      </c>
      <c r="J223" s="22">
        <f t="shared" si="1458"/>
        <v>0</v>
      </c>
      <c r="K223" s="22">
        <f t="shared" si="1458"/>
        <v>0</v>
      </c>
      <c r="L223" s="22">
        <f t="shared" si="1458"/>
        <v>0</v>
      </c>
      <c r="M223" s="22">
        <f t="shared" si="1458"/>
        <v>0</v>
      </c>
      <c r="N223" s="22">
        <f t="shared" si="1458"/>
        <v>0</v>
      </c>
      <c r="O223" s="22">
        <f t="shared" si="1458"/>
        <v>-2.7028999999999998E-3</v>
      </c>
      <c r="P223" s="22">
        <f t="shared" si="1458"/>
        <v>171.43999999999994</v>
      </c>
      <c r="Q223" s="22">
        <f t="shared" si="1458"/>
        <v>769.33</v>
      </c>
      <c r="R223" s="22">
        <f t="shared" si="1458"/>
        <v>231.87000000000012</v>
      </c>
      <c r="S223" s="22">
        <f t="shared" si="1458"/>
        <v>4183.6900000000005</v>
      </c>
      <c r="T223" s="22">
        <f t="shared" si="1458"/>
        <v>2681.5599999999995</v>
      </c>
      <c r="U223" s="22">
        <f t="shared" si="1458"/>
        <v>5032.05</v>
      </c>
      <c r="V223" s="22">
        <f t="shared" si="1458"/>
        <v>3322.0400000000009</v>
      </c>
      <c r="W223" s="22">
        <f t="shared" ref="W223" si="1459">W211-W222</f>
        <v>3818.8000000000029</v>
      </c>
      <c r="X223" s="22">
        <f t="shared" ref="X223:Y223" si="1460">X211-X222</f>
        <v>5478.6800000000012</v>
      </c>
      <c r="Y223" s="22">
        <f t="shared" si="1460"/>
        <v>5784.6400000000049</v>
      </c>
      <c r="Z223" s="22">
        <f>Z211-Z222</f>
        <v>11225.580000000005</v>
      </c>
      <c r="AA223" s="22">
        <f>AA211-AA222</f>
        <v>22629.899999999998</v>
      </c>
      <c r="AB223" s="21">
        <f t="shared" ref="AB223:AD223" si="1461">AB211-AB222</f>
        <v>43693.516393614511</v>
      </c>
      <c r="AC223" s="21">
        <f t="shared" si="1461"/>
        <v>44803.831734288804</v>
      </c>
      <c r="AD223" s="21">
        <f t="shared" si="1461"/>
        <v>49276.218088583351</v>
      </c>
      <c r="AE223" s="21">
        <f t="shared" ref="AE223" si="1462">AE211-AE222</f>
        <v>55679.879643010318</v>
      </c>
      <c r="AJ223" s="22">
        <f t="shared" ref="AJ223" si="1463">AJ211-AJ222</f>
        <v>0</v>
      </c>
      <c r="AK223" s="22" t="e">
        <f t="shared" ref="AK223" si="1464">AK211-AK222</f>
        <v>#DIV/0!</v>
      </c>
      <c r="AL223" s="22">
        <f t="shared" ref="AL223:AM223" si="1465">AL211-AL222</f>
        <v>0</v>
      </c>
      <c r="AM223" s="22" t="e">
        <f t="shared" si="1465"/>
        <v>#DIV/0!</v>
      </c>
      <c r="AN223" s="22">
        <f t="shared" ref="AN223:AO223" si="1466">AN211-AN222</f>
        <v>0</v>
      </c>
      <c r="AO223" s="22" t="e">
        <f t="shared" si="1466"/>
        <v>#DIV/0!</v>
      </c>
      <c r="AP223" s="22">
        <f t="shared" ref="AP223:CE223" si="1467">AP211-AP222</f>
        <v>0</v>
      </c>
      <c r="AQ223" s="22" t="e">
        <f t="shared" si="1467"/>
        <v>#DIV/0!</v>
      </c>
      <c r="AR223" s="22">
        <f t="shared" si="1467"/>
        <v>0</v>
      </c>
      <c r="AS223" s="22" t="e">
        <f t="shared" si="1467"/>
        <v>#DIV/0!</v>
      </c>
      <c r="AT223" s="22">
        <f t="shared" si="1467"/>
        <v>-617.2199999999998</v>
      </c>
      <c r="AU223" s="22">
        <f t="shared" si="1467"/>
        <v>551.18035598966731</v>
      </c>
      <c r="AV223" s="22">
        <f t="shared" si="1467"/>
        <v>-207.34999999999968</v>
      </c>
      <c r="AW223" s="22">
        <f t="shared" si="1467"/>
        <v>-219.24909612930662</v>
      </c>
      <c r="AX223" s="22">
        <f t="shared" si="1467"/>
        <v>121.16999999999985</v>
      </c>
      <c r="AY223" s="22">
        <f t="shared" si="1467"/>
        <v>119.29301244280077</v>
      </c>
      <c r="AZ223" s="22">
        <f t="shared" si="1467"/>
        <v>972.40000000000009</v>
      </c>
      <c r="BA223" s="22">
        <f t="shared" si="1467"/>
        <v>992.49007118793043</v>
      </c>
      <c r="BB223" s="22">
        <f t="shared" si="1467"/>
        <v>-87.159999999999854</v>
      </c>
      <c r="BC223" s="22">
        <f t="shared" si="1467"/>
        <v>-141.63984687642278</v>
      </c>
      <c r="BD223" s="22">
        <f t="shared" si="1467"/>
        <v>-603.61999999999989</v>
      </c>
      <c r="BE223" s="22">
        <f t="shared" si="1467"/>
        <v>-303.90860927685617</v>
      </c>
      <c r="BF223" s="22">
        <f t="shared" si="1467"/>
        <v>3353.41</v>
      </c>
      <c r="BG223" s="22">
        <f t="shared" si="1467"/>
        <v>3294.1384450700052</v>
      </c>
      <c r="BH223" s="22">
        <f t="shared" ref="BH223" si="1468">BH211-BH222</f>
        <v>-3140.7499999999991</v>
      </c>
      <c r="BI223" s="22">
        <f t="shared" si="1467"/>
        <v>-3605.6285377540926</v>
      </c>
      <c r="BJ223" s="22">
        <f t="shared" si="1467"/>
        <v>481.45999999999913</v>
      </c>
      <c r="BK223" s="22">
        <f t="shared" si="1467"/>
        <v>463.20523531167873</v>
      </c>
      <c r="BL223" s="22">
        <f t="shared" si="1467"/>
        <v>556.42999999999938</v>
      </c>
      <c r="BM223" s="22">
        <f t="shared" si="1467"/>
        <v>560.69399598982</v>
      </c>
      <c r="BN223" s="22">
        <f t="shared" si="1467"/>
        <v>4549.5100000000011</v>
      </c>
      <c r="BO223" s="22">
        <f t="shared" si="1467"/>
        <v>4598.3194409719599</v>
      </c>
      <c r="BP223" s="22">
        <f t="shared" si="1467"/>
        <v>4928.2800000000007</v>
      </c>
      <c r="BQ223" s="22">
        <f t="shared" si="1467"/>
        <v>4964.4224213079569</v>
      </c>
      <c r="BR223" s="22">
        <f t="shared" si="1467"/>
        <v>4414.66</v>
      </c>
      <c r="BS223" s="22">
        <f t="shared" si="1467"/>
        <v>4414.8958128225167</v>
      </c>
      <c r="BT223" s="22">
        <f t="shared" si="1467"/>
        <v>5953.12</v>
      </c>
      <c r="BU223" s="22">
        <f t="shared" si="1467"/>
        <v>5978.9696095914132</v>
      </c>
      <c r="BV223" s="22">
        <f t="shared" si="1467"/>
        <v>5623.2199999999993</v>
      </c>
      <c r="BW223" s="22">
        <f t="shared" si="1467"/>
        <v>5608.0603841693191</v>
      </c>
      <c r="BX223" s="22">
        <f t="shared" si="1467"/>
        <v>7982.2799999999988</v>
      </c>
      <c r="BY223" s="22">
        <f t="shared" si="1467"/>
        <v>8028.6802720607238</v>
      </c>
      <c r="BZ223" s="22">
        <f t="shared" si="1467"/>
        <v>7231.7500000000018</v>
      </c>
      <c r="CA223" s="22">
        <f t="shared" si="1467"/>
        <v>7212.5112109326146</v>
      </c>
      <c r="CB223" s="22">
        <f t="shared" si="1467"/>
        <v>7082.6099999999988</v>
      </c>
      <c r="CC223" s="22">
        <f t="shared" si="1467"/>
        <v>7093.0981449261935</v>
      </c>
      <c r="CD223" s="22">
        <f t="shared" si="1467"/>
        <v>8190.4100000000017</v>
      </c>
      <c r="CE223" s="22">
        <f t="shared" si="1467"/>
        <v>8544.8796835463236</v>
      </c>
      <c r="CF223" s="22">
        <f t="shared" ref="CF223:CG223" si="1469">CF211-CF222</f>
        <v>12970.570000000003</v>
      </c>
      <c r="CG223" s="22">
        <f t="shared" si="1469"/>
        <v>12790.23312285525</v>
      </c>
      <c r="CH223" s="22">
        <f t="shared" ref="CH223:CI223" si="1470">CH211-CH222</f>
        <v>268.02999999999975</v>
      </c>
      <c r="CI223" s="22">
        <f t="shared" si="1470"/>
        <v>286.72816380059612</v>
      </c>
      <c r="CJ223" s="22">
        <f t="shared" ref="CJ223:DB223" si="1471">CJ211-CJ222</f>
        <v>19277.28</v>
      </c>
      <c r="CK223" s="22">
        <f t="shared" si="1471"/>
        <v>19668.388565502748</v>
      </c>
      <c r="CL223" s="22">
        <f t="shared" ref="CL223" si="1472">CL211-CL222</f>
        <v>23220.609999999993</v>
      </c>
      <c r="CM223" s="21">
        <f t="shared" si="1471"/>
        <v>32650.561911539153</v>
      </c>
      <c r="CN223" s="21">
        <f t="shared" si="1471"/>
        <v>35406.632181512614</v>
      </c>
      <c r="CO223" s="21">
        <f t="shared" si="1471"/>
        <v>40642.305610837459</v>
      </c>
      <c r="CP223" s="21">
        <f t="shared" si="1471"/>
        <v>43693.516393614511</v>
      </c>
      <c r="CQ223" s="21">
        <f t="shared" si="1471"/>
        <v>45719.536540961308</v>
      </c>
      <c r="CR223" s="21">
        <f t="shared" si="1471"/>
        <v>43974.164850346293</v>
      </c>
      <c r="CS223" s="21">
        <f t="shared" si="1471"/>
        <v>44102.975576827055</v>
      </c>
      <c r="CT223" s="21">
        <f t="shared" si="1471"/>
        <v>44803.831734288804</v>
      </c>
      <c r="CU223" s="21">
        <f t="shared" si="1471"/>
        <v>44875.994944163518</v>
      </c>
      <c r="CV223" s="21">
        <f t="shared" si="1471"/>
        <v>44582.811998966092</v>
      </c>
      <c r="CW223" s="21">
        <f t="shared" si="1471"/>
        <v>48050.079185730508</v>
      </c>
      <c r="CX223" s="21">
        <f t="shared" si="1471"/>
        <v>49276.218088583351</v>
      </c>
      <c r="CY223" s="21">
        <f t="shared" si="1471"/>
        <v>51183.103138862207</v>
      </c>
      <c r="CZ223" s="21">
        <f t="shared" si="1471"/>
        <v>51157.862928790106</v>
      </c>
      <c r="DA223" s="21">
        <f t="shared" si="1471"/>
        <v>53183.331242016429</v>
      </c>
      <c r="DB223" s="21">
        <f t="shared" si="1471"/>
        <v>55679.879643010318</v>
      </c>
      <c r="DE223" s="126"/>
      <c r="DF223" s="22">
        <v>-2173.5899999999997</v>
      </c>
      <c r="DG223" s="22">
        <v>26110.619556122343</v>
      </c>
    </row>
    <row r="224" spans="1:111" s="23" customFormat="1" x14ac:dyDescent="0.2">
      <c r="AB224" s="24"/>
      <c r="AC224" s="24"/>
      <c r="AD224" s="24"/>
      <c r="AE224" s="24"/>
      <c r="CM224" s="24"/>
      <c r="CN224" s="24"/>
      <c r="CO224" s="24"/>
      <c r="CP224" s="24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4"/>
      <c r="DE224" s="123"/>
    </row>
    <row r="225" spans="1:111" s="23" customFormat="1" outlineLevel="1" x14ac:dyDescent="0.2">
      <c r="A225" s="23" t="s">
        <v>75</v>
      </c>
      <c r="B225" s="23">
        <f>'Annual Raw'!C75</f>
        <v>0</v>
      </c>
      <c r="C225" s="23">
        <f>'Annual Raw'!D75</f>
        <v>0</v>
      </c>
      <c r="D225" s="23">
        <f>'Annual Raw'!E75</f>
        <v>0</v>
      </c>
      <c r="E225" s="23">
        <f>'Annual Raw'!F75</f>
        <v>0</v>
      </c>
      <c r="F225" s="23">
        <f>'Annual Raw'!G75</f>
        <v>0</v>
      </c>
      <c r="G225" s="23">
        <f>'Annual Raw'!H75</f>
        <v>0</v>
      </c>
      <c r="H225" s="23">
        <f>'Annual Raw'!I75</f>
        <v>0</v>
      </c>
      <c r="I225" s="23">
        <f>'Annual Raw'!J75</f>
        <v>0</v>
      </c>
      <c r="J225" s="23">
        <f>'Annual Raw'!K75</f>
        <v>0</v>
      </c>
      <c r="K225" s="23">
        <f>'Annual Raw'!L75</f>
        <v>0</v>
      </c>
      <c r="L225" s="23">
        <f>'Annual Raw'!M75</f>
        <v>0</v>
      </c>
      <c r="M225" s="23">
        <f>'Annual Raw'!N75</f>
        <v>0</v>
      </c>
      <c r="N225" s="23">
        <f>'Annual Raw'!O75</f>
        <v>0</v>
      </c>
      <c r="O225" s="23">
        <f>'Annual Raw'!P75</f>
        <v>0</v>
      </c>
      <c r="P225" s="23">
        <f>'Annual Raw'!Q75</f>
        <v>0</v>
      </c>
      <c r="Q225" s="23">
        <f>'Annual Raw'!R75</f>
        <v>19.82</v>
      </c>
      <c r="R225" s="23">
        <f>'Annual Raw'!S75</f>
        <v>105</v>
      </c>
      <c r="S225" s="23">
        <f>'Annual Raw'!T75</f>
        <v>0</v>
      </c>
      <c r="T225" s="23">
        <f>'Annual Raw'!U75</f>
        <v>214.86</v>
      </c>
      <c r="U225" s="23">
        <f>'Annual Raw'!V75</f>
        <v>312.67</v>
      </c>
      <c r="V225" s="23">
        <f>'Annual Raw'!W75</f>
        <v>174.79</v>
      </c>
      <c r="W225" s="23">
        <f>'Annual Raw'!X75</f>
        <v>296.35000000000002</v>
      </c>
      <c r="X225" s="23">
        <f>'Annual Raw'!Y75</f>
        <v>1056.79</v>
      </c>
      <c r="Y225" s="23">
        <f>'Annual Raw'!Z75</f>
        <v>442.69</v>
      </c>
      <c r="Z225" s="23">
        <f>'Annual Raw'!AA75</f>
        <v>2289.69</v>
      </c>
      <c r="AA225" s="23">
        <f>'Annual Raw'!AB75</f>
        <v>2236.3200000000002</v>
      </c>
      <c r="AB225" s="24">
        <f t="shared" ref="AB225:AB226" si="1473">+CP225</f>
        <v>0</v>
      </c>
      <c r="AC225" s="24">
        <f t="shared" ref="AC225:AC226" si="1474">+CT225</f>
        <v>0</v>
      </c>
      <c r="AD225" s="24">
        <f t="shared" ref="AD225:AD226" si="1475">+CX225</f>
        <v>0</v>
      </c>
      <c r="AE225" s="24">
        <f t="shared" ref="AE225:AE226" si="1476">+DB225</f>
        <v>0</v>
      </c>
      <c r="AJ225" s="23">
        <f>+'QTR Raw'!D80</f>
        <v>0</v>
      </c>
      <c r="AL225" s="23">
        <f>+'QTR Raw'!F80</f>
        <v>0</v>
      </c>
      <c r="AN225" s="23">
        <f>+'QTR Raw'!H80</f>
        <v>0</v>
      </c>
      <c r="AP225" s="23">
        <f>+'QTR Raw'!J80</f>
        <v>0</v>
      </c>
      <c r="AR225" s="23">
        <f>+'QTR Raw'!L80</f>
        <v>0</v>
      </c>
      <c r="AT225" s="23">
        <f>+'QTR Raw'!N80</f>
        <v>0</v>
      </c>
      <c r="AV225" s="23">
        <f>+'QTR Raw'!P80</f>
        <v>113.6</v>
      </c>
      <c r="AX225" s="23">
        <f>+'QTR Raw'!R80</f>
        <v>19.82</v>
      </c>
      <c r="AZ225" s="23">
        <f>+'QTR Raw'!T80</f>
        <v>93.67</v>
      </c>
      <c r="BB225" s="23">
        <f>+'QTR Raw'!V80</f>
        <v>105</v>
      </c>
      <c r="BD225" s="23">
        <f>+'QTR Raw'!X80</f>
        <v>270.31</v>
      </c>
      <c r="BF225" s="23">
        <f>+'QTR Raw'!Z80</f>
        <v>0</v>
      </c>
      <c r="BH225" s="23">
        <f>+'QTR Raw'!AB80</f>
        <v>60.48</v>
      </c>
      <c r="BJ225" s="23">
        <f>+'QTR Raw'!AD80</f>
        <v>214.86</v>
      </c>
      <c r="BL225" s="23">
        <f>+'QTR Raw'!AF80</f>
        <v>346.62</v>
      </c>
      <c r="BN225" s="23">
        <f>+'QTR Raw'!AH80</f>
        <v>312.67</v>
      </c>
      <c r="BP225" s="23">
        <f>+'QTR Raw'!AJ80</f>
        <v>411.37</v>
      </c>
      <c r="BR225" s="23">
        <f>+'QTR Raw'!AL80</f>
        <v>174.79</v>
      </c>
      <c r="BT225" s="23">
        <f>+'QTR Raw'!AN80</f>
        <v>325.7</v>
      </c>
      <c r="BV225" s="23">
        <f>+'QTR Raw'!AP80</f>
        <v>296.35000000000002</v>
      </c>
      <c r="BX225" s="23">
        <f>+'QTR Raw'!AR80</f>
        <v>213.6</v>
      </c>
      <c r="BZ225" s="23">
        <f>+'QTR Raw'!AT80</f>
        <v>1056.79</v>
      </c>
      <c r="CB225" s="23">
        <f>+'QTR Raw'!AV80</f>
        <v>508.13</v>
      </c>
      <c r="CD225" s="23">
        <f>+'QTR Raw'!AX80</f>
        <v>442.69</v>
      </c>
      <c r="CF225" s="23">
        <f>+'QTR Raw'!AZ80</f>
        <v>1259.46</v>
      </c>
      <c r="CH225" s="23">
        <f t="shared" ref="CH225:CH226" si="1477">Z225</f>
        <v>2289.69</v>
      </c>
      <c r="CJ225" s="23">
        <f>+'QTR Raw'!BD80</f>
        <v>1424.25</v>
      </c>
      <c r="CL225" s="23">
        <f>+'QTR Raw'!BF80</f>
        <v>2236.3200000000002</v>
      </c>
      <c r="CM225" s="24"/>
      <c r="CN225" s="24"/>
      <c r="CO225" s="24"/>
      <c r="CP225" s="24"/>
      <c r="CQ225" s="24"/>
      <c r="CR225" s="24"/>
      <c r="CS225" s="24"/>
      <c r="CT225" s="24"/>
      <c r="CU225" s="24"/>
      <c r="CV225" s="24"/>
      <c r="CW225" s="24"/>
      <c r="CX225" s="24"/>
      <c r="CY225" s="24"/>
      <c r="CZ225" s="24"/>
      <c r="DA225" s="24"/>
      <c r="DB225" s="24"/>
      <c r="DE225" s="123"/>
      <c r="DF225" s="23">
        <v>0</v>
      </c>
    </row>
    <row r="226" spans="1:111" s="23" customFormat="1" outlineLevel="1" x14ac:dyDescent="0.2">
      <c r="A226" s="23" t="s">
        <v>76</v>
      </c>
      <c r="B226" s="23">
        <f>'Annual Raw'!C78</f>
        <v>0</v>
      </c>
      <c r="C226" s="23">
        <f>'Annual Raw'!D78</f>
        <v>0</v>
      </c>
      <c r="D226" s="23">
        <f>'Annual Raw'!E78</f>
        <v>0</v>
      </c>
      <c r="E226" s="23">
        <f>'Annual Raw'!F78</f>
        <v>0</v>
      </c>
      <c r="F226" s="23">
        <f>'Annual Raw'!G78</f>
        <v>0</v>
      </c>
      <c r="G226" s="23">
        <f>'Annual Raw'!H78</f>
        <v>0</v>
      </c>
      <c r="H226" s="23">
        <f>'Annual Raw'!I78</f>
        <v>0</v>
      </c>
      <c r="I226" s="23">
        <f>'Annual Raw'!J78</f>
        <v>0</v>
      </c>
      <c r="J226" s="23">
        <f>'Annual Raw'!K78</f>
        <v>0</v>
      </c>
      <c r="K226" s="23">
        <f>'Annual Raw'!L78</f>
        <v>0</v>
      </c>
      <c r="L226" s="23">
        <f>'Annual Raw'!M78</f>
        <v>0</v>
      </c>
      <c r="M226" s="23">
        <f>'Annual Raw'!N78</f>
        <v>0</v>
      </c>
      <c r="N226" s="23">
        <f>'Annual Raw'!O78</f>
        <v>0</v>
      </c>
      <c r="O226" s="23">
        <f>'Annual Raw'!P78</f>
        <v>0.05</v>
      </c>
      <c r="P226" s="23">
        <f>'Annual Raw'!Q78</f>
        <v>15.09</v>
      </c>
      <c r="Q226" s="23">
        <f>'Annual Raw'!R78</f>
        <v>151.38</v>
      </c>
      <c r="R226" s="23">
        <f>'Annual Raw'!S78</f>
        <v>393.18</v>
      </c>
      <c r="S226" s="23">
        <f>'Annual Raw'!T78</f>
        <v>665.49</v>
      </c>
      <c r="T226" s="23">
        <f>'Annual Raw'!U78</f>
        <v>701.56</v>
      </c>
      <c r="U226" s="23">
        <f>'Annual Raw'!V78</f>
        <v>2296.84</v>
      </c>
      <c r="V226" s="23">
        <f>'Annual Raw'!W78</f>
        <v>1289.9100000000001</v>
      </c>
      <c r="W226" s="23">
        <f>'Annual Raw'!X78</f>
        <v>1392.87</v>
      </c>
      <c r="X226" s="23">
        <f>'Annual Raw'!Y78</f>
        <v>1704.14</v>
      </c>
      <c r="Y226" s="23">
        <f>'Annual Raw'!Z78</f>
        <v>2228.14</v>
      </c>
      <c r="Z226" s="23">
        <f>'Annual Raw'!AA78</f>
        <v>3618.68</v>
      </c>
      <c r="AA226" s="23">
        <f>'Annual Raw'!AB78</f>
        <v>3947.34</v>
      </c>
      <c r="AB226" s="24">
        <f t="shared" si="1473"/>
        <v>-29842.388140194969</v>
      </c>
      <c r="AC226" s="24">
        <f t="shared" si="1474"/>
        <v>-46179.262205725128</v>
      </c>
      <c r="AD226" s="24">
        <f t="shared" si="1475"/>
        <v>-56797.016722267654</v>
      </c>
      <c r="AE226" s="24">
        <f t="shared" si="1476"/>
        <v>-68216.19104963509</v>
      </c>
      <c r="AJ226" s="23">
        <f>+'QTR Raw'!D83</f>
        <v>0</v>
      </c>
      <c r="AK226" s="23" t="e">
        <f t="shared" ref="AK226:AM226" si="1478">+AK277</f>
        <v>#DIV/0!</v>
      </c>
      <c r="AL226" s="23">
        <f>+'QTR Raw'!F83</f>
        <v>0</v>
      </c>
      <c r="AM226" s="23" t="e">
        <f t="shared" si="1478"/>
        <v>#DIV/0!</v>
      </c>
      <c r="AN226" s="23">
        <f>+'QTR Raw'!H83</f>
        <v>0</v>
      </c>
      <c r="AO226" s="23" t="e">
        <f t="shared" ref="AO226" si="1479">+AO277</f>
        <v>#DIV/0!</v>
      </c>
      <c r="AP226" s="23">
        <f>+'QTR Raw'!J83</f>
        <v>0</v>
      </c>
      <c r="AQ226" s="23" t="e">
        <f t="shared" ref="AQ226" si="1480">+AQ277</f>
        <v>#DIV/0!</v>
      </c>
      <c r="AR226" s="23">
        <f>+'QTR Raw'!L83</f>
        <v>0</v>
      </c>
      <c r="AS226" s="23" t="e">
        <f t="shared" ref="AS226" si="1481">+AS277</f>
        <v>#DIV/0!</v>
      </c>
      <c r="AT226" s="23">
        <f>+'QTR Raw'!N83</f>
        <v>15.09</v>
      </c>
      <c r="AU226" s="23">
        <f t="shared" ref="AU226" si="1482">+AU277</f>
        <v>-1122.4203559896669</v>
      </c>
      <c r="AV226" s="23">
        <f>+'QTR Raw'!P83</f>
        <v>27.49</v>
      </c>
      <c r="AW226" s="23">
        <f t="shared" ref="AW226" si="1483">+AW277</f>
        <v>227.76909612930632</v>
      </c>
      <c r="AX226" s="23">
        <f>+'QTR Raw'!R83</f>
        <v>151.38</v>
      </c>
      <c r="AY226" s="23">
        <f t="shared" ref="AY226" si="1484">+AY277</f>
        <v>295.78698755719887</v>
      </c>
      <c r="AZ226" s="23">
        <f>+'QTR Raw'!T83</f>
        <v>191.34</v>
      </c>
      <c r="BA226" s="23">
        <f t="shared" ref="BA226" si="1485">+BA277</f>
        <v>364.19992881206895</v>
      </c>
      <c r="BB226" s="23">
        <f>+'QTR Raw'!V83</f>
        <v>393.18</v>
      </c>
      <c r="BC226" s="23">
        <f t="shared" ref="BC226" si="1486">+BC277</f>
        <v>636.75984687642392</v>
      </c>
      <c r="BD226" s="23">
        <f>+'QTR Raw'!X83</f>
        <v>178.91</v>
      </c>
      <c r="BE226" s="23">
        <f t="shared" ref="BE226" si="1487">+BE277</f>
        <v>991.38860927685585</v>
      </c>
      <c r="BF226" s="23">
        <f>+'QTR Raw'!Z83</f>
        <v>665.49</v>
      </c>
      <c r="BG226" s="23">
        <f t="shared" ref="BG226" si="1488">+BG277</f>
        <v>894.10155492999525</v>
      </c>
      <c r="BH226" s="23">
        <f>+'QTR Raw'!AB83</f>
        <v>669.38</v>
      </c>
      <c r="BI226" s="23">
        <f t="shared" ref="BI226" si="1489">+BI277</f>
        <v>1348.3985377540951</v>
      </c>
      <c r="BJ226" s="23">
        <f>+'QTR Raw'!AD83</f>
        <v>701.56</v>
      </c>
      <c r="BK226" s="23">
        <f t="shared" ref="BK226" si="1490">+BK277</f>
        <v>1148.0947646883201</v>
      </c>
      <c r="BL226" s="23">
        <f>+'QTR Raw'!AF83</f>
        <v>1589.56</v>
      </c>
      <c r="BM226" s="23">
        <f t="shared" ref="BM226" si="1491">+BM277</f>
        <v>2135.5860040101784</v>
      </c>
      <c r="BN226" s="23">
        <f>+'QTR Raw'!AH83</f>
        <v>2296.84</v>
      </c>
      <c r="BO226" s="23">
        <f t="shared" ref="BO226" si="1492">+BO277</f>
        <v>2944.2505590280416</v>
      </c>
      <c r="BP226" s="23">
        <f>+'QTR Raw'!AJ83</f>
        <v>1436.9</v>
      </c>
      <c r="BQ226" s="23">
        <f t="shared" ref="BQ226" si="1493">+BQ277</f>
        <v>2207.4375786920427</v>
      </c>
      <c r="BR226" s="23">
        <f>+'QTR Raw'!AL83</f>
        <v>1289.9100000000001</v>
      </c>
      <c r="BS226" s="23">
        <f t="shared" ref="BS226" si="1494">+BS277</f>
        <v>1899.8841871774844</v>
      </c>
      <c r="BT226" s="23">
        <f>+'QTR Raw'!AN83</f>
        <v>1318.29</v>
      </c>
      <c r="BU226" s="23">
        <f t="shared" ref="BU226" si="1495">+BU277</f>
        <v>1885.1703904085848</v>
      </c>
      <c r="BV226" s="23">
        <f>+'QTR Raw'!AP83</f>
        <v>1392.87</v>
      </c>
      <c r="BW226" s="23">
        <f t="shared" ref="BW226" si="1496">+BW277</f>
        <v>1890.3696158306766</v>
      </c>
      <c r="BX226" s="23">
        <f>+'QTR Raw'!AR83</f>
        <v>1984.86</v>
      </c>
      <c r="BY226" s="23">
        <f t="shared" ref="BY226" si="1497">+BY277</f>
        <v>2626.7797279392721</v>
      </c>
      <c r="BZ226" s="23">
        <f>+'QTR Raw'!AT83</f>
        <v>1704.14</v>
      </c>
      <c r="CA226" s="23">
        <f t="shared" ref="CA226" si="1498">+CA277</f>
        <v>2955.2287890673897</v>
      </c>
      <c r="CB226" s="23">
        <f>+'QTR Raw'!AV83</f>
        <v>2623.65</v>
      </c>
      <c r="CC226" s="23">
        <f t="shared" ref="CC226" si="1499">+CC277</f>
        <v>3446.1918550738055</v>
      </c>
      <c r="CD226" s="23">
        <f>+'QTR Raw'!AX83</f>
        <v>2228.14</v>
      </c>
      <c r="CE226" s="23">
        <f t="shared" ref="CE226" si="1500">+CE277</f>
        <v>1492.4403164536798</v>
      </c>
      <c r="CF226" s="23">
        <f>+'QTR Raw'!AZ83</f>
        <v>6060.26</v>
      </c>
      <c r="CG226" s="23">
        <f t="shared" ref="CG226:CI226" si="1501">+CG277</f>
        <v>8061.8368771447558</v>
      </c>
      <c r="CH226" s="23">
        <f t="shared" si="1477"/>
        <v>3618.68</v>
      </c>
      <c r="CI226" s="23">
        <f t="shared" si="1501"/>
        <v>6866.9718361994037</v>
      </c>
      <c r="CJ226" s="23">
        <f>+'QTR Raw'!BD83</f>
        <v>4905.2299999999996</v>
      </c>
      <c r="CK226" s="23">
        <f t="shared" ref="CK226:DB226" si="1502">+CK277</f>
        <v>6386.8714344972495</v>
      </c>
      <c r="CL226" s="23">
        <f>+'QTR Raw'!BF83</f>
        <v>3947.34</v>
      </c>
      <c r="CM226" s="24">
        <f t="shared" si="1502"/>
        <v>-7124.2529792251225</v>
      </c>
      <c r="CN226" s="24">
        <f t="shared" si="1502"/>
        <v>-13811.770252146005</v>
      </c>
      <c r="CO226" s="24">
        <f t="shared" si="1502"/>
        <v>-22938.515372650556</v>
      </c>
      <c r="CP226" s="24">
        <f t="shared" si="1502"/>
        <v>-29842.388140194969</v>
      </c>
      <c r="CQ226" s="24">
        <f t="shared" si="1502"/>
        <v>-35755.978151755466</v>
      </c>
      <c r="CR226" s="24">
        <f t="shared" si="1502"/>
        <v>-37897.232132143494</v>
      </c>
      <c r="CS226" s="24">
        <f t="shared" si="1502"/>
        <v>-41823.348609713321</v>
      </c>
      <c r="CT226" s="24">
        <f t="shared" si="1502"/>
        <v>-46179.262205725128</v>
      </c>
      <c r="CU226" s="24">
        <f t="shared" si="1502"/>
        <v>-47934.10092953821</v>
      </c>
      <c r="CV226" s="24">
        <f t="shared" si="1502"/>
        <v>-49319.227343090206</v>
      </c>
      <c r="CW226" s="24">
        <f t="shared" si="1502"/>
        <v>-54190.846089408224</v>
      </c>
      <c r="CX226" s="24">
        <f t="shared" si="1502"/>
        <v>-56797.016722267654</v>
      </c>
      <c r="CY226" s="24">
        <f t="shared" si="1502"/>
        <v>-60033.990636547242</v>
      </c>
      <c r="CZ226" s="24">
        <f t="shared" si="1502"/>
        <v>-61349.259651547676</v>
      </c>
      <c r="DA226" s="24">
        <f t="shared" si="1502"/>
        <v>-64613.145812584131</v>
      </c>
      <c r="DB226" s="24">
        <f t="shared" si="1502"/>
        <v>-68216.19104963509</v>
      </c>
      <c r="DE226" s="123"/>
      <c r="DF226" s="23">
        <v>0</v>
      </c>
      <c r="DG226" s="23">
        <v>724.05397079669274</v>
      </c>
    </row>
    <row r="227" spans="1:111" s="23" customFormat="1" outlineLevel="1" x14ac:dyDescent="0.2">
      <c r="U227" s="23">
        <v>0.19</v>
      </c>
      <c r="V227" s="23">
        <v>874.47</v>
      </c>
      <c r="W227" s="23">
        <v>1131.42</v>
      </c>
      <c r="X227" s="23">
        <v>1100.8499999999999</v>
      </c>
      <c r="Y227" s="23">
        <v>1622.66</v>
      </c>
      <c r="Z227" s="23">
        <v>2173.59</v>
      </c>
      <c r="AA227" s="23">
        <v>2173.59</v>
      </c>
      <c r="AB227" s="24"/>
      <c r="AC227" s="24"/>
      <c r="AD227" s="24"/>
      <c r="AE227" s="24"/>
      <c r="CM227" s="24"/>
      <c r="CN227" s="24"/>
      <c r="CO227" s="24"/>
      <c r="CP227" s="24"/>
      <c r="CQ227" s="24"/>
      <c r="CR227" s="24"/>
      <c r="CS227" s="24"/>
      <c r="CT227" s="24"/>
      <c r="CU227" s="24"/>
      <c r="CV227" s="24"/>
      <c r="CW227" s="24"/>
      <c r="CX227" s="24"/>
      <c r="CY227" s="24"/>
      <c r="CZ227" s="24"/>
      <c r="DA227" s="24"/>
      <c r="DB227" s="24"/>
      <c r="DE227" s="123"/>
      <c r="DF227" s="23">
        <v>2173.59</v>
      </c>
    </row>
    <row r="228" spans="1:111" s="22" customFormat="1" x14ac:dyDescent="0.2">
      <c r="A228" s="22" t="s">
        <v>77</v>
      </c>
      <c r="B228" s="22">
        <f>B225+B226</f>
        <v>0</v>
      </c>
      <c r="C228" s="22">
        <f t="shared" ref="C228:O228" si="1503">C225+C226</f>
        <v>0</v>
      </c>
      <c r="D228" s="22">
        <f t="shared" si="1503"/>
        <v>0</v>
      </c>
      <c r="E228" s="22">
        <f t="shared" si="1503"/>
        <v>0</v>
      </c>
      <c r="F228" s="22">
        <f t="shared" si="1503"/>
        <v>0</v>
      </c>
      <c r="G228" s="22">
        <f t="shared" si="1503"/>
        <v>0</v>
      </c>
      <c r="H228" s="22">
        <f t="shared" si="1503"/>
        <v>0</v>
      </c>
      <c r="I228" s="22">
        <f t="shared" si="1503"/>
        <v>0</v>
      </c>
      <c r="J228" s="22">
        <f t="shared" si="1503"/>
        <v>0</v>
      </c>
      <c r="K228" s="22">
        <f t="shared" si="1503"/>
        <v>0</v>
      </c>
      <c r="L228" s="22">
        <f t="shared" si="1503"/>
        <v>0</v>
      </c>
      <c r="M228" s="22">
        <f t="shared" si="1503"/>
        <v>0</v>
      </c>
      <c r="N228" s="22">
        <f t="shared" si="1503"/>
        <v>0</v>
      </c>
      <c r="O228" s="22">
        <f t="shared" si="1503"/>
        <v>0.05</v>
      </c>
      <c r="P228" s="22">
        <f t="shared" ref="P228:Y228" si="1504">+SUM(P225:P227)</f>
        <v>15.09</v>
      </c>
      <c r="Q228" s="22">
        <f t="shared" si="1504"/>
        <v>171.2</v>
      </c>
      <c r="R228" s="22">
        <f t="shared" si="1504"/>
        <v>498.18</v>
      </c>
      <c r="S228" s="22">
        <f t="shared" si="1504"/>
        <v>665.49</v>
      </c>
      <c r="T228" s="22">
        <f t="shared" si="1504"/>
        <v>916.42</v>
      </c>
      <c r="U228" s="22">
        <f t="shared" si="1504"/>
        <v>2609.7000000000003</v>
      </c>
      <c r="V228" s="22">
        <f t="shared" si="1504"/>
        <v>2339.17</v>
      </c>
      <c r="W228" s="22">
        <f t="shared" si="1504"/>
        <v>2820.64</v>
      </c>
      <c r="X228" s="22">
        <f t="shared" si="1504"/>
        <v>3861.78</v>
      </c>
      <c r="Y228" s="22">
        <f t="shared" si="1504"/>
        <v>4293.49</v>
      </c>
      <c r="Z228" s="22">
        <f>+SUM(Z225:Z227)</f>
        <v>8081.96</v>
      </c>
      <c r="AA228" s="22">
        <f>+SUM(AA225:AA227)</f>
        <v>8357.25</v>
      </c>
      <c r="AB228" s="21">
        <f t="shared" ref="AB228:AD228" si="1505">AB225+AB226</f>
        <v>-29842.388140194969</v>
      </c>
      <c r="AC228" s="21">
        <f t="shared" si="1505"/>
        <v>-46179.262205725128</v>
      </c>
      <c r="AD228" s="21">
        <f t="shared" si="1505"/>
        <v>-56797.016722267654</v>
      </c>
      <c r="AE228" s="21">
        <f t="shared" ref="AE228" si="1506">AE225+AE226</f>
        <v>-68216.19104963509</v>
      </c>
      <c r="AJ228" s="22">
        <f t="shared" ref="AJ228" si="1507">AJ225+AJ226</f>
        <v>0</v>
      </c>
      <c r="AK228" s="22" t="e">
        <f t="shared" ref="AK228" si="1508">AK225+AK226</f>
        <v>#DIV/0!</v>
      </c>
      <c r="AL228" s="22">
        <f t="shared" ref="AL228:AM228" si="1509">AL225+AL226</f>
        <v>0</v>
      </c>
      <c r="AM228" s="22" t="e">
        <f t="shared" si="1509"/>
        <v>#DIV/0!</v>
      </c>
      <c r="AN228" s="22">
        <f t="shared" ref="AN228:AO228" si="1510">AN225+AN226</f>
        <v>0</v>
      </c>
      <c r="AO228" s="22" t="e">
        <f t="shared" si="1510"/>
        <v>#DIV/0!</v>
      </c>
      <c r="AP228" s="22">
        <f t="shared" ref="AP228:CE228" si="1511">AP225+AP226</f>
        <v>0</v>
      </c>
      <c r="AQ228" s="22" t="e">
        <f t="shared" si="1511"/>
        <v>#DIV/0!</v>
      </c>
      <c r="AR228" s="22">
        <f t="shared" si="1511"/>
        <v>0</v>
      </c>
      <c r="AS228" s="22" t="e">
        <f t="shared" si="1511"/>
        <v>#DIV/0!</v>
      </c>
      <c r="AT228" s="22">
        <f t="shared" si="1511"/>
        <v>15.09</v>
      </c>
      <c r="AU228" s="22">
        <f t="shared" si="1511"/>
        <v>-1122.4203559896669</v>
      </c>
      <c r="AV228" s="22">
        <f t="shared" si="1511"/>
        <v>141.09</v>
      </c>
      <c r="AW228" s="22">
        <f t="shared" si="1511"/>
        <v>227.76909612930632</v>
      </c>
      <c r="AX228" s="22">
        <f t="shared" si="1511"/>
        <v>171.2</v>
      </c>
      <c r="AY228" s="22">
        <f t="shared" si="1511"/>
        <v>295.78698755719887</v>
      </c>
      <c r="AZ228" s="22">
        <f t="shared" si="1511"/>
        <v>285.01</v>
      </c>
      <c r="BA228" s="22">
        <f t="shared" si="1511"/>
        <v>364.19992881206895</v>
      </c>
      <c r="BB228" s="22">
        <f t="shared" si="1511"/>
        <v>498.18</v>
      </c>
      <c r="BC228" s="22">
        <f t="shared" si="1511"/>
        <v>636.75984687642392</v>
      </c>
      <c r="BD228" s="22">
        <f t="shared" si="1511"/>
        <v>449.22</v>
      </c>
      <c r="BE228" s="22">
        <f t="shared" si="1511"/>
        <v>991.38860927685585</v>
      </c>
      <c r="BF228" s="22">
        <f t="shared" si="1511"/>
        <v>665.49</v>
      </c>
      <c r="BG228" s="22">
        <f t="shared" si="1511"/>
        <v>894.10155492999525</v>
      </c>
      <c r="BH228" s="22">
        <f t="shared" si="1511"/>
        <v>729.86</v>
      </c>
      <c r="BI228" s="22">
        <f t="shared" si="1511"/>
        <v>1348.3985377540951</v>
      </c>
      <c r="BJ228" s="22">
        <f t="shared" si="1511"/>
        <v>916.42</v>
      </c>
      <c r="BK228" s="22">
        <f t="shared" si="1511"/>
        <v>1148.0947646883201</v>
      </c>
      <c r="BL228" s="22">
        <f t="shared" si="1511"/>
        <v>1936.1799999999998</v>
      </c>
      <c r="BM228" s="22">
        <f t="shared" si="1511"/>
        <v>2135.5860040101784</v>
      </c>
      <c r="BN228" s="22">
        <f t="shared" si="1511"/>
        <v>2609.5100000000002</v>
      </c>
      <c r="BO228" s="22">
        <f t="shared" si="1511"/>
        <v>2944.2505590280416</v>
      </c>
      <c r="BP228" s="22">
        <f t="shared" si="1511"/>
        <v>1848.27</v>
      </c>
      <c r="BQ228" s="22">
        <f t="shared" si="1511"/>
        <v>2207.4375786920427</v>
      </c>
      <c r="BR228" s="22">
        <f t="shared" si="1511"/>
        <v>1464.7</v>
      </c>
      <c r="BS228" s="22">
        <f t="shared" si="1511"/>
        <v>1899.8841871774844</v>
      </c>
      <c r="BT228" s="22">
        <f t="shared" si="1511"/>
        <v>1643.99</v>
      </c>
      <c r="BU228" s="22">
        <f t="shared" si="1511"/>
        <v>1885.1703904085848</v>
      </c>
      <c r="BV228" s="22">
        <f t="shared" si="1511"/>
        <v>1689.2199999999998</v>
      </c>
      <c r="BW228" s="22">
        <f t="shared" si="1511"/>
        <v>1890.3696158306766</v>
      </c>
      <c r="BX228" s="22">
        <f t="shared" si="1511"/>
        <v>2198.46</v>
      </c>
      <c r="BY228" s="22">
        <f t="shared" si="1511"/>
        <v>2626.7797279392721</v>
      </c>
      <c r="BZ228" s="22">
        <f t="shared" si="1511"/>
        <v>2760.9300000000003</v>
      </c>
      <c r="CA228" s="22">
        <f t="shared" si="1511"/>
        <v>2955.2287890673897</v>
      </c>
      <c r="CB228" s="22">
        <f t="shared" si="1511"/>
        <v>3131.78</v>
      </c>
      <c r="CC228" s="22">
        <f t="shared" si="1511"/>
        <v>3446.1918550738055</v>
      </c>
      <c r="CD228" s="22">
        <f t="shared" si="1511"/>
        <v>2670.83</v>
      </c>
      <c r="CE228" s="22">
        <f t="shared" si="1511"/>
        <v>1492.4403164536798</v>
      </c>
      <c r="CF228" s="22">
        <f t="shared" ref="CF228:CG228" si="1512">CF225+CF226</f>
        <v>7319.72</v>
      </c>
      <c r="CG228" s="22">
        <f t="shared" si="1512"/>
        <v>8061.8368771447558</v>
      </c>
      <c r="CH228" s="22">
        <f t="shared" ref="CH228:CI228" si="1513">CH225+CH226</f>
        <v>5908.37</v>
      </c>
      <c r="CI228" s="22">
        <f t="shared" si="1513"/>
        <v>6866.9718361994037</v>
      </c>
      <c r="CJ228" s="22">
        <f t="shared" ref="CJ228:DB228" si="1514">CJ225+CJ226</f>
        <v>6329.48</v>
      </c>
      <c r="CK228" s="22">
        <f t="shared" si="1514"/>
        <v>6386.8714344972495</v>
      </c>
      <c r="CL228" s="22">
        <f t="shared" ref="CL228" si="1515">CL225+CL226</f>
        <v>6183.66</v>
      </c>
      <c r="CM228" s="21">
        <f t="shared" si="1514"/>
        <v>-7124.2529792251225</v>
      </c>
      <c r="CN228" s="21">
        <f t="shared" si="1514"/>
        <v>-13811.770252146005</v>
      </c>
      <c r="CO228" s="21">
        <f t="shared" si="1514"/>
        <v>-22938.515372650556</v>
      </c>
      <c r="CP228" s="21">
        <f t="shared" si="1514"/>
        <v>-29842.388140194969</v>
      </c>
      <c r="CQ228" s="21">
        <f t="shared" si="1514"/>
        <v>-35755.978151755466</v>
      </c>
      <c r="CR228" s="21">
        <f t="shared" si="1514"/>
        <v>-37897.232132143494</v>
      </c>
      <c r="CS228" s="21">
        <f t="shared" si="1514"/>
        <v>-41823.348609713321</v>
      </c>
      <c r="CT228" s="21">
        <f t="shared" si="1514"/>
        <v>-46179.262205725128</v>
      </c>
      <c r="CU228" s="21">
        <f t="shared" si="1514"/>
        <v>-47934.10092953821</v>
      </c>
      <c r="CV228" s="21">
        <f t="shared" si="1514"/>
        <v>-49319.227343090206</v>
      </c>
      <c r="CW228" s="21">
        <f t="shared" si="1514"/>
        <v>-54190.846089408224</v>
      </c>
      <c r="CX228" s="21">
        <f t="shared" si="1514"/>
        <v>-56797.016722267654</v>
      </c>
      <c r="CY228" s="21">
        <f t="shared" si="1514"/>
        <v>-60033.990636547242</v>
      </c>
      <c r="CZ228" s="21">
        <f t="shared" si="1514"/>
        <v>-61349.259651547676</v>
      </c>
      <c r="DA228" s="21">
        <f t="shared" si="1514"/>
        <v>-64613.145812584131</v>
      </c>
      <c r="DB228" s="21">
        <f t="shared" si="1514"/>
        <v>-68216.19104963509</v>
      </c>
      <c r="DE228" s="126"/>
      <c r="DF228" s="22">
        <v>2173.59</v>
      </c>
      <c r="DG228" s="22">
        <v>724.05397079669274</v>
      </c>
    </row>
    <row r="229" spans="1:111" s="23" customFormat="1" x14ac:dyDescent="0.2">
      <c r="AB229" s="24"/>
      <c r="AC229" s="24"/>
      <c r="AD229" s="24"/>
      <c r="AE229" s="24"/>
      <c r="CM229" s="24"/>
      <c r="CN229" s="24"/>
      <c r="CO229" s="24"/>
      <c r="CP229" s="24"/>
      <c r="CQ229" s="24"/>
      <c r="CR229" s="24"/>
      <c r="CS229" s="24"/>
      <c r="CT229" s="24"/>
      <c r="CU229" s="24"/>
      <c r="CV229" s="24"/>
      <c r="CW229" s="24"/>
      <c r="CX229" s="24"/>
      <c r="CY229" s="24"/>
      <c r="CZ229" s="24"/>
      <c r="DA229" s="24"/>
      <c r="DB229" s="24"/>
      <c r="DE229" s="123"/>
    </row>
    <row r="230" spans="1:111" s="23" customFormat="1" x14ac:dyDescent="0.2">
      <c r="A230" s="23" t="s">
        <v>78</v>
      </c>
      <c r="B230" s="23">
        <f>-'Annual Raw'!C49</f>
        <v>0</v>
      </c>
      <c r="C230" s="23">
        <f>-'Annual Raw'!D49</f>
        <v>0</v>
      </c>
      <c r="D230" s="23">
        <f>-'Annual Raw'!E49</f>
        <v>0</v>
      </c>
      <c r="E230" s="23">
        <f>-'Annual Raw'!F49</f>
        <v>0</v>
      </c>
      <c r="F230" s="23">
        <f>-'Annual Raw'!G49</f>
        <v>0</v>
      </c>
      <c r="G230" s="23">
        <f>-'Annual Raw'!H49</f>
        <v>0</v>
      </c>
      <c r="H230" s="23">
        <f>-'Annual Raw'!I49</f>
        <v>0</v>
      </c>
      <c r="I230" s="23">
        <f>-'Annual Raw'!J49</f>
        <v>0</v>
      </c>
      <c r="J230" s="23">
        <f>-'Annual Raw'!K49</f>
        <v>0</v>
      </c>
      <c r="K230" s="23">
        <f>-'Annual Raw'!L49</f>
        <v>0</v>
      </c>
      <c r="L230" s="23">
        <f>-'Annual Raw'!M49</f>
        <v>0</v>
      </c>
      <c r="M230" s="23">
        <f>-'Annual Raw'!N49</f>
        <v>0</v>
      </c>
      <c r="N230" s="23">
        <f>-'Annual Raw'!O49</f>
        <v>0</v>
      </c>
      <c r="O230" s="23">
        <f>-'Annual Raw'!P49</f>
        <v>0</v>
      </c>
      <c r="P230" s="23">
        <f>-'Annual Raw'!Q49</f>
        <v>0</v>
      </c>
      <c r="Q230" s="23">
        <f>-'Annual Raw'!R49</f>
        <v>0</v>
      </c>
      <c r="R230" s="23">
        <f>-'Annual Raw'!S49</f>
        <v>0</v>
      </c>
      <c r="S230" s="23">
        <f>-'Annual Raw'!T49</f>
        <v>-1.23</v>
      </c>
      <c r="T230" s="23">
        <f>-'Annual Raw'!U49</f>
        <v>-645.09</v>
      </c>
      <c r="U230" s="23">
        <f>-'Annual Raw'!V49</f>
        <v>-971.37</v>
      </c>
      <c r="V230" s="23">
        <f>-'Annual Raw'!W49</f>
        <v>-1186.3499999999999</v>
      </c>
      <c r="W230" s="23">
        <f>-'Annual Raw'!X49</f>
        <v>-1414.46</v>
      </c>
      <c r="X230" s="23">
        <f>-'Annual Raw'!Y49</f>
        <v>-1424.32</v>
      </c>
      <c r="Y230" s="23">
        <f>-'Annual Raw'!Z49</f>
        <v>-1612.35</v>
      </c>
      <c r="Z230" s="23">
        <f>-'Annual Raw'!AA49</f>
        <v>-1695.91</v>
      </c>
      <c r="AA230" s="23">
        <f>-'Annual Raw'!AB49</f>
        <v>-2411.9699999999998</v>
      </c>
      <c r="AB230" s="24">
        <f t="shared" ref="AB230:AB231" si="1516">+CP230</f>
        <v>-2411.9699999999998</v>
      </c>
      <c r="AC230" s="24">
        <f t="shared" ref="AC230:AC231" si="1517">+CT230</f>
        <v>-2411.9699999999998</v>
      </c>
      <c r="AD230" s="24">
        <f t="shared" ref="AD230:AD231" si="1518">+CX230</f>
        <v>-2411.9699999999998</v>
      </c>
      <c r="AE230" s="24">
        <f t="shared" ref="AE230:AE231" si="1519">+DB230</f>
        <v>-2411.9699999999998</v>
      </c>
      <c r="AJ230" s="23">
        <f>+'QTR Raw'!D96</f>
        <v>0</v>
      </c>
      <c r="AK230" s="23">
        <f t="shared" ref="AK230:CE230" si="1520">+AJ230</f>
        <v>0</v>
      </c>
      <c r="AL230" s="23">
        <f>+'QTR Raw'!F96</f>
        <v>0</v>
      </c>
      <c r="AM230" s="23">
        <f t="shared" si="1520"/>
        <v>0</v>
      </c>
      <c r="AN230" s="23">
        <f>+'QTR Raw'!H96</f>
        <v>0</v>
      </c>
      <c r="AO230" s="23">
        <f t="shared" si="1520"/>
        <v>0</v>
      </c>
      <c r="AP230" s="23">
        <f>+'QTR Raw'!J96</f>
        <v>0</v>
      </c>
      <c r="AQ230" s="23">
        <f t="shared" si="1520"/>
        <v>0</v>
      </c>
      <c r="AR230" s="23">
        <f>+'QTR Raw'!L96</f>
        <v>0</v>
      </c>
      <c r="AS230" s="23">
        <f t="shared" si="1520"/>
        <v>0</v>
      </c>
      <c r="AT230" s="23">
        <f>+'QTR Raw'!N96</f>
        <v>0</v>
      </c>
      <c r="AU230" s="23">
        <f t="shared" si="1520"/>
        <v>0</v>
      </c>
      <c r="AV230" s="23">
        <f>+'QTR Raw'!P96</f>
        <v>0</v>
      </c>
      <c r="AW230" s="23">
        <f t="shared" si="1520"/>
        <v>0</v>
      </c>
      <c r="AX230" s="23">
        <f>+'QTR Raw'!R96</f>
        <v>0</v>
      </c>
      <c r="AY230" s="23">
        <f t="shared" si="1520"/>
        <v>0</v>
      </c>
      <c r="AZ230" s="23">
        <f>+'QTR Raw'!T96</f>
        <v>0</v>
      </c>
      <c r="BA230" s="23">
        <f t="shared" si="1520"/>
        <v>0</v>
      </c>
      <c r="BB230" s="23">
        <f>+'QTR Raw'!V96</f>
        <v>0</v>
      </c>
      <c r="BC230" s="23">
        <f t="shared" si="1520"/>
        <v>0</v>
      </c>
      <c r="BD230" s="23">
        <f>+'QTR Raw'!X96</f>
        <v>0</v>
      </c>
      <c r="BE230" s="23">
        <f t="shared" si="1520"/>
        <v>0</v>
      </c>
      <c r="BF230" s="23">
        <f>+'QTR Raw'!Z96</f>
        <v>-1.23</v>
      </c>
      <c r="BG230" s="23">
        <f t="shared" si="1520"/>
        <v>-1.23</v>
      </c>
      <c r="BH230" s="23">
        <f>+'QTR Raw'!AB96</f>
        <v>287.60000000000002</v>
      </c>
      <c r="BI230" s="23">
        <f t="shared" si="1520"/>
        <v>287.60000000000002</v>
      </c>
      <c r="BJ230" s="23">
        <f>+'QTR Raw'!AD96</f>
        <v>-645.09</v>
      </c>
      <c r="BK230" s="23">
        <f t="shared" si="1520"/>
        <v>-645.09</v>
      </c>
      <c r="BL230" s="23">
        <f>+'QTR Raw'!AF96</f>
        <v>-737.37</v>
      </c>
      <c r="BM230" s="23">
        <f t="shared" si="1520"/>
        <v>-737.37</v>
      </c>
      <c r="BN230" s="23">
        <f>+'QTR Raw'!AH96</f>
        <v>-971.37</v>
      </c>
      <c r="BO230" s="23">
        <f t="shared" si="1520"/>
        <v>-971.37</v>
      </c>
      <c r="BP230" s="23">
        <f>+'QTR Raw'!AJ96</f>
        <v>-1142.75</v>
      </c>
      <c r="BQ230" s="23">
        <f t="shared" si="1520"/>
        <v>-1142.75</v>
      </c>
      <c r="BR230" s="23">
        <f>+'QTR Raw'!AL96</f>
        <v>-1186.3499999999999</v>
      </c>
      <c r="BS230" s="23">
        <f t="shared" si="1520"/>
        <v>-1186.3499999999999</v>
      </c>
      <c r="BT230" s="23">
        <f>+'QTR Raw'!AN96</f>
        <v>-1265.06</v>
      </c>
      <c r="BU230" s="23">
        <f t="shared" si="1520"/>
        <v>-1265.06</v>
      </c>
      <c r="BV230" s="23">
        <f>+'QTR Raw'!AP96</f>
        <v>-1414.46</v>
      </c>
      <c r="BW230" s="23">
        <f t="shared" si="1520"/>
        <v>-1414.46</v>
      </c>
      <c r="BX230" s="23">
        <f>+'QTR Raw'!AR96</f>
        <v>-1372.33</v>
      </c>
      <c r="BY230" s="23">
        <f t="shared" si="1520"/>
        <v>-1372.33</v>
      </c>
      <c r="BZ230" s="23">
        <f>+'QTR Raw'!AT96</f>
        <v>-1424.32</v>
      </c>
      <c r="CA230" s="23">
        <f t="shared" si="1520"/>
        <v>-1424.32</v>
      </c>
      <c r="CB230" s="23">
        <f>+'QTR Raw'!AV96</f>
        <v>-1414.12</v>
      </c>
      <c r="CC230" s="23">
        <f t="shared" si="1520"/>
        <v>-1414.12</v>
      </c>
      <c r="CD230" s="23">
        <f>+'QTR Raw'!AX96</f>
        <v>-1612.35</v>
      </c>
      <c r="CE230" s="23">
        <f t="shared" si="1520"/>
        <v>-1612.35</v>
      </c>
      <c r="CF230" s="23">
        <f>+'QTR Raw'!AZ96</f>
        <v>-1636.66</v>
      </c>
      <c r="CG230" s="23">
        <f t="shared" ref="CG230:CI231" si="1521">+CF230</f>
        <v>-1636.66</v>
      </c>
      <c r="CH230" s="23">
        <f t="shared" ref="CH230:CH231" si="1522">Z230</f>
        <v>-1695.91</v>
      </c>
      <c r="CI230" s="23">
        <f t="shared" si="1521"/>
        <v>-1695.91</v>
      </c>
      <c r="CJ230" s="23">
        <f>+'QTR Raw'!BD96</f>
        <v>-1931.66</v>
      </c>
      <c r="CK230" s="23">
        <f t="shared" ref="CK230:CK231" si="1523">+CJ230</f>
        <v>-1931.66</v>
      </c>
      <c r="CL230" s="23">
        <f>+'QTR Raw'!BF96</f>
        <v>-2411.9699999999998</v>
      </c>
      <c r="CM230" s="24">
        <f t="shared" ref="CM230:CM231" si="1524">+CL230</f>
        <v>-2411.9699999999998</v>
      </c>
      <c r="CN230" s="24">
        <f t="shared" ref="CN230:CN231" si="1525">+CM230</f>
        <v>-2411.9699999999998</v>
      </c>
      <c r="CO230" s="24">
        <f t="shared" ref="CO230:CO231" si="1526">+CN230</f>
        <v>-2411.9699999999998</v>
      </c>
      <c r="CP230" s="24">
        <f t="shared" ref="CP230:CP231" si="1527">+CO230</f>
        <v>-2411.9699999999998</v>
      </c>
      <c r="CQ230" s="24">
        <f t="shared" ref="CQ230:CQ231" si="1528">+CP230</f>
        <v>-2411.9699999999998</v>
      </c>
      <c r="CR230" s="24">
        <f t="shared" ref="CR230:CR231" si="1529">+CQ230</f>
        <v>-2411.9699999999998</v>
      </c>
      <c r="CS230" s="24">
        <f t="shared" ref="CS230:CS231" si="1530">+CR230</f>
        <v>-2411.9699999999998</v>
      </c>
      <c r="CT230" s="24">
        <f t="shared" ref="CT230:CT231" si="1531">+CS230</f>
        <v>-2411.9699999999998</v>
      </c>
      <c r="CU230" s="24">
        <f t="shared" ref="CU230:CU231" si="1532">+CT230</f>
        <v>-2411.9699999999998</v>
      </c>
      <c r="CV230" s="24">
        <f t="shared" ref="CV230:CV231" si="1533">+CU230</f>
        <v>-2411.9699999999998</v>
      </c>
      <c r="CW230" s="24">
        <f t="shared" ref="CW230:CW231" si="1534">+CV230</f>
        <v>-2411.9699999999998</v>
      </c>
      <c r="CX230" s="24">
        <f t="shared" ref="CX230:CX231" si="1535">+CW230</f>
        <v>-2411.9699999999998</v>
      </c>
      <c r="CY230" s="24">
        <f t="shared" ref="CY230:CY231" si="1536">+CX230</f>
        <v>-2411.9699999999998</v>
      </c>
      <c r="CZ230" s="24">
        <f t="shared" ref="CZ230:CZ231" si="1537">+CY230</f>
        <v>-2411.9699999999998</v>
      </c>
      <c r="DA230" s="24">
        <f t="shared" ref="DA230:DA231" si="1538">+CZ230</f>
        <v>-2411.9699999999998</v>
      </c>
      <c r="DB230" s="24">
        <f t="shared" ref="DB230:DB231" si="1539">+DA230</f>
        <v>-2411.9699999999998</v>
      </c>
      <c r="DE230" s="123"/>
      <c r="DF230" s="23">
        <v>0</v>
      </c>
      <c r="DG230" s="23">
        <v>-1931.66</v>
      </c>
    </row>
    <row r="231" spans="1:111" s="23" customFormat="1" x14ac:dyDescent="0.2">
      <c r="A231" s="23" t="s">
        <v>79</v>
      </c>
      <c r="B231" s="23">
        <f>'Annual Raw'!C83</f>
        <v>0</v>
      </c>
      <c r="C231" s="23">
        <f>'Annual Raw'!D83</f>
        <v>0</v>
      </c>
      <c r="D231" s="23">
        <f>'Annual Raw'!E83</f>
        <v>0</v>
      </c>
      <c r="E231" s="23">
        <f>'Annual Raw'!F83</f>
        <v>0</v>
      </c>
      <c r="F231" s="23">
        <f>'Annual Raw'!G83</f>
        <v>0</v>
      </c>
      <c r="G231" s="23">
        <f>'Annual Raw'!H83</f>
        <v>0</v>
      </c>
      <c r="H231" s="23">
        <f>'Annual Raw'!I83</f>
        <v>0</v>
      </c>
      <c r="I231" s="23">
        <f>'Annual Raw'!J83</f>
        <v>0</v>
      </c>
      <c r="J231" s="23">
        <f>'Annual Raw'!K83</f>
        <v>0</v>
      </c>
      <c r="K231" s="23">
        <f>'Annual Raw'!L83</f>
        <v>0</v>
      </c>
      <c r="L231" s="23">
        <f>'Annual Raw'!M83</f>
        <v>0</v>
      </c>
      <c r="M231" s="23">
        <f>'Annual Raw'!N83</f>
        <v>0</v>
      </c>
      <c r="N231" s="23">
        <f>'Annual Raw'!O83</f>
        <v>0</v>
      </c>
      <c r="O231" s="23">
        <f>'Annual Raw'!P83</f>
        <v>0</v>
      </c>
      <c r="P231" s="23">
        <f>'Annual Raw'!Q83</f>
        <v>15.45</v>
      </c>
      <c r="Q231" s="23">
        <f>'Annual Raw'!R83</f>
        <v>0</v>
      </c>
      <c r="R231" s="23">
        <f>'Annual Raw'!S83</f>
        <v>0</v>
      </c>
      <c r="S231" s="23">
        <f>'Annual Raw'!T83</f>
        <v>0</v>
      </c>
      <c r="T231" s="23">
        <f>'Annual Raw'!U83</f>
        <v>0</v>
      </c>
      <c r="U231" s="23">
        <f>'Annual Raw'!V83</f>
        <v>0</v>
      </c>
      <c r="V231" s="23">
        <f>'Annual Raw'!W83</f>
        <v>0</v>
      </c>
      <c r="W231" s="23">
        <f>'Annual Raw'!X83</f>
        <v>0</v>
      </c>
      <c r="X231" s="23">
        <f>'Annual Raw'!Y83</f>
        <v>0</v>
      </c>
      <c r="Y231" s="23">
        <f>'Annual Raw'!Z83</f>
        <v>0</v>
      </c>
      <c r="Z231" s="23">
        <f>'Annual Raw'!AA83</f>
        <v>0</v>
      </c>
      <c r="AA231" s="23">
        <f>'Annual Raw'!AB83</f>
        <v>0</v>
      </c>
      <c r="AB231" s="24">
        <f t="shared" si="1516"/>
        <v>0</v>
      </c>
      <c r="AC231" s="24">
        <f t="shared" si="1517"/>
        <v>0</v>
      </c>
      <c r="AD231" s="24">
        <f t="shared" si="1518"/>
        <v>0</v>
      </c>
      <c r="AE231" s="24">
        <f t="shared" si="1519"/>
        <v>0</v>
      </c>
      <c r="AJ231" s="23">
        <f>+'QTR Raw'!D95</f>
        <v>0</v>
      </c>
      <c r="AK231" s="23">
        <f t="shared" ref="AK231:CE231" si="1540">+AJ231</f>
        <v>0</v>
      </c>
      <c r="AL231" s="23">
        <f>+'QTR Raw'!F95</f>
        <v>0</v>
      </c>
      <c r="AM231" s="23">
        <f t="shared" si="1540"/>
        <v>0</v>
      </c>
      <c r="AN231" s="23">
        <f>+'QTR Raw'!H95</f>
        <v>0</v>
      </c>
      <c r="AO231" s="23">
        <f t="shared" si="1540"/>
        <v>0</v>
      </c>
      <c r="AP231" s="23">
        <f>+'QTR Raw'!J95</f>
        <v>0</v>
      </c>
      <c r="AQ231" s="23">
        <f t="shared" si="1540"/>
        <v>0</v>
      </c>
      <c r="AR231" s="23">
        <f>+'QTR Raw'!L95</f>
        <v>0</v>
      </c>
      <c r="AS231" s="23">
        <f t="shared" si="1540"/>
        <v>0</v>
      </c>
      <c r="AT231" s="23">
        <f>+'QTR Raw'!N95</f>
        <v>0</v>
      </c>
      <c r="AU231" s="23">
        <f t="shared" si="1540"/>
        <v>0</v>
      </c>
      <c r="AV231" s="23">
        <f>+'QTR Raw'!P95</f>
        <v>0</v>
      </c>
      <c r="AW231" s="23">
        <f t="shared" si="1540"/>
        <v>0</v>
      </c>
      <c r="AX231" s="23">
        <f>+'QTR Raw'!R95</f>
        <v>0</v>
      </c>
      <c r="AY231" s="23">
        <f t="shared" si="1540"/>
        <v>0</v>
      </c>
      <c r="AZ231" s="23">
        <f>+'QTR Raw'!T95</f>
        <v>0</v>
      </c>
      <c r="BA231" s="23">
        <f t="shared" si="1540"/>
        <v>0</v>
      </c>
      <c r="BB231" s="23">
        <f>+'QTR Raw'!V95</f>
        <v>0</v>
      </c>
      <c r="BC231" s="23">
        <f t="shared" si="1540"/>
        <v>0</v>
      </c>
      <c r="BD231" s="23">
        <f>+'QTR Raw'!X95</f>
        <v>0</v>
      </c>
      <c r="BE231" s="23">
        <f t="shared" si="1540"/>
        <v>0</v>
      </c>
      <c r="BF231" s="23">
        <f>+'QTR Raw'!Z95</f>
        <v>0</v>
      </c>
      <c r="BG231" s="23">
        <f t="shared" si="1540"/>
        <v>0</v>
      </c>
      <c r="BH231" s="23">
        <f>+'QTR Raw'!AB95</f>
        <v>0</v>
      </c>
      <c r="BI231" s="23">
        <f t="shared" si="1540"/>
        <v>0</v>
      </c>
      <c r="BJ231" s="23">
        <f>+'QTR Raw'!AD95</f>
        <v>0</v>
      </c>
      <c r="BK231" s="23">
        <f t="shared" si="1540"/>
        <v>0</v>
      </c>
      <c r="BL231" s="23">
        <f>+'QTR Raw'!AF95</f>
        <v>0</v>
      </c>
      <c r="BM231" s="23">
        <f t="shared" si="1540"/>
        <v>0</v>
      </c>
      <c r="BN231" s="23">
        <f>+'QTR Raw'!AH95</f>
        <v>0</v>
      </c>
      <c r="BO231" s="23">
        <f t="shared" si="1540"/>
        <v>0</v>
      </c>
      <c r="BP231" s="23">
        <f>+'QTR Raw'!AJ95</f>
        <v>0</v>
      </c>
      <c r="BQ231" s="23">
        <f t="shared" si="1540"/>
        <v>0</v>
      </c>
      <c r="BR231" s="23">
        <f>+'QTR Raw'!AL95</f>
        <v>0</v>
      </c>
      <c r="BS231" s="23">
        <f t="shared" si="1540"/>
        <v>0</v>
      </c>
      <c r="BT231" s="23">
        <f>+'QTR Raw'!AN95</f>
        <v>0</v>
      </c>
      <c r="BU231" s="23">
        <f t="shared" si="1540"/>
        <v>0</v>
      </c>
      <c r="BV231" s="23">
        <f>+'QTR Raw'!AP95</f>
        <v>0</v>
      </c>
      <c r="BW231" s="23">
        <f t="shared" si="1540"/>
        <v>0</v>
      </c>
      <c r="BX231" s="23">
        <f>+'QTR Raw'!AR95</f>
        <v>0</v>
      </c>
      <c r="BY231" s="23">
        <f t="shared" si="1540"/>
        <v>0</v>
      </c>
      <c r="BZ231" s="23">
        <f>+'QTR Raw'!AT95</f>
        <v>0</v>
      </c>
      <c r="CA231" s="23">
        <f t="shared" si="1540"/>
        <v>0</v>
      </c>
      <c r="CB231" s="23">
        <f>+'QTR Raw'!AV95</f>
        <v>0</v>
      </c>
      <c r="CC231" s="23">
        <f t="shared" si="1540"/>
        <v>0</v>
      </c>
      <c r="CD231" s="23">
        <f>+'QTR Raw'!AX95</f>
        <v>0</v>
      </c>
      <c r="CE231" s="23">
        <f t="shared" si="1540"/>
        <v>0</v>
      </c>
      <c r="CF231" s="23">
        <f>+'QTR Raw'!AZ95</f>
        <v>0</v>
      </c>
      <c r="CG231" s="23">
        <f t="shared" si="1521"/>
        <v>0</v>
      </c>
      <c r="CH231" s="23">
        <f t="shared" si="1522"/>
        <v>0</v>
      </c>
      <c r="CI231" s="23">
        <f t="shared" si="1521"/>
        <v>0</v>
      </c>
      <c r="CJ231" s="23">
        <f>+'QTR Raw'!BD95</f>
        <v>0</v>
      </c>
      <c r="CK231" s="23">
        <f t="shared" si="1523"/>
        <v>0</v>
      </c>
      <c r="CL231" s="23">
        <f>+'QTR Raw'!BF95</f>
        <v>0</v>
      </c>
      <c r="CM231" s="24">
        <f t="shared" si="1524"/>
        <v>0</v>
      </c>
      <c r="CN231" s="24">
        <f t="shared" si="1525"/>
        <v>0</v>
      </c>
      <c r="CO231" s="24">
        <f t="shared" si="1526"/>
        <v>0</v>
      </c>
      <c r="CP231" s="24">
        <f t="shared" si="1527"/>
        <v>0</v>
      </c>
      <c r="CQ231" s="24">
        <f t="shared" si="1528"/>
        <v>0</v>
      </c>
      <c r="CR231" s="24">
        <f t="shared" si="1529"/>
        <v>0</v>
      </c>
      <c r="CS231" s="24">
        <f t="shared" si="1530"/>
        <v>0</v>
      </c>
      <c r="CT231" s="24">
        <f t="shared" si="1531"/>
        <v>0</v>
      </c>
      <c r="CU231" s="24">
        <f t="shared" si="1532"/>
        <v>0</v>
      </c>
      <c r="CV231" s="24">
        <f t="shared" si="1533"/>
        <v>0</v>
      </c>
      <c r="CW231" s="24">
        <f t="shared" si="1534"/>
        <v>0</v>
      </c>
      <c r="CX231" s="24">
        <f t="shared" si="1535"/>
        <v>0</v>
      </c>
      <c r="CY231" s="24">
        <f t="shared" si="1536"/>
        <v>0</v>
      </c>
      <c r="CZ231" s="24">
        <f t="shared" si="1537"/>
        <v>0</v>
      </c>
      <c r="DA231" s="24">
        <f t="shared" si="1538"/>
        <v>0</v>
      </c>
      <c r="DB231" s="24">
        <f t="shared" si="1539"/>
        <v>0</v>
      </c>
      <c r="DE231" s="123"/>
      <c r="DF231" s="23">
        <v>0</v>
      </c>
      <c r="DG231" s="23">
        <v>0</v>
      </c>
    </row>
    <row r="232" spans="1:111" s="26" customFormat="1" x14ac:dyDescent="0.2">
      <c r="A232" s="26" t="s">
        <v>438</v>
      </c>
      <c r="B232" s="26">
        <f t="shared" ref="B232:AE232" si="1541">B230+B228+B223+B193+B191+B231</f>
        <v>0</v>
      </c>
      <c r="C232" s="26">
        <f t="shared" si="1541"/>
        <v>0</v>
      </c>
      <c r="D232" s="26">
        <f t="shared" si="1541"/>
        <v>0</v>
      </c>
      <c r="E232" s="26">
        <f t="shared" si="1541"/>
        <v>0</v>
      </c>
      <c r="F232" s="26">
        <f t="shared" si="1541"/>
        <v>0</v>
      </c>
      <c r="G232" s="26">
        <f t="shared" si="1541"/>
        <v>0</v>
      </c>
      <c r="H232" s="26">
        <f t="shared" si="1541"/>
        <v>0</v>
      </c>
      <c r="I232" s="26">
        <f t="shared" si="1541"/>
        <v>0</v>
      </c>
      <c r="J232" s="26">
        <f t="shared" si="1541"/>
        <v>0</v>
      </c>
      <c r="K232" s="26">
        <f t="shared" si="1541"/>
        <v>0</v>
      </c>
      <c r="L232" s="26">
        <f t="shared" si="1541"/>
        <v>0</v>
      </c>
      <c r="M232" s="26">
        <f t="shared" si="1541"/>
        <v>0</v>
      </c>
      <c r="N232" s="26">
        <f t="shared" si="1541"/>
        <v>0</v>
      </c>
      <c r="O232" s="26">
        <f t="shared" si="1541"/>
        <v>4.7297100000000002E-2</v>
      </c>
      <c r="P232" s="26">
        <f t="shared" si="1541"/>
        <v>10785.130000000001</v>
      </c>
      <c r="Q232" s="26">
        <f t="shared" si="1541"/>
        <v>11259.17</v>
      </c>
      <c r="R232" s="26">
        <f t="shared" si="1541"/>
        <v>11925.919999999998</v>
      </c>
      <c r="S232" s="26">
        <f t="shared" si="1541"/>
        <v>16491.980000000003</v>
      </c>
      <c r="T232" s="26">
        <f t="shared" si="1541"/>
        <v>28179.870000000003</v>
      </c>
      <c r="U232" s="26">
        <f t="shared" si="1541"/>
        <v>33806.82</v>
      </c>
      <c r="V232" s="26">
        <f t="shared" si="1541"/>
        <v>36983.839999999997</v>
      </c>
      <c r="W232" s="26">
        <f t="shared" si="1541"/>
        <v>40821.08</v>
      </c>
      <c r="X232" s="26">
        <f t="shared" si="1541"/>
        <v>47074.61</v>
      </c>
      <c r="Y232" s="26">
        <f t="shared" si="1541"/>
        <v>50712.000000000007</v>
      </c>
      <c r="Z232" s="26">
        <f t="shared" si="1541"/>
        <v>63217.340000000004</v>
      </c>
      <c r="AA232" s="26">
        <f t="shared" ref="AA232" si="1542">AA230+AA228+AA223+AA193+AA191+AA231</f>
        <v>77840.010000000009</v>
      </c>
      <c r="AB232" s="27">
        <f t="shared" si="1541"/>
        <v>79071.632740710003</v>
      </c>
      <c r="AC232" s="27">
        <f t="shared" si="1541"/>
        <v>83025.361329480715</v>
      </c>
      <c r="AD232" s="27">
        <f t="shared" si="1541"/>
        <v>88199.033345489937</v>
      </c>
      <c r="AE232" s="27">
        <f t="shared" si="1541"/>
        <v>93912.673322116738</v>
      </c>
      <c r="AJ232" s="26">
        <f t="shared" ref="AJ232:BO232" si="1543">AJ230+AJ228+AJ223+AJ193+AJ191+AJ231</f>
        <v>0</v>
      </c>
      <c r="AK232" s="26" t="e">
        <f t="shared" si="1543"/>
        <v>#DIV/0!</v>
      </c>
      <c r="AL232" s="26">
        <f t="shared" si="1543"/>
        <v>0</v>
      </c>
      <c r="AM232" s="26" t="e">
        <f t="shared" si="1543"/>
        <v>#DIV/0!</v>
      </c>
      <c r="AN232" s="26">
        <f t="shared" si="1543"/>
        <v>0</v>
      </c>
      <c r="AO232" s="26" t="e">
        <f t="shared" si="1543"/>
        <v>#DIV/0!</v>
      </c>
      <c r="AP232" s="26">
        <f t="shared" si="1543"/>
        <v>0</v>
      </c>
      <c r="AQ232" s="26" t="e">
        <f t="shared" si="1543"/>
        <v>#DIV/0!</v>
      </c>
      <c r="AR232" s="26">
        <f t="shared" si="1543"/>
        <v>0</v>
      </c>
      <c r="AS232" s="26" t="e">
        <f t="shared" si="1543"/>
        <v>#DIV/0!</v>
      </c>
      <c r="AT232" s="26">
        <f t="shared" si="1543"/>
        <v>9981.02</v>
      </c>
      <c r="AU232" s="26">
        <f t="shared" si="1543"/>
        <v>10011.91</v>
      </c>
      <c r="AV232" s="26">
        <f t="shared" si="1543"/>
        <v>10273.799999999999</v>
      </c>
      <c r="AW232" s="26">
        <f t="shared" si="1543"/>
        <v>10348.58</v>
      </c>
      <c r="AX232" s="26">
        <f t="shared" si="1543"/>
        <v>10611.009999999998</v>
      </c>
      <c r="AY232" s="26">
        <f t="shared" si="1543"/>
        <v>10733.72</v>
      </c>
      <c r="AZ232" s="26">
        <f t="shared" si="1543"/>
        <v>11632.13</v>
      </c>
      <c r="BA232" s="26">
        <f t="shared" si="1543"/>
        <v>11731.409999999998</v>
      </c>
      <c r="BB232" s="26">
        <f t="shared" si="1543"/>
        <v>11606.89</v>
      </c>
      <c r="BC232" s="26">
        <f t="shared" si="1543"/>
        <v>11690.99</v>
      </c>
      <c r="BD232" s="26">
        <f t="shared" si="1543"/>
        <v>11350.43</v>
      </c>
      <c r="BE232" s="26">
        <f t="shared" si="1543"/>
        <v>12192.31</v>
      </c>
      <c r="BF232" s="26">
        <f t="shared" si="1543"/>
        <v>15661.7</v>
      </c>
      <c r="BG232" s="26">
        <f t="shared" si="1543"/>
        <v>15831.04</v>
      </c>
      <c r="BH232" s="26">
        <f t="shared" si="1543"/>
        <v>26156.880000000005</v>
      </c>
      <c r="BI232" s="26">
        <f t="shared" si="1543"/>
        <v>26310.540000000005</v>
      </c>
      <c r="BJ232" s="26">
        <f t="shared" si="1543"/>
        <v>25979.77</v>
      </c>
      <c r="BK232" s="26">
        <f t="shared" si="1543"/>
        <v>26193.19</v>
      </c>
      <c r="BL232" s="26">
        <f t="shared" si="1543"/>
        <v>27060.829999999994</v>
      </c>
      <c r="BM232" s="26">
        <f t="shared" si="1543"/>
        <v>27264.499999999996</v>
      </c>
      <c r="BN232" s="26">
        <f t="shared" si="1543"/>
        <v>33086.550000000003</v>
      </c>
      <c r="BO232" s="26">
        <f t="shared" si="1543"/>
        <v>33470.1</v>
      </c>
      <c r="BP232" s="26">
        <f t="shared" ref="BP232:CU232" si="1544">BP230+BP228+BP223+BP193+BP191+BP231</f>
        <v>33402.800000000003</v>
      </c>
      <c r="BQ232" s="26">
        <f t="shared" si="1544"/>
        <v>33798.11</v>
      </c>
      <c r="BR232" s="26">
        <f t="shared" si="1544"/>
        <v>36983.839999999997</v>
      </c>
      <c r="BS232" s="26">
        <f t="shared" si="1544"/>
        <v>37419.26</v>
      </c>
      <c r="BT232" s="26">
        <f t="shared" si="1544"/>
        <v>39514.129999999997</v>
      </c>
      <c r="BU232" s="26">
        <f t="shared" si="1544"/>
        <v>39781.159999999996</v>
      </c>
      <c r="BV232" s="26">
        <f t="shared" si="1544"/>
        <v>40821.08</v>
      </c>
      <c r="BW232" s="26">
        <f t="shared" si="1544"/>
        <v>41007.069999999992</v>
      </c>
      <c r="BX232" s="26">
        <f t="shared" si="1544"/>
        <v>45161</v>
      </c>
      <c r="BY232" s="26">
        <f t="shared" si="1544"/>
        <v>45635.72</v>
      </c>
      <c r="BZ232" s="26">
        <f t="shared" si="1544"/>
        <v>47074.61</v>
      </c>
      <c r="CA232" s="26">
        <f t="shared" si="1544"/>
        <v>47249.670000000006</v>
      </c>
      <c r="CB232" s="26">
        <f t="shared" si="1544"/>
        <v>48879.54</v>
      </c>
      <c r="CC232" s="26">
        <f t="shared" si="1544"/>
        <v>49204.44</v>
      </c>
      <c r="CD232" s="26">
        <f t="shared" si="1544"/>
        <v>50712</v>
      </c>
      <c r="CE232" s="26">
        <f t="shared" si="1544"/>
        <v>49888.08</v>
      </c>
      <c r="CF232" s="26">
        <f t="shared" si="1544"/>
        <v>60772.48000000001</v>
      </c>
      <c r="CG232" s="26">
        <f t="shared" si="1544"/>
        <v>61334.260000000009</v>
      </c>
      <c r="CH232" s="26">
        <f t="shared" si="1544"/>
        <v>50086.2</v>
      </c>
      <c r="CI232" s="26">
        <f t="shared" si="1544"/>
        <v>50598.68</v>
      </c>
      <c r="CJ232" s="26">
        <f t="shared" si="1544"/>
        <v>69774.459999999992</v>
      </c>
      <c r="CK232" s="26">
        <f t="shared" si="1544"/>
        <v>70326.76999999999</v>
      </c>
      <c r="CL232" s="26">
        <f t="shared" ref="CL232" si="1545">CL230+CL228+CL223+CL193+CL191+CL231</f>
        <v>75424.09</v>
      </c>
      <c r="CM232" s="27">
        <f t="shared" si="1544"/>
        <v>76443.06788162826</v>
      </c>
      <c r="CN232" s="27">
        <f t="shared" si="1544"/>
        <v>77343.473134769418</v>
      </c>
      <c r="CO232" s="27">
        <f t="shared" si="1544"/>
        <v>78220.032093332193</v>
      </c>
      <c r="CP232" s="27">
        <f t="shared" si="1544"/>
        <v>79071.632740710003</v>
      </c>
      <c r="CQ232" s="27">
        <f t="shared" si="1544"/>
        <v>80075.799734487358</v>
      </c>
      <c r="CR232" s="27">
        <f t="shared" si="1544"/>
        <v>81015.893370815204</v>
      </c>
      <c r="CS232" s="27">
        <f t="shared" si="1544"/>
        <v>81981.15354428174</v>
      </c>
      <c r="CT232" s="27">
        <f t="shared" si="1544"/>
        <v>83025.361329480715</v>
      </c>
      <c r="CU232" s="27">
        <f t="shared" si="1544"/>
        <v>84229.491687200221</v>
      </c>
      <c r="CV232" s="27">
        <f t="shared" ref="CV232:DB232" si="1546">CV230+CV228+CV223+CV193+CV191+CV231</f>
        <v>85399.618792175388</v>
      </c>
      <c r="CW232" s="27">
        <f t="shared" si="1546"/>
        <v>86805.844267791894</v>
      </c>
      <c r="CX232" s="27">
        <f t="shared" si="1546"/>
        <v>88199.033345489937</v>
      </c>
      <c r="CY232" s="27">
        <f t="shared" si="1546"/>
        <v>89605.305574619793</v>
      </c>
      <c r="CZ232" s="27">
        <f t="shared" si="1546"/>
        <v>90964.787641692659</v>
      </c>
      <c r="DA232" s="27">
        <f t="shared" si="1546"/>
        <v>92390.47468704221</v>
      </c>
      <c r="DB232" s="27">
        <f t="shared" si="1546"/>
        <v>93912.673322116738</v>
      </c>
      <c r="DE232" s="121"/>
      <c r="DF232" s="26">
        <v>4.5474735088646412E-13</v>
      </c>
      <c r="DG232" s="26">
        <v>70851.028776919033</v>
      </c>
    </row>
    <row r="233" spans="1:111" s="23" customFormat="1" x14ac:dyDescent="0.2">
      <c r="A233" s="28" t="s">
        <v>439</v>
      </c>
      <c r="B233" s="23">
        <f t="shared" ref="B233:AE233" si="1547">B232-B182</f>
        <v>0</v>
      </c>
      <c r="C233" s="23">
        <f t="shared" si="1547"/>
        <v>0</v>
      </c>
      <c r="D233" s="23">
        <f t="shared" si="1547"/>
        <v>0</v>
      </c>
      <c r="E233" s="23">
        <f t="shared" si="1547"/>
        <v>0</v>
      </c>
      <c r="F233" s="23">
        <f t="shared" si="1547"/>
        <v>0</v>
      </c>
      <c r="G233" s="23">
        <f t="shared" si="1547"/>
        <v>0</v>
      </c>
      <c r="H233" s="23">
        <f t="shared" si="1547"/>
        <v>0</v>
      </c>
      <c r="I233" s="23">
        <f t="shared" si="1547"/>
        <v>0</v>
      </c>
      <c r="J233" s="23">
        <f t="shared" si="1547"/>
        <v>0</v>
      </c>
      <c r="K233" s="23">
        <f t="shared" si="1547"/>
        <v>0</v>
      </c>
      <c r="L233" s="23">
        <f t="shared" si="1547"/>
        <v>0</v>
      </c>
      <c r="M233" s="23">
        <f t="shared" si="1547"/>
        <v>0</v>
      </c>
      <c r="N233" s="23">
        <f t="shared" si="1547"/>
        <v>0</v>
      </c>
      <c r="O233" s="23">
        <f t="shared" si="1547"/>
        <v>0</v>
      </c>
      <c r="P233" s="23">
        <f t="shared" si="1547"/>
        <v>0.68000000000029104</v>
      </c>
      <c r="Q233" s="23">
        <f t="shared" si="1547"/>
        <v>2.4099999999998545</v>
      </c>
      <c r="R233" s="23">
        <f t="shared" si="1547"/>
        <v>4.5799999999981083</v>
      </c>
      <c r="S233" s="23">
        <f t="shared" si="1547"/>
        <v>7.1500000000050932</v>
      </c>
      <c r="T233" s="23">
        <f t="shared" si="1547"/>
        <v>0</v>
      </c>
      <c r="U233" s="23">
        <f t="shared" si="1547"/>
        <v>0</v>
      </c>
      <c r="V233" s="23">
        <f t="shared" si="1547"/>
        <v>0</v>
      </c>
      <c r="W233" s="23">
        <f t="shared" si="1547"/>
        <v>0</v>
      </c>
      <c r="X233" s="23">
        <f t="shared" si="1547"/>
        <v>0</v>
      </c>
      <c r="Y233" s="23">
        <f t="shared" si="1547"/>
        <v>0</v>
      </c>
      <c r="Z233" s="23">
        <f t="shared" si="1547"/>
        <v>0</v>
      </c>
      <c r="AA233" s="23">
        <f t="shared" ref="AA233" si="1548">AA232-AA182</f>
        <v>0</v>
      </c>
      <c r="AB233" s="24">
        <f t="shared" si="1547"/>
        <v>0</v>
      </c>
      <c r="AC233" s="24">
        <f t="shared" si="1547"/>
        <v>0</v>
      </c>
      <c r="AD233" s="24">
        <f t="shared" si="1547"/>
        <v>0</v>
      </c>
      <c r="AE233" s="24">
        <f t="shared" si="1547"/>
        <v>0</v>
      </c>
      <c r="AJ233" s="23">
        <f t="shared" ref="AJ233:BO233" si="1549">AJ232-AJ182</f>
        <v>0</v>
      </c>
      <c r="AK233" s="23" t="e">
        <f t="shared" si="1549"/>
        <v>#DIV/0!</v>
      </c>
      <c r="AL233" s="23">
        <f t="shared" si="1549"/>
        <v>0</v>
      </c>
      <c r="AM233" s="23" t="e">
        <f t="shared" si="1549"/>
        <v>#DIV/0!</v>
      </c>
      <c r="AN233" s="23">
        <f t="shared" si="1549"/>
        <v>0</v>
      </c>
      <c r="AO233" s="23" t="e">
        <f t="shared" si="1549"/>
        <v>#DIV/0!</v>
      </c>
      <c r="AP233" s="23">
        <f t="shared" si="1549"/>
        <v>0</v>
      </c>
      <c r="AQ233" s="23" t="e">
        <f t="shared" si="1549"/>
        <v>#DIV/0!</v>
      </c>
      <c r="AR233" s="23">
        <f t="shared" si="1549"/>
        <v>0</v>
      </c>
      <c r="AS233" s="23" t="e">
        <f t="shared" si="1549"/>
        <v>#DIV/0!</v>
      </c>
      <c r="AT233" s="23">
        <f t="shared" si="1549"/>
        <v>0</v>
      </c>
      <c r="AU233" s="23">
        <f t="shared" si="1549"/>
        <v>0</v>
      </c>
      <c r="AV233" s="23">
        <f t="shared" si="1549"/>
        <v>0</v>
      </c>
      <c r="AW233" s="23">
        <f t="shared" si="1549"/>
        <v>0</v>
      </c>
      <c r="AX233" s="23">
        <f t="shared" si="1549"/>
        <v>0</v>
      </c>
      <c r="AY233" s="23">
        <f t="shared" si="1549"/>
        <v>0</v>
      </c>
      <c r="AZ233" s="23">
        <f t="shared" si="1549"/>
        <v>0</v>
      </c>
      <c r="BA233" s="23">
        <f t="shared" si="1549"/>
        <v>0</v>
      </c>
      <c r="BB233" s="23">
        <f t="shared" si="1549"/>
        <v>0</v>
      </c>
      <c r="BC233" s="23">
        <f t="shared" si="1549"/>
        <v>0</v>
      </c>
      <c r="BD233" s="23">
        <f t="shared" si="1549"/>
        <v>0</v>
      </c>
      <c r="BE233" s="23">
        <f t="shared" si="1549"/>
        <v>0</v>
      </c>
      <c r="BF233" s="23">
        <f t="shared" si="1549"/>
        <v>0</v>
      </c>
      <c r="BG233" s="23">
        <f t="shared" si="1549"/>
        <v>0</v>
      </c>
      <c r="BH233" s="23">
        <f t="shared" si="1549"/>
        <v>0</v>
      </c>
      <c r="BI233" s="23">
        <f t="shared" si="1549"/>
        <v>0</v>
      </c>
      <c r="BJ233" s="23">
        <f t="shared" si="1549"/>
        <v>0</v>
      </c>
      <c r="BK233" s="23">
        <f t="shared" si="1549"/>
        <v>0</v>
      </c>
      <c r="BL233" s="23">
        <f t="shared" si="1549"/>
        <v>0</v>
      </c>
      <c r="BM233" s="23">
        <f t="shared" si="1549"/>
        <v>0</v>
      </c>
      <c r="BN233" s="23">
        <f t="shared" si="1549"/>
        <v>0</v>
      </c>
      <c r="BO233" s="23">
        <f t="shared" si="1549"/>
        <v>0</v>
      </c>
      <c r="BP233" s="23">
        <f t="shared" ref="BP233:CU233" si="1550">BP232-BP182</f>
        <v>0</v>
      </c>
      <c r="BQ233" s="23">
        <f t="shared" si="1550"/>
        <v>0</v>
      </c>
      <c r="BR233" s="23">
        <f t="shared" si="1550"/>
        <v>0</v>
      </c>
      <c r="BS233" s="23">
        <f t="shared" si="1550"/>
        <v>0</v>
      </c>
      <c r="BT233" s="23">
        <f t="shared" si="1550"/>
        <v>0</v>
      </c>
      <c r="BU233" s="23">
        <f t="shared" si="1550"/>
        <v>0</v>
      </c>
      <c r="BV233" s="23">
        <f t="shared" si="1550"/>
        <v>0</v>
      </c>
      <c r="BW233" s="23">
        <f t="shared" si="1550"/>
        <v>0</v>
      </c>
      <c r="BX233" s="23">
        <f t="shared" si="1550"/>
        <v>0</v>
      </c>
      <c r="BY233" s="23">
        <f t="shared" si="1550"/>
        <v>0</v>
      </c>
      <c r="BZ233" s="23">
        <f t="shared" si="1550"/>
        <v>0</v>
      </c>
      <c r="CA233" s="23">
        <f t="shared" si="1550"/>
        <v>0</v>
      </c>
      <c r="CB233" s="23">
        <f t="shared" si="1550"/>
        <v>0</v>
      </c>
      <c r="CC233" s="23">
        <f t="shared" si="1550"/>
        <v>0</v>
      </c>
      <c r="CD233" s="23">
        <f t="shared" si="1550"/>
        <v>0</v>
      </c>
      <c r="CE233" s="23">
        <f t="shared" si="1550"/>
        <v>0</v>
      </c>
      <c r="CF233" s="23">
        <f t="shared" si="1550"/>
        <v>0</v>
      </c>
      <c r="CG233" s="23">
        <f t="shared" si="1550"/>
        <v>0</v>
      </c>
      <c r="CH233" s="23">
        <f t="shared" si="1550"/>
        <v>-13131.14</v>
      </c>
      <c r="CI233" s="23">
        <f t="shared" si="1550"/>
        <v>-13131.139999999992</v>
      </c>
      <c r="CJ233" s="23">
        <f t="shared" si="1550"/>
        <v>0</v>
      </c>
      <c r="CK233" s="23">
        <f t="shared" si="1550"/>
        <v>0</v>
      </c>
      <c r="CL233" s="23">
        <f t="shared" si="1550"/>
        <v>0</v>
      </c>
      <c r="CM233" s="24">
        <f t="shared" si="1550"/>
        <v>0</v>
      </c>
      <c r="CN233" s="24">
        <f t="shared" si="1550"/>
        <v>0</v>
      </c>
      <c r="CO233" s="24">
        <f t="shared" si="1550"/>
        <v>0</v>
      </c>
      <c r="CP233" s="24">
        <f t="shared" si="1550"/>
        <v>0</v>
      </c>
      <c r="CQ233" s="24">
        <f t="shared" si="1550"/>
        <v>0</v>
      </c>
      <c r="CR233" s="24">
        <f t="shared" si="1550"/>
        <v>0</v>
      </c>
      <c r="CS233" s="24">
        <f t="shared" si="1550"/>
        <v>0</v>
      </c>
      <c r="CT233" s="24">
        <f t="shared" si="1550"/>
        <v>0</v>
      </c>
      <c r="CU233" s="24">
        <f t="shared" si="1550"/>
        <v>0</v>
      </c>
      <c r="CV233" s="24">
        <f t="shared" ref="CV233:DB233" si="1551">CV232-CV182</f>
        <v>0</v>
      </c>
      <c r="CW233" s="24">
        <f t="shared" si="1551"/>
        <v>0</v>
      </c>
      <c r="CX233" s="24">
        <f t="shared" si="1551"/>
        <v>0</v>
      </c>
      <c r="CY233" s="24">
        <f t="shared" si="1551"/>
        <v>0</v>
      </c>
      <c r="CZ233" s="24">
        <f t="shared" si="1551"/>
        <v>0</v>
      </c>
      <c r="DA233" s="24">
        <f t="shared" si="1551"/>
        <v>0</v>
      </c>
      <c r="DB233" s="24">
        <f t="shared" si="1551"/>
        <v>0</v>
      </c>
      <c r="DE233" s="123"/>
      <c r="DF233" s="23">
        <v>4.5474735088646412E-13</v>
      </c>
      <c r="DG233" s="23">
        <v>0</v>
      </c>
    </row>
    <row r="234" spans="1:111" s="23" customFormat="1" x14ac:dyDescent="0.2">
      <c r="A234" s="28"/>
      <c r="AB234" s="24"/>
      <c r="AC234" s="24"/>
      <c r="AD234" s="24"/>
      <c r="AE234" s="24"/>
      <c r="CM234" s="24"/>
      <c r="CN234" s="24"/>
      <c r="CO234" s="24"/>
      <c r="CP234" s="24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4"/>
      <c r="DE234" s="123"/>
    </row>
    <row r="235" spans="1:111" s="22" customFormat="1" x14ac:dyDescent="0.2">
      <c r="A235" s="22" t="s">
        <v>80</v>
      </c>
      <c r="B235" s="22">
        <f t="shared" ref="B235:AE235" si="1552">B181-B228</f>
        <v>0</v>
      </c>
      <c r="C235" s="22">
        <f t="shared" si="1552"/>
        <v>0</v>
      </c>
      <c r="D235" s="22">
        <f t="shared" si="1552"/>
        <v>0</v>
      </c>
      <c r="E235" s="22">
        <f t="shared" si="1552"/>
        <v>0</v>
      </c>
      <c r="F235" s="22">
        <f t="shared" si="1552"/>
        <v>0</v>
      </c>
      <c r="G235" s="22">
        <f t="shared" si="1552"/>
        <v>0</v>
      </c>
      <c r="H235" s="22">
        <f t="shared" si="1552"/>
        <v>0</v>
      </c>
      <c r="I235" s="22">
        <f t="shared" si="1552"/>
        <v>0</v>
      </c>
      <c r="J235" s="22">
        <f t="shared" si="1552"/>
        <v>0</v>
      </c>
      <c r="K235" s="22">
        <f t="shared" si="1552"/>
        <v>0</v>
      </c>
      <c r="L235" s="22">
        <f t="shared" si="1552"/>
        <v>0</v>
      </c>
      <c r="M235" s="22">
        <f t="shared" si="1552"/>
        <v>0</v>
      </c>
      <c r="N235" s="22">
        <f t="shared" si="1552"/>
        <v>0</v>
      </c>
      <c r="O235" s="22">
        <f t="shared" si="1552"/>
        <v>-0.05</v>
      </c>
      <c r="P235" s="22">
        <f t="shared" si="1552"/>
        <v>9686.11</v>
      </c>
      <c r="Q235" s="22">
        <f t="shared" si="1552"/>
        <v>8413.75</v>
      </c>
      <c r="R235" s="22">
        <f t="shared" si="1552"/>
        <v>8476.6299999999992</v>
      </c>
      <c r="S235" s="22">
        <f t="shared" si="1552"/>
        <v>11611.479999999998</v>
      </c>
      <c r="T235" s="22">
        <f t="shared" si="1552"/>
        <v>22628.6</v>
      </c>
      <c r="U235" s="22">
        <f t="shared" si="1552"/>
        <v>24915.45</v>
      </c>
      <c r="V235" s="22">
        <f t="shared" si="1552"/>
        <v>27451.510000000002</v>
      </c>
      <c r="W235" s="22">
        <f t="shared" si="1552"/>
        <v>30049.589999999997</v>
      </c>
      <c r="X235" s="22">
        <f t="shared" si="1552"/>
        <v>30337.059999999998</v>
      </c>
      <c r="Y235" s="22">
        <f t="shared" si="1552"/>
        <v>32715.379999999997</v>
      </c>
      <c r="Z235" s="22">
        <f t="shared" si="1552"/>
        <v>32124.120000000003</v>
      </c>
      <c r="AA235" s="22">
        <f t="shared" ref="AA235" si="1553">AA181-AA228</f>
        <v>42957.119999999995</v>
      </c>
      <c r="AB235" s="21">
        <f t="shared" si="1552"/>
        <v>78740.838140194974</v>
      </c>
      <c r="AC235" s="21">
        <f t="shared" si="1552"/>
        <v>95077.712205725125</v>
      </c>
      <c r="AD235" s="21">
        <f t="shared" si="1552"/>
        <v>105695.46672226765</v>
      </c>
      <c r="AE235" s="21">
        <f t="shared" si="1552"/>
        <v>117114.64104963509</v>
      </c>
      <c r="AJ235" s="22">
        <f t="shared" ref="AJ235:BO235" si="1554">AJ181-AJ228</f>
        <v>0</v>
      </c>
      <c r="AK235" s="22" t="e">
        <f t="shared" si="1554"/>
        <v>#DIV/0!</v>
      </c>
      <c r="AL235" s="22">
        <f t="shared" si="1554"/>
        <v>0</v>
      </c>
      <c r="AM235" s="22" t="e">
        <f t="shared" si="1554"/>
        <v>#DIV/0!</v>
      </c>
      <c r="AN235" s="22">
        <f t="shared" si="1554"/>
        <v>0</v>
      </c>
      <c r="AO235" s="22" t="e">
        <f t="shared" si="1554"/>
        <v>#DIV/0!</v>
      </c>
      <c r="AP235" s="22">
        <f t="shared" si="1554"/>
        <v>0</v>
      </c>
      <c r="AQ235" s="22" t="e">
        <f t="shared" si="1554"/>
        <v>#DIV/0!</v>
      </c>
      <c r="AR235" s="22">
        <f t="shared" si="1554"/>
        <v>0</v>
      </c>
      <c r="AS235" s="22" t="e">
        <f t="shared" si="1554"/>
        <v>#DIV/0!</v>
      </c>
      <c r="AT235" s="22">
        <f t="shared" si="1554"/>
        <v>8882.68</v>
      </c>
      <c r="AU235" s="22">
        <f t="shared" si="1554"/>
        <v>10020.190355989667</v>
      </c>
      <c r="AV235" s="22">
        <f t="shared" si="1554"/>
        <v>7636.5399999999991</v>
      </c>
      <c r="AW235" s="22">
        <f t="shared" si="1554"/>
        <v>7549.8609038706927</v>
      </c>
      <c r="AX235" s="22">
        <f t="shared" si="1554"/>
        <v>7768</v>
      </c>
      <c r="AY235" s="22">
        <f t="shared" si="1554"/>
        <v>7643.4130124428011</v>
      </c>
      <c r="AZ235" s="22">
        <f t="shared" si="1554"/>
        <v>8519.4</v>
      </c>
      <c r="BA235" s="22">
        <f t="shared" si="1554"/>
        <v>8440.2100711879302</v>
      </c>
      <c r="BB235" s="22">
        <f t="shared" si="1554"/>
        <v>8162.18</v>
      </c>
      <c r="BC235" s="22">
        <f t="shared" si="1554"/>
        <v>8023.600153123577</v>
      </c>
      <c r="BD235" s="22">
        <f t="shared" si="1554"/>
        <v>7906.8499999999995</v>
      </c>
      <c r="BE235" s="22">
        <f t="shared" si="1554"/>
        <v>7364.6813907231435</v>
      </c>
      <c r="BF235" s="22">
        <f t="shared" si="1554"/>
        <v>8939.7199999999993</v>
      </c>
      <c r="BG235" s="22">
        <f t="shared" si="1554"/>
        <v>8711.1084450700037</v>
      </c>
      <c r="BH235" s="22">
        <f t="shared" si="1554"/>
        <v>17658.439999999999</v>
      </c>
      <c r="BI235" s="22">
        <f t="shared" si="1554"/>
        <v>17039.901462245904</v>
      </c>
      <c r="BJ235" s="22">
        <f t="shared" si="1554"/>
        <v>17020.47</v>
      </c>
      <c r="BK235" s="22">
        <f t="shared" si="1554"/>
        <v>16788.795235311678</v>
      </c>
      <c r="BL235" s="22">
        <f t="shared" si="1554"/>
        <v>15855.25</v>
      </c>
      <c r="BM235" s="22">
        <f t="shared" si="1554"/>
        <v>15655.843995989822</v>
      </c>
      <c r="BN235" s="22">
        <f t="shared" si="1554"/>
        <v>20915.950000000004</v>
      </c>
      <c r="BO235" s="22">
        <f t="shared" si="1554"/>
        <v>20581.209440971961</v>
      </c>
      <c r="BP235" s="22">
        <f t="shared" ref="BP235:CU235" si="1555">BP181-BP228</f>
        <v>22135.11</v>
      </c>
      <c r="BQ235" s="22">
        <f t="shared" si="1555"/>
        <v>21775.942421307958</v>
      </c>
      <c r="BR235" s="22">
        <f t="shared" si="1555"/>
        <v>25496.280000000002</v>
      </c>
      <c r="BS235" s="22">
        <f t="shared" si="1555"/>
        <v>25061.095812822517</v>
      </c>
      <c r="BT235" s="22">
        <f t="shared" si="1555"/>
        <v>27107.819999999996</v>
      </c>
      <c r="BU235" s="22">
        <f t="shared" si="1555"/>
        <v>26866.639609591413</v>
      </c>
      <c r="BV235" s="22">
        <f t="shared" si="1555"/>
        <v>28125.360000000001</v>
      </c>
      <c r="BW235" s="22">
        <f t="shared" si="1555"/>
        <v>27924.210384169324</v>
      </c>
      <c r="BX235" s="22">
        <f t="shared" si="1555"/>
        <v>31320.93</v>
      </c>
      <c r="BY235" s="22">
        <f t="shared" si="1555"/>
        <v>30892.610272060727</v>
      </c>
      <c r="BZ235" s="22">
        <f t="shared" si="1555"/>
        <v>31437.909999999996</v>
      </c>
      <c r="CA235" s="22">
        <f t="shared" si="1555"/>
        <v>31243.611210932606</v>
      </c>
      <c r="CB235" s="22">
        <f t="shared" si="1555"/>
        <v>32831.250000000007</v>
      </c>
      <c r="CC235" s="22">
        <f t="shared" si="1555"/>
        <v>32516.838144926201</v>
      </c>
      <c r="CD235" s="22">
        <f t="shared" si="1555"/>
        <v>34338.04</v>
      </c>
      <c r="CE235" s="22">
        <f t="shared" si="1555"/>
        <v>35516.429683546325</v>
      </c>
      <c r="CF235" s="22">
        <f t="shared" si="1555"/>
        <v>31631.14</v>
      </c>
      <c r="CG235" s="22">
        <f t="shared" si="1555"/>
        <v>30889.023122855244</v>
      </c>
      <c r="CH235" s="22">
        <f t="shared" si="1555"/>
        <v>34297.71</v>
      </c>
      <c r="CI235" s="22">
        <f t="shared" si="1555"/>
        <v>33339.1081638006</v>
      </c>
      <c r="CJ235" s="22">
        <f t="shared" si="1555"/>
        <v>39044.17</v>
      </c>
      <c r="CK235" s="22">
        <f t="shared" si="1555"/>
        <v>38986.778565502755</v>
      </c>
      <c r="CL235" s="22">
        <f t="shared" si="1555"/>
        <v>42714.789999999994</v>
      </c>
      <c r="CM235" s="21">
        <f t="shared" si="1555"/>
        <v>56022.70297922512</v>
      </c>
      <c r="CN235" s="21">
        <f t="shared" si="1555"/>
        <v>62710.220252145999</v>
      </c>
      <c r="CO235" s="21">
        <f t="shared" si="1555"/>
        <v>71836.965372650549</v>
      </c>
      <c r="CP235" s="21">
        <f t="shared" si="1555"/>
        <v>78740.838140194974</v>
      </c>
      <c r="CQ235" s="21">
        <f t="shared" si="1555"/>
        <v>84654.428151755463</v>
      </c>
      <c r="CR235" s="21">
        <f t="shared" si="1555"/>
        <v>86795.682132143498</v>
      </c>
      <c r="CS235" s="21">
        <f t="shared" si="1555"/>
        <v>90721.798609713325</v>
      </c>
      <c r="CT235" s="21">
        <f t="shared" si="1555"/>
        <v>95077.712205725125</v>
      </c>
      <c r="CU235" s="21">
        <f t="shared" si="1555"/>
        <v>96832.550929538207</v>
      </c>
      <c r="CV235" s="21">
        <f t="shared" ref="CV235:DB235" si="1556">CV181-CV228</f>
        <v>98217.67734309021</v>
      </c>
      <c r="CW235" s="21">
        <f t="shared" si="1556"/>
        <v>103089.29608940822</v>
      </c>
      <c r="CX235" s="21">
        <f t="shared" si="1556"/>
        <v>105695.46672226765</v>
      </c>
      <c r="CY235" s="21">
        <f t="shared" si="1556"/>
        <v>108932.44063654724</v>
      </c>
      <c r="CZ235" s="21">
        <f t="shared" si="1556"/>
        <v>110247.70965154767</v>
      </c>
      <c r="DA235" s="21">
        <f t="shared" si="1556"/>
        <v>113511.59581258413</v>
      </c>
      <c r="DB235" s="21">
        <f t="shared" si="1556"/>
        <v>117114.64104963509</v>
      </c>
      <c r="DE235" s="126"/>
      <c r="DF235" s="22">
        <v>-2173.59</v>
      </c>
      <c r="DG235" s="22">
        <v>44649.596029203312</v>
      </c>
    </row>
    <row r="236" spans="1:111" x14ac:dyDescent="0.2">
      <c r="AA236" s="2"/>
      <c r="CE236" s="111"/>
      <c r="CG236" s="111"/>
      <c r="CL236" s="2">
        <v>47604.5</v>
      </c>
      <c r="CP236" s="24">
        <v>65751.3</v>
      </c>
      <c r="CT236" s="24">
        <v>73560</v>
      </c>
      <c r="DG236" s="2">
        <v>47604.5</v>
      </c>
    </row>
    <row r="237" spans="1:111" s="49" customFormat="1" x14ac:dyDescent="0.2">
      <c r="A237" s="49" t="s">
        <v>81</v>
      </c>
      <c r="B237" s="49">
        <f>'Annual Raw'!C85</f>
        <v>0</v>
      </c>
      <c r="C237" s="49">
        <f>'Annual Raw'!D85</f>
        <v>0</v>
      </c>
      <c r="D237" s="49">
        <f>'Annual Raw'!E85</f>
        <v>0</v>
      </c>
      <c r="E237" s="49">
        <f>'Annual Raw'!F85</f>
        <v>0</v>
      </c>
      <c r="F237" s="49">
        <f>'Annual Raw'!G85</f>
        <v>0</v>
      </c>
      <c r="G237" s="49">
        <f>'Annual Raw'!H85</f>
        <v>0</v>
      </c>
      <c r="H237" s="49">
        <f>'Annual Raw'!I85</f>
        <v>0</v>
      </c>
      <c r="I237" s="49">
        <f>'Annual Raw'!J85</f>
        <v>0</v>
      </c>
      <c r="J237" s="49">
        <f>'Annual Raw'!K85</f>
        <v>0</v>
      </c>
      <c r="K237" s="49">
        <f>'Annual Raw'!L85</f>
        <v>0</v>
      </c>
      <c r="L237" s="49">
        <f>'Annual Raw'!M85</f>
        <v>0</v>
      </c>
      <c r="M237" s="49">
        <f>'Annual Raw'!N85</f>
        <v>0</v>
      </c>
      <c r="N237" s="49">
        <f>'Annual Raw'!O85</f>
        <v>0</v>
      </c>
      <c r="O237" s="49">
        <f>'Annual Raw'!P85</f>
        <v>0</v>
      </c>
      <c r="P237" s="49">
        <f>'Annual Raw'!Q85</f>
        <v>0</v>
      </c>
      <c r="Q237" s="49">
        <f>'Annual Raw'!R85</f>
        <v>0</v>
      </c>
      <c r="R237" s="49">
        <f>'Annual Raw'!S85</f>
        <v>0.11</v>
      </c>
      <c r="S237" s="49">
        <f>'Annual Raw'!T85</f>
        <v>10.49</v>
      </c>
      <c r="T237" s="49">
        <f>'Annual Raw'!U85</f>
        <v>2374.5700000000002</v>
      </c>
      <c r="U237" s="49">
        <f>'Annual Raw'!V85</f>
        <v>2037.15</v>
      </c>
      <c r="V237" s="49">
        <f>'Annual Raw'!W85</f>
        <v>1942.25</v>
      </c>
      <c r="W237" s="49">
        <f>'Annual Raw'!X85</f>
        <v>1939.78</v>
      </c>
      <c r="X237" s="49">
        <f>'Annual Raw'!Y85</f>
        <v>2184.9</v>
      </c>
      <c r="Y237" s="49">
        <f>'Annual Raw'!Z85</f>
        <v>2367.56</v>
      </c>
      <c r="Z237" s="49">
        <f>'Annual Raw'!AA85</f>
        <v>1795.05</v>
      </c>
      <c r="AA237" s="49">
        <f>'Annual Raw'!AB85</f>
        <v>1799.21</v>
      </c>
      <c r="AB237" s="50"/>
      <c r="AC237" s="50"/>
      <c r="AD237" s="50"/>
      <c r="AE237" s="50"/>
      <c r="CM237" s="50"/>
      <c r="CN237" s="50"/>
      <c r="CO237" s="50"/>
      <c r="CP237" s="50"/>
      <c r="CQ237" s="50"/>
      <c r="CR237" s="50"/>
      <c r="CS237" s="50"/>
      <c r="CT237" s="50"/>
      <c r="CU237" s="50"/>
      <c r="CV237" s="50"/>
      <c r="CW237" s="50"/>
      <c r="CX237" s="50"/>
      <c r="CY237" s="50"/>
      <c r="CZ237" s="50"/>
      <c r="DA237" s="50"/>
      <c r="DB237" s="50"/>
      <c r="DE237" s="138"/>
      <c r="DF237" s="49">
        <v>0</v>
      </c>
    </row>
    <row r="238" spans="1:111" s="29" customFormat="1" x14ac:dyDescent="0.2">
      <c r="A238" s="29" t="s">
        <v>82</v>
      </c>
      <c r="B238" s="29">
        <f>'Annual Raw'!C95</f>
        <v>0</v>
      </c>
      <c r="C238" s="29">
        <f>'Annual Raw'!D95</f>
        <v>0</v>
      </c>
      <c r="D238" s="29">
        <f>'Annual Raw'!E95</f>
        <v>0</v>
      </c>
      <c r="E238" s="29">
        <f>'Annual Raw'!F95</f>
        <v>0</v>
      </c>
      <c r="F238" s="29">
        <f>'Annual Raw'!G95</f>
        <v>0</v>
      </c>
      <c r="G238" s="29">
        <f>'Annual Raw'!H95</f>
        <v>0</v>
      </c>
      <c r="H238" s="29">
        <f>'Annual Raw'!I95</f>
        <v>0</v>
      </c>
      <c r="I238" s="29">
        <f>'Annual Raw'!J95</f>
        <v>0</v>
      </c>
      <c r="J238" s="29">
        <f>'Annual Raw'!K95</f>
        <v>0</v>
      </c>
      <c r="K238" s="29">
        <f>'Annual Raw'!L95</f>
        <v>0</v>
      </c>
      <c r="L238" s="29">
        <f>'Annual Raw'!M95</f>
        <v>0</v>
      </c>
      <c r="M238" s="29">
        <f>'Annual Raw'!N95</f>
        <v>0</v>
      </c>
      <c r="N238" s="29">
        <f>'Annual Raw'!O95</f>
        <v>0</v>
      </c>
      <c r="O238" s="29">
        <f>'Annual Raw'!P95</f>
        <v>0</v>
      </c>
      <c r="P238" s="29">
        <f>'Annual Raw'!Q95</f>
        <v>0</v>
      </c>
      <c r="Q238" s="29">
        <f>'Annual Raw'!R95</f>
        <v>0</v>
      </c>
      <c r="R238" s="29">
        <f>'Annual Raw'!S95</f>
        <v>0</v>
      </c>
      <c r="S238" s="29">
        <f>'Annual Raw'!T95</f>
        <v>0</v>
      </c>
      <c r="T238" s="29">
        <f>'Annual Raw'!U95</f>
        <v>0</v>
      </c>
      <c r="U238" s="29">
        <f>'Annual Raw'!V95</f>
        <v>0</v>
      </c>
      <c r="V238" s="29">
        <f>'Annual Raw'!W95</f>
        <v>0</v>
      </c>
      <c r="W238" s="29">
        <f>'Annual Raw'!X95</f>
        <v>0</v>
      </c>
      <c r="X238" s="29">
        <f>'Annual Raw'!Y95</f>
        <v>0</v>
      </c>
      <c r="Y238" s="29">
        <f>'Annual Raw'!Z95</f>
        <v>0</v>
      </c>
      <c r="Z238" s="29">
        <f>'Annual Raw'!AA95</f>
        <v>0</v>
      </c>
      <c r="AA238" s="29">
        <f>'Annual Raw'!AB95</f>
        <v>0</v>
      </c>
      <c r="AB238" s="30"/>
      <c r="AC238" s="30"/>
      <c r="AD238" s="30"/>
      <c r="AE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  <c r="DF238" s="29">
        <v>0</v>
      </c>
    </row>
    <row r="239" spans="1:111" s="29" customFormat="1" x14ac:dyDescent="0.2">
      <c r="A239" s="29" t="s">
        <v>83</v>
      </c>
      <c r="B239" s="29">
        <f>'Annual Raw'!C93</f>
        <v>0</v>
      </c>
      <c r="C239" s="29">
        <f>'Annual Raw'!D93</f>
        <v>0</v>
      </c>
      <c r="D239" s="29">
        <f>'Annual Raw'!E93</f>
        <v>0</v>
      </c>
      <c r="E239" s="29">
        <f>'Annual Raw'!F93</f>
        <v>0</v>
      </c>
      <c r="F239" s="29">
        <f>'Annual Raw'!G93</f>
        <v>0</v>
      </c>
      <c r="G239" s="29">
        <f>'Annual Raw'!H93</f>
        <v>0</v>
      </c>
      <c r="H239" s="29">
        <f>'Annual Raw'!I93</f>
        <v>0</v>
      </c>
      <c r="I239" s="29">
        <f>'Annual Raw'!J93</f>
        <v>0</v>
      </c>
      <c r="J239" s="29">
        <f>'Annual Raw'!K93</f>
        <v>0</v>
      </c>
      <c r="K239" s="29">
        <f>'Annual Raw'!L93</f>
        <v>0</v>
      </c>
      <c r="L239" s="29">
        <f>'Annual Raw'!M93</f>
        <v>0</v>
      </c>
      <c r="M239" s="29">
        <f>'Annual Raw'!N93</f>
        <v>0</v>
      </c>
      <c r="N239" s="29">
        <f>'Annual Raw'!O93</f>
        <v>0</v>
      </c>
      <c r="O239" s="29">
        <f>'Annual Raw'!P93</f>
        <v>0</v>
      </c>
      <c r="P239" s="29">
        <f>'Annual Raw'!Q93</f>
        <v>0</v>
      </c>
      <c r="Q239" s="29">
        <f>'Annual Raw'!R93</f>
        <v>0</v>
      </c>
      <c r="R239" s="29">
        <f>'Annual Raw'!S93</f>
        <v>0.11</v>
      </c>
      <c r="S239" s="29">
        <f>'Annual Raw'!T93</f>
        <v>10.49</v>
      </c>
      <c r="T239" s="29">
        <f>'Annual Raw'!U93</f>
        <v>2374.5700000000002</v>
      </c>
      <c r="U239" s="29">
        <f>'Annual Raw'!V93</f>
        <v>2037.15</v>
      </c>
      <c r="V239" s="29">
        <f>'Annual Raw'!W93</f>
        <v>1942.25</v>
      </c>
      <c r="W239" s="29">
        <f>'Annual Raw'!X93</f>
        <v>1939.78</v>
      </c>
      <c r="X239" s="29">
        <f>'Annual Raw'!Y93</f>
        <v>2184.9</v>
      </c>
      <c r="Y239" s="29">
        <f>'Annual Raw'!Z93</f>
        <v>2367.56</v>
      </c>
      <c r="Z239" s="29">
        <f>'Annual Raw'!AA93</f>
        <v>1795.05</v>
      </c>
      <c r="AA239" s="29">
        <f>'Annual Raw'!AB93</f>
        <v>1799.21</v>
      </c>
      <c r="AB239" s="30"/>
      <c r="AC239" s="30"/>
      <c r="AD239" s="30"/>
      <c r="AE239" s="30"/>
      <c r="CM239" s="30"/>
      <c r="CN239" s="30"/>
      <c r="CO239" s="30"/>
      <c r="CP239" s="30"/>
      <c r="CQ239" s="30"/>
      <c r="CR239" s="30"/>
      <c r="CS239" s="30"/>
      <c r="CT239" s="30"/>
      <c r="CU239" s="30"/>
      <c r="CV239" s="30"/>
      <c r="CW239" s="30"/>
      <c r="CX239" s="30"/>
      <c r="CY239" s="30"/>
      <c r="CZ239" s="30"/>
      <c r="DA239" s="30"/>
      <c r="DB239" s="30"/>
      <c r="DE239" s="139"/>
      <c r="DF239" s="29">
        <v>0</v>
      </c>
    </row>
    <row r="240" spans="1:111" s="29" customFormat="1" x14ac:dyDescent="0.2">
      <c r="A240" s="29" t="s">
        <v>84</v>
      </c>
      <c r="B240" s="29">
        <f t="shared" ref="B240:V240" si="1557">B237-B238-B239</f>
        <v>0</v>
      </c>
      <c r="C240" s="29">
        <f t="shared" si="1557"/>
        <v>0</v>
      </c>
      <c r="D240" s="29">
        <f t="shared" si="1557"/>
        <v>0</v>
      </c>
      <c r="E240" s="29">
        <f t="shared" si="1557"/>
        <v>0</v>
      </c>
      <c r="F240" s="29">
        <f t="shared" si="1557"/>
        <v>0</v>
      </c>
      <c r="G240" s="29">
        <f t="shared" si="1557"/>
        <v>0</v>
      </c>
      <c r="H240" s="29">
        <f t="shared" si="1557"/>
        <v>0</v>
      </c>
      <c r="I240" s="29">
        <f t="shared" si="1557"/>
        <v>0</v>
      </c>
      <c r="J240" s="29">
        <f t="shared" si="1557"/>
        <v>0</v>
      </c>
      <c r="K240" s="29">
        <f t="shared" si="1557"/>
        <v>0</v>
      </c>
      <c r="L240" s="29">
        <f t="shared" si="1557"/>
        <v>0</v>
      </c>
      <c r="M240" s="29">
        <f t="shared" si="1557"/>
        <v>0</v>
      </c>
      <c r="N240" s="29">
        <f t="shared" si="1557"/>
        <v>0</v>
      </c>
      <c r="O240" s="29">
        <f t="shared" si="1557"/>
        <v>0</v>
      </c>
      <c r="P240" s="29">
        <f t="shared" si="1557"/>
        <v>0</v>
      </c>
      <c r="Q240" s="29">
        <f t="shared" si="1557"/>
        <v>0</v>
      </c>
      <c r="R240" s="29">
        <f t="shared" si="1557"/>
        <v>0</v>
      </c>
      <c r="S240" s="29">
        <f t="shared" si="1557"/>
        <v>0</v>
      </c>
      <c r="T240" s="29">
        <f t="shared" si="1557"/>
        <v>0</v>
      </c>
      <c r="U240" s="29">
        <f t="shared" si="1557"/>
        <v>0</v>
      </c>
      <c r="V240" s="29">
        <f t="shared" si="1557"/>
        <v>0</v>
      </c>
      <c r="W240" s="29">
        <f t="shared" ref="W240" si="1558">W237-W238-W239</f>
        <v>0</v>
      </c>
      <c r="X240" s="29">
        <f t="shared" ref="X240:Y240" si="1559">X237-X238-X239</f>
        <v>0</v>
      </c>
      <c r="Y240" s="29">
        <f t="shared" si="1559"/>
        <v>0</v>
      </c>
      <c r="Z240" s="29">
        <f>Z237-Z238-Z239</f>
        <v>0</v>
      </c>
      <c r="AA240" s="29">
        <f>AA237-AA238-AA239</f>
        <v>0</v>
      </c>
      <c r="AB240" s="30">
        <f t="shared" ref="AB240:AD240" si="1560">AB237-AB238-AB239</f>
        <v>0</v>
      </c>
      <c r="AC240" s="30">
        <f t="shared" si="1560"/>
        <v>0</v>
      </c>
      <c r="AD240" s="30">
        <f t="shared" si="1560"/>
        <v>0</v>
      </c>
      <c r="AE240" s="30">
        <f t="shared" ref="AE240" si="1561">AE237-AE238-AE239</f>
        <v>0</v>
      </c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  <c r="DF240" s="29">
        <v>0</v>
      </c>
    </row>
    <row r="241" spans="1:111" s="5" customFormat="1" x14ac:dyDescent="0.2">
      <c r="AB241" s="63"/>
      <c r="AC241" s="63"/>
      <c r="AD241" s="63"/>
      <c r="AE241" s="63"/>
      <c r="CE241" s="112"/>
      <c r="CG241" s="112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1" s="95" customFormat="1" x14ac:dyDescent="0.2">
      <c r="A242" s="95" t="s">
        <v>85</v>
      </c>
      <c r="B242" s="95" t="e">
        <f t="shared" ref="B242:AE242" si="1562">B237/B173</f>
        <v>#DIV/0!</v>
      </c>
      <c r="C242" s="95" t="e">
        <f t="shared" si="1562"/>
        <v>#DIV/0!</v>
      </c>
      <c r="D242" s="95" t="e">
        <f t="shared" si="1562"/>
        <v>#DIV/0!</v>
      </c>
      <c r="E242" s="95" t="e">
        <f t="shared" si="1562"/>
        <v>#DIV/0!</v>
      </c>
      <c r="F242" s="95" t="e">
        <f t="shared" si="1562"/>
        <v>#DIV/0!</v>
      </c>
      <c r="G242" s="95" t="e">
        <f t="shared" si="1562"/>
        <v>#DIV/0!</v>
      </c>
      <c r="H242" s="95" t="e">
        <f t="shared" si="1562"/>
        <v>#DIV/0!</v>
      </c>
      <c r="I242" s="95" t="e">
        <f t="shared" si="1562"/>
        <v>#DIV/0!</v>
      </c>
      <c r="J242" s="95" t="e">
        <f t="shared" si="1562"/>
        <v>#DIV/0!</v>
      </c>
      <c r="K242" s="95" t="e">
        <f t="shared" si="1562"/>
        <v>#DIV/0!</v>
      </c>
      <c r="L242" s="95" t="e">
        <f t="shared" si="1562"/>
        <v>#DIV/0!</v>
      </c>
      <c r="M242" s="95" t="e">
        <f t="shared" si="1562"/>
        <v>#DIV/0!</v>
      </c>
      <c r="N242" s="95" t="e">
        <f t="shared" si="1562"/>
        <v>#DIV/0!</v>
      </c>
      <c r="O242" s="95">
        <f t="shared" si="1562"/>
        <v>0</v>
      </c>
      <c r="P242" s="95">
        <f t="shared" si="1562"/>
        <v>0</v>
      </c>
      <c r="Q242" s="95">
        <f t="shared" si="1562"/>
        <v>0</v>
      </c>
      <c r="R242" s="95">
        <f t="shared" si="1562"/>
        <v>3.7332048205855704E-5</v>
      </c>
      <c r="S242" s="95">
        <f t="shared" si="1562"/>
        <v>2.4929536629070357E-3</v>
      </c>
      <c r="T242" s="95">
        <f t="shared" si="1562"/>
        <v>0.51232941734899728</v>
      </c>
      <c r="U242" s="95">
        <f t="shared" si="1562"/>
        <v>0.39029301432693309</v>
      </c>
      <c r="V242" s="95">
        <f t="shared" si="1562"/>
        <v>0.31894646264602816</v>
      </c>
      <c r="W242" s="95">
        <f t="shared" si="1562"/>
        <v>0.28288346358628996</v>
      </c>
      <c r="X242" s="95">
        <f t="shared" si="1562"/>
        <v>0.18596207221446281</v>
      </c>
      <c r="Y242" s="95">
        <f t="shared" si="1562"/>
        <v>0.18728399602896798</v>
      </c>
      <c r="Z242" s="95">
        <f t="shared" si="1562"/>
        <v>8.134102464179227E-2</v>
      </c>
      <c r="AA242" s="95">
        <f t="shared" ref="AA242" si="1563">AA237/AA173</f>
        <v>7.075831952284807E-2</v>
      </c>
      <c r="AB242" s="87">
        <f t="shared" si="1562"/>
        <v>0</v>
      </c>
      <c r="AC242" s="87">
        <f t="shared" si="1562"/>
        <v>0</v>
      </c>
      <c r="AD242" s="87">
        <f t="shared" si="1562"/>
        <v>0</v>
      </c>
      <c r="AE242" s="87">
        <f t="shared" si="1562"/>
        <v>0</v>
      </c>
      <c r="CM242" s="96"/>
      <c r="CN242" s="96"/>
      <c r="CO242" s="96"/>
      <c r="CP242" s="96"/>
      <c r="CQ242" s="96"/>
      <c r="CR242" s="96"/>
      <c r="CS242" s="96"/>
      <c r="CT242" s="96"/>
      <c r="CU242" s="96"/>
      <c r="CV242" s="96"/>
      <c r="CW242" s="96"/>
      <c r="CX242" s="96"/>
      <c r="CY242" s="96"/>
      <c r="CZ242" s="96"/>
      <c r="DA242" s="96"/>
      <c r="DB242" s="96"/>
      <c r="DE242" s="140"/>
      <c r="DF242" s="95" t="e">
        <v>#DIV/0!</v>
      </c>
    </row>
    <row r="243" spans="1:111" x14ac:dyDescent="0.2">
      <c r="A243" s="152" t="s">
        <v>492</v>
      </c>
      <c r="AA243" s="2"/>
      <c r="CE243" s="111"/>
      <c r="CG243" s="111"/>
    </row>
    <row r="244" spans="1:111" s="6" customFormat="1" x14ac:dyDescent="0.2">
      <c r="AB244" s="19"/>
      <c r="AC244" s="19"/>
      <c r="AD244" s="19"/>
      <c r="AE244" s="19"/>
      <c r="CE244" s="113"/>
      <c r="CG244" s="113"/>
      <c r="CM244" s="24"/>
      <c r="CN244" s="24"/>
      <c r="CO244" s="24"/>
      <c r="CP244" s="24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4"/>
      <c r="DE244" s="123"/>
    </row>
    <row r="245" spans="1:111" s="62" customFormat="1" x14ac:dyDescent="0.2">
      <c r="A245" s="153" t="s">
        <v>493</v>
      </c>
      <c r="AB245" s="63"/>
      <c r="AC245" s="63"/>
      <c r="AD245" s="63"/>
      <c r="AE245" s="63"/>
      <c r="CE245" s="114"/>
      <c r="CG245" s="114"/>
      <c r="CM245" s="30"/>
      <c r="CN245" s="30"/>
      <c r="CO245" s="30"/>
      <c r="CP245" s="30"/>
      <c r="CQ245" s="30"/>
      <c r="CR245" s="30"/>
      <c r="CS245" s="30"/>
      <c r="CT245" s="30"/>
      <c r="CU245" s="30"/>
      <c r="CV245" s="30"/>
      <c r="CW245" s="30"/>
      <c r="CX245" s="30"/>
      <c r="CY245" s="30"/>
      <c r="CZ245" s="30"/>
      <c r="DA245" s="30"/>
      <c r="DB245" s="30"/>
      <c r="DE245" s="139"/>
    </row>
    <row r="246" spans="1:111" s="62" customFormat="1" outlineLevel="1" x14ac:dyDescent="0.2">
      <c r="A246" s="68" t="s">
        <v>464</v>
      </c>
      <c r="B246" s="67" t="e">
        <f t="shared" ref="B246:AE246" si="1564">B202/B59*365</f>
        <v>#DIV/0!</v>
      </c>
      <c r="C246" s="67" t="e">
        <f t="shared" si="1564"/>
        <v>#DIV/0!</v>
      </c>
      <c r="D246" s="67" t="e">
        <f t="shared" si="1564"/>
        <v>#DIV/0!</v>
      </c>
      <c r="E246" s="67" t="e">
        <f t="shared" si="1564"/>
        <v>#DIV/0!</v>
      </c>
      <c r="F246" s="67" t="e">
        <f t="shared" si="1564"/>
        <v>#DIV/0!</v>
      </c>
      <c r="G246" s="67" t="e">
        <f t="shared" si="1564"/>
        <v>#DIV/0!</v>
      </c>
      <c r="H246" s="67" t="e">
        <f t="shared" si="1564"/>
        <v>#DIV/0!</v>
      </c>
      <c r="I246" s="67" t="e">
        <f t="shared" si="1564"/>
        <v>#DIV/0!</v>
      </c>
      <c r="J246" s="67" t="e">
        <f t="shared" si="1564"/>
        <v>#DIV/0!</v>
      </c>
      <c r="K246" s="67" t="e">
        <f t="shared" si="1564"/>
        <v>#DIV/0!</v>
      </c>
      <c r="L246" s="67" t="e">
        <f t="shared" si="1564"/>
        <v>#DIV/0!</v>
      </c>
      <c r="M246" s="67" t="e">
        <f t="shared" si="1564"/>
        <v>#DIV/0!</v>
      </c>
      <c r="N246" s="67" t="e">
        <f t="shared" si="1564"/>
        <v>#DIV/0!</v>
      </c>
      <c r="O246" s="67" t="e">
        <f t="shared" si="1564"/>
        <v>#DIV/0!</v>
      </c>
      <c r="P246" s="67">
        <f t="shared" si="1564"/>
        <v>55.583345647997632</v>
      </c>
      <c r="Q246" s="67">
        <f t="shared" si="1564"/>
        <v>3.6150950610147428</v>
      </c>
      <c r="R246" s="67">
        <f t="shared" si="1564"/>
        <v>4.906927332728265</v>
      </c>
      <c r="S246" s="67">
        <f t="shared" si="1564"/>
        <v>3.2701648886545249</v>
      </c>
      <c r="T246" s="67">
        <f t="shared" si="1564"/>
        <v>18.295341149415847</v>
      </c>
      <c r="U246" s="67">
        <f t="shared" si="1564"/>
        <v>17.302710415943995</v>
      </c>
      <c r="V246" s="67">
        <f t="shared" si="1564"/>
        <v>8.5937249718677506</v>
      </c>
      <c r="W246" s="67">
        <f t="shared" si="1564"/>
        <v>8.1092594105984261</v>
      </c>
      <c r="X246" s="67">
        <f t="shared" si="1564"/>
        <v>4.1712418526832735</v>
      </c>
      <c r="Y246" s="67">
        <f t="shared" si="1564"/>
        <v>5.6105967474661833</v>
      </c>
      <c r="Z246" s="67">
        <f t="shared" si="1564"/>
        <v>9.6020421515633583</v>
      </c>
      <c r="AA246" s="67">
        <f t="shared" ref="AA246" si="1565">AA202/AA59*365</f>
        <v>8.8570749705578855</v>
      </c>
      <c r="AB246" s="18">
        <f t="shared" si="1564"/>
        <v>15.784193750740227</v>
      </c>
      <c r="AC246" s="18">
        <f t="shared" si="1564"/>
        <v>15.924476678961211</v>
      </c>
      <c r="AD246" s="18">
        <f t="shared" si="1564"/>
        <v>15.723760552257628</v>
      </c>
      <c r="AE246" s="18">
        <f t="shared" si="1564"/>
        <v>15.7129264228198</v>
      </c>
      <c r="AI246" s="67" t="e">
        <f>AJ202/AI59*90</f>
        <v>#DIV/0!</v>
      </c>
      <c r="AJ246" s="67" t="e">
        <f>AJ202/AJ59*90</f>
        <v>#DIV/0!</v>
      </c>
      <c r="AK246" s="67" t="e">
        <f t="shared" ref="AK246:CE246" si="1566">+AJ246</f>
        <v>#DIV/0!</v>
      </c>
      <c r="AL246" s="67" t="e">
        <f>AL202/AL59*90</f>
        <v>#DIV/0!</v>
      </c>
      <c r="AM246" s="67" t="e">
        <f t="shared" ref="AM246:AM247" si="1567">+AL246</f>
        <v>#DIV/0!</v>
      </c>
      <c r="AN246" s="67" t="e">
        <f>AN202/AN59*90</f>
        <v>#DIV/0!</v>
      </c>
      <c r="AO246" s="67" t="e">
        <f t="shared" ref="AO246:AO247" si="1568">+AN246</f>
        <v>#DIV/0!</v>
      </c>
      <c r="AP246" s="67" t="e">
        <f>AP202/AP59*90</f>
        <v>#DIV/0!</v>
      </c>
      <c r="AQ246" s="67" t="e">
        <f t="shared" ref="AQ246:AQ247" si="1569">+AP246</f>
        <v>#DIV/0!</v>
      </c>
      <c r="AR246" s="67" t="e">
        <f>AR202/AR59*90</f>
        <v>#DIV/0!</v>
      </c>
      <c r="AS246" s="67" t="e">
        <f t="shared" ref="AS246:AS247" si="1570">+AR246</f>
        <v>#DIV/0!</v>
      </c>
      <c r="AT246" s="67">
        <f>AT202/AT59*90</f>
        <v>14.973361317403938</v>
      </c>
      <c r="AU246" s="67">
        <f t="shared" ref="AU246:AU247" si="1571">+AT246</f>
        <v>14.973361317403938</v>
      </c>
      <c r="AV246" s="67">
        <f>AV202/AV59*90</f>
        <v>3.8042322415993199</v>
      </c>
      <c r="AW246" s="67">
        <f t="shared" ref="AW246:AW247" si="1572">+AV246</f>
        <v>3.8042322415993199</v>
      </c>
      <c r="AX246" s="67">
        <f>AX202/AX59*90</f>
        <v>3.0690152322447193</v>
      </c>
      <c r="AY246" s="67">
        <f t="shared" ref="AY246:AY247" si="1573">+AX246</f>
        <v>3.0690152322447193</v>
      </c>
      <c r="AZ246" s="67">
        <f>AZ202/AZ59*90</f>
        <v>2.9529808114838141</v>
      </c>
      <c r="BA246" s="67">
        <f t="shared" ref="BA246:BA247" si="1574">+AZ246</f>
        <v>2.9529808114838141</v>
      </c>
      <c r="BB246" s="67">
        <f>BB202/BB59*90</f>
        <v>4.1688433059356349</v>
      </c>
      <c r="BC246" s="67">
        <f t="shared" ref="BC246:BC247" si="1575">+BB246</f>
        <v>4.1688433059356349</v>
      </c>
      <c r="BD246" s="67">
        <f>BD202/BD59*90</f>
        <v>8.8661620228700269</v>
      </c>
      <c r="BE246" s="67">
        <f t="shared" ref="BE246:BE247" si="1576">+BD246</f>
        <v>8.8661620228700269</v>
      </c>
      <c r="BF246" s="67">
        <f>BF202/BF59*90</f>
        <v>3.9269575524112899</v>
      </c>
      <c r="BG246" s="67">
        <f t="shared" ref="BG246:BG247" si="1577">+BF246</f>
        <v>3.9269575524112899</v>
      </c>
      <c r="BH246" s="67">
        <f>BH202/BH59*90</f>
        <v>12.136533585457045</v>
      </c>
      <c r="BI246" s="67">
        <f t="shared" ref="BI246:BI247" si="1578">+BH246</f>
        <v>12.136533585457045</v>
      </c>
      <c r="BJ246" s="67">
        <f>BJ202/BJ59*90</f>
        <v>12.946542214679678</v>
      </c>
      <c r="BK246" s="67">
        <f t="shared" ref="BK246:BK247" si="1579">+BJ246</f>
        <v>12.946542214679678</v>
      </c>
      <c r="BL246" s="67">
        <f>BL202/BL59*90</f>
        <v>7.9988046579779448</v>
      </c>
      <c r="BM246" s="67">
        <f t="shared" ref="BM246:BM247" si="1580">+BL246</f>
        <v>7.9988046579779448</v>
      </c>
      <c r="BN246" s="67">
        <f>BN202/BN59*90</f>
        <v>15.282683183974695</v>
      </c>
      <c r="BO246" s="67">
        <f t="shared" ref="BO246:BO247" si="1581">+BN246</f>
        <v>15.282683183974695</v>
      </c>
      <c r="BP246" s="67">
        <f>BP202/BP59*90</f>
        <v>9.1519764028216439</v>
      </c>
      <c r="BQ246" s="67">
        <f t="shared" ref="BQ246:BQ247" si="1582">+BP246</f>
        <v>9.1519764028216439</v>
      </c>
      <c r="BR246" s="67">
        <f>BR202/BR59*90</f>
        <v>7.7143045760119699</v>
      </c>
      <c r="BS246" s="67">
        <f t="shared" ref="BS246:BS247" si="1583">+BR246</f>
        <v>7.7143045760119699</v>
      </c>
      <c r="BT246" s="67">
        <f>BT202/BT59*90</f>
        <v>4.6706198060941819</v>
      </c>
      <c r="BU246" s="67">
        <f t="shared" ref="BU246:BU247" si="1584">+BT246</f>
        <v>4.6706198060941819</v>
      </c>
      <c r="BV246" s="67">
        <f>BV202/BV59*90</f>
        <v>7.5670396977204657</v>
      </c>
      <c r="BW246" s="67">
        <f t="shared" ref="BW246:BW247" si="1585">+BV246</f>
        <v>7.5670396977204657</v>
      </c>
      <c r="BX246" s="67">
        <f>BX202/BX59*90</f>
        <v>5.5661114323323533</v>
      </c>
      <c r="BY246" s="67">
        <f t="shared" ref="BY246:BY247" si="1586">+BX246</f>
        <v>5.5661114323323533</v>
      </c>
      <c r="BZ246" s="67">
        <f>BZ202/BZ59*90</f>
        <v>4.071853612337164</v>
      </c>
      <c r="CA246" s="67">
        <f t="shared" ref="CA246:CA247" si="1587">+BZ246</f>
        <v>4.071853612337164</v>
      </c>
      <c r="CB246" s="67">
        <f>CB202/CB59*90</f>
        <v>4.6385691382656438</v>
      </c>
      <c r="CC246" s="67">
        <f t="shared" ref="CC246:CC247" si="1588">+CB246</f>
        <v>4.6385691382656438</v>
      </c>
      <c r="CD246" s="67">
        <f>CD202/CD59*90</f>
        <v>4.8812262978425061</v>
      </c>
      <c r="CE246" s="67">
        <f t="shared" si="1566"/>
        <v>4.8812262978425061</v>
      </c>
      <c r="CF246" s="67">
        <f>CF202/CF59*90</f>
        <v>5.1838381551498305</v>
      </c>
      <c r="CG246" s="67">
        <f t="shared" ref="CG246:CI247" si="1589">+CF246</f>
        <v>5.1838381551498305</v>
      </c>
      <c r="CH246" s="67">
        <f>CH202/CH59*90</f>
        <v>8.8274992234782523</v>
      </c>
      <c r="CI246" s="67">
        <f t="shared" si="1589"/>
        <v>8.8274992234782523</v>
      </c>
      <c r="CJ246" s="67">
        <f>CJ202/CJ59*90</f>
        <v>9.6963990885150171</v>
      </c>
      <c r="CK246" s="67">
        <f t="shared" ref="CK246:CK247" si="1590">+CJ246</f>
        <v>9.6963990885150171</v>
      </c>
      <c r="CL246" s="67">
        <f>+CK246+1</f>
        <v>10.696399088515017</v>
      </c>
      <c r="CM246" s="30">
        <f t="shared" ref="CM246:CP246" si="1591">+CL246+1</f>
        <v>11.696399088515017</v>
      </c>
      <c r="CN246" s="30">
        <f t="shared" si="1591"/>
        <v>12.696399088515017</v>
      </c>
      <c r="CO246" s="30">
        <f t="shared" si="1591"/>
        <v>13.696399088515017</v>
      </c>
      <c r="CP246" s="30">
        <f t="shared" si="1591"/>
        <v>14.696399088515017</v>
      </c>
      <c r="CQ246" s="30">
        <f t="shared" ref="CQ246" si="1592">+CP246</f>
        <v>14.696399088515017</v>
      </c>
      <c r="CR246" s="30">
        <f t="shared" ref="CR246" si="1593">+CQ246</f>
        <v>14.696399088515017</v>
      </c>
      <c r="CS246" s="30">
        <f t="shared" ref="CS246" si="1594">+CR246</f>
        <v>14.696399088515017</v>
      </c>
      <c r="CT246" s="30">
        <f t="shared" ref="CT246" si="1595">+CS246</f>
        <v>14.696399088515017</v>
      </c>
      <c r="CU246" s="30">
        <f t="shared" ref="CU246" si="1596">+CT246</f>
        <v>14.696399088515017</v>
      </c>
      <c r="CV246" s="30">
        <f t="shared" ref="CV246:CV247" si="1597">+CU246</f>
        <v>14.696399088515017</v>
      </c>
      <c r="CW246" s="30">
        <f t="shared" ref="CW246:CW247" si="1598">+CV246</f>
        <v>14.696399088515017</v>
      </c>
      <c r="CX246" s="30">
        <f t="shared" ref="CX246:CX247" si="1599">+CW246</f>
        <v>14.696399088515017</v>
      </c>
      <c r="CY246" s="30">
        <f t="shared" ref="CY246:CY247" si="1600">+CX246</f>
        <v>14.696399088515017</v>
      </c>
      <c r="CZ246" s="30">
        <f t="shared" ref="CZ246:CZ247" si="1601">+CY246</f>
        <v>14.696399088515017</v>
      </c>
      <c r="DA246" s="30">
        <f t="shared" ref="DA246:DA247" si="1602">+CZ246</f>
        <v>14.696399088515017</v>
      </c>
      <c r="DB246" s="30">
        <f t="shared" ref="DB246:DB247" si="1603">+DA246</f>
        <v>14.696399088515017</v>
      </c>
      <c r="DE246" s="139"/>
      <c r="DF246" s="62" t="e">
        <v>#DIV/0!</v>
      </c>
      <c r="DG246" s="62">
        <v>10.696399088515017</v>
      </c>
    </row>
    <row r="247" spans="1:111" s="62" customFormat="1" outlineLevel="1" x14ac:dyDescent="0.2">
      <c r="A247" s="68" t="s">
        <v>465</v>
      </c>
      <c r="B247" s="67" t="e">
        <f t="shared" ref="B247:AE247" si="1604">B203/B59*365</f>
        <v>#DIV/0!</v>
      </c>
      <c r="C247" s="67" t="e">
        <f t="shared" si="1604"/>
        <v>#DIV/0!</v>
      </c>
      <c r="D247" s="67" t="e">
        <f t="shared" si="1604"/>
        <v>#DIV/0!</v>
      </c>
      <c r="E247" s="67" t="e">
        <f t="shared" si="1604"/>
        <v>#DIV/0!</v>
      </c>
      <c r="F247" s="67" t="e">
        <f t="shared" si="1604"/>
        <v>#DIV/0!</v>
      </c>
      <c r="G247" s="67" t="e">
        <f t="shared" si="1604"/>
        <v>#DIV/0!</v>
      </c>
      <c r="H247" s="67" t="e">
        <f t="shared" si="1604"/>
        <v>#DIV/0!</v>
      </c>
      <c r="I247" s="67" t="e">
        <f t="shared" si="1604"/>
        <v>#DIV/0!</v>
      </c>
      <c r="J247" s="67" t="e">
        <f t="shared" si="1604"/>
        <v>#DIV/0!</v>
      </c>
      <c r="K247" s="67" t="e">
        <f t="shared" si="1604"/>
        <v>#DIV/0!</v>
      </c>
      <c r="L247" s="67" t="e">
        <f t="shared" si="1604"/>
        <v>#DIV/0!</v>
      </c>
      <c r="M247" s="67" t="e">
        <f t="shared" si="1604"/>
        <v>#DIV/0!</v>
      </c>
      <c r="N247" s="67" t="e">
        <f t="shared" si="1604"/>
        <v>#DIV/0!</v>
      </c>
      <c r="O247" s="67" t="e">
        <f t="shared" si="1604"/>
        <v>#DIV/0!</v>
      </c>
      <c r="P247" s="67">
        <f t="shared" si="1604"/>
        <v>1210.2659967489285</v>
      </c>
      <c r="Q247" s="67">
        <f t="shared" si="1604"/>
        <v>30.294695973163524</v>
      </c>
      <c r="R247" s="67">
        <f t="shared" si="1604"/>
        <v>24.059936502637608</v>
      </c>
      <c r="S247" s="67">
        <f t="shared" si="1604"/>
        <v>23.858138461850483</v>
      </c>
      <c r="T247" s="67">
        <f t="shared" si="1604"/>
        <v>36.075566871308403</v>
      </c>
      <c r="U247" s="67">
        <f t="shared" si="1604"/>
        <v>31.981094888209142</v>
      </c>
      <c r="V247" s="67">
        <f t="shared" si="1604"/>
        <v>37.268769021380507</v>
      </c>
      <c r="W247" s="67">
        <f t="shared" si="1604"/>
        <v>34.719600764644426</v>
      </c>
      <c r="X247" s="67">
        <f t="shared" si="1604"/>
        <v>39.474264860765892</v>
      </c>
      <c r="Y247" s="67">
        <f t="shared" si="1604"/>
        <v>82.298276185980185</v>
      </c>
      <c r="Z247" s="67">
        <f t="shared" si="1604"/>
        <v>64.775237523819698</v>
      </c>
      <c r="AA247" s="67">
        <f t="shared" ref="AA247" si="1605">AA203/AA59*365</f>
        <v>75.859666311802613</v>
      </c>
      <c r="AB247" s="18">
        <f t="shared" si="1604"/>
        <v>111.75869527846299</v>
      </c>
      <c r="AC247" s="18">
        <f t="shared" si="1604"/>
        <v>91.080693842317785</v>
      </c>
      <c r="AD247" s="18">
        <f t="shared" si="1604"/>
        <v>84.583161474283159</v>
      </c>
      <c r="AE247" s="18">
        <f t="shared" si="1604"/>
        <v>84.524881210053266</v>
      </c>
      <c r="AI247" s="67" t="e">
        <f>AJ203/AI59*90</f>
        <v>#DIV/0!</v>
      </c>
      <c r="AJ247" s="67" t="e">
        <f>AJ203/AJ59*90</f>
        <v>#DIV/0!</v>
      </c>
      <c r="AK247" s="67" t="e">
        <f>+AJ247</f>
        <v>#DIV/0!</v>
      </c>
      <c r="AL247" s="67" t="e">
        <f>AL203/AL59*90</f>
        <v>#DIV/0!</v>
      </c>
      <c r="AM247" s="67" t="e">
        <f t="shared" si="1567"/>
        <v>#DIV/0!</v>
      </c>
      <c r="AN247" s="67" t="e">
        <f>AN203/AN59*90</f>
        <v>#DIV/0!</v>
      </c>
      <c r="AO247" s="67" t="e">
        <f t="shared" si="1568"/>
        <v>#DIV/0!</v>
      </c>
      <c r="AP247" s="67" t="e">
        <f>AP203/AP59*90</f>
        <v>#DIV/0!</v>
      </c>
      <c r="AQ247" s="67" t="e">
        <f t="shared" si="1569"/>
        <v>#DIV/0!</v>
      </c>
      <c r="AR247" s="67" t="e">
        <f>AR203/AR59*90</f>
        <v>#DIV/0!</v>
      </c>
      <c r="AS247" s="67" t="e">
        <f t="shared" si="1570"/>
        <v>#DIV/0!</v>
      </c>
      <c r="AT247" s="67">
        <f>AT203/AT59*90</f>
        <v>326.02841459476912</v>
      </c>
      <c r="AU247" s="67">
        <f t="shared" si="1571"/>
        <v>326.02841459476912</v>
      </c>
      <c r="AV247" s="67">
        <f>AV203/AV59*90</f>
        <v>31.240961293066782</v>
      </c>
      <c r="AW247" s="67">
        <f t="shared" si="1572"/>
        <v>31.240961293066782</v>
      </c>
      <c r="AX247" s="67">
        <f>AX203/AX59*90</f>
        <v>25.718516893374286</v>
      </c>
      <c r="AY247" s="67">
        <f t="shared" si="1573"/>
        <v>25.718516893374286</v>
      </c>
      <c r="AZ247" s="67">
        <f>AZ203/AZ59*90</f>
        <v>38.428299399443382</v>
      </c>
      <c r="BA247" s="67">
        <f t="shared" si="1574"/>
        <v>38.428299399443382</v>
      </c>
      <c r="BB247" s="67">
        <f>BB203/BB59*90</f>
        <v>20.440919220723202</v>
      </c>
      <c r="BC247" s="67">
        <f t="shared" si="1575"/>
        <v>20.440919220723202</v>
      </c>
      <c r="BD247" s="67">
        <f>BD203/BD59*90</f>
        <v>20.95989692382026</v>
      </c>
      <c r="BE247" s="67">
        <f t="shared" si="1576"/>
        <v>20.95989692382026</v>
      </c>
      <c r="BF247" s="67">
        <f>BF203/BF59*90</f>
        <v>28.649899992592044</v>
      </c>
      <c r="BG247" s="67">
        <f t="shared" si="1577"/>
        <v>28.649899992592044</v>
      </c>
      <c r="BH247" s="67">
        <f>BH203/BH59*90</f>
        <v>49.014138983196531</v>
      </c>
      <c r="BI247" s="67">
        <f t="shared" si="1578"/>
        <v>49.014138983196531</v>
      </c>
      <c r="BJ247" s="67">
        <f>BJ203/BJ59*90</f>
        <v>25.5285673879225</v>
      </c>
      <c r="BK247" s="67">
        <f t="shared" si="1579"/>
        <v>25.5285673879225</v>
      </c>
      <c r="BL247" s="67">
        <f>BL203/BL59*90</f>
        <v>31.030461941852391</v>
      </c>
      <c r="BM247" s="67">
        <f t="shared" si="1580"/>
        <v>31.030461941852391</v>
      </c>
      <c r="BN247" s="67">
        <f>BN203/BN59*90</f>
        <v>28.247420739513519</v>
      </c>
      <c r="BO247" s="67">
        <f t="shared" si="1581"/>
        <v>28.247420739513519</v>
      </c>
      <c r="BP247" s="67">
        <f>BP203/BP59*90</f>
        <v>57.928011909896618</v>
      </c>
      <c r="BQ247" s="67">
        <f t="shared" si="1582"/>
        <v>57.928011909896618</v>
      </c>
      <c r="BR247" s="67">
        <f>BR203/BR59*90</f>
        <v>33.454949552741319</v>
      </c>
      <c r="BS247" s="67">
        <f t="shared" si="1583"/>
        <v>33.454949552741319</v>
      </c>
      <c r="BT247" s="67">
        <f>BT203/BT59*90</f>
        <v>40.29821675900277</v>
      </c>
      <c r="BU247" s="67">
        <f t="shared" si="1584"/>
        <v>40.29821675900277</v>
      </c>
      <c r="BV247" s="67">
        <f>BV203/BV59*90</f>
        <v>32.398099995629849</v>
      </c>
      <c r="BW247" s="67">
        <f t="shared" si="1585"/>
        <v>32.398099995629849</v>
      </c>
      <c r="BX247" s="67">
        <f>BX203/BX59*90</f>
        <v>46.901318784061409</v>
      </c>
      <c r="BY247" s="67">
        <f t="shared" si="1586"/>
        <v>46.901318784061409</v>
      </c>
      <c r="BZ247" s="67">
        <f>BZ203/BZ59*90</f>
        <v>38.533710977287754</v>
      </c>
      <c r="CA247" s="67">
        <f t="shared" si="1587"/>
        <v>38.533710977287754</v>
      </c>
      <c r="CB247" s="67">
        <f>CB203/CB59*90</f>
        <v>37.086995457106539</v>
      </c>
      <c r="CC247" s="67">
        <f t="shared" si="1588"/>
        <v>37.086995457106539</v>
      </c>
      <c r="CD247" s="67">
        <f>CD203/CD59*90</f>
        <v>71.59960483125657</v>
      </c>
      <c r="CE247" s="114">
        <f t="shared" ref="CE247" si="1606">+CD247</f>
        <v>71.59960483125657</v>
      </c>
      <c r="CF247" s="67">
        <f>CF203/CF59*90</f>
        <v>64.372479259989973</v>
      </c>
      <c r="CG247" s="67">
        <f t="shared" si="1589"/>
        <v>64.372479259989973</v>
      </c>
      <c r="CH247" s="67">
        <f>CH203/CH59*90</f>
        <v>59.550182129646181</v>
      </c>
      <c r="CI247" s="67">
        <f t="shared" si="1589"/>
        <v>59.550182129646181</v>
      </c>
      <c r="CJ247" s="67">
        <f>CJ203/CJ59*90</f>
        <v>84.056653976830816</v>
      </c>
      <c r="CK247" s="67">
        <f t="shared" si="1590"/>
        <v>84.056653976830816</v>
      </c>
      <c r="CL247" s="67">
        <f>+CK247+5</f>
        <v>89.056653976830816</v>
      </c>
      <c r="CM247" s="30">
        <f t="shared" ref="CM247:CO247" si="1607">+CL247+5</f>
        <v>94.056653976830816</v>
      </c>
      <c r="CN247" s="30">
        <f t="shared" si="1607"/>
        <v>99.056653976830816</v>
      </c>
      <c r="CO247" s="30">
        <f t="shared" si="1607"/>
        <v>104.05665397683082</v>
      </c>
      <c r="CP247" s="30">
        <f>+CO247</f>
        <v>104.05665397683082</v>
      </c>
      <c r="CQ247" s="30">
        <f>+CP247-5</f>
        <v>99.056653976830816</v>
      </c>
      <c r="CR247" s="30">
        <f t="shared" ref="CR247:CU247" si="1608">+CQ247-5</f>
        <v>94.056653976830816</v>
      </c>
      <c r="CS247" s="30">
        <f t="shared" si="1608"/>
        <v>89.056653976830816</v>
      </c>
      <c r="CT247" s="30">
        <f t="shared" si="1608"/>
        <v>84.056653976830816</v>
      </c>
      <c r="CU247" s="30">
        <f t="shared" si="1608"/>
        <v>79.056653976830816</v>
      </c>
      <c r="CV247" s="30">
        <f t="shared" si="1597"/>
        <v>79.056653976830816</v>
      </c>
      <c r="CW247" s="30">
        <f t="shared" si="1598"/>
        <v>79.056653976830816</v>
      </c>
      <c r="CX247" s="30">
        <f t="shared" si="1599"/>
        <v>79.056653976830816</v>
      </c>
      <c r="CY247" s="30">
        <f t="shared" si="1600"/>
        <v>79.056653976830816</v>
      </c>
      <c r="CZ247" s="30">
        <f t="shared" si="1601"/>
        <v>79.056653976830816</v>
      </c>
      <c r="DA247" s="30">
        <f t="shared" si="1602"/>
        <v>79.056653976830816</v>
      </c>
      <c r="DB247" s="30">
        <f t="shared" si="1603"/>
        <v>79.056653976830816</v>
      </c>
      <c r="DE247" s="139"/>
      <c r="DF247" s="62" t="e">
        <v>#DIV/0!</v>
      </c>
      <c r="DG247" s="62">
        <v>89.056653976830816</v>
      </c>
    </row>
    <row r="248" spans="1:111" s="62" customFormat="1" outlineLevel="1" x14ac:dyDescent="0.2">
      <c r="A248" s="68" t="s">
        <v>466</v>
      </c>
      <c r="B248" s="67" t="e">
        <f>B249-B247-B246</f>
        <v>#DIV/0!</v>
      </c>
      <c r="C248" s="67" t="e">
        <f t="shared" ref="C248:U248" si="1609">C249-C247-C246</f>
        <v>#DIV/0!</v>
      </c>
      <c r="D248" s="67" t="e">
        <f t="shared" si="1609"/>
        <v>#DIV/0!</v>
      </c>
      <c r="E248" s="67" t="e">
        <f t="shared" si="1609"/>
        <v>#DIV/0!</v>
      </c>
      <c r="F248" s="67" t="e">
        <f t="shared" si="1609"/>
        <v>#DIV/0!</v>
      </c>
      <c r="G248" s="67" t="e">
        <f t="shared" si="1609"/>
        <v>#DIV/0!</v>
      </c>
      <c r="H248" s="67" t="e">
        <f t="shared" si="1609"/>
        <v>#DIV/0!</v>
      </c>
      <c r="I248" s="67" t="e">
        <f t="shared" si="1609"/>
        <v>#DIV/0!</v>
      </c>
      <c r="J248" s="67" t="e">
        <f t="shared" si="1609"/>
        <v>#DIV/0!</v>
      </c>
      <c r="K248" s="67" t="e">
        <f t="shared" si="1609"/>
        <v>#DIV/0!</v>
      </c>
      <c r="L248" s="67" t="e">
        <f t="shared" si="1609"/>
        <v>#DIV/0!</v>
      </c>
      <c r="M248" s="67" t="e">
        <f t="shared" si="1609"/>
        <v>#DIV/0!</v>
      </c>
      <c r="N248" s="67" t="e">
        <f t="shared" si="1609"/>
        <v>#DIV/0!</v>
      </c>
      <c r="O248" s="67" t="e">
        <f t="shared" si="1609"/>
        <v>#DIV/0!</v>
      </c>
      <c r="P248" s="67">
        <f t="shared" si="1609"/>
        <v>1105.7876459287718</v>
      </c>
      <c r="Q248" s="67">
        <f t="shared" si="1609"/>
        <v>175.12942590156621</v>
      </c>
      <c r="R248" s="67">
        <f t="shared" si="1609"/>
        <v>148.50880304342232</v>
      </c>
      <c r="S248" s="67">
        <f t="shared" si="1609"/>
        <v>488.41032278018906</v>
      </c>
      <c r="T248" s="67">
        <f t="shared" si="1609"/>
        <v>266.14280434470152</v>
      </c>
      <c r="U248" s="67">
        <f t="shared" si="1609"/>
        <v>269.32656561515631</v>
      </c>
      <c r="V248" s="67">
        <f>V249-V247-V246</f>
        <v>262.47723982579663</v>
      </c>
      <c r="W248" s="67">
        <f t="shared" ref="W248" si="1610">W249-W247-W246</f>
        <v>250.51195112244977</v>
      </c>
      <c r="X248" s="67">
        <f t="shared" ref="X248:Y248" si="1611">X249-X247-X246</f>
        <v>255.9694328925909</v>
      </c>
      <c r="Y248" s="67">
        <f t="shared" si="1611"/>
        <v>175.80038308316321</v>
      </c>
      <c r="Z248" s="67">
        <f>Z249-Z247-Z246</f>
        <v>236.06550907157762</v>
      </c>
      <c r="AA248" s="67">
        <f>AA249-AA247-AA246</f>
        <v>380.12814071900021</v>
      </c>
      <c r="AB248" s="18">
        <f t="shared" ref="AB248:AD248" si="1612">AB249-AB247-AB246</f>
        <v>427.19959112099929</v>
      </c>
      <c r="AC248" s="18">
        <f t="shared" si="1612"/>
        <v>378.98532019793117</v>
      </c>
      <c r="AD248" s="18">
        <f t="shared" si="1612"/>
        <v>361.36962557919401</v>
      </c>
      <c r="AE248" s="18">
        <f t="shared" ref="AE248" si="1613">AE249-AE247-AE246</f>
        <v>361.12063137164336</v>
      </c>
      <c r="AI248" s="67" t="e">
        <f t="shared" ref="AI248:AK248" si="1614">AI249-AI247-AI246</f>
        <v>#DIV/0!</v>
      </c>
      <c r="AJ248" s="67" t="e">
        <f t="shared" ref="AJ248:AM248" si="1615">AJ249-AJ247-AJ246</f>
        <v>#DIV/0!</v>
      </c>
      <c r="AK248" s="67" t="e">
        <f t="shared" si="1614"/>
        <v>#DIV/0!</v>
      </c>
      <c r="AL248" s="67" t="e">
        <f t="shared" si="1615"/>
        <v>#DIV/0!</v>
      </c>
      <c r="AM248" s="67" t="e">
        <f t="shared" si="1615"/>
        <v>#DIV/0!</v>
      </c>
      <c r="AN248" s="67" t="e">
        <f t="shared" ref="AN248:AY248" si="1616">AN249-AN247-AN246</f>
        <v>#DIV/0!</v>
      </c>
      <c r="AO248" s="67" t="e">
        <f t="shared" si="1616"/>
        <v>#DIV/0!</v>
      </c>
      <c r="AP248" s="67" t="e">
        <f t="shared" si="1616"/>
        <v>#DIV/0!</v>
      </c>
      <c r="AQ248" s="67" t="e">
        <f t="shared" si="1616"/>
        <v>#DIV/0!</v>
      </c>
      <c r="AR248" s="67" t="e">
        <f t="shared" si="1616"/>
        <v>#DIV/0!</v>
      </c>
      <c r="AS248" s="67" t="e">
        <f t="shared" si="1616"/>
        <v>#DIV/0!</v>
      </c>
      <c r="AT248" s="67">
        <f t="shared" si="1616"/>
        <v>308.61398127219894</v>
      </c>
      <c r="AU248" s="67">
        <f t="shared" si="1616"/>
        <v>81.66421018904191</v>
      </c>
      <c r="AV248" s="67">
        <f t="shared" si="1616"/>
        <v>122.21395150999575</v>
      </c>
      <c r="AW248" s="67">
        <f t="shared" si="1616"/>
        <v>130.97435897435895</v>
      </c>
      <c r="AX248" s="67">
        <f t="shared" si="1616"/>
        <v>148.33526609415159</v>
      </c>
      <c r="AY248" s="67">
        <f t="shared" si="1616"/>
        <v>149.76930744766699</v>
      </c>
      <c r="AZ248" s="67">
        <f t="shared" ref="AZ248:BC248" si="1617">AZ249-AZ247-AZ246</f>
        <v>153.74879156291195</v>
      </c>
      <c r="BA248" s="67">
        <f t="shared" si="1617"/>
        <v>143.94051177970985</v>
      </c>
      <c r="BB248" s="67">
        <f t="shared" si="1617"/>
        <v>95.841340969543012</v>
      </c>
      <c r="BC248" s="67">
        <f t="shared" si="1617"/>
        <v>131.46052458585328</v>
      </c>
      <c r="BD248" s="67">
        <f t="shared" ref="BD248:CE248" si="1618">BD249-BD247-BD246</f>
        <v>92.645353519085191</v>
      </c>
      <c r="BE248" s="67">
        <f t="shared" si="1618"/>
        <v>38.758548664218573</v>
      </c>
      <c r="BF248" s="67">
        <f t="shared" si="1618"/>
        <v>518.12393510630409</v>
      </c>
      <c r="BG248" s="67">
        <f t="shared" si="1618"/>
        <v>676.09038182696941</v>
      </c>
      <c r="BH248" s="67">
        <f t="shared" si="1618"/>
        <v>338.56783703640031</v>
      </c>
      <c r="BI248" s="67">
        <f t="shared" si="1618"/>
        <v>172.3220867282769</v>
      </c>
      <c r="BJ248" s="67">
        <f t="shared" si="1618"/>
        <v>188.33368689011454</v>
      </c>
      <c r="BK248" s="67">
        <f t="shared" si="1618"/>
        <v>167.74012623859372</v>
      </c>
      <c r="BL248" s="67">
        <f t="shared" si="1618"/>
        <v>180.4206061540834</v>
      </c>
      <c r="BM248" s="67">
        <f t="shared" si="1618"/>
        <v>168.46064114749845</v>
      </c>
      <c r="BN248" s="67">
        <f t="shared" si="1618"/>
        <v>244.59720234957453</v>
      </c>
      <c r="BO248" s="67">
        <f t="shared" si="1618"/>
        <v>318.62592018834988</v>
      </c>
      <c r="BP248" s="67">
        <f t="shared" si="1618"/>
        <v>356.2195817622752</v>
      </c>
      <c r="BQ248" s="67">
        <f t="shared" si="1618"/>
        <v>295.75324795342362</v>
      </c>
      <c r="BR248" s="67">
        <f t="shared" si="1618"/>
        <v>271.68241882777517</v>
      </c>
      <c r="BS248" s="67">
        <f t="shared" si="1618"/>
        <v>261.7892672238616</v>
      </c>
      <c r="BT248" s="67">
        <f t="shared" si="1618"/>
        <v>326.6661026819441</v>
      </c>
      <c r="BU248" s="67">
        <f t="shared" si="1618"/>
        <v>285.12631795858096</v>
      </c>
      <c r="BV248" s="67">
        <f t="shared" si="1618"/>
        <v>288.35410272528929</v>
      </c>
      <c r="BW248" s="67">
        <f t="shared" si="1618"/>
        <v>273.88520632974439</v>
      </c>
      <c r="BX248" s="67">
        <f t="shared" si="1618"/>
        <v>307.73906036635623</v>
      </c>
      <c r="BY248" s="67">
        <f t="shared" si="1618"/>
        <v>281.7263282371822</v>
      </c>
      <c r="BZ248" s="67">
        <f t="shared" si="1618"/>
        <v>296.86040278050791</v>
      </c>
      <c r="CA248" s="67">
        <f t="shared" si="1618"/>
        <v>272.04715727187624</v>
      </c>
      <c r="CB248" s="67">
        <f t="shared" si="1618"/>
        <v>263.95332442356425</v>
      </c>
      <c r="CC248" s="67">
        <f t="shared" si="1618"/>
        <v>212.53289149259322</v>
      </c>
      <c r="CD248" s="67">
        <f t="shared" si="1618"/>
        <v>198.94744893081364</v>
      </c>
      <c r="CE248" s="114">
        <f t="shared" si="1618"/>
        <v>174.1019047884653</v>
      </c>
      <c r="CF248" s="67">
        <f t="shared" ref="CF248:CG248" si="1619">CF249-CF247-CF246</f>
        <v>216.05050374371336</v>
      </c>
      <c r="CG248" s="67">
        <f t="shared" si="1619"/>
        <v>229.14784246328639</v>
      </c>
      <c r="CH248" s="67">
        <f t="shared" ref="CH248" si="1620">CH249-CH247-CH246</f>
        <v>22.881836921020675</v>
      </c>
      <c r="CI248" s="67">
        <f>CH248</f>
        <v>22.881836921020675</v>
      </c>
      <c r="CJ248" s="67">
        <f t="shared" ref="CJ248" si="1621">CJ249-CJ247-CJ246</f>
        <v>317.75840189938185</v>
      </c>
      <c r="CK248" s="67">
        <f t="shared" ref="CK248:DB248" si="1622">CJ248</f>
        <v>317.75840189938185</v>
      </c>
      <c r="CL248" s="67">
        <f>CK248+20</f>
        <v>337.75840189938185</v>
      </c>
      <c r="CM248" s="30">
        <f t="shared" ref="CM248:CO248" si="1623">CL248+20</f>
        <v>357.75840189938185</v>
      </c>
      <c r="CN248" s="30">
        <f t="shared" si="1623"/>
        <v>377.75840189938185</v>
      </c>
      <c r="CO248" s="30">
        <f t="shared" si="1623"/>
        <v>397.75840189938185</v>
      </c>
      <c r="CP248" s="30">
        <f>CO248</f>
        <v>397.75840189938185</v>
      </c>
      <c r="CQ248" s="30">
        <f>CP248-12</f>
        <v>385.75840189938185</v>
      </c>
      <c r="CR248" s="30">
        <f t="shared" ref="CR248:CU248" si="1624">CQ248-12</f>
        <v>373.75840189938185</v>
      </c>
      <c r="CS248" s="30">
        <f t="shared" si="1624"/>
        <v>361.75840189938185</v>
      </c>
      <c r="CT248" s="30">
        <f t="shared" si="1624"/>
        <v>349.75840189938185</v>
      </c>
      <c r="CU248" s="30">
        <f t="shared" si="1624"/>
        <v>337.75840189938185</v>
      </c>
      <c r="CV248" s="30">
        <f t="shared" si="1622"/>
        <v>337.75840189938185</v>
      </c>
      <c r="CW248" s="30">
        <f t="shared" si="1622"/>
        <v>337.75840189938185</v>
      </c>
      <c r="CX248" s="30">
        <f t="shared" si="1622"/>
        <v>337.75840189938185</v>
      </c>
      <c r="CY248" s="30">
        <f t="shared" si="1622"/>
        <v>337.75840189938185</v>
      </c>
      <c r="CZ248" s="30">
        <f t="shared" si="1622"/>
        <v>337.75840189938185</v>
      </c>
      <c r="DA248" s="30">
        <f t="shared" si="1622"/>
        <v>337.75840189938185</v>
      </c>
      <c r="DB248" s="30">
        <f t="shared" si="1622"/>
        <v>337.75840189938185</v>
      </c>
      <c r="DE248" s="139"/>
      <c r="DF248" s="62" t="e">
        <v>#DIV/0!</v>
      </c>
      <c r="DG248" s="62">
        <v>337.75840189938185</v>
      </c>
    </row>
    <row r="249" spans="1:111" s="7" customFormat="1" outlineLevel="1" x14ac:dyDescent="0.2">
      <c r="A249" s="69" t="s">
        <v>467</v>
      </c>
      <c r="B249" s="70" t="e">
        <f t="shared" ref="B249:AE249" si="1625">B211/B59*365</f>
        <v>#DIV/0!</v>
      </c>
      <c r="C249" s="70" t="e">
        <f t="shared" si="1625"/>
        <v>#DIV/0!</v>
      </c>
      <c r="D249" s="70" t="e">
        <f t="shared" si="1625"/>
        <v>#DIV/0!</v>
      </c>
      <c r="E249" s="70" t="e">
        <f t="shared" si="1625"/>
        <v>#DIV/0!</v>
      </c>
      <c r="F249" s="70" t="e">
        <f t="shared" si="1625"/>
        <v>#DIV/0!</v>
      </c>
      <c r="G249" s="70" t="e">
        <f t="shared" si="1625"/>
        <v>#DIV/0!</v>
      </c>
      <c r="H249" s="70" t="e">
        <f t="shared" si="1625"/>
        <v>#DIV/0!</v>
      </c>
      <c r="I249" s="70" t="e">
        <f t="shared" si="1625"/>
        <v>#DIV/0!</v>
      </c>
      <c r="J249" s="70" t="e">
        <f t="shared" si="1625"/>
        <v>#DIV/0!</v>
      </c>
      <c r="K249" s="70" t="e">
        <f t="shared" si="1625"/>
        <v>#DIV/0!</v>
      </c>
      <c r="L249" s="70" t="e">
        <f t="shared" si="1625"/>
        <v>#DIV/0!</v>
      </c>
      <c r="M249" s="70" t="e">
        <f t="shared" si="1625"/>
        <v>#DIV/0!</v>
      </c>
      <c r="N249" s="70" t="e">
        <f t="shared" si="1625"/>
        <v>#DIV/0!</v>
      </c>
      <c r="O249" s="70" t="e">
        <f t="shared" si="1625"/>
        <v>#DIV/0!</v>
      </c>
      <c r="P249" s="70">
        <f t="shared" si="1625"/>
        <v>2371.636988325698</v>
      </c>
      <c r="Q249" s="70">
        <f t="shared" si="1625"/>
        <v>209.03921693574449</v>
      </c>
      <c r="R249" s="70">
        <f t="shared" si="1625"/>
        <v>177.47566687878819</v>
      </c>
      <c r="S249" s="70">
        <f t="shared" si="1625"/>
        <v>515.53862613069407</v>
      </c>
      <c r="T249" s="70">
        <f t="shared" si="1625"/>
        <v>320.51371236542576</v>
      </c>
      <c r="U249" s="70">
        <f t="shared" si="1625"/>
        <v>318.61037091930945</v>
      </c>
      <c r="V249" s="70">
        <f t="shared" si="1625"/>
        <v>308.33973381904491</v>
      </c>
      <c r="W249" s="70">
        <f t="shared" si="1625"/>
        <v>293.34081129769265</v>
      </c>
      <c r="X249" s="70">
        <f t="shared" si="1625"/>
        <v>299.61493960604008</v>
      </c>
      <c r="Y249" s="70">
        <f t="shared" si="1625"/>
        <v>263.70925601660957</v>
      </c>
      <c r="Z249" s="70">
        <f t="shared" si="1625"/>
        <v>310.44278874696067</v>
      </c>
      <c r="AA249" s="70">
        <f t="shared" ref="AA249" si="1626">AA211/AA59*365</f>
        <v>464.84488200136076</v>
      </c>
      <c r="AB249" s="71">
        <f t="shared" si="1625"/>
        <v>554.74248015020248</v>
      </c>
      <c r="AC249" s="71">
        <f t="shared" si="1625"/>
        <v>485.99049071921013</v>
      </c>
      <c r="AD249" s="71">
        <f t="shared" si="1625"/>
        <v>461.67654760573475</v>
      </c>
      <c r="AE249" s="71">
        <f t="shared" si="1625"/>
        <v>461.35843900451641</v>
      </c>
      <c r="AI249" s="70" t="e">
        <f t="shared" ref="AI249:CD249" si="1627">AI211/AI59*90</f>
        <v>#DIV/0!</v>
      </c>
      <c r="AJ249" s="70" t="e">
        <f t="shared" si="1627"/>
        <v>#DIV/0!</v>
      </c>
      <c r="AK249" s="70" t="e">
        <f t="shared" si="1627"/>
        <v>#DIV/0!</v>
      </c>
      <c r="AL249" s="70" t="e">
        <f t="shared" si="1627"/>
        <v>#DIV/0!</v>
      </c>
      <c r="AM249" s="70" t="e">
        <f t="shared" si="1627"/>
        <v>#DIV/0!</v>
      </c>
      <c r="AN249" s="70" t="e">
        <f t="shared" si="1627"/>
        <v>#DIV/0!</v>
      </c>
      <c r="AO249" s="70" t="e">
        <f t="shared" si="1627"/>
        <v>#DIV/0!</v>
      </c>
      <c r="AP249" s="70" t="e">
        <f t="shared" si="1627"/>
        <v>#DIV/0!</v>
      </c>
      <c r="AQ249" s="70" t="e">
        <f t="shared" si="1627"/>
        <v>#DIV/0!</v>
      </c>
      <c r="AR249" s="70" t="e">
        <f t="shared" si="1627"/>
        <v>#DIV/0!</v>
      </c>
      <c r="AS249" s="70" t="e">
        <f t="shared" si="1627"/>
        <v>#DIV/0!</v>
      </c>
      <c r="AT249" s="70">
        <f t="shared" si="1627"/>
        <v>649.615757184372</v>
      </c>
      <c r="AU249" s="70">
        <f t="shared" si="1627"/>
        <v>422.66598610121497</v>
      </c>
      <c r="AV249" s="70">
        <f t="shared" si="1627"/>
        <v>157.25914504466186</v>
      </c>
      <c r="AW249" s="70">
        <f t="shared" si="1627"/>
        <v>166.01955250902506</v>
      </c>
      <c r="AX249" s="70">
        <f t="shared" si="1627"/>
        <v>177.12279821977057</v>
      </c>
      <c r="AY249" s="70">
        <f t="shared" si="1627"/>
        <v>178.556839573286</v>
      </c>
      <c r="AZ249" s="70">
        <f t="shared" si="1627"/>
        <v>195.13007177383915</v>
      </c>
      <c r="BA249" s="70">
        <f t="shared" si="1627"/>
        <v>185.32179199063705</v>
      </c>
      <c r="BB249" s="70">
        <f t="shared" si="1627"/>
        <v>120.45110349620185</v>
      </c>
      <c r="BC249" s="70">
        <f t="shared" si="1627"/>
        <v>156.07028711251212</v>
      </c>
      <c r="BD249" s="70">
        <f t="shared" si="1627"/>
        <v>122.47141246577549</v>
      </c>
      <c r="BE249" s="70">
        <f t="shared" si="1627"/>
        <v>68.584607610908861</v>
      </c>
      <c r="BF249" s="70">
        <f t="shared" si="1627"/>
        <v>550.70079265130744</v>
      </c>
      <c r="BG249" s="70">
        <f t="shared" si="1627"/>
        <v>708.66723937197276</v>
      </c>
      <c r="BH249" s="70">
        <f t="shared" si="1627"/>
        <v>399.7185096050539</v>
      </c>
      <c r="BI249" s="70">
        <f t="shared" si="1627"/>
        <v>233.47275929693046</v>
      </c>
      <c r="BJ249" s="70">
        <f t="shared" si="1627"/>
        <v>226.80879649271671</v>
      </c>
      <c r="BK249" s="70">
        <f t="shared" si="1627"/>
        <v>206.21523584119589</v>
      </c>
      <c r="BL249" s="70">
        <f t="shared" si="1627"/>
        <v>219.44987275391375</v>
      </c>
      <c r="BM249" s="70">
        <f t="shared" si="1627"/>
        <v>207.4899077473288</v>
      </c>
      <c r="BN249" s="70">
        <f t="shared" si="1627"/>
        <v>288.12730627306274</v>
      </c>
      <c r="BO249" s="70">
        <f t="shared" si="1627"/>
        <v>362.15602411183812</v>
      </c>
      <c r="BP249" s="70">
        <f t="shared" si="1627"/>
        <v>423.29957007499343</v>
      </c>
      <c r="BQ249" s="70">
        <f t="shared" si="1627"/>
        <v>362.83323626614185</v>
      </c>
      <c r="BR249" s="70">
        <f t="shared" si="1627"/>
        <v>312.85167295652843</v>
      </c>
      <c r="BS249" s="70">
        <f t="shared" si="1627"/>
        <v>302.95852135261487</v>
      </c>
      <c r="BT249" s="70">
        <f t="shared" si="1627"/>
        <v>371.63493924704107</v>
      </c>
      <c r="BU249" s="70">
        <f t="shared" si="1627"/>
        <v>330.09515452367788</v>
      </c>
      <c r="BV249" s="70">
        <f t="shared" si="1627"/>
        <v>328.31924241863965</v>
      </c>
      <c r="BW249" s="70">
        <f t="shared" si="1627"/>
        <v>313.85034602309474</v>
      </c>
      <c r="BX249" s="70">
        <f t="shared" si="1627"/>
        <v>360.20649058275001</v>
      </c>
      <c r="BY249" s="70">
        <f t="shared" si="1627"/>
        <v>334.19375845357598</v>
      </c>
      <c r="BZ249" s="70">
        <f t="shared" si="1627"/>
        <v>339.46596737013283</v>
      </c>
      <c r="CA249" s="70">
        <f t="shared" si="1627"/>
        <v>314.65272186150116</v>
      </c>
      <c r="CB249" s="70">
        <f t="shared" si="1627"/>
        <v>305.67888901893645</v>
      </c>
      <c r="CC249" s="70">
        <f t="shared" si="1627"/>
        <v>254.25845608796541</v>
      </c>
      <c r="CD249" s="70">
        <f t="shared" si="1627"/>
        <v>275.42828005991271</v>
      </c>
      <c r="CE249" s="115">
        <f>CE211/CE61*90</f>
        <v>250.58273591756441</v>
      </c>
      <c r="CF249" s="70">
        <f>CF211/CF59*90</f>
        <v>285.60682115885317</v>
      </c>
      <c r="CG249" s="70">
        <f>CG211/CG61*90</f>
        <v>298.7041598784262</v>
      </c>
      <c r="CH249" s="70">
        <f>CH211/CH59*90</f>
        <v>91.259518274145108</v>
      </c>
      <c r="CI249" s="70">
        <f>CI246+CI247+CI248</f>
        <v>91.259518274145108</v>
      </c>
      <c r="CJ249" s="70">
        <f>CJ211/CJ59*90</f>
        <v>411.5114549647277</v>
      </c>
      <c r="CK249" s="70">
        <f t="shared" ref="CK249:DB249" si="1628">CK246+CK247+CK248</f>
        <v>411.5114549647277</v>
      </c>
      <c r="CL249" s="70">
        <f t="shared" si="1628"/>
        <v>437.5114549647277</v>
      </c>
      <c r="CM249" s="50">
        <f t="shared" si="1628"/>
        <v>463.5114549647277</v>
      </c>
      <c r="CN249" s="50">
        <f t="shared" si="1628"/>
        <v>489.5114549647277</v>
      </c>
      <c r="CO249" s="50">
        <f t="shared" si="1628"/>
        <v>515.5114549647277</v>
      </c>
      <c r="CP249" s="50">
        <f t="shared" si="1628"/>
        <v>516.5114549647277</v>
      </c>
      <c r="CQ249" s="50">
        <f t="shared" si="1628"/>
        <v>499.5114549647277</v>
      </c>
      <c r="CR249" s="50">
        <f t="shared" si="1628"/>
        <v>482.5114549647277</v>
      </c>
      <c r="CS249" s="50">
        <f t="shared" si="1628"/>
        <v>465.5114549647277</v>
      </c>
      <c r="CT249" s="50">
        <f t="shared" si="1628"/>
        <v>448.5114549647277</v>
      </c>
      <c r="CU249" s="50">
        <f t="shared" si="1628"/>
        <v>431.5114549647277</v>
      </c>
      <c r="CV249" s="50">
        <f t="shared" si="1628"/>
        <v>431.5114549647277</v>
      </c>
      <c r="CW249" s="50">
        <f t="shared" si="1628"/>
        <v>431.5114549647277</v>
      </c>
      <c r="CX249" s="50">
        <f t="shared" si="1628"/>
        <v>431.5114549647277</v>
      </c>
      <c r="CY249" s="50">
        <f t="shared" si="1628"/>
        <v>431.5114549647277</v>
      </c>
      <c r="CZ249" s="50">
        <f t="shared" si="1628"/>
        <v>431.5114549647277</v>
      </c>
      <c r="DA249" s="50">
        <f t="shared" si="1628"/>
        <v>431.5114549647277</v>
      </c>
      <c r="DB249" s="50">
        <f t="shared" si="1628"/>
        <v>431.5114549647277</v>
      </c>
      <c r="DE249" s="138"/>
      <c r="DF249" s="7" t="e">
        <v>#DIV/0!</v>
      </c>
      <c r="DG249" s="7">
        <v>437.5114549647277</v>
      </c>
    </row>
    <row r="250" spans="1:111" s="62" customFormat="1" outlineLevel="1" x14ac:dyDescent="0.2">
      <c r="A250" s="68" t="s">
        <v>468</v>
      </c>
      <c r="B250" s="67" t="e">
        <f t="shared" ref="B250:AE250" si="1629">B218/B59*365</f>
        <v>#DIV/0!</v>
      </c>
      <c r="C250" s="67" t="e">
        <f t="shared" si="1629"/>
        <v>#DIV/0!</v>
      </c>
      <c r="D250" s="67" t="e">
        <f t="shared" si="1629"/>
        <v>#DIV/0!</v>
      </c>
      <c r="E250" s="67" t="e">
        <f t="shared" si="1629"/>
        <v>#DIV/0!</v>
      </c>
      <c r="F250" s="67" t="e">
        <f t="shared" si="1629"/>
        <v>#DIV/0!</v>
      </c>
      <c r="G250" s="67" t="e">
        <f t="shared" si="1629"/>
        <v>#DIV/0!</v>
      </c>
      <c r="H250" s="67" t="e">
        <f t="shared" si="1629"/>
        <v>#DIV/0!</v>
      </c>
      <c r="I250" s="67" t="e">
        <f t="shared" si="1629"/>
        <v>#DIV/0!</v>
      </c>
      <c r="J250" s="67" t="e">
        <f t="shared" si="1629"/>
        <v>#DIV/0!</v>
      </c>
      <c r="K250" s="67" t="e">
        <f t="shared" si="1629"/>
        <v>#DIV/0!</v>
      </c>
      <c r="L250" s="67" t="e">
        <f t="shared" si="1629"/>
        <v>#DIV/0!</v>
      </c>
      <c r="M250" s="67" t="e">
        <f t="shared" si="1629"/>
        <v>#DIV/0!</v>
      </c>
      <c r="N250" s="67" t="e">
        <f t="shared" si="1629"/>
        <v>#DIV/0!</v>
      </c>
      <c r="O250" s="67" t="e">
        <f t="shared" si="1629"/>
        <v>#DIV/0!</v>
      </c>
      <c r="P250" s="67">
        <f t="shared" si="1629"/>
        <v>131.98684793852519</v>
      </c>
      <c r="Q250" s="67">
        <f t="shared" si="1629"/>
        <v>1.3423698572150331</v>
      </c>
      <c r="R250" s="67">
        <f t="shared" si="1629"/>
        <v>3.4460185484628139</v>
      </c>
      <c r="S250" s="67">
        <f t="shared" si="1629"/>
        <v>3.6541825538474022</v>
      </c>
      <c r="T250" s="67">
        <f t="shared" si="1629"/>
        <v>61.799861747051857</v>
      </c>
      <c r="U250" s="67">
        <f t="shared" si="1629"/>
        <v>56.000647339338968</v>
      </c>
      <c r="V250" s="67">
        <f t="shared" si="1629"/>
        <v>45.633043632440192</v>
      </c>
      <c r="W250" s="67">
        <f t="shared" si="1629"/>
        <v>52.132898720144404</v>
      </c>
      <c r="X250" s="67">
        <f t="shared" si="1629"/>
        <v>49.437357440764572</v>
      </c>
      <c r="Y250" s="67">
        <f t="shared" si="1629"/>
        <v>33.317203938494742</v>
      </c>
      <c r="Z250" s="67">
        <f t="shared" si="1629"/>
        <v>45.390550546995861</v>
      </c>
      <c r="AA250" s="67">
        <f t="shared" ref="AA250" si="1630">AA218/AA59*365</f>
        <v>66.067865302451821</v>
      </c>
      <c r="AB250" s="18">
        <f t="shared" si="1629"/>
        <v>21.379529267497837</v>
      </c>
      <c r="AC250" s="18">
        <f t="shared" si="1629"/>
        <v>21.569541061384371</v>
      </c>
      <c r="AD250" s="18">
        <f t="shared" si="1629"/>
        <v>21.297673117219233</v>
      </c>
      <c r="AE250" s="18">
        <f t="shared" si="1629"/>
        <v>21.282998399519883</v>
      </c>
      <c r="AI250" s="67" t="e">
        <f>AJ218/AI59*90</f>
        <v>#DIV/0!</v>
      </c>
      <c r="AJ250" s="67" t="e">
        <f>AJ218/AJ59*90</f>
        <v>#DIV/0!</v>
      </c>
      <c r="AK250" s="67" t="e">
        <f t="shared" ref="AK250:CE250" si="1631">+AJ250</f>
        <v>#DIV/0!</v>
      </c>
      <c r="AL250" s="67" t="e">
        <f>AL218/AL59*90</f>
        <v>#DIV/0!</v>
      </c>
      <c r="AM250" s="67" t="e">
        <f t="shared" ref="AM250" si="1632">+AL250</f>
        <v>#DIV/0!</v>
      </c>
      <c r="AN250" s="67" t="e">
        <f>AN218/AN59*90</f>
        <v>#DIV/0!</v>
      </c>
      <c r="AO250" s="67" t="e">
        <f t="shared" ref="AO250" si="1633">+AN250</f>
        <v>#DIV/0!</v>
      </c>
      <c r="AP250" s="67" t="e">
        <f>AP218/AP59*90</f>
        <v>#DIV/0!</v>
      </c>
      <c r="AQ250" s="67" t="e">
        <f t="shared" ref="AQ250" si="1634">+AP250</f>
        <v>#DIV/0!</v>
      </c>
      <c r="AR250" s="67" t="e">
        <f>AR218/AR59*90</f>
        <v>#DIV/0!</v>
      </c>
      <c r="AS250" s="67" t="e">
        <f t="shared" ref="AS250" si="1635">+AR250</f>
        <v>#DIV/0!</v>
      </c>
      <c r="AT250" s="67">
        <f>AT218/AT59*90</f>
        <v>35.55537617048757</v>
      </c>
      <c r="AU250" s="67">
        <f t="shared" ref="AU250" si="1636">+AT250</f>
        <v>35.55537617048757</v>
      </c>
      <c r="AV250" s="67">
        <f>AV218/AV59*90</f>
        <v>6.6689706507868989</v>
      </c>
      <c r="AW250" s="67">
        <f t="shared" ref="AW250" si="1637">+AV250</f>
        <v>6.6689706507868989</v>
      </c>
      <c r="AX250" s="67">
        <f>AX218/AX59*90</f>
        <v>1.1395975678555756</v>
      </c>
      <c r="AY250" s="67">
        <f t="shared" ref="AY250" si="1638">+AX250</f>
        <v>1.1395975678555756</v>
      </c>
      <c r="AZ250" s="67">
        <f>AZ218/AZ59*90</f>
        <v>2.5139885747766222</v>
      </c>
      <c r="BA250" s="67">
        <f t="shared" ref="BA250" si="1639">+AZ250</f>
        <v>2.5139885747766222</v>
      </c>
      <c r="BB250" s="67">
        <f>BB218/BB59*90</f>
        <v>2.9276796626009443</v>
      </c>
      <c r="BC250" s="67">
        <f t="shared" ref="BC250" si="1640">+BB250</f>
        <v>2.9276796626009443</v>
      </c>
      <c r="BD250" s="67">
        <f>BD218/BD59*90</f>
        <v>3.786841681430182</v>
      </c>
      <c r="BE250" s="67">
        <f t="shared" ref="BE250" si="1641">+BD250</f>
        <v>3.786841681430182</v>
      </c>
      <c r="BF250" s="67">
        <f>BF218/BF59*90</f>
        <v>4.388102822431291</v>
      </c>
      <c r="BG250" s="67">
        <f t="shared" ref="BG250" si="1642">+BF250</f>
        <v>4.388102822431291</v>
      </c>
      <c r="BH250" s="67">
        <f>BH218/BH59*90</f>
        <v>92.213674846362096</v>
      </c>
      <c r="BI250" s="67">
        <f t="shared" ref="BI250" si="1643">+BH250</f>
        <v>92.213674846362096</v>
      </c>
      <c r="BJ250" s="67">
        <f>BJ218/BJ59*90</f>
        <v>43.732145382548438</v>
      </c>
      <c r="BK250" s="67">
        <f t="shared" ref="BK250" si="1644">+BJ250</f>
        <v>43.732145382548438</v>
      </c>
      <c r="BL250" s="67">
        <f>BL218/BL59*90</f>
        <v>36.944975707565355</v>
      </c>
      <c r="BM250" s="67">
        <f t="shared" ref="BM250" si="1645">+BL250</f>
        <v>36.944975707565355</v>
      </c>
      <c r="BN250" s="67">
        <f>BN218/BN59*90</f>
        <v>49.462779576775361</v>
      </c>
      <c r="BO250" s="67">
        <f t="shared" ref="BO250" si="1646">+BN250</f>
        <v>49.462779576775361</v>
      </c>
      <c r="BP250" s="67">
        <f>BP218/BP59*90</f>
        <v>59.701139509968975</v>
      </c>
      <c r="BQ250" s="67">
        <f t="shared" ref="BQ250" si="1647">+BP250</f>
        <v>59.701139509968975</v>
      </c>
      <c r="BR250" s="67">
        <f>BR218/BR59*90</f>
        <v>40.963284078030959</v>
      </c>
      <c r="BS250" s="67">
        <f t="shared" ref="BS250" si="1648">+BR250</f>
        <v>40.963284078030959</v>
      </c>
      <c r="BT250" s="67">
        <f>BT218/BT59*90</f>
        <v>38.685509002770083</v>
      </c>
      <c r="BU250" s="67">
        <f t="shared" ref="BU250" si="1649">+BT250</f>
        <v>38.685509002770083</v>
      </c>
      <c r="BV250" s="67">
        <f>BV218/BV59*90</f>
        <v>48.647070490431062</v>
      </c>
      <c r="BW250" s="67">
        <f t="shared" ref="BW250" si="1650">+BV250</f>
        <v>48.647070490431062</v>
      </c>
      <c r="BX250" s="67">
        <f>BX218/BX59*90</f>
        <v>38.557549177605274</v>
      </c>
      <c r="BY250" s="67">
        <f t="shared" ref="BY250" si="1651">+BX250</f>
        <v>38.557549177605274</v>
      </c>
      <c r="BZ250" s="67">
        <f>BZ218/BZ59*90</f>
        <v>48.259412805346585</v>
      </c>
      <c r="CA250" s="67">
        <f t="shared" ref="CA250" si="1652">+BZ250</f>
        <v>48.259412805346585</v>
      </c>
      <c r="CB250" s="67">
        <f>CB218/CB59*90</f>
        <v>40.663605407921352</v>
      </c>
      <c r="CC250" s="67">
        <f t="shared" ref="CC250" si="1653">+CB250</f>
        <v>40.663605407921352</v>
      </c>
      <c r="CD250" s="67">
        <f>CD218/CD59*90</f>
        <v>28.986009751744795</v>
      </c>
      <c r="CE250" s="114">
        <f t="shared" si="1631"/>
        <v>28.986009751744795</v>
      </c>
      <c r="CF250" s="67">
        <f>CF218/CF59*90</f>
        <v>23.63531542603943</v>
      </c>
      <c r="CG250" s="67">
        <f t="shared" ref="CG250:CI250" si="1654">+CF250</f>
        <v>23.63531542603943</v>
      </c>
      <c r="CH250" s="67">
        <f>CH218/CH59*90</f>
        <v>41.729149214536484</v>
      </c>
      <c r="CI250" s="67">
        <f t="shared" si="1654"/>
        <v>41.729149214536484</v>
      </c>
      <c r="CJ250" s="67">
        <f>CJ218/CJ59*90</f>
        <v>59.906122504673405</v>
      </c>
      <c r="CK250" s="67">
        <f t="shared" ref="CK250" si="1655">+CJ250</f>
        <v>59.906122504673405</v>
      </c>
      <c r="CL250" s="67">
        <f>+CK250-20</f>
        <v>39.906122504673405</v>
      </c>
      <c r="CM250" s="30">
        <f>+CL250-5</f>
        <v>34.906122504673405</v>
      </c>
      <c r="CN250" s="30">
        <f t="shared" ref="CN250:CP250" si="1656">+CM250-5</f>
        <v>29.906122504673405</v>
      </c>
      <c r="CO250" s="30">
        <f t="shared" si="1656"/>
        <v>24.906122504673405</v>
      </c>
      <c r="CP250" s="30">
        <f t="shared" si="1656"/>
        <v>19.906122504673405</v>
      </c>
      <c r="CQ250" s="30">
        <f t="shared" ref="CQ250" si="1657">+CP250</f>
        <v>19.906122504673405</v>
      </c>
      <c r="CR250" s="30">
        <f t="shared" ref="CR250" si="1658">+CQ250</f>
        <v>19.906122504673405</v>
      </c>
      <c r="CS250" s="30">
        <f t="shared" ref="CS250" si="1659">+CR250</f>
        <v>19.906122504673405</v>
      </c>
      <c r="CT250" s="30">
        <f t="shared" ref="CT250" si="1660">+CS250</f>
        <v>19.906122504673405</v>
      </c>
      <c r="CU250" s="30">
        <f t="shared" ref="CU250" si="1661">+CT250</f>
        <v>19.906122504673405</v>
      </c>
      <c r="CV250" s="30">
        <f t="shared" ref="CV250" si="1662">+CU250</f>
        <v>19.906122504673405</v>
      </c>
      <c r="CW250" s="30">
        <f t="shared" ref="CW250" si="1663">+CV250</f>
        <v>19.906122504673405</v>
      </c>
      <c r="CX250" s="30">
        <f t="shared" ref="CX250" si="1664">+CW250</f>
        <v>19.906122504673405</v>
      </c>
      <c r="CY250" s="30">
        <f t="shared" ref="CY250" si="1665">+CX250</f>
        <v>19.906122504673405</v>
      </c>
      <c r="CZ250" s="30">
        <f t="shared" ref="CZ250" si="1666">+CY250</f>
        <v>19.906122504673405</v>
      </c>
      <c r="DA250" s="30">
        <f t="shared" ref="DA250" si="1667">+CZ250</f>
        <v>19.906122504673405</v>
      </c>
      <c r="DB250" s="30">
        <f t="shared" ref="DB250" si="1668">+DA250</f>
        <v>19.906122504673405</v>
      </c>
      <c r="DE250" s="139"/>
      <c r="DF250" s="62" t="e">
        <v>#DIV/0!</v>
      </c>
      <c r="DG250" s="62">
        <v>39.906122504673405</v>
      </c>
    </row>
    <row r="251" spans="1:111" s="62" customFormat="1" outlineLevel="1" x14ac:dyDescent="0.2">
      <c r="A251" s="68" t="s">
        <v>466</v>
      </c>
      <c r="B251" s="67" t="e">
        <f>B252-B250</f>
        <v>#DIV/0!</v>
      </c>
      <c r="C251" s="67" t="e">
        <f t="shared" ref="C251:V251" si="1669">C252-C250</f>
        <v>#DIV/0!</v>
      </c>
      <c r="D251" s="67" t="e">
        <f t="shared" si="1669"/>
        <v>#DIV/0!</v>
      </c>
      <c r="E251" s="67" t="e">
        <f t="shared" si="1669"/>
        <v>#DIV/0!</v>
      </c>
      <c r="F251" s="67" t="e">
        <f t="shared" si="1669"/>
        <v>#DIV/0!</v>
      </c>
      <c r="G251" s="67" t="e">
        <f t="shared" si="1669"/>
        <v>#DIV/0!</v>
      </c>
      <c r="H251" s="67" t="e">
        <f t="shared" si="1669"/>
        <v>#DIV/0!</v>
      </c>
      <c r="I251" s="67" t="e">
        <f t="shared" si="1669"/>
        <v>#DIV/0!</v>
      </c>
      <c r="J251" s="67" t="e">
        <f t="shared" si="1669"/>
        <v>#DIV/0!</v>
      </c>
      <c r="K251" s="67" t="e">
        <f t="shared" si="1669"/>
        <v>#DIV/0!</v>
      </c>
      <c r="L251" s="67" t="e">
        <f t="shared" si="1669"/>
        <v>#DIV/0!</v>
      </c>
      <c r="M251" s="67" t="e">
        <f t="shared" si="1669"/>
        <v>#DIV/0!</v>
      </c>
      <c r="N251" s="67" t="e">
        <f t="shared" si="1669"/>
        <v>#DIV/0!</v>
      </c>
      <c r="O251" s="67" t="e">
        <f t="shared" si="1669"/>
        <v>#DIV/0!</v>
      </c>
      <c r="P251" s="67">
        <f t="shared" si="1669"/>
        <v>1777.2916358800055</v>
      </c>
      <c r="Q251" s="67">
        <f t="shared" si="1669"/>
        <v>79.88429729495995</v>
      </c>
      <c r="R251" s="67">
        <f t="shared" si="1669"/>
        <v>144.59950759986228</v>
      </c>
      <c r="S251" s="67">
        <f t="shared" si="1669"/>
        <v>124.74929521762057</v>
      </c>
      <c r="T251" s="67">
        <f t="shared" si="1669"/>
        <v>124.73587527120165</v>
      </c>
      <c r="U251" s="67">
        <f t="shared" si="1669"/>
        <v>101.72108609350414</v>
      </c>
      <c r="V251" s="67">
        <f t="shared" si="1669"/>
        <v>140.55231893358371</v>
      </c>
      <c r="W251" s="67">
        <f t="shared" ref="W251" si="1670">W252-W250</f>
        <v>117.39183230409537</v>
      </c>
      <c r="X251" s="67">
        <f t="shared" ref="X251:Y251" si="1671">X252-X250</f>
        <v>99.740485769654384</v>
      </c>
      <c r="Y251" s="67">
        <f t="shared" si="1671"/>
        <v>103.25603527592583</v>
      </c>
      <c r="Z251" s="67">
        <f>Z252-Z250</f>
        <v>92.656850291726926</v>
      </c>
      <c r="AA251" s="67">
        <f>AA252-AA250</f>
        <v>99.374939058714972</v>
      </c>
      <c r="AB251" s="18">
        <f t="shared" ref="AB251:AD251" si="1672">AB252-AB250</f>
        <v>52.16197147291431</v>
      </c>
      <c r="AC251" s="18">
        <f t="shared" si="1672"/>
        <v>52.625563989298399</v>
      </c>
      <c r="AD251" s="18">
        <f t="shared" si="1672"/>
        <v>51.962258087166092</v>
      </c>
      <c r="AE251" s="18">
        <f t="shared" ref="AE251" si="1673">AE252-AE250</f>
        <v>51.92645457641386</v>
      </c>
      <c r="AI251" s="67" t="e">
        <f t="shared" ref="AI251:AK251" si="1674">AI252-AI250</f>
        <v>#DIV/0!</v>
      </c>
      <c r="AJ251" s="67" t="e">
        <f t="shared" ref="AJ251:AM251" si="1675">AJ252-AJ250</f>
        <v>#DIV/0!</v>
      </c>
      <c r="AK251" s="67" t="e">
        <f t="shared" si="1674"/>
        <v>#DIV/0!</v>
      </c>
      <c r="AL251" s="67" t="e">
        <f t="shared" si="1675"/>
        <v>#DIV/0!</v>
      </c>
      <c r="AM251" s="67" t="e">
        <f t="shared" si="1675"/>
        <v>#DIV/0!</v>
      </c>
      <c r="AN251" s="67" t="e">
        <f t="shared" ref="AN251:AY251" si="1676">AN252-AN250</f>
        <v>#DIV/0!</v>
      </c>
      <c r="AO251" s="67" t="e">
        <f t="shared" si="1676"/>
        <v>#DIV/0!</v>
      </c>
      <c r="AP251" s="67" t="e">
        <f t="shared" si="1676"/>
        <v>#DIV/0!</v>
      </c>
      <c r="AQ251" s="67" t="e">
        <f t="shared" si="1676"/>
        <v>#DIV/0!</v>
      </c>
      <c r="AR251" s="67" t="e">
        <f t="shared" si="1676"/>
        <v>#DIV/0!</v>
      </c>
      <c r="AS251" s="67" t="e">
        <f t="shared" si="1676"/>
        <v>#DIV/0!</v>
      </c>
      <c r="AT251" s="67">
        <f t="shared" si="1676"/>
        <v>1062.4765902486276</v>
      </c>
      <c r="AU251" s="67">
        <f t="shared" si="1676"/>
        <v>281.1483498878564</v>
      </c>
      <c r="AV251" s="67">
        <f t="shared" si="1676"/>
        <v>183.66386643981281</v>
      </c>
      <c r="AW251" s="67">
        <f t="shared" si="1676"/>
        <v>196.82905982905982</v>
      </c>
      <c r="AX251" s="67">
        <f t="shared" si="1676"/>
        <v>158.89346831316993</v>
      </c>
      <c r="AY251" s="67">
        <f t="shared" si="1676"/>
        <v>160.42958181041439</v>
      </c>
      <c r="AZ251" s="67">
        <f t="shared" ref="AZ251:BC251" si="1677">AZ252-AZ250</f>
        <v>64.425076900541967</v>
      </c>
      <c r="BA251" s="67">
        <f t="shared" si="1677"/>
        <v>60.315131236115292</v>
      </c>
      <c r="BB251" s="67">
        <f t="shared" si="1677"/>
        <v>126.92219213534301</v>
      </c>
      <c r="BC251" s="67">
        <f t="shared" si="1677"/>
        <v>174.09249276886666</v>
      </c>
      <c r="BD251" s="67">
        <f t="shared" ref="BD251:CE251" si="1678">BD252-BD250</f>
        <v>191.59727814462875</v>
      </c>
      <c r="BE251" s="67">
        <f t="shared" si="1678"/>
        <v>80.155476198497453</v>
      </c>
      <c r="BF251" s="67">
        <f t="shared" si="1678"/>
        <v>173.68397659085858</v>
      </c>
      <c r="BG251" s="67">
        <f t="shared" si="1678"/>
        <v>226.63702271628804</v>
      </c>
      <c r="BH251" s="67">
        <f t="shared" si="1678"/>
        <v>509.96841290988004</v>
      </c>
      <c r="BI251" s="67">
        <f t="shared" si="1678"/>
        <v>259.56045278066387</v>
      </c>
      <c r="BJ251" s="67">
        <f t="shared" si="1678"/>
        <v>166.05430632159528</v>
      </c>
      <c r="BK251" s="67">
        <f t="shared" si="1678"/>
        <v>147.89690981358115</v>
      </c>
      <c r="BL251" s="67">
        <f t="shared" si="1678"/>
        <v>163.19484074959513</v>
      </c>
      <c r="BM251" s="67">
        <f t="shared" si="1678"/>
        <v>152.37676056338029</v>
      </c>
      <c r="BN251" s="67">
        <f t="shared" si="1678"/>
        <v>110.18600798252881</v>
      </c>
      <c r="BO251" s="67">
        <f t="shared" si="1678"/>
        <v>143.53442250389327</v>
      </c>
      <c r="BP251" s="67">
        <f t="shared" si="1678"/>
        <v>157.89058478148954</v>
      </c>
      <c r="BQ251" s="67">
        <f t="shared" si="1678"/>
        <v>131.08951798599935</v>
      </c>
      <c r="BR251" s="67">
        <f t="shared" si="1678"/>
        <v>126.169199115385</v>
      </c>
      <c r="BS251" s="67">
        <f t="shared" si="1678"/>
        <v>121.57482374145209</v>
      </c>
      <c r="BT251" s="67">
        <f t="shared" si="1678"/>
        <v>122.13162616469401</v>
      </c>
      <c r="BU251" s="67">
        <f t="shared" si="1678"/>
        <v>106.60102345708691</v>
      </c>
      <c r="BV251" s="67">
        <f t="shared" si="1678"/>
        <v>109.54251310202942</v>
      </c>
      <c r="BW251" s="67">
        <f t="shared" si="1678"/>
        <v>104.04594045748878</v>
      </c>
      <c r="BX251" s="67">
        <f t="shared" si="1678"/>
        <v>100.70180348641236</v>
      </c>
      <c r="BY251" s="67">
        <f t="shared" si="1678"/>
        <v>92.18962750232285</v>
      </c>
      <c r="BZ251" s="67">
        <f t="shared" si="1678"/>
        <v>97.363967763263702</v>
      </c>
      <c r="CA251" s="67">
        <f t="shared" si="1678"/>
        <v>89.225745173871644</v>
      </c>
      <c r="CB251" s="67">
        <f t="shared" si="1678"/>
        <v>91.510260297724216</v>
      </c>
      <c r="CC251" s="67">
        <f t="shared" si="1678"/>
        <v>73.683255419452834</v>
      </c>
      <c r="CD251" s="67">
        <f t="shared" si="1678"/>
        <v>89.832881863666785</v>
      </c>
      <c r="CE251" s="114">
        <f t="shared" si="1678"/>
        <v>78.614106032294956</v>
      </c>
      <c r="CF251" s="67">
        <f t="shared" ref="CF251:CG251" si="1679">CF252-CF250</f>
        <v>73.192732506428172</v>
      </c>
      <c r="CG251" s="67">
        <f t="shared" si="1679"/>
        <v>77.629796955881901</v>
      </c>
      <c r="CH251" s="67">
        <f t="shared" ref="CH251" si="1680">CH252-CH250</f>
        <v>45.746166806283703</v>
      </c>
      <c r="CI251" s="67">
        <f>CH251</f>
        <v>45.746166806283703</v>
      </c>
      <c r="CJ251" s="67">
        <f t="shared" ref="CJ251" si="1681">CJ252-CJ250</f>
        <v>88.567140147638739</v>
      </c>
      <c r="CK251" s="67">
        <f t="shared" ref="CK251:DB251" si="1682">CJ251</f>
        <v>88.567140147638739</v>
      </c>
      <c r="CL251" s="67">
        <f>CK251-20</f>
        <v>68.567140147638739</v>
      </c>
      <c r="CM251" s="30">
        <f>CL251-5</f>
        <v>63.567140147638739</v>
      </c>
      <c r="CN251" s="30">
        <f t="shared" ref="CN251:CP251" si="1683">CM251-5</f>
        <v>58.567140147638739</v>
      </c>
      <c r="CO251" s="30">
        <f t="shared" si="1683"/>
        <v>53.567140147638739</v>
      </c>
      <c r="CP251" s="30">
        <f t="shared" si="1683"/>
        <v>48.567140147638739</v>
      </c>
      <c r="CQ251" s="30">
        <f t="shared" si="1682"/>
        <v>48.567140147638739</v>
      </c>
      <c r="CR251" s="30">
        <f t="shared" si="1682"/>
        <v>48.567140147638739</v>
      </c>
      <c r="CS251" s="30">
        <f t="shared" si="1682"/>
        <v>48.567140147638739</v>
      </c>
      <c r="CT251" s="30">
        <f t="shared" si="1682"/>
        <v>48.567140147638739</v>
      </c>
      <c r="CU251" s="30">
        <f t="shared" si="1682"/>
        <v>48.567140147638739</v>
      </c>
      <c r="CV251" s="30">
        <f t="shared" si="1682"/>
        <v>48.567140147638739</v>
      </c>
      <c r="CW251" s="30">
        <f t="shared" si="1682"/>
        <v>48.567140147638739</v>
      </c>
      <c r="CX251" s="30">
        <f t="shared" si="1682"/>
        <v>48.567140147638739</v>
      </c>
      <c r="CY251" s="30">
        <f t="shared" si="1682"/>
        <v>48.567140147638739</v>
      </c>
      <c r="CZ251" s="30">
        <f t="shared" si="1682"/>
        <v>48.567140147638739</v>
      </c>
      <c r="DA251" s="30">
        <f t="shared" si="1682"/>
        <v>48.567140147638739</v>
      </c>
      <c r="DB251" s="30">
        <f t="shared" si="1682"/>
        <v>48.567140147638739</v>
      </c>
      <c r="DE251" s="139"/>
      <c r="DF251" s="62" t="e">
        <v>#DIV/0!</v>
      </c>
      <c r="DG251" s="62">
        <v>68.567140147638739</v>
      </c>
    </row>
    <row r="252" spans="1:111" s="7" customFormat="1" outlineLevel="1" x14ac:dyDescent="0.2">
      <c r="A252" s="69" t="s">
        <v>469</v>
      </c>
      <c r="B252" s="70" t="e">
        <f t="shared" ref="B252:AE252" si="1684">B222/B59*365</f>
        <v>#DIV/0!</v>
      </c>
      <c r="C252" s="70" t="e">
        <f t="shared" si="1684"/>
        <v>#DIV/0!</v>
      </c>
      <c r="D252" s="70" t="e">
        <f t="shared" si="1684"/>
        <v>#DIV/0!</v>
      </c>
      <c r="E252" s="70" t="e">
        <f t="shared" si="1684"/>
        <v>#DIV/0!</v>
      </c>
      <c r="F252" s="70" t="e">
        <f t="shared" si="1684"/>
        <v>#DIV/0!</v>
      </c>
      <c r="G252" s="70" t="e">
        <f t="shared" si="1684"/>
        <v>#DIV/0!</v>
      </c>
      <c r="H252" s="70" t="e">
        <f t="shared" si="1684"/>
        <v>#DIV/0!</v>
      </c>
      <c r="I252" s="70" t="e">
        <f t="shared" si="1684"/>
        <v>#DIV/0!</v>
      </c>
      <c r="J252" s="70" t="e">
        <f t="shared" si="1684"/>
        <v>#DIV/0!</v>
      </c>
      <c r="K252" s="70" t="e">
        <f t="shared" si="1684"/>
        <v>#DIV/0!</v>
      </c>
      <c r="L252" s="70" t="e">
        <f t="shared" si="1684"/>
        <v>#DIV/0!</v>
      </c>
      <c r="M252" s="70" t="e">
        <f t="shared" si="1684"/>
        <v>#DIV/0!</v>
      </c>
      <c r="N252" s="70" t="e">
        <f t="shared" si="1684"/>
        <v>#DIV/0!</v>
      </c>
      <c r="O252" s="70" t="e">
        <f t="shared" si="1684"/>
        <v>#DIV/0!</v>
      </c>
      <c r="P252" s="70">
        <f t="shared" si="1684"/>
        <v>1909.2784838185307</v>
      </c>
      <c r="Q252" s="70">
        <f t="shared" si="1684"/>
        <v>81.226667152174983</v>
      </c>
      <c r="R252" s="70">
        <f t="shared" si="1684"/>
        <v>148.04552614832508</v>
      </c>
      <c r="S252" s="70">
        <f t="shared" si="1684"/>
        <v>128.40347777146798</v>
      </c>
      <c r="T252" s="70">
        <f t="shared" si="1684"/>
        <v>186.53573701825351</v>
      </c>
      <c r="U252" s="70">
        <f t="shared" si="1684"/>
        <v>157.72173343284311</v>
      </c>
      <c r="V252" s="70">
        <f t="shared" si="1684"/>
        <v>186.18536256602388</v>
      </c>
      <c r="W252" s="70">
        <f t="shared" si="1684"/>
        <v>169.52473102423977</v>
      </c>
      <c r="X252" s="70">
        <f t="shared" si="1684"/>
        <v>149.17784321041896</v>
      </c>
      <c r="Y252" s="70">
        <f t="shared" si="1684"/>
        <v>136.57323921442057</v>
      </c>
      <c r="Z252" s="70">
        <f t="shared" si="1684"/>
        <v>138.04740083872278</v>
      </c>
      <c r="AA252" s="70">
        <f t="shared" ref="AA252" si="1685">AA222/AA59*365</f>
        <v>165.44280436116679</v>
      </c>
      <c r="AB252" s="71">
        <f t="shared" si="1684"/>
        <v>73.541500740412147</v>
      </c>
      <c r="AC252" s="71">
        <f t="shared" si="1684"/>
        <v>74.19510505068277</v>
      </c>
      <c r="AD252" s="71">
        <f t="shared" si="1684"/>
        <v>73.259931204385325</v>
      </c>
      <c r="AE252" s="71">
        <f t="shared" si="1684"/>
        <v>73.209452975933743</v>
      </c>
      <c r="AI252" s="70" t="e">
        <f t="shared" ref="AI252:CD252" si="1686">AI222/AI59*90</f>
        <v>#DIV/0!</v>
      </c>
      <c r="AJ252" s="70" t="e">
        <f t="shared" si="1686"/>
        <v>#DIV/0!</v>
      </c>
      <c r="AK252" s="70" t="e">
        <f t="shared" si="1686"/>
        <v>#DIV/0!</v>
      </c>
      <c r="AL252" s="70" t="e">
        <f t="shared" si="1686"/>
        <v>#DIV/0!</v>
      </c>
      <c r="AM252" s="70" t="e">
        <f t="shared" si="1686"/>
        <v>#DIV/0!</v>
      </c>
      <c r="AN252" s="70" t="e">
        <f t="shared" si="1686"/>
        <v>#DIV/0!</v>
      </c>
      <c r="AO252" s="70" t="e">
        <f t="shared" si="1686"/>
        <v>#DIV/0!</v>
      </c>
      <c r="AP252" s="70" t="e">
        <f t="shared" si="1686"/>
        <v>#DIV/0!</v>
      </c>
      <c r="AQ252" s="70" t="e">
        <f t="shared" si="1686"/>
        <v>#DIV/0!</v>
      </c>
      <c r="AR252" s="70" t="e">
        <f t="shared" si="1686"/>
        <v>#DIV/0!</v>
      </c>
      <c r="AS252" s="70" t="e">
        <f t="shared" si="1686"/>
        <v>#DIV/0!</v>
      </c>
      <c r="AT252" s="70">
        <f t="shared" si="1686"/>
        <v>1098.0319664191152</v>
      </c>
      <c r="AU252" s="70">
        <f t="shared" si="1686"/>
        <v>316.70372605834399</v>
      </c>
      <c r="AV252" s="70">
        <f t="shared" si="1686"/>
        <v>190.3328370905997</v>
      </c>
      <c r="AW252" s="70">
        <f t="shared" si="1686"/>
        <v>203.4980304798467</v>
      </c>
      <c r="AX252" s="70">
        <f t="shared" si="1686"/>
        <v>160.03306588102552</v>
      </c>
      <c r="AY252" s="70">
        <f t="shared" si="1686"/>
        <v>161.56917937826998</v>
      </c>
      <c r="AZ252" s="70">
        <f t="shared" si="1686"/>
        <v>66.939065475318586</v>
      </c>
      <c r="BA252" s="70">
        <f t="shared" si="1686"/>
        <v>62.82911981089191</v>
      </c>
      <c r="BB252" s="70">
        <f t="shared" si="1686"/>
        <v>129.84987179794396</v>
      </c>
      <c r="BC252" s="70">
        <f t="shared" si="1686"/>
        <v>177.02017243146761</v>
      </c>
      <c r="BD252" s="70">
        <f t="shared" si="1686"/>
        <v>195.38411982605894</v>
      </c>
      <c r="BE252" s="70">
        <f t="shared" si="1686"/>
        <v>83.942317879927629</v>
      </c>
      <c r="BF252" s="70">
        <f t="shared" si="1686"/>
        <v>178.07207941328986</v>
      </c>
      <c r="BG252" s="70">
        <f t="shared" si="1686"/>
        <v>231.02512553871932</v>
      </c>
      <c r="BH252" s="70">
        <f t="shared" si="1686"/>
        <v>602.18208775624214</v>
      </c>
      <c r="BI252" s="70">
        <f t="shared" si="1686"/>
        <v>351.77412762702596</v>
      </c>
      <c r="BJ252" s="70">
        <f t="shared" si="1686"/>
        <v>209.7864517041437</v>
      </c>
      <c r="BK252" s="70">
        <f t="shared" si="1686"/>
        <v>191.6290551961296</v>
      </c>
      <c r="BL252" s="70">
        <f t="shared" si="1686"/>
        <v>200.13981645716049</v>
      </c>
      <c r="BM252" s="70">
        <f t="shared" si="1686"/>
        <v>189.32173627094565</v>
      </c>
      <c r="BN252" s="70">
        <f t="shared" si="1686"/>
        <v>159.64878755930417</v>
      </c>
      <c r="BO252" s="70">
        <f t="shared" si="1686"/>
        <v>192.99720208066864</v>
      </c>
      <c r="BP252" s="70">
        <f t="shared" si="1686"/>
        <v>217.59172429145852</v>
      </c>
      <c r="BQ252" s="70">
        <f t="shared" si="1686"/>
        <v>190.79065749596833</v>
      </c>
      <c r="BR252" s="70">
        <f t="shared" si="1686"/>
        <v>167.13248319341596</v>
      </c>
      <c r="BS252" s="70">
        <f t="shared" si="1686"/>
        <v>162.53810781948306</v>
      </c>
      <c r="BT252" s="70">
        <f t="shared" si="1686"/>
        <v>160.8171351674641</v>
      </c>
      <c r="BU252" s="70">
        <f t="shared" si="1686"/>
        <v>145.286532459857</v>
      </c>
      <c r="BV252" s="70">
        <f t="shared" si="1686"/>
        <v>158.18958359246048</v>
      </c>
      <c r="BW252" s="70">
        <f t="shared" si="1686"/>
        <v>152.69301094791984</v>
      </c>
      <c r="BX252" s="70">
        <f t="shared" si="1686"/>
        <v>139.25935266401763</v>
      </c>
      <c r="BY252" s="70">
        <f t="shared" si="1686"/>
        <v>130.74717667992812</v>
      </c>
      <c r="BZ252" s="70">
        <f t="shared" si="1686"/>
        <v>145.62338056861029</v>
      </c>
      <c r="CA252" s="70">
        <f t="shared" si="1686"/>
        <v>137.48515797921823</v>
      </c>
      <c r="CB252" s="70">
        <f t="shared" si="1686"/>
        <v>132.17386570564557</v>
      </c>
      <c r="CC252" s="70">
        <f t="shared" si="1686"/>
        <v>114.34686082737419</v>
      </c>
      <c r="CD252" s="70">
        <f t="shared" si="1686"/>
        <v>118.81889161541159</v>
      </c>
      <c r="CE252" s="115">
        <f>CE222/CE61*90</f>
        <v>107.60011578403974</v>
      </c>
      <c r="CF252" s="70">
        <f>CF222/CF59*90</f>
        <v>96.828047932467598</v>
      </c>
      <c r="CG252" s="70">
        <f>CG222/CG61*90</f>
        <v>101.26511238192133</v>
      </c>
      <c r="CH252" s="70">
        <f>CH222/CH59*90</f>
        <v>87.475316020820188</v>
      </c>
      <c r="CI252" s="70">
        <f>CI250+CI251</f>
        <v>87.475316020820188</v>
      </c>
      <c r="CJ252" s="70">
        <f>CJ222/CJ59*90</f>
        <v>148.47326265231214</v>
      </c>
      <c r="CK252" s="70">
        <f t="shared" ref="CK252:DB252" si="1687">CK250+CK251</f>
        <v>148.47326265231214</v>
      </c>
      <c r="CL252" s="70">
        <f t="shared" si="1687"/>
        <v>108.47326265231214</v>
      </c>
      <c r="CM252" s="50">
        <f t="shared" si="1687"/>
        <v>98.473262652312144</v>
      </c>
      <c r="CN252" s="50">
        <f t="shared" si="1687"/>
        <v>88.473262652312144</v>
      </c>
      <c r="CO252" s="50">
        <f t="shared" si="1687"/>
        <v>78.473262652312144</v>
      </c>
      <c r="CP252" s="50">
        <f t="shared" si="1687"/>
        <v>68.473262652312144</v>
      </c>
      <c r="CQ252" s="50">
        <f t="shared" si="1687"/>
        <v>68.473262652312144</v>
      </c>
      <c r="CR252" s="50">
        <f t="shared" si="1687"/>
        <v>68.473262652312144</v>
      </c>
      <c r="CS252" s="50">
        <f t="shared" si="1687"/>
        <v>68.473262652312144</v>
      </c>
      <c r="CT252" s="50">
        <f t="shared" si="1687"/>
        <v>68.473262652312144</v>
      </c>
      <c r="CU252" s="50">
        <f t="shared" si="1687"/>
        <v>68.473262652312144</v>
      </c>
      <c r="CV252" s="50">
        <f t="shared" si="1687"/>
        <v>68.473262652312144</v>
      </c>
      <c r="CW252" s="50">
        <f t="shared" si="1687"/>
        <v>68.473262652312144</v>
      </c>
      <c r="CX252" s="50">
        <f t="shared" si="1687"/>
        <v>68.473262652312144</v>
      </c>
      <c r="CY252" s="50">
        <f t="shared" si="1687"/>
        <v>68.473262652312144</v>
      </c>
      <c r="CZ252" s="50">
        <f t="shared" si="1687"/>
        <v>68.473262652312144</v>
      </c>
      <c r="DA252" s="50">
        <f t="shared" si="1687"/>
        <v>68.473262652312144</v>
      </c>
      <c r="DB252" s="50">
        <f t="shared" si="1687"/>
        <v>68.473262652312144</v>
      </c>
      <c r="DE252" s="138"/>
      <c r="DF252" s="7" t="e">
        <v>#DIV/0!</v>
      </c>
      <c r="DG252" s="7">
        <v>108.47326265231214</v>
      </c>
    </row>
    <row r="253" spans="1:111" s="7" customFormat="1" x14ac:dyDescent="0.2">
      <c r="A253" s="69" t="s">
        <v>470</v>
      </c>
      <c r="B253" s="70" t="e">
        <f>B249-B252</f>
        <v>#DIV/0!</v>
      </c>
      <c r="C253" s="70" t="e">
        <f t="shared" ref="C253:V253" si="1688">C249-C252</f>
        <v>#DIV/0!</v>
      </c>
      <c r="D253" s="70" t="e">
        <f t="shared" si="1688"/>
        <v>#DIV/0!</v>
      </c>
      <c r="E253" s="70" t="e">
        <f t="shared" si="1688"/>
        <v>#DIV/0!</v>
      </c>
      <c r="F253" s="70" t="e">
        <f t="shared" si="1688"/>
        <v>#DIV/0!</v>
      </c>
      <c r="G253" s="70" t="e">
        <f t="shared" si="1688"/>
        <v>#DIV/0!</v>
      </c>
      <c r="H253" s="70" t="e">
        <f t="shared" si="1688"/>
        <v>#DIV/0!</v>
      </c>
      <c r="I253" s="70" t="e">
        <f t="shared" si="1688"/>
        <v>#DIV/0!</v>
      </c>
      <c r="J253" s="70" t="e">
        <f t="shared" si="1688"/>
        <v>#DIV/0!</v>
      </c>
      <c r="K253" s="70" t="e">
        <f t="shared" si="1688"/>
        <v>#DIV/0!</v>
      </c>
      <c r="L253" s="70" t="e">
        <f t="shared" si="1688"/>
        <v>#DIV/0!</v>
      </c>
      <c r="M253" s="70" t="e">
        <f t="shared" si="1688"/>
        <v>#DIV/0!</v>
      </c>
      <c r="N253" s="70" t="e">
        <f t="shared" si="1688"/>
        <v>#DIV/0!</v>
      </c>
      <c r="O253" s="70" t="e">
        <f t="shared" si="1688"/>
        <v>#DIV/0!</v>
      </c>
      <c r="P253" s="70">
        <f t="shared" si="1688"/>
        <v>462.35850450716725</v>
      </c>
      <c r="Q253" s="70">
        <f t="shared" si="1688"/>
        <v>127.81254978356951</v>
      </c>
      <c r="R253" s="70">
        <f t="shared" si="1688"/>
        <v>29.430140730463108</v>
      </c>
      <c r="S253" s="70">
        <f t="shared" si="1688"/>
        <v>387.13514835922609</v>
      </c>
      <c r="T253" s="70">
        <f t="shared" si="1688"/>
        <v>133.97797534717225</v>
      </c>
      <c r="U253" s="70">
        <f t="shared" si="1688"/>
        <v>160.88863748646634</v>
      </c>
      <c r="V253" s="70">
        <f t="shared" si="1688"/>
        <v>122.15437125302103</v>
      </c>
      <c r="W253" s="70">
        <f t="shared" ref="W253" si="1689">W249-W252</f>
        <v>123.81608027345288</v>
      </c>
      <c r="X253" s="70">
        <f t="shared" ref="X253:Y253" si="1690">X249-X252</f>
        <v>150.43709639562113</v>
      </c>
      <c r="Y253" s="70">
        <f t="shared" si="1690"/>
        <v>127.136016802189</v>
      </c>
      <c r="Z253" s="70">
        <f>Z249-Z252</f>
        <v>172.39538790823789</v>
      </c>
      <c r="AA253" s="70">
        <f>AA249-AA252</f>
        <v>299.40207764019397</v>
      </c>
      <c r="AB253" s="71">
        <f t="shared" ref="AB253:AD253" si="1691">AB249-AB252</f>
        <v>481.20097940979031</v>
      </c>
      <c r="AC253" s="71">
        <f t="shared" si="1691"/>
        <v>411.79538566852739</v>
      </c>
      <c r="AD253" s="71">
        <f t="shared" si="1691"/>
        <v>388.41661640134942</v>
      </c>
      <c r="AE253" s="71">
        <f t="shared" ref="AE253" si="1692">AE249-AE252</f>
        <v>388.14898602858267</v>
      </c>
      <c r="AI253" s="70" t="e">
        <f t="shared" ref="AI253:AK253" si="1693">AI249-AI252</f>
        <v>#DIV/0!</v>
      </c>
      <c r="AJ253" s="70" t="e">
        <f t="shared" ref="AJ253:AM253" si="1694">AJ249-AJ252</f>
        <v>#DIV/0!</v>
      </c>
      <c r="AK253" s="70" t="e">
        <f t="shared" si="1693"/>
        <v>#DIV/0!</v>
      </c>
      <c r="AL253" s="70" t="e">
        <f t="shared" si="1694"/>
        <v>#DIV/0!</v>
      </c>
      <c r="AM253" s="70" t="e">
        <f t="shared" si="1694"/>
        <v>#DIV/0!</v>
      </c>
      <c r="AN253" s="70" t="e">
        <f t="shared" ref="AN253:AY253" si="1695">AN249-AN252</f>
        <v>#DIV/0!</v>
      </c>
      <c r="AO253" s="70" t="e">
        <f t="shared" si="1695"/>
        <v>#DIV/0!</v>
      </c>
      <c r="AP253" s="70" t="e">
        <f t="shared" si="1695"/>
        <v>#DIV/0!</v>
      </c>
      <c r="AQ253" s="70" t="e">
        <f t="shared" si="1695"/>
        <v>#DIV/0!</v>
      </c>
      <c r="AR253" s="70" t="e">
        <f t="shared" si="1695"/>
        <v>#DIV/0!</v>
      </c>
      <c r="AS253" s="70" t="e">
        <f t="shared" si="1695"/>
        <v>#DIV/0!</v>
      </c>
      <c r="AT253" s="70">
        <f t="shared" si="1695"/>
        <v>-448.41620923474318</v>
      </c>
      <c r="AU253" s="70">
        <f t="shared" si="1695"/>
        <v>105.96226004287098</v>
      </c>
      <c r="AV253" s="70">
        <f t="shared" si="1695"/>
        <v>-33.073692045937833</v>
      </c>
      <c r="AW253" s="70">
        <f t="shared" si="1695"/>
        <v>-37.478477970821643</v>
      </c>
      <c r="AX253" s="70">
        <f t="shared" si="1695"/>
        <v>17.089732338745051</v>
      </c>
      <c r="AY253" s="70">
        <f t="shared" si="1695"/>
        <v>16.987660195016019</v>
      </c>
      <c r="AZ253" s="70">
        <f t="shared" ref="AZ253:BC253" si="1696">AZ249-AZ252</f>
        <v>128.19100629852056</v>
      </c>
      <c r="BA253" s="70">
        <f t="shared" si="1696"/>
        <v>122.49267217974514</v>
      </c>
      <c r="BB253" s="70">
        <f t="shared" si="1696"/>
        <v>-9.3987683017421091</v>
      </c>
      <c r="BC253" s="70">
        <f t="shared" si="1696"/>
        <v>-20.949885318955495</v>
      </c>
      <c r="BD253" s="70">
        <f t="shared" ref="BD253:CE253" si="1697">BD249-BD252</f>
        <v>-72.912707360283449</v>
      </c>
      <c r="BE253" s="70">
        <f t="shared" si="1697"/>
        <v>-15.357710269018767</v>
      </c>
      <c r="BF253" s="70">
        <f t="shared" si="1697"/>
        <v>372.62871323801755</v>
      </c>
      <c r="BG253" s="70">
        <f t="shared" si="1697"/>
        <v>477.64211383325346</v>
      </c>
      <c r="BH253" s="70">
        <f t="shared" si="1697"/>
        <v>-202.46357815118824</v>
      </c>
      <c r="BI253" s="70">
        <f t="shared" si="1697"/>
        <v>-118.3013683300955</v>
      </c>
      <c r="BJ253" s="70">
        <f t="shared" si="1697"/>
        <v>17.022344788573008</v>
      </c>
      <c r="BK253" s="70">
        <f t="shared" si="1697"/>
        <v>14.586180645066293</v>
      </c>
      <c r="BL253" s="70">
        <f t="shared" si="1697"/>
        <v>19.31005629675326</v>
      </c>
      <c r="BM253" s="70">
        <f t="shared" si="1697"/>
        <v>18.168171476383151</v>
      </c>
      <c r="BN253" s="70">
        <f t="shared" si="1697"/>
        <v>128.47851871375858</v>
      </c>
      <c r="BO253" s="70">
        <f t="shared" si="1697"/>
        <v>169.15882203116948</v>
      </c>
      <c r="BP253" s="70">
        <f t="shared" si="1697"/>
        <v>205.70784578353491</v>
      </c>
      <c r="BQ253" s="70">
        <f t="shared" si="1697"/>
        <v>172.04257877017352</v>
      </c>
      <c r="BR253" s="70">
        <f t="shared" si="1697"/>
        <v>145.71918976311247</v>
      </c>
      <c r="BS253" s="70">
        <f t="shared" si="1697"/>
        <v>140.42041353313181</v>
      </c>
      <c r="BT253" s="70">
        <f t="shared" si="1697"/>
        <v>210.81780407957697</v>
      </c>
      <c r="BU253" s="70">
        <f t="shared" si="1697"/>
        <v>184.80862206382088</v>
      </c>
      <c r="BV253" s="70">
        <f t="shared" si="1697"/>
        <v>170.12965882617917</v>
      </c>
      <c r="BW253" s="70">
        <f t="shared" si="1697"/>
        <v>161.1573350751749</v>
      </c>
      <c r="BX253" s="70">
        <f t="shared" si="1697"/>
        <v>220.94713791873238</v>
      </c>
      <c r="BY253" s="70">
        <f t="shared" si="1697"/>
        <v>203.44658177364786</v>
      </c>
      <c r="BZ253" s="70">
        <f t="shared" si="1697"/>
        <v>193.84258680152254</v>
      </c>
      <c r="CA253" s="70">
        <f t="shared" si="1697"/>
        <v>177.16756388228293</v>
      </c>
      <c r="CB253" s="70">
        <f t="shared" si="1697"/>
        <v>173.50502331329088</v>
      </c>
      <c r="CC253" s="70">
        <f t="shared" si="1697"/>
        <v>139.91159526059124</v>
      </c>
      <c r="CD253" s="70">
        <f t="shared" si="1697"/>
        <v>156.60938844450112</v>
      </c>
      <c r="CE253" s="115">
        <f t="shared" si="1697"/>
        <v>142.98262013352468</v>
      </c>
      <c r="CF253" s="70">
        <f t="shared" ref="CF253:CG253" si="1698">CF249-CF252</f>
        <v>188.77877322638557</v>
      </c>
      <c r="CG253" s="70">
        <f t="shared" si="1698"/>
        <v>197.43904749650488</v>
      </c>
      <c r="CH253" s="70">
        <f t="shared" ref="CH253:CI253" si="1699">CH249-CH252</f>
        <v>3.7842022533249207</v>
      </c>
      <c r="CI253" s="70">
        <f t="shared" si="1699"/>
        <v>3.7842022533249207</v>
      </c>
      <c r="CJ253" s="70">
        <f t="shared" ref="CJ253:DB253" si="1700">CJ249-CJ252</f>
        <v>263.03819231241556</v>
      </c>
      <c r="CK253" s="70">
        <f t="shared" si="1700"/>
        <v>263.03819231241556</v>
      </c>
      <c r="CL253" s="70">
        <f t="shared" si="1700"/>
        <v>329.03819231241556</v>
      </c>
      <c r="CM253" s="50">
        <f t="shared" si="1700"/>
        <v>365.03819231241556</v>
      </c>
      <c r="CN253" s="50">
        <f t="shared" si="1700"/>
        <v>401.03819231241556</v>
      </c>
      <c r="CO253" s="50">
        <f t="shared" si="1700"/>
        <v>437.03819231241556</v>
      </c>
      <c r="CP253" s="50">
        <f t="shared" si="1700"/>
        <v>448.03819231241556</v>
      </c>
      <c r="CQ253" s="50">
        <f t="shared" si="1700"/>
        <v>431.03819231241556</v>
      </c>
      <c r="CR253" s="50">
        <f t="shared" si="1700"/>
        <v>414.03819231241556</v>
      </c>
      <c r="CS253" s="50">
        <f t="shared" si="1700"/>
        <v>397.03819231241556</v>
      </c>
      <c r="CT253" s="50">
        <f t="shared" si="1700"/>
        <v>380.03819231241556</v>
      </c>
      <c r="CU253" s="50">
        <f t="shared" si="1700"/>
        <v>363.03819231241556</v>
      </c>
      <c r="CV253" s="50">
        <f t="shared" si="1700"/>
        <v>363.03819231241556</v>
      </c>
      <c r="CW253" s="50">
        <f t="shared" si="1700"/>
        <v>363.03819231241556</v>
      </c>
      <c r="CX253" s="50">
        <f t="shared" si="1700"/>
        <v>363.03819231241556</v>
      </c>
      <c r="CY253" s="50">
        <f t="shared" si="1700"/>
        <v>363.03819231241556</v>
      </c>
      <c r="CZ253" s="50">
        <f t="shared" si="1700"/>
        <v>363.03819231241556</v>
      </c>
      <c r="DA253" s="50">
        <f t="shared" si="1700"/>
        <v>363.03819231241556</v>
      </c>
      <c r="DB253" s="50">
        <f t="shared" si="1700"/>
        <v>363.03819231241556</v>
      </c>
      <c r="DE253" s="138"/>
      <c r="DF253" s="7" t="e">
        <v>#DIV/0!</v>
      </c>
      <c r="DG253" s="7">
        <v>329.03819231241556</v>
      </c>
    </row>
    <row r="254" spans="1:111" s="7" customFormat="1" x14ac:dyDescent="0.2">
      <c r="A254" s="69" t="s">
        <v>86</v>
      </c>
      <c r="AB254" s="77"/>
      <c r="AC254" s="77"/>
      <c r="AD254" s="77"/>
      <c r="AE254" s="77"/>
      <c r="CE254" s="115"/>
      <c r="CG254" s="115"/>
      <c r="CM254" s="50"/>
      <c r="CN254" s="50"/>
      <c r="CO254" s="50"/>
      <c r="CP254" s="50"/>
      <c r="CQ254" s="50"/>
      <c r="CR254" s="50"/>
      <c r="CS254" s="50"/>
      <c r="CT254" s="50"/>
      <c r="CU254" s="50"/>
      <c r="CV254" s="50"/>
      <c r="CW254" s="50"/>
      <c r="CX254" s="50"/>
      <c r="CY254" s="50"/>
      <c r="CZ254" s="50"/>
      <c r="DA254" s="50"/>
      <c r="DB254" s="50"/>
      <c r="DE254" s="138"/>
    </row>
    <row r="255" spans="1:111" s="86" customFormat="1" x14ac:dyDescent="0.2">
      <c r="A255" s="86" t="s">
        <v>440</v>
      </c>
      <c r="C255" s="86" t="e">
        <f t="shared" ref="C255:AE255" si="1701">C61/B61-1</f>
        <v>#DIV/0!</v>
      </c>
      <c r="D255" s="86" t="e">
        <f t="shared" si="1701"/>
        <v>#DIV/0!</v>
      </c>
      <c r="E255" s="86" t="e">
        <f t="shared" si="1701"/>
        <v>#DIV/0!</v>
      </c>
      <c r="F255" s="86" t="e">
        <f t="shared" si="1701"/>
        <v>#DIV/0!</v>
      </c>
      <c r="G255" s="86" t="e">
        <f t="shared" si="1701"/>
        <v>#DIV/0!</v>
      </c>
      <c r="H255" s="86" t="e">
        <f t="shared" si="1701"/>
        <v>#DIV/0!</v>
      </c>
      <c r="I255" s="86" t="e">
        <f t="shared" si="1701"/>
        <v>#DIV/0!</v>
      </c>
      <c r="J255" s="86" t="e">
        <f t="shared" si="1701"/>
        <v>#DIV/0!</v>
      </c>
      <c r="K255" s="86" t="e">
        <f t="shared" si="1701"/>
        <v>#DIV/0!</v>
      </c>
      <c r="L255" s="86" t="e">
        <f t="shared" si="1701"/>
        <v>#DIV/0!</v>
      </c>
      <c r="M255" s="86" t="e">
        <f t="shared" si="1701"/>
        <v>#DIV/0!</v>
      </c>
      <c r="N255" s="86" t="e">
        <f t="shared" si="1701"/>
        <v>#DIV/0!</v>
      </c>
      <c r="O255" s="86" t="e">
        <f t="shared" si="1701"/>
        <v>#DIV/0!</v>
      </c>
      <c r="P255" s="86" t="e">
        <f t="shared" si="1701"/>
        <v>#DIV/0!</v>
      </c>
      <c r="Q255" s="86">
        <f t="shared" si="1701"/>
        <v>15.233264371213242</v>
      </c>
      <c r="R255" s="86">
        <f t="shared" si="1701"/>
        <v>0.30891985015999013</v>
      </c>
      <c r="S255" s="86">
        <f t="shared" si="1701"/>
        <v>0.3716543045021925</v>
      </c>
      <c r="T255" s="86">
        <f t="shared" si="1701"/>
        <v>0.85206922078448866</v>
      </c>
      <c r="U255" s="86">
        <f t="shared" si="1701"/>
        <v>0.56266349095538248</v>
      </c>
      <c r="V255" s="86">
        <f t="shared" si="1701"/>
        <v>-0.13048661698183939</v>
      </c>
      <c r="W255" s="86">
        <f t="shared" si="1701"/>
        <v>0.13410696601865957</v>
      </c>
      <c r="X255" s="86">
        <f t="shared" si="1701"/>
        <v>0.18078582138872501</v>
      </c>
      <c r="Y255" s="86">
        <f t="shared" si="1701"/>
        <v>0.24935754307621028</v>
      </c>
      <c r="Z255" s="86">
        <f t="shared" si="1701"/>
        <v>0.43111788989941813</v>
      </c>
      <c r="AA255" s="86">
        <f t="shared" si="1701"/>
        <v>0.16076600038119926</v>
      </c>
      <c r="AB255" s="87">
        <f t="shared" si="1701"/>
        <v>0.20133096055209276</v>
      </c>
      <c r="AC255" s="87">
        <f t="shared" si="1701"/>
        <v>0.19823827142239425</v>
      </c>
      <c r="AD255" s="87">
        <f t="shared" si="1701"/>
        <v>0.16601969572167263</v>
      </c>
      <c r="AE255" s="87">
        <f t="shared" si="1701"/>
        <v>0.1307335123833453</v>
      </c>
      <c r="AN255" s="86" t="e">
        <f t="shared" ref="AN255:BS255" si="1702">+(AN61+AM61)/(AJ61+AI61)-1</f>
        <v>#DIV/0!</v>
      </c>
      <c r="AO255" s="86" t="e">
        <f t="shared" si="1702"/>
        <v>#DIV/0!</v>
      </c>
      <c r="AP255" s="86" t="e">
        <f t="shared" si="1702"/>
        <v>#DIV/0!</v>
      </c>
      <c r="AQ255" s="86" t="e">
        <f t="shared" si="1702"/>
        <v>#DIV/0!</v>
      </c>
      <c r="AR255" s="86" t="e">
        <f t="shared" si="1702"/>
        <v>#DIV/0!</v>
      </c>
      <c r="AS255" s="86" t="e">
        <f t="shared" si="1702"/>
        <v>#DIV/0!</v>
      </c>
      <c r="AT255" s="86" t="e">
        <f t="shared" si="1702"/>
        <v>#DIV/0!</v>
      </c>
      <c r="AU255" s="86" t="e">
        <f t="shared" si="1702"/>
        <v>#DIV/0!</v>
      </c>
      <c r="AV255" s="86" t="e">
        <f t="shared" si="1702"/>
        <v>#DIV/0!</v>
      </c>
      <c r="AW255" s="86">
        <f t="shared" si="1702"/>
        <v>94.261135371179051</v>
      </c>
      <c r="AX255" s="86">
        <f t="shared" si="1702"/>
        <v>7.6057784674499374</v>
      </c>
      <c r="AY255" s="86">
        <f t="shared" si="1702"/>
        <v>1.1453811462256982</v>
      </c>
      <c r="AZ255" s="86">
        <f t="shared" si="1702"/>
        <v>0.27346254806807524</v>
      </c>
      <c r="BA255" s="86">
        <f t="shared" si="1702"/>
        <v>0.29446064139941686</v>
      </c>
      <c r="BB255" s="86">
        <f t="shared" si="1702"/>
        <v>0.34278992289330446</v>
      </c>
      <c r="BC255" s="86">
        <f t="shared" si="1702"/>
        <v>0.13618291041074526</v>
      </c>
      <c r="BD255" s="86">
        <f t="shared" si="1702"/>
        <v>2.9550243019373035E-2</v>
      </c>
      <c r="BE255" s="86">
        <f t="shared" si="1702"/>
        <v>0.7890956994730578</v>
      </c>
      <c r="BF255" s="86">
        <f t="shared" si="1702"/>
        <v>0.65676795580110481</v>
      </c>
      <c r="BG255" s="86">
        <f t="shared" si="1702"/>
        <v>-8.6341902848033891E-3</v>
      </c>
      <c r="BH255" s="86">
        <f t="shared" si="1702"/>
        <v>0.47732645763763726</v>
      </c>
      <c r="BI255" s="86">
        <f t="shared" si="1702"/>
        <v>0.63179021875964936</v>
      </c>
      <c r="BJ255" s="86">
        <f t="shared" si="1702"/>
        <v>1.041209300171368</v>
      </c>
      <c r="BK255" s="86">
        <f t="shared" si="1702"/>
        <v>2.7770787899122062</v>
      </c>
      <c r="BL255" s="86">
        <f t="shared" si="1702"/>
        <v>1.7262170879903982</v>
      </c>
      <c r="BM255" s="86">
        <f t="shared" si="1702"/>
        <v>0.30298884036875307</v>
      </c>
      <c r="BN255" s="86">
        <f t="shared" si="1702"/>
        <v>0.12779728510894151</v>
      </c>
      <c r="BO255" s="86">
        <f t="shared" si="1702"/>
        <v>4.2532441095261886E-2</v>
      </c>
      <c r="BP255" s="86">
        <f t="shared" si="1702"/>
        <v>-0.15569716847534965</v>
      </c>
      <c r="BQ255" s="86">
        <f t="shared" si="1702"/>
        <v>-0.1150100913809925</v>
      </c>
      <c r="BR255" s="86">
        <f t="shared" si="1702"/>
        <v>-0.10744440420623413</v>
      </c>
      <c r="BS255" s="86">
        <f t="shared" si="1702"/>
        <v>-1.3705584657413672E-2</v>
      </c>
      <c r="BT255" s="86">
        <f t="shared" ref="BT255:CJ255" si="1703">+(BT61+BS61)/(BP61+BO61)-1</f>
        <v>0.16694331587980948</v>
      </c>
      <c r="BU255" s="86">
        <f t="shared" si="1703"/>
        <v>0.14725417139154362</v>
      </c>
      <c r="BV255" s="86">
        <f t="shared" si="1703"/>
        <v>0.10571733948452477</v>
      </c>
      <c r="BW255" s="86">
        <f t="shared" si="1703"/>
        <v>9.9050440404156781E-2</v>
      </c>
      <c r="BX255" s="86">
        <f t="shared" si="1703"/>
        <v>0.18846640067472342</v>
      </c>
      <c r="BY255" s="86">
        <f t="shared" si="1703"/>
        <v>0.24757112415965876</v>
      </c>
      <c r="BZ255" s="86">
        <f t="shared" si="1703"/>
        <v>0.17377765470752204</v>
      </c>
      <c r="CA255" s="86">
        <f t="shared" si="1703"/>
        <v>0.14983108467709561</v>
      </c>
      <c r="CB255" s="86">
        <f t="shared" si="1703"/>
        <v>0.14951686885903337</v>
      </c>
      <c r="CC255" s="86">
        <f t="shared" si="1703"/>
        <v>0.21069852627741703</v>
      </c>
      <c r="CD255" s="86">
        <f t="shared" si="1703"/>
        <v>0.34159748515057831</v>
      </c>
      <c r="CE255" s="86">
        <f t="shared" si="1703"/>
        <v>0.43634543271661497</v>
      </c>
      <c r="CF255" s="86">
        <f t="shared" si="1703"/>
        <v>0.57571499826923134</v>
      </c>
      <c r="CG255" s="86">
        <f t="shared" si="1703"/>
        <v>0.45860670665080261</v>
      </c>
      <c r="CH255" s="86">
        <f t="shared" si="1703"/>
        <v>0.31665512353310499</v>
      </c>
      <c r="CI255" s="86">
        <f t="shared" si="1703"/>
        <v>0.30821385368949161</v>
      </c>
      <c r="CJ255" s="86">
        <f t="shared" si="1703"/>
        <v>0.1602508162338645</v>
      </c>
      <c r="CM255" s="87"/>
      <c r="CN255" s="87"/>
      <c r="CO255" s="87"/>
      <c r="CP255" s="87"/>
      <c r="CQ255" s="87"/>
      <c r="CR255" s="87"/>
      <c r="CS255" s="87"/>
      <c r="CT255" s="87"/>
      <c r="CU255" s="87"/>
      <c r="CV255" s="87"/>
      <c r="CW255" s="87"/>
      <c r="CX255" s="87"/>
      <c r="CY255" s="87"/>
      <c r="CZ255" s="87"/>
      <c r="DA255" s="87"/>
      <c r="DB255" s="87"/>
      <c r="DE255" s="141"/>
      <c r="DF255" s="86" t="e">
        <v>#DIV/0!</v>
      </c>
    </row>
    <row r="256" spans="1:111" s="86" customFormat="1" x14ac:dyDescent="0.2">
      <c r="A256" s="86" t="s">
        <v>441</v>
      </c>
      <c r="C256" s="86" t="e">
        <f t="shared" ref="C256" si="1704">C253/B253-1</f>
        <v>#DIV/0!</v>
      </c>
      <c r="D256" s="86" t="e">
        <f t="shared" ref="D256" si="1705">D253/C253-1</f>
        <v>#DIV/0!</v>
      </c>
      <c r="E256" s="86" t="e">
        <f>E253/D253-1</f>
        <v>#DIV/0!</v>
      </c>
      <c r="F256" s="86" t="e">
        <f t="shared" ref="F256" si="1706">F253/E253-1</f>
        <v>#DIV/0!</v>
      </c>
      <c r="G256" s="86" t="e">
        <f t="shared" ref="G256" si="1707">G253/F253-1</f>
        <v>#DIV/0!</v>
      </c>
      <c r="H256" s="86" t="e">
        <f t="shared" ref="H256" si="1708">H253/G253-1</f>
        <v>#DIV/0!</v>
      </c>
      <c r="I256" s="86" t="e">
        <f t="shared" ref="I256" si="1709">I253/H253-1</f>
        <v>#DIV/0!</v>
      </c>
      <c r="J256" s="86" t="e">
        <f t="shared" ref="J256" si="1710">J253/I253-1</f>
        <v>#DIV/0!</v>
      </c>
      <c r="K256" s="86" t="e">
        <f>K253/J253-1</f>
        <v>#DIV/0!</v>
      </c>
      <c r="L256" s="86" t="e">
        <f t="shared" ref="L256" si="1711">L253/K253-1</f>
        <v>#DIV/0!</v>
      </c>
      <c r="M256" s="86" t="e">
        <f t="shared" ref="M256" si="1712">M253/L253-1</f>
        <v>#DIV/0!</v>
      </c>
      <c r="N256" s="86" t="e">
        <f t="shared" ref="N256" si="1713">N253/M253-1</f>
        <v>#DIV/0!</v>
      </c>
      <c r="O256" s="86" t="e">
        <f t="shared" ref="O256" si="1714">O253/N253-1</f>
        <v>#DIV/0!</v>
      </c>
      <c r="P256" s="86" t="e">
        <f t="shared" ref="P256" si="1715">P253/O253-1</f>
        <v>#DIV/0!</v>
      </c>
      <c r="Q256" s="86">
        <f t="shared" ref="Q256" si="1716">Q253/P253-1</f>
        <v>-0.72356396921949939</v>
      </c>
      <c r="R256" s="86">
        <f t="shared" ref="R256" si="1717">R253/Q253-1</f>
        <v>-0.76973981991362794</v>
      </c>
      <c r="S256" s="86">
        <f t="shared" ref="S256" si="1718">S253/R253-1</f>
        <v>12.154376389321948</v>
      </c>
      <c r="T256" s="86">
        <f t="shared" ref="T256" si="1719">T253/S253-1</f>
        <v>-0.65392453794235983</v>
      </c>
      <c r="U256" s="86">
        <f t="shared" ref="U256" si="1720">U253/T253-1</f>
        <v>0.20085885063990161</v>
      </c>
      <c r="V256" s="86">
        <f t="shared" ref="V256" si="1721">V253/U253-1</f>
        <v>-0.24075203096118936</v>
      </c>
      <c r="W256" s="86">
        <f t="shared" ref="W256:Y256" si="1722">W253/V253-1</f>
        <v>1.3603352899995036E-2</v>
      </c>
      <c r="X256" s="86">
        <f t="shared" si="1722"/>
        <v>0.21500451365747186</v>
      </c>
      <c r="Y256" s="86">
        <f t="shared" si="1722"/>
        <v>-0.15488918725308742</v>
      </c>
      <c r="Z256" s="86">
        <f>Z253/Y253-1</f>
        <v>0.35599173424213815</v>
      </c>
      <c r="AA256" s="86">
        <f>AA253/Z253-1</f>
        <v>0.7367174451300218</v>
      </c>
      <c r="AB256" s="87">
        <f t="shared" ref="AB256" si="1723">AB253/AA253-1</f>
        <v>0.60720654713716748</v>
      </c>
      <c r="AC256" s="87">
        <f t="shared" ref="AC256" si="1724">AC253/AB253-1</f>
        <v>-0.14423410739186626</v>
      </c>
      <c r="AD256" s="87">
        <f t="shared" ref="AD256" si="1725">AD253/AC253-1</f>
        <v>-5.6772781048101906E-2</v>
      </c>
      <c r="AE256" s="87">
        <f t="shared" ref="AE256" si="1726">AE253/AD253-1</f>
        <v>-6.8902915443302959E-4</v>
      </c>
      <c r="AN256" s="86" t="e">
        <f t="shared" ref="AN256:CI256" si="1727">+AN253/AJ253-1</f>
        <v>#DIV/0!</v>
      </c>
      <c r="AO256" s="86" t="e">
        <f t="shared" si="1727"/>
        <v>#DIV/0!</v>
      </c>
      <c r="AP256" s="86" t="e">
        <f t="shared" si="1727"/>
        <v>#DIV/0!</v>
      </c>
      <c r="AQ256" s="86" t="e">
        <f t="shared" si="1727"/>
        <v>#DIV/0!</v>
      </c>
      <c r="AR256" s="86" t="e">
        <f t="shared" si="1727"/>
        <v>#DIV/0!</v>
      </c>
      <c r="AS256" s="86" t="e">
        <f t="shared" si="1727"/>
        <v>#DIV/0!</v>
      </c>
      <c r="AT256" s="86" t="e">
        <f t="shared" si="1727"/>
        <v>#DIV/0!</v>
      </c>
      <c r="AU256" s="86" t="e">
        <f t="shared" si="1727"/>
        <v>#DIV/0!</v>
      </c>
      <c r="AV256" s="86" t="e">
        <f t="shared" si="1727"/>
        <v>#DIV/0!</v>
      </c>
      <c r="AW256" s="86" t="e">
        <f t="shared" si="1727"/>
        <v>#DIV/0!</v>
      </c>
      <c r="AX256" s="86">
        <f t="shared" si="1727"/>
        <v>-1.0381113170906779</v>
      </c>
      <c r="AY256" s="86">
        <f t="shared" si="1727"/>
        <v>-0.83968197556240276</v>
      </c>
      <c r="AZ256" s="86">
        <f t="shared" si="1727"/>
        <v>-4.875920659854641</v>
      </c>
      <c r="BA256" s="86">
        <f t="shared" si="1727"/>
        <v>-4.2683470303972895</v>
      </c>
      <c r="BB256" s="86">
        <f t="shared" si="1727"/>
        <v>-1.5499657990800508</v>
      </c>
      <c r="BC256" s="86">
        <f t="shared" si="1727"/>
        <v>-2.2332413692323527</v>
      </c>
      <c r="BD256" s="86">
        <f t="shared" si="1727"/>
        <v>-1.5687817692178061</v>
      </c>
      <c r="BE256" s="86">
        <f t="shared" si="1727"/>
        <v>-1.1253765633137869</v>
      </c>
      <c r="BF256" s="86">
        <f t="shared" si="1727"/>
        <v>-40.646547427810191</v>
      </c>
      <c r="BG256" s="86">
        <f t="shared" si="1727"/>
        <v>-23.799271049043977</v>
      </c>
      <c r="BH256" s="86">
        <f t="shared" si="1727"/>
        <v>1.7767941348104834</v>
      </c>
      <c r="BI256" s="86">
        <f t="shared" si="1727"/>
        <v>6.7030603037710517</v>
      </c>
      <c r="BJ256" s="86">
        <f t="shared" si="1727"/>
        <v>-0.95431821493127944</v>
      </c>
      <c r="BK256" s="86">
        <f t="shared" si="1727"/>
        <v>-0.96946211353097234</v>
      </c>
      <c r="BL256" s="86">
        <f t="shared" si="1727"/>
        <v>-1.0953754570233547</v>
      </c>
      <c r="BM256" s="86">
        <f t="shared" si="1727"/>
        <v>-1.1535753282725236</v>
      </c>
      <c r="BN256" s="86">
        <f t="shared" si="1727"/>
        <v>6.547639312299995</v>
      </c>
      <c r="BO256" s="86">
        <f t="shared" si="1727"/>
        <v>10.597197796147318</v>
      </c>
      <c r="BP256" s="86">
        <f t="shared" si="1727"/>
        <v>9.65288690111805</v>
      </c>
      <c r="BQ256" s="86">
        <f t="shared" si="1727"/>
        <v>8.4694493055513078</v>
      </c>
      <c r="BR256" s="86">
        <f t="shared" si="1727"/>
        <v>0.13419107895978266</v>
      </c>
      <c r="BS256" s="86">
        <f t="shared" si="1727"/>
        <v>-0.16989009590491411</v>
      </c>
      <c r="BT256" s="86">
        <f t="shared" si="1727"/>
        <v>2.4840852698536642E-2</v>
      </c>
      <c r="BU256" s="86">
        <f t="shared" si="1727"/>
        <v>7.420281296004716E-2</v>
      </c>
      <c r="BV256" s="86">
        <f t="shared" si="1727"/>
        <v>0.16751718907269142</v>
      </c>
      <c r="BW256" s="86">
        <f t="shared" si="1727"/>
        <v>0.14767739974751093</v>
      </c>
      <c r="BX256" s="86">
        <f t="shared" si="1727"/>
        <v>4.804781020929294E-2</v>
      </c>
      <c r="BY256" s="86">
        <f t="shared" si="1727"/>
        <v>0.10085005505528111</v>
      </c>
      <c r="BZ256" s="86">
        <f t="shared" si="1727"/>
        <v>0.13938150548794548</v>
      </c>
      <c r="CA256" s="86">
        <f t="shared" si="1727"/>
        <v>9.9345331068174891E-2</v>
      </c>
      <c r="CB256" s="86">
        <f t="shared" si="1727"/>
        <v>-0.21472156214529203</v>
      </c>
      <c r="CC256" s="86">
        <f t="shared" si="1727"/>
        <v>-0.31229321210097727</v>
      </c>
      <c r="CD256" s="86">
        <f t="shared" si="1727"/>
        <v>-0.19207955780710295</v>
      </c>
      <c r="CE256" s="86">
        <f t="shared" si="1727"/>
        <v>-0.19295260938098169</v>
      </c>
      <c r="CF256" s="86">
        <f t="shared" si="1727"/>
        <v>8.8030591976092198E-2</v>
      </c>
      <c r="CG256" s="86">
        <f t="shared" si="1727"/>
        <v>0.41117001152596644</v>
      </c>
      <c r="CH256" s="86">
        <f t="shared" si="1727"/>
        <v>-0.97583668328628992</v>
      </c>
      <c r="CI256" s="86">
        <f t="shared" si="1727"/>
        <v>-0.97353383054674036</v>
      </c>
      <c r="CJ256" s="86">
        <f>+CJ253/CF253-1</f>
        <v>0.39336742058905783</v>
      </c>
      <c r="CM256" s="87"/>
      <c r="CN256" s="87"/>
      <c r="CO256" s="87"/>
      <c r="CP256" s="87"/>
      <c r="CQ256" s="87"/>
      <c r="CR256" s="87"/>
      <c r="CS256" s="87"/>
      <c r="CT256" s="87"/>
      <c r="CU256" s="87"/>
      <c r="CV256" s="87"/>
      <c r="CW256" s="87"/>
      <c r="CX256" s="87"/>
      <c r="CY256" s="87"/>
      <c r="CZ256" s="87"/>
      <c r="DA256" s="87"/>
      <c r="DB256" s="87"/>
      <c r="DE256" s="141"/>
      <c r="DF256" s="86" t="e">
        <v>#DIV/0!</v>
      </c>
    </row>
    <row r="257" spans="1:111" s="103" customFormat="1" x14ac:dyDescent="0.2">
      <c r="A257" s="147" t="s">
        <v>87</v>
      </c>
      <c r="C257" s="103" t="e">
        <f>IF(C256&gt;C255,"RF",0)</f>
        <v>#DIV/0!</v>
      </c>
      <c r="D257" s="103" t="e">
        <f>IF(D256&gt;D255,"RF",0)</f>
        <v>#DIV/0!</v>
      </c>
      <c r="E257" s="103" t="e">
        <f t="shared" ref="E257:U257" si="1728">IF(E256&gt;E255,"RF",0)</f>
        <v>#DIV/0!</v>
      </c>
      <c r="F257" s="103" t="e">
        <f t="shared" si="1728"/>
        <v>#DIV/0!</v>
      </c>
      <c r="G257" s="103" t="e">
        <f t="shared" si="1728"/>
        <v>#DIV/0!</v>
      </c>
      <c r="H257" s="103" t="e">
        <f t="shared" si="1728"/>
        <v>#DIV/0!</v>
      </c>
      <c r="I257" s="103" t="e">
        <f t="shared" si="1728"/>
        <v>#DIV/0!</v>
      </c>
      <c r="J257" s="103" t="e">
        <f t="shared" si="1728"/>
        <v>#DIV/0!</v>
      </c>
      <c r="K257" s="103" t="e">
        <f t="shared" si="1728"/>
        <v>#DIV/0!</v>
      </c>
      <c r="L257" s="103" t="e">
        <f t="shared" si="1728"/>
        <v>#DIV/0!</v>
      </c>
      <c r="M257" s="103" t="e">
        <f t="shared" si="1728"/>
        <v>#DIV/0!</v>
      </c>
      <c r="N257" s="103" t="e">
        <f t="shared" si="1728"/>
        <v>#DIV/0!</v>
      </c>
      <c r="O257" s="103" t="e">
        <f t="shared" si="1728"/>
        <v>#DIV/0!</v>
      </c>
      <c r="P257" s="103" t="e">
        <f t="shared" si="1728"/>
        <v>#DIV/0!</v>
      </c>
      <c r="Q257" s="103">
        <f t="shared" si="1728"/>
        <v>0</v>
      </c>
      <c r="R257" s="103">
        <f t="shared" si="1728"/>
        <v>0</v>
      </c>
      <c r="S257" s="103" t="str">
        <f t="shared" si="1728"/>
        <v>RF</v>
      </c>
      <c r="T257" s="103">
        <f t="shared" si="1728"/>
        <v>0</v>
      </c>
      <c r="U257" s="103">
        <f t="shared" si="1728"/>
        <v>0</v>
      </c>
      <c r="V257" s="103">
        <f>IF(V256&gt;V255,"RF",0)</f>
        <v>0</v>
      </c>
      <c r="W257" s="103">
        <f t="shared" ref="W257" si="1729">IF(W256&gt;W255,"RF",0)</f>
        <v>0</v>
      </c>
      <c r="X257" s="103" t="str">
        <f t="shared" ref="X257:Y257" si="1730">IF(X256&gt;X255,"RF",0)</f>
        <v>RF</v>
      </c>
      <c r="Y257" s="103">
        <f t="shared" si="1730"/>
        <v>0</v>
      </c>
      <c r="Z257" s="103">
        <f>IF(Z256&gt;Z255,"RF",0)</f>
        <v>0</v>
      </c>
      <c r="AA257" s="103" t="str">
        <f>IF(AA256&gt;AA255,"RF",0)</f>
        <v>RF</v>
      </c>
      <c r="AB257" s="73" t="str">
        <f t="shared" ref="AB257:AD257" si="1731">IF(AB256&gt;AB255,"RF",0)</f>
        <v>RF</v>
      </c>
      <c r="AC257" s="73">
        <f t="shared" si="1731"/>
        <v>0</v>
      </c>
      <c r="AD257" s="73">
        <f t="shared" si="1731"/>
        <v>0</v>
      </c>
      <c r="AE257" s="73">
        <f t="shared" ref="AE257" si="1732">IF(AE256&gt;AE255,"RF",0)</f>
        <v>0</v>
      </c>
      <c r="CM257" s="73"/>
      <c r="CN257" s="73"/>
      <c r="CO257" s="73"/>
      <c r="CP257" s="73"/>
      <c r="CQ257" s="73"/>
      <c r="CR257" s="73"/>
      <c r="CS257" s="73"/>
      <c r="CT257" s="73"/>
      <c r="CU257" s="73"/>
      <c r="CV257" s="73"/>
      <c r="CW257" s="73"/>
      <c r="CX257" s="73"/>
      <c r="CY257" s="73"/>
      <c r="CZ257" s="73"/>
      <c r="DA257" s="73"/>
      <c r="DB257" s="73"/>
      <c r="DE257" s="142"/>
      <c r="DF257" s="103" t="e">
        <v>#DIV/0!</v>
      </c>
    </row>
    <row r="258" spans="1:111" x14ac:dyDescent="0.2">
      <c r="A258" s="153" t="s">
        <v>494</v>
      </c>
      <c r="AA258" s="2"/>
    </row>
    <row r="259" spans="1:111" x14ac:dyDescent="0.2">
      <c r="A259" s="152" t="s">
        <v>495</v>
      </c>
      <c r="AA259" s="2"/>
    </row>
    <row r="260" spans="1:111" s="23" customFormat="1" x14ac:dyDescent="0.2">
      <c r="A260" s="23" t="s">
        <v>22</v>
      </c>
      <c r="C260" s="23">
        <f t="shared" ref="C260:AE260" si="1733">C101</f>
        <v>0</v>
      </c>
      <c r="D260" s="23">
        <f t="shared" si="1733"/>
        <v>0</v>
      </c>
      <c r="E260" s="23">
        <f t="shared" si="1733"/>
        <v>0</v>
      </c>
      <c r="F260" s="23">
        <f t="shared" si="1733"/>
        <v>0</v>
      </c>
      <c r="G260" s="23">
        <f t="shared" si="1733"/>
        <v>0</v>
      </c>
      <c r="H260" s="23">
        <f t="shared" si="1733"/>
        <v>0</v>
      </c>
      <c r="I260" s="23">
        <f t="shared" si="1733"/>
        <v>0</v>
      </c>
      <c r="J260" s="23">
        <f t="shared" si="1733"/>
        <v>0</v>
      </c>
      <c r="K260" s="23">
        <f t="shared" si="1733"/>
        <v>0</v>
      </c>
      <c r="L260" s="23">
        <f t="shared" si="1733"/>
        <v>0</v>
      </c>
      <c r="M260" s="23">
        <f t="shared" si="1733"/>
        <v>0</v>
      </c>
      <c r="N260" s="23">
        <f t="shared" si="1733"/>
        <v>0</v>
      </c>
      <c r="O260" s="23">
        <f t="shared" si="1733"/>
        <v>-2.7028999999999998E-3</v>
      </c>
      <c r="P260" s="23">
        <f t="shared" si="1733"/>
        <v>-6.7499999999999973</v>
      </c>
      <c r="Q260" s="23">
        <f t="shared" si="1733"/>
        <v>367.94000000000045</v>
      </c>
      <c r="R260" s="23">
        <f t="shared" si="1733"/>
        <v>416.43000000000006</v>
      </c>
      <c r="S260" s="23">
        <f t="shared" si="1733"/>
        <v>1142.9400000000003</v>
      </c>
      <c r="T260" s="23">
        <f t="shared" si="1733"/>
        <v>559.19999999999959</v>
      </c>
      <c r="U260" s="23">
        <f t="shared" si="1733"/>
        <v>741.81999999999982</v>
      </c>
      <c r="V260" s="23">
        <f t="shared" si="1733"/>
        <v>1224.0400000000006</v>
      </c>
      <c r="W260" s="23">
        <f t="shared" si="1733"/>
        <v>1204.6100000000001</v>
      </c>
      <c r="X260" s="23">
        <f t="shared" si="1733"/>
        <v>1256.329999999999</v>
      </c>
      <c r="Y260" s="23">
        <f t="shared" si="1733"/>
        <v>1137.2800000000004</v>
      </c>
      <c r="Z260" s="23">
        <f t="shared" si="1733"/>
        <v>1059.9700000000012</v>
      </c>
      <c r="AA260" s="23">
        <f t="shared" ref="AA260" si="1734">AA101</f>
        <v>2282.5400000000004</v>
      </c>
      <c r="AB260" s="24">
        <f t="shared" si="1733"/>
        <v>3647.5427407100055</v>
      </c>
      <c r="AC260" s="24">
        <f t="shared" si="1733"/>
        <v>3953.7285887707071</v>
      </c>
      <c r="AD260" s="24">
        <f t="shared" si="1733"/>
        <v>5173.6720160092209</v>
      </c>
      <c r="AE260" s="24">
        <f t="shared" si="1733"/>
        <v>5713.6399766267969</v>
      </c>
      <c r="AI260" s="23">
        <f t="shared" ref="AI260:BN260" si="1735">AI101</f>
        <v>0</v>
      </c>
      <c r="AJ260" s="23">
        <f t="shared" si="1735"/>
        <v>0</v>
      </c>
      <c r="AK260" s="23">
        <f t="shared" si="1735"/>
        <v>0</v>
      </c>
      <c r="AL260" s="23">
        <f t="shared" si="1735"/>
        <v>0</v>
      </c>
      <c r="AM260" s="23">
        <f t="shared" si="1735"/>
        <v>0</v>
      </c>
      <c r="AN260" s="23">
        <f t="shared" si="1735"/>
        <v>0</v>
      </c>
      <c r="AO260" s="23">
        <f t="shared" si="1735"/>
        <v>0</v>
      </c>
      <c r="AP260" s="23">
        <f t="shared" si="1735"/>
        <v>0</v>
      </c>
      <c r="AQ260" s="23">
        <f t="shared" si="1735"/>
        <v>0</v>
      </c>
      <c r="AR260" s="23">
        <f t="shared" si="1735"/>
        <v>0</v>
      </c>
      <c r="AS260" s="23">
        <f t="shared" si="1735"/>
        <v>6.17</v>
      </c>
      <c r="AT260" s="23">
        <f t="shared" si="1735"/>
        <v>-12.919999999999998</v>
      </c>
      <c r="AU260" s="23">
        <f t="shared" si="1735"/>
        <v>30.889999999999993</v>
      </c>
      <c r="AV260" s="23">
        <f t="shared" si="1735"/>
        <v>162.19999999999999</v>
      </c>
      <c r="AW260" s="23">
        <f t="shared" si="1735"/>
        <v>74.779999999999944</v>
      </c>
      <c r="AX260" s="23">
        <f t="shared" si="1735"/>
        <v>100.07999999999998</v>
      </c>
      <c r="AY260" s="23">
        <f t="shared" si="1735"/>
        <v>122.71000000000005</v>
      </c>
      <c r="AZ260" s="23">
        <f t="shared" si="1735"/>
        <v>99.540000000000049</v>
      </c>
      <c r="BA260" s="23">
        <f t="shared" si="1735"/>
        <v>99.28</v>
      </c>
      <c r="BB260" s="23">
        <f t="shared" si="1735"/>
        <v>94.90000000000002</v>
      </c>
      <c r="BC260" s="23">
        <f t="shared" si="1735"/>
        <v>84.100000000000023</v>
      </c>
      <c r="BD260" s="23">
        <f t="shared" si="1735"/>
        <v>66.690000000000026</v>
      </c>
      <c r="BE260" s="23">
        <f t="shared" si="1735"/>
        <v>841.88</v>
      </c>
      <c r="BF260" s="23">
        <f t="shared" si="1735"/>
        <v>150.27000000000004</v>
      </c>
      <c r="BG260" s="23">
        <f t="shared" si="1735"/>
        <v>169.34000000000003</v>
      </c>
      <c r="BH260" s="23">
        <f t="shared" si="1735"/>
        <v>89.499999999999886</v>
      </c>
      <c r="BI260" s="23">
        <f t="shared" si="1735"/>
        <v>153.66000000000011</v>
      </c>
      <c r="BJ260" s="23">
        <f t="shared" si="1735"/>
        <v>146.70000000000005</v>
      </c>
      <c r="BK260" s="23">
        <f t="shared" si="1735"/>
        <v>213.41999999999973</v>
      </c>
      <c r="BL260" s="23">
        <f t="shared" si="1735"/>
        <v>230.4300000000004</v>
      </c>
      <c r="BM260" s="23">
        <f t="shared" si="1735"/>
        <v>203.66999999999985</v>
      </c>
      <c r="BN260" s="23">
        <f t="shared" si="1735"/>
        <v>94.300000000000082</v>
      </c>
      <c r="BO260" s="23">
        <f t="shared" ref="BO260:CT260" si="1736">BO101</f>
        <v>383.55000000000007</v>
      </c>
      <c r="BP260" s="23">
        <f t="shared" si="1736"/>
        <v>206.75999999999996</v>
      </c>
      <c r="BQ260" s="23">
        <f t="shared" si="1736"/>
        <v>395.31</v>
      </c>
      <c r="BR260" s="23">
        <f t="shared" si="1736"/>
        <v>238.42000000000007</v>
      </c>
      <c r="BS260" s="23">
        <f t="shared" si="1736"/>
        <v>435.42000000000013</v>
      </c>
      <c r="BT260" s="23">
        <f t="shared" si="1736"/>
        <v>272.57000000000005</v>
      </c>
      <c r="BU260" s="23">
        <f t="shared" si="1736"/>
        <v>267.02999999999969</v>
      </c>
      <c r="BV260" s="23">
        <f t="shared" si="1736"/>
        <v>229.58999999999992</v>
      </c>
      <c r="BW260" s="23">
        <f t="shared" si="1736"/>
        <v>185.98999999999981</v>
      </c>
      <c r="BX260" s="23">
        <f t="shared" si="1736"/>
        <v>206.17000000000027</v>
      </c>
      <c r="BY260" s="23">
        <f t="shared" si="1736"/>
        <v>474.7199999999998</v>
      </c>
      <c r="BZ260" s="23">
        <f t="shared" si="1736"/>
        <v>389.44999999999987</v>
      </c>
      <c r="CA260" s="23">
        <f t="shared" si="1736"/>
        <v>175.0599999999998</v>
      </c>
      <c r="CB260" s="23">
        <f t="shared" si="1736"/>
        <v>275.88000000000005</v>
      </c>
      <c r="CC260" s="23">
        <f t="shared" si="1736"/>
        <v>324.89999999999935</v>
      </c>
      <c r="CD260" s="23">
        <f t="shared" si="1736"/>
        <v>361.44000000000023</v>
      </c>
      <c r="CE260" s="23">
        <f t="shared" si="1736"/>
        <v>-823.91999999999962</v>
      </c>
      <c r="CF260" s="23">
        <f t="shared" si="1736"/>
        <v>674.96000000000026</v>
      </c>
      <c r="CG260" s="23">
        <f t="shared" si="1736"/>
        <v>561.77999999999986</v>
      </c>
      <c r="CH260" s="23">
        <f t="shared" si="1736"/>
        <v>647.15000000000043</v>
      </c>
      <c r="CI260" s="23">
        <f t="shared" si="1736"/>
        <v>512.47999999999968</v>
      </c>
      <c r="CJ260" s="23">
        <f t="shared" si="1736"/>
        <v>533.97</v>
      </c>
      <c r="CK260" s="23">
        <f t="shared" si="1736"/>
        <v>552.3100000000004</v>
      </c>
      <c r="CL260" s="23">
        <f t="shared" si="1736"/>
        <v>683.78000000000088</v>
      </c>
      <c r="CM260" s="24">
        <f t="shared" si="1736"/>
        <v>1018.9778816282618</v>
      </c>
      <c r="CN260" s="24">
        <f t="shared" si="1736"/>
        <v>900.40525314115996</v>
      </c>
      <c r="CO260" s="24">
        <f t="shared" si="1736"/>
        <v>876.55895856276686</v>
      </c>
      <c r="CP260" s="24">
        <f t="shared" si="1736"/>
        <v>851.60064737781306</v>
      </c>
      <c r="CQ260" s="24">
        <f t="shared" si="1736"/>
        <v>1004.1669937773487</v>
      </c>
      <c r="CR260" s="24">
        <f t="shared" si="1736"/>
        <v>940.09363632783152</v>
      </c>
      <c r="CS260" s="24">
        <f t="shared" si="1736"/>
        <v>965.26017346653646</v>
      </c>
      <c r="CT260" s="24">
        <f t="shared" si="1736"/>
        <v>1044.2077851989864</v>
      </c>
      <c r="CU260" s="24">
        <f t="shared" ref="CU260:DB260" si="1737">CU101</f>
        <v>1204.1303577195047</v>
      </c>
      <c r="CV260" s="24">
        <f t="shared" si="1737"/>
        <v>1170.1271049751672</v>
      </c>
      <c r="CW260" s="24">
        <f t="shared" si="1737"/>
        <v>1406.2254756165034</v>
      </c>
      <c r="CX260" s="24">
        <f t="shared" si="1737"/>
        <v>1393.1890776980465</v>
      </c>
      <c r="CY260" s="24">
        <f t="shared" si="1737"/>
        <v>1406.2722291298705</v>
      </c>
      <c r="CZ260" s="24">
        <f t="shared" si="1737"/>
        <v>1359.4820670728548</v>
      </c>
      <c r="DA260" s="24">
        <f t="shared" si="1737"/>
        <v>1425.6870453495515</v>
      </c>
      <c r="DB260" s="24">
        <f t="shared" si="1737"/>
        <v>1522.1986350745235</v>
      </c>
      <c r="DE260" s="123"/>
      <c r="DF260" s="23">
        <v>0</v>
      </c>
      <c r="DG260" s="23">
        <v>524.2587769190385</v>
      </c>
    </row>
    <row r="261" spans="1:111" s="23" customFormat="1" x14ac:dyDescent="0.2">
      <c r="A261" s="23" t="s">
        <v>88</v>
      </c>
      <c r="C261" s="23">
        <f t="shared" ref="C261:AE261" si="1738">C85</f>
        <v>0</v>
      </c>
      <c r="D261" s="23">
        <f t="shared" si="1738"/>
        <v>0</v>
      </c>
      <c r="E261" s="23">
        <f t="shared" si="1738"/>
        <v>0</v>
      </c>
      <c r="F261" s="23">
        <f t="shared" si="1738"/>
        <v>0</v>
      </c>
      <c r="G261" s="23">
        <f t="shared" si="1738"/>
        <v>0</v>
      </c>
      <c r="H261" s="23">
        <f t="shared" si="1738"/>
        <v>0</v>
      </c>
      <c r="I261" s="23">
        <f t="shared" si="1738"/>
        <v>0</v>
      </c>
      <c r="J261" s="23">
        <f t="shared" si="1738"/>
        <v>0</v>
      </c>
      <c r="K261" s="23">
        <f t="shared" si="1738"/>
        <v>0</v>
      </c>
      <c r="L261" s="23">
        <f t="shared" si="1738"/>
        <v>0</v>
      </c>
      <c r="M261" s="23">
        <f t="shared" si="1738"/>
        <v>0</v>
      </c>
      <c r="N261" s="23">
        <f t="shared" si="1738"/>
        <v>0</v>
      </c>
      <c r="O261" s="23">
        <f t="shared" si="1738"/>
        <v>0</v>
      </c>
      <c r="P261" s="23">
        <f t="shared" si="1738"/>
        <v>37.07</v>
      </c>
      <c r="Q261" s="23">
        <f t="shared" si="1738"/>
        <v>559.65</v>
      </c>
      <c r="R261" s="23">
        <f t="shared" si="1738"/>
        <v>569.25</v>
      </c>
      <c r="S261" s="23">
        <f t="shared" si="1738"/>
        <v>579.41</v>
      </c>
      <c r="T261" s="23">
        <f t="shared" si="1738"/>
        <v>882.15</v>
      </c>
      <c r="U261" s="23">
        <f t="shared" si="1738"/>
        <v>1174.02</v>
      </c>
      <c r="V261" s="23">
        <f t="shared" si="1738"/>
        <v>1328.88</v>
      </c>
      <c r="W261" s="23">
        <f t="shared" si="1738"/>
        <v>1427.15</v>
      </c>
      <c r="X261" s="23">
        <f t="shared" si="1738"/>
        <v>1607.74</v>
      </c>
      <c r="Y261" s="23">
        <f t="shared" si="1738"/>
        <v>1776.08</v>
      </c>
      <c r="Z261" s="23">
        <f t="shared" si="1738"/>
        <v>1905.95</v>
      </c>
      <c r="AA261" s="23">
        <f t="shared" ref="AA261" si="1739">AA85</f>
        <v>1978.23</v>
      </c>
      <c r="AB261" s="24">
        <f t="shared" si="1738"/>
        <v>2799.3155127095424</v>
      </c>
      <c r="AC261" s="24">
        <f t="shared" si="1738"/>
        <v>3819.712686373417</v>
      </c>
      <c r="AD261" s="24">
        <f t="shared" si="1738"/>
        <v>4680.9598217428174</v>
      </c>
      <c r="AE261" s="24">
        <f t="shared" si="1738"/>
        <v>5270.8472504327165</v>
      </c>
      <c r="AI261" s="23">
        <f t="shared" ref="AI261:BN261" si="1740">AI85</f>
        <v>0</v>
      </c>
      <c r="AJ261" s="23">
        <f t="shared" si="1740"/>
        <v>0</v>
      </c>
      <c r="AK261" s="23">
        <f t="shared" si="1740"/>
        <v>0</v>
      </c>
      <c r="AL261" s="23">
        <f t="shared" si="1740"/>
        <v>0</v>
      </c>
      <c r="AM261" s="23">
        <f t="shared" si="1740"/>
        <v>0</v>
      </c>
      <c r="AN261" s="23">
        <f t="shared" si="1740"/>
        <v>0</v>
      </c>
      <c r="AO261" s="23">
        <f t="shared" si="1740"/>
        <v>0</v>
      </c>
      <c r="AP261" s="23">
        <f t="shared" si="1740"/>
        <v>0</v>
      </c>
      <c r="AQ261" s="23">
        <f t="shared" si="1740"/>
        <v>0</v>
      </c>
      <c r="AR261" s="23">
        <f t="shared" si="1740"/>
        <v>0</v>
      </c>
      <c r="AS261" s="23">
        <f t="shared" si="1740"/>
        <v>0</v>
      </c>
      <c r="AT261" s="23">
        <f t="shared" si="1740"/>
        <v>37.07</v>
      </c>
      <c r="AU261" s="23">
        <f t="shared" si="1740"/>
        <v>138.57</v>
      </c>
      <c r="AV261" s="23">
        <f t="shared" si="1740"/>
        <v>140.61000000000001</v>
      </c>
      <c r="AW261" s="23">
        <f t="shared" si="1740"/>
        <v>140.61000000000001</v>
      </c>
      <c r="AX261" s="23">
        <f t="shared" si="1740"/>
        <v>139.86000000000001</v>
      </c>
      <c r="AY261" s="23">
        <f t="shared" si="1740"/>
        <v>139.76</v>
      </c>
      <c r="AZ261" s="23">
        <f t="shared" si="1740"/>
        <v>141.18</v>
      </c>
      <c r="BA261" s="23">
        <f t="shared" si="1740"/>
        <v>145.68</v>
      </c>
      <c r="BB261" s="23">
        <f t="shared" si="1740"/>
        <v>142.63</v>
      </c>
      <c r="BC261" s="23">
        <f t="shared" si="1740"/>
        <v>144.56</v>
      </c>
      <c r="BD261" s="23">
        <f t="shared" si="1740"/>
        <v>145.99</v>
      </c>
      <c r="BE261" s="23">
        <f t="shared" si="1740"/>
        <v>146.02000000000001</v>
      </c>
      <c r="BF261" s="23">
        <f t="shared" si="1740"/>
        <v>142.84</v>
      </c>
      <c r="BG261" s="23">
        <f t="shared" si="1740"/>
        <v>146.06</v>
      </c>
      <c r="BH261" s="23">
        <f t="shared" si="1740"/>
        <v>192.14</v>
      </c>
      <c r="BI261" s="23">
        <f t="shared" si="1740"/>
        <v>267.64</v>
      </c>
      <c r="BJ261" s="23">
        <f t="shared" si="1740"/>
        <v>276.31</v>
      </c>
      <c r="BK261" s="23">
        <f t="shared" si="1740"/>
        <v>285.25</v>
      </c>
      <c r="BL261" s="23">
        <f t="shared" si="1740"/>
        <v>291.33</v>
      </c>
      <c r="BM261" s="23">
        <f t="shared" si="1740"/>
        <v>293.54000000000002</v>
      </c>
      <c r="BN261" s="23">
        <f t="shared" si="1740"/>
        <v>303.89999999999998</v>
      </c>
      <c r="BO261" s="23">
        <f t="shared" ref="BO261:CT261" si="1741">BO85</f>
        <v>377.83</v>
      </c>
      <c r="BP261" s="23">
        <f t="shared" si="1741"/>
        <v>313.89</v>
      </c>
      <c r="BQ261" s="23">
        <f t="shared" si="1741"/>
        <v>325.29000000000002</v>
      </c>
      <c r="BR261" s="23">
        <f t="shared" si="1741"/>
        <v>311.87</v>
      </c>
      <c r="BS261" s="23">
        <f t="shared" si="1741"/>
        <v>342.12</v>
      </c>
      <c r="BT261" s="23">
        <f t="shared" si="1741"/>
        <v>352.76</v>
      </c>
      <c r="BU261" s="23">
        <f t="shared" si="1741"/>
        <v>362.74</v>
      </c>
      <c r="BV261" s="23">
        <f t="shared" si="1741"/>
        <v>369.53</v>
      </c>
      <c r="BW261" s="23">
        <f t="shared" si="1741"/>
        <v>383.98</v>
      </c>
      <c r="BX261" s="23">
        <f t="shared" si="1741"/>
        <v>397.84</v>
      </c>
      <c r="BY261" s="23">
        <f t="shared" si="1741"/>
        <v>410.37</v>
      </c>
      <c r="BZ261" s="23">
        <f t="shared" si="1741"/>
        <v>415.55</v>
      </c>
      <c r="CA261" s="23">
        <f t="shared" si="1741"/>
        <v>418.88</v>
      </c>
      <c r="CB261" s="23">
        <f t="shared" si="1741"/>
        <v>432.05</v>
      </c>
      <c r="CC261" s="23">
        <f t="shared" si="1741"/>
        <v>457.64</v>
      </c>
      <c r="CD261" s="23">
        <f t="shared" si="1741"/>
        <v>467.51</v>
      </c>
      <c r="CE261" s="23">
        <f t="shared" si="1741"/>
        <v>497.85</v>
      </c>
      <c r="CF261" s="23">
        <f t="shared" si="1741"/>
        <v>484.07</v>
      </c>
      <c r="CG261" s="23">
        <f t="shared" si="1741"/>
        <v>462.38</v>
      </c>
      <c r="CH261" s="23">
        <f t="shared" si="1741"/>
        <v>461.65</v>
      </c>
      <c r="CI261" s="23">
        <f t="shared" si="1741"/>
        <v>464.82</v>
      </c>
      <c r="CJ261" s="23">
        <f t="shared" si="1741"/>
        <v>509.41</v>
      </c>
      <c r="CK261" s="23">
        <f t="shared" si="1741"/>
        <v>496.19</v>
      </c>
      <c r="CL261" s="23">
        <f t="shared" si="1741"/>
        <v>507.81</v>
      </c>
      <c r="CM261" s="24">
        <f t="shared" si="1741"/>
        <v>603.06105068576596</v>
      </c>
      <c r="CN261" s="24">
        <f t="shared" si="1741"/>
        <v>668.14774391142544</v>
      </c>
      <c r="CO261" s="24">
        <f t="shared" si="1741"/>
        <v>732.36935025752643</v>
      </c>
      <c r="CP261" s="24">
        <f t="shared" si="1741"/>
        <v>795.73736785482492</v>
      </c>
      <c r="CQ261" s="24">
        <f t="shared" si="1741"/>
        <v>858.26314200895126</v>
      </c>
      <c r="CR261" s="24">
        <f t="shared" si="1741"/>
        <v>923.28069266910438</v>
      </c>
      <c r="CS261" s="24">
        <f t="shared" si="1741"/>
        <v>987.43407544440072</v>
      </c>
      <c r="CT261" s="24">
        <f t="shared" si="1741"/>
        <v>1050.7347762509607</v>
      </c>
      <c r="CU261" s="24">
        <f t="shared" ref="CU261:DB261" si="1742">CU85</f>
        <v>1113.194128342127</v>
      </c>
      <c r="CV261" s="24">
        <f t="shared" si="1742"/>
        <v>1151.5635362754117</v>
      </c>
      <c r="CW261" s="24">
        <f t="shared" si="1742"/>
        <v>1189.4229648298942</v>
      </c>
      <c r="CX261" s="24">
        <f t="shared" si="1742"/>
        <v>1226.7791922953843</v>
      </c>
      <c r="CY261" s="24">
        <f t="shared" si="1742"/>
        <v>1263.6389068693966</v>
      </c>
      <c r="CZ261" s="24">
        <f t="shared" si="1742"/>
        <v>1300.0087078545944</v>
      </c>
      <c r="DA261" s="24">
        <f t="shared" si="1742"/>
        <v>1335.8951068403176</v>
      </c>
      <c r="DB261" s="24">
        <f t="shared" si="1742"/>
        <v>1371.3045288684084</v>
      </c>
      <c r="DE261" s="123"/>
      <c r="DF261" s="23">
        <v>0</v>
      </c>
      <c r="DG261" s="23">
        <v>955.15474999999992</v>
      </c>
    </row>
    <row r="262" spans="1:111" s="22" customFormat="1" x14ac:dyDescent="0.2">
      <c r="A262" s="22" t="s">
        <v>89</v>
      </c>
      <c r="C262" s="22">
        <f t="shared" ref="C262:W262" si="1743">C260+C261</f>
        <v>0</v>
      </c>
      <c r="D262" s="22">
        <f t="shared" si="1743"/>
        <v>0</v>
      </c>
      <c r="E262" s="22">
        <f t="shared" si="1743"/>
        <v>0</v>
      </c>
      <c r="F262" s="22">
        <f t="shared" si="1743"/>
        <v>0</v>
      </c>
      <c r="G262" s="22">
        <f t="shared" si="1743"/>
        <v>0</v>
      </c>
      <c r="H262" s="22">
        <f t="shared" si="1743"/>
        <v>0</v>
      </c>
      <c r="I262" s="22">
        <f t="shared" si="1743"/>
        <v>0</v>
      </c>
      <c r="J262" s="22">
        <f t="shared" si="1743"/>
        <v>0</v>
      </c>
      <c r="K262" s="22">
        <f t="shared" si="1743"/>
        <v>0</v>
      </c>
      <c r="L262" s="22">
        <f t="shared" si="1743"/>
        <v>0</v>
      </c>
      <c r="M262" s="22">
        <f t="shared" si="1743"/>
        <v>0</v>
      </c>
      <c r="N262" s="22">
        <f t="shared" si="1743"/>
        <v>0</v>
      </c>
      <c r="O262" s="22">
        <f t="shared" si="1743"/>
        <v>-2.7028999999999998E-3</v>
      </c>
      <c r="P262" s="22">
        <f t="shared" si="1743"/>
        <v>30.320000000000004</v>
      </c>
      <c r="Q262" s="22">
        <f t="shared" si="1743"/>
        <v>927.59000000000037</v>
      </c>
      <c r="R262" s="22">
        <f t="shared" si="1743"/>
        <v>985.68000000000006</v>
      </c>
      <c r="S262" s="22">
        <f t="shared" si="1743"/>
        <v>1722.3500000000004</v>
      </c>
      <c r="T262" s="22">
        <f t="shared" si="1743"/>
        <v>1441.3499999999995</v>
      </c>
      <c r="U262" s="22">
        <f t="shared" si="1743"/>
        <v>1915.8399999999997</v>
      </c>
      <c r="V262" s="22">
        <f t="shared" si="1743"/>
        <v>2552.920000000001</v>
      </c>
      <c r="W262" s="22">
        <f t="shared" si="1743"/>
        <v>2631.76</v>
      </c>
      <c r="X262" s="22">
        <f t="shared" ref="X262:Y262" si="1744">X260+X261</f>
        <v>2864.0699999999988</v>
      </c>
      <c r="Y262" s="22">
        <f t="shared" si="1744"/>
        <v>2913.3600000000006</v>
      </c>
      <c r="Z262" s="22">
        <f>Z260+Z261</f>
        <v>2965.920000000001</v>
      </c>
      <c r="AA262" s="22">
        <f>AA260+AA261</f>
        <v>4260.7700000000004</v>
      </c>
      <c r="AB262" s="21">
        <f t="shared" ref="AB262:AD262" si="1745">AB260+AB261</f>
        <v>6446.8582534195484</v>
      </c>
      <c r="AC262" s="21">
        <f t="shared" si="1745"/>
        <v>7773.4412751441241</v>
      </c>
      <c r="AD262" s="21">
        <f t="shared" si="1745"/>
        <v>9854.6318377520383</v>
      </c>
      <c r="AE262" s="21">
        <f t="shared" ref="AE262" si="1746">AE260+AE261</f>
        <v>10984.487227059513</v>
      </c>
      <c r="AI262" s="22">
        <f t="shared" ref="AI262" si="1747">AI260+AI261</f>
        <v>0</v>
      </c>
      <c r="AJ262" s="22">
        <f t="shared" ref="AJ262:AL262" si="1748">AJ260+AJ261</f>
        <v>0</v>
      </c>
      <c r="AK262" s="22">
        <f t="shared" si="1748"/>
        <v>0</v>
      </c>
      <c r="AL262" s="22">
        <f t="shared" si="1748"/>
        <v>0</v>
      </c>
      <c r="AM262" s="22">
        <f t="shared" ref="AM262" si="1749">AM260+AM261</f>
        <v>0</v>
      </c>
      <c r="AN262" s="22">
        <f t="shared" ref="AN262:CD262" si="1750">AN260+AN261</f>
        <v>0</v>
      </c>
      <c r="AO262" s="22">
        <f t="shared" si="1750"/>
        <v>0</v>
      </c>
      <c r="AP262" s="22">
        <f t="shared" si="1750"/>
        <v>0</v>
      </c>
      <c r="AQ262" s="22">
        <f t="shared" si="1750"/>
        <v>0</v>
      </c>
      <c r="AR262" s="22">
        <f t="shared" si="1750"/>
        <v>0</v>
      </c>
      <c r="AS262" s="22">
        <f t="shared" si="1750"/>
        <v>6.17</v>
      </c>
      <c r="AT262" s="22">
        <f t="shared" si="1750"/>
        <v>24.150000000000002</v>
      </c>
      <c r="AU262" s="22">
        <f t="shared" si="1750"/>
        <v>169.45999999999998</v>
      </c>
      <c r="AV262" s="22">
        <f t="shared" si="1750"/>
        <v>302.81</v>
      </c>
      <c r="AW262" s="22">
        <f t="shared" si="1750"/>
        <v>215.38999999999996</v>
      </c>
      <c r="AX262" s="22">
        <f t="shared" si="1750"/>
        <v>239.94</v>
      </c>
      <c r="AY262" s="22">
        <f t="shared" si="1750"/>
        <v>262.47000000000003</v>
      </c>
      <c r="AZ262" s="22">
        <f t="shared" si="1750"/>
        <v>240.72000000000006</v>
      </c>
      <c r="BA262" s="22">
        <f t="shared" si="1750"/>
        <v>244.96</v>
      </c>
      <c r="BB262" s="22">
        <f t="shared" si="1750"/>
        <v>237.53000000000003</v>
      </c>
      <c r="BC262" s="22">
        <f t="shared" si="1750"/>
        <v>228.66000000000003</v>
      </c>
      <c r="BD262" s="22">
        <f t="shared" si="1750"/>
        <v>212.68000000000004</v>
      </c>
      <c r="BE262" s="22">
        <f t="shared" si="1750"/>
        <v>987.9</v>
      </c>
      <c r="BF262" s="22">
        <f t="shared" si="1750"/>
        <v>293.11</v>
      </c>
      <c r="BG262" s="22">
        <f t="shared" si="1750"/>
        <v>315.40000000000003</v>
      </c>
      <c r="BH262" s="22">
        <f t="shared" si="1750"/>
        <v>281.63999999999987</v>
      </c>
      <c r="BI262" s="22">
        <f t="shared" si="1750"/>
        <v>421.30000000000007</v>
      </c>
      <c r="BJ262" s="22">
        <f t="shared" si="1750"/>
        <v>423.01000000000005</v>
      </c>
      <c r="BK262" s="22">
        <f t="shared" si="1750"/>
        <v>498.66999999999973</v>
      </c>
      <c r="BL262" s="22">
        <f t="shared" si="1750"/>
        <v>521.76000000000045</v>
      </c>
      <c r="BM262" s="22">
        <f t="shared" si="1750"/>
        <v>497.20999999999987</v>
      </c>
      <c r="BN262" s="22">
        <f t="shared" si="1750"/>
        <v>398.20000000000005</v>
      </c>
      <c r="BO262" s="22">
        <f t="shared" si="1750"/>
        <v>761.38000000000011</v>
      </c>
      <c r="BP262" s="22">
        <f t="shared" si="1750"/>
        <v>520.65</v>
      </c>
      <c r="BQ262" s="22">
        <f t="shared" si="1750"/>
        <v>720.6</v>
      </c>
      <c r="BR262" s="22">
        <f t="shared" si="1750"/>
        <v>550.29000000000008</v>
      </c>
      <c r="BS262" s="22">
        <f t="shared" si="1750"/>
        <v>777.54000000000019</v>
      </c>
      <c r="BT262" s="22">
        <f t="shared" si="1750"/>
        <v>625.33000000000004</v>
      </c>
      <c r="BU262" s="22">
        <f t="shared" si="1750"/>
        <v>629.76999999999975</v>
      </c>
      <c r="BV262" s="22">
        <f t="shared" si="1750"/>
        <v>599.11999999999989</v>
      </c>
      <c r="BW262" s="22">
        <f t="shared" si="1750"/>
        <v>569.9699999999998</v>
      </c>
      <c r="BX262" s="22">
        <f t="shared" si="1750"/>
        <v>604.01000000000022</v>
      </c>
      <c r="BY262" s="22">
        <f t="shared" si="1750"/>
        <v>885.0899999999998</v>
      </c>
      <c r="BZ262" s="22">
        <f t="shared" si="1750"/>
        <v>804.99999999999989</v>
      </c>
      <c r="CA262" s="22">
        <f t="shared" si="1750"/>
        <v>593.93999999999983</v>
      </c>
      <c r="CB262" s="22">
        <f t="shared" si="1750"/>
        <v>707.93000000000006</v>
      </c>
      <c r="CC262" s="22">
        <f t="shared" si="1750"/>
        <v>782.53999999999928</v>
      </c>
      <c r="CD262" s="22">
        <f t="shared" si="1750"/>
        <v>828.95000000000027</v>
      </c>
      <c r="CE262" s="22">
        <f t="shared" ref="CE262:CF262" si="1751">CE260+CE261</f>
        <v>-326.0699999999996</v>
      </c>
      <c r="CF262" s="22">
        <f t="shared" si="1751"/>
        <v>1159.0300000000002</v>
      </c>
      <c r="CG262" s="22">
        <f t="shared" ref="CG262:CH262" si="1752">CG260+CG261</f>
        <v>1024.1599999999999</v>
      </c>
      <c r="CH262" s="22">
        <f t="shared" si="1752"/>
        <v>1108.8000000000004</v>
      </c>
      <c r="CI262" s="22">
        <f t="shared" ref="CI262:CJ262" si="1753">CI260+CI261</f>
        <v>977.29999999999973</v>
      </c>
      <c r="CJ262" s="22">
        <f t="shared" si="1753"/>
        <v>1043.3800000000001</v>
      </c>
      <c r="CK262" s="22">
        <f t="shared" ref="CK262:DB262" si="1754">CK260+CK261</f>
        <v>1048.5000000000005</v>
      </c>
      <c r="CL262" s="22">
        <f t="shared" si="1754"/>
        <v>1191.5900000000008</v>
      </c>
      <c r="CM262" s="21">
        <f t="shared" si="1754"/>
        <v>1622.0389323140278</v>
      </c>
      <c r="CN262" s="21">
        <f t="shared" si="1754"/>
        <v>1568.5529970525854</v>
      </c>
      <c r="CO262" s="21">
        <f t="shared" si="1754"/>
        <v>1608.9283088202933</v>
      </c>
      <c r="CP262" s="21">
        <f t="shared" si="1754"/>
        <v>1647.3380152326381</v>
      </c>
      <c r="CQ262" s="21">
        <f t="shared" si="1754"/>
        <v>1862.4301357863001</v>
      </c>
      <c r="CR262" s="21">
        <f t="shared" si="1754"/>
        <v>1863.3743289969359</v>
      </c>
      <c r="CS262" s="21">
        <f t="shared" si="1754"/>
        <v>1952.6942489109372</v>
      </c>
      <c r="CT262" s="21">
        <f t="shared" si="1754"/>
        <v>2094.9425614499469</v>
      </c>
      <c r="CU262" s="21">
        <f t="shared" si="1754"/>
        <v>2317.3244860616314</v>
      </c>
      <c r="CV262" s="21">
        <f t="shared" si="1754"/>
        <v>2321.6906412505787</v>
      </c>
      <c r="CW262" s="21">
        <f t="shared" si="1754"/>
        <v>2595.6484404463977</v>
      </c>
      <c r="CX262" s="21">
        <f t="shared" si="1754"/>
        <v>2619.968269993431</v>
      </c>
      <c r="CY262" s="21">
        <f t="shared" si="1754"/>
        <v>2669.9111359992671</v>
      </c>
      <c r="CZ262" s="21">
        <f t="shared" si="1754"/>
        <v>2659.4907749274489</v>
      </c>
      <c r="DA262" s="21">
        <f t="shared" si="1754"/>
        <v>2761.5821521898688</v>
      </c>
      <c r="DB262" s="21">
        <f t="shared" si="1754"/>
        <v>2893.5031639429317</v>
      </c>
      <c r="DE262" s="126"/>
      <c r="DF262" s="22">
        <v>0</v>
      </c>
      <c r="DG262" s="22">
        <v>1479.4135269190383</v>
      </c>
    </row>
    <row r="263" spans="1:111" s="23" customFormat="1" x14ac:dyDescent="0.2">
      <c r="A263" s="23" t="s">
        <v>65</v>
      </c>
      <c r="C263" s="23">
        <f t="shared" ref="C263:Y263" si="1755">B211-C211+B230+B231-C230-C231</f>
        <v>0</v>
      </c>
      <c r="D263" s="23">
        <f t="shared" si="1755"/>
        <v>0</v>
      </c>
      <c r="E263" s="23">
        <f>D211-E211+D230+D231-E230-E231</f>
        <v>0</v>
      </c>
      <c r="F263" s="23">
        <f t="shared" si="1755"/>
        <v>0</v>
      </c>
      <c r="G263" s="23">
        <f t="shared" si="1755"/>
        <v>0</v>
      </c>
      <c r="H263" s="23">
        <f t="shared" si="1755"/>
        <v>0</v>
      </c>
      <c r="I263" s="23">
        <f t="shared" si="1755"/>
        <v>0</v>
      </c>
      <c r="J263" s="23">
        <f>I211-J211+I230+I231-J230-J231</f>
        <v>0</v>
      </c>
      <c r="K263" s="23">
        <f>J211-K211+J230+J231-K230-K231</f>
        <v>0</v>
      </c>
      <c r="L263" s="23">
        <f t="shared" si="1755"/>
        <v>0</v>
      </c>
      <c r="M263" s="23">
        <f t="shared" si="1755"/>
        <v>0</v>
      </c>
      <c r="N263" s="23">
        <f t="shared" si="1755"/>
        <v>0</v>
      </c>
      <c r="O263" s="23">
        <f t="shared" si="1755"/>
        <v>0</v>
      </c>
      <c r="P263" s="23">
        <f t="shared" si="1755"/>
        <v>-894.83999999999992</v>
      </c>
      <c r="Q263" s="23">
        <f t="shared" si="1755"/>
        <v>-363.41000000000014</v>
      </c>
      <c r="R263" s="23">
        <f t="shared" si="1755"/>
        <v>-140.01999999999998</v>
      </c>
      <c r="S263" s="23">
        <f t="shared" si="1755"/>
        <v>-4171.8200000000015</v>
      </c>
      <c r="T263" s="23">
        <f t="shared" si="1755"/>
        <v>-199.87999999999886</v>
      </c>
      <c r="U263" s="23">
        <f t="shared" si="1755"/>
        <v>-3223.71</v>
      </c>
      <c r="V263" s="23">
        <f t="shared" si="1755"/>
        <v>1794.599999999999</v>
      </c>
      <c r="W263" s="23">
        <f t="shared" si="1755"/>
        <v>-433.8300000000022</v>
      </c>
      <c r="X263" s="23">
        <f t="shared" si="1755"/>
        <v>-1854.2699999999993</v>
      </c>
      <c r="Y263" s="23">
        <f t="shared" si="1755"/>
        <v>-899.14000000000169</v>
      </c>
      <c r="Z263" s="23">
        <f>Y211-Z211+Y230+Y231-Z230-Z231</f>
        <v>-8132.3500000000022</v>
      </c>
      <c r="AA263" s="23">
        <f>Z211-AA211+Z230+Z231-AA230-AA231</f>
        <v>-14204.029999999993</v>
      </c>
      <c r="AB263" s="24">
        <f t="shared" ref="AB263" si="1756">AA211-AB211+AA230+AA231-AB230-AB231</f>
        <v>-15236.486102813398</v>
      </c>
      <c r="AC263" s="24">
        <f t="shared" ref="AC263" si="1757">AB211-AC211+AB230+AB231-AC230-AC231</f>
        <v>-2505.1920264854557</v>
      </c>
      <c r="AD263" s="24">
        <f t="shared" ref="AD263" si="1758">AC211-AD211+AC230+AC231-AD230-AD231</f>
        <v>-5693.9428561343448</v>
      </c>
      <c r="AE263" s="24">
        <f t="shared" ref="AE263" si="1759">AD211-AE211+AD230+AD231-AE230-AE231</f>
        <v>-7611.4672587244713</v>
      </c>
      <c r="AI263" s="23">
        <f>AH211-AI211+AH230+AH231-AI230-AJ231</f>
        <v>0</v>
      </c>
      <c r="AJ263" s="23">
        <f t="shared" ref="AJ263:AL263" si="1760">AI211-AJ211+AI230+AI231-AJ230-AK231</f>
        <v>0</v>
      </c>
      <c r="AK263" s="23" t="e">
        <f t="shared" si="1760"/>
        <v>#DIV/0!</v>
      </c>
      <c r="AL263" s="23" t="e">
        <f t="shared" si="1760"/>
        <v>#DIV/0!</v>
      </c>
      <c r="AM263" s="23" t="e">
        <f t="shared" ref="AM263" si="1761">AL211-AM211+AL230+AL231-AM230-AM231</f>
        <v>#DIV/0!</v>
      </c>
      <c r="AN263" s="23" t="e">
        <f t="shared" ref="AN263" si="1762">AM211-AN211+AM230+AM231-AN230-AN231</f>
        <v>#DIV/0!</v>
      </c>
      <c r="AO263" s="23" t="e">
        <f t="shared" ref="AO263" si="1763">AN211-AO211+AN230+AN231-AO230-AO231</f>
        <v>#DIV/0!</v>
      </c>
      <c r="AP263" s="23" t="e">
        <f t="shared" ref="AP263" si="1764">AO211-AP211+AO230+AO231-AP230-AP231</f>
        <v>#DIV/0!</v>
      </c>
      <c r="AQ263" s="23" t="e">
        <f t="shared" ref="AQ263" si="1765">AP211-AQ211+AP230+AP231-AQ230-AQ231</f>
        <v>#DIV/0!</v>
      </c>
      <c r="AR263" s="23" t="e">
        <f t="shared" ref="AR263" si="1766">AQ211-AR211+AQ230+AQ231-AR230-AR231</f>
        <v>#DIV/0!</v>
      </c>
      <c r="AS263" s="23" t="e">
        <f t="shared" ref="AS263" si="1767">AR211-AS211+AR230+AR231-AS230-AS231</f>
        <v>#DIV/0!</v>
      </c>
      <c r="AT263" s="23" t="e">
        <f t="shared" ref="AT263" si="1768">AS211-AT211+AS230+AS231-AT230-AT231</f>
        <v>#DIV/0!</v>
      </c>
      <c r="AU263" s="23">
        <f t="shared" ref="AU263" si="1769">AT211-AU211+AT230+AT231-AU230-AU231</f>
        <v>-1304.4075710364866</v>
      </c>
      <c r="AV263" s="23">
        <f t="shared" ref="AV263" si="1770">AU211-AV211+AU230+AU231-AV230-AV231</f>
        <v>1212.6575710364866</v>
      </c>
      <c r="AW263" s="23">
        <f t="shared" ref="AW263" si="1771">AV211-AW211+AV230+AV231-AW230-AW231</f>
        <v>14.695617822203417</v>
      </c>
      <c r="AX263" s="23">
        <f t="shared" ref="AX263" si="1772">AW211-AX211+AW230+AW231-AX230-AX231</f>
        <v>-284.62561782220325</v>
      </c>
      <c r="AY263" s="23">
        <f t="shared" ref="AY263" si="1773">AX211-AY211+AX230+AX231-AY230-AY231</f>
        <v>1.9543535698612686</v>
      </c>
      <c r="AZ263" s="23">
        <f t="shared" ref="AZ263" si="1774">AY211-AZ211+AY230+AY231-AZ230-AZ231</f>
        <v>-226.28435356986142</v>
      </c>
      <c r="BA263" s="23">
        <f t="shared" ref="BA263" si="1775">AZ211-BA211+AZ230+AZ231-BA230-BA231</f>
        <v>-21.389523949025943</v>
      </c>
      <c r="BB263" s="23">
        <f t="shared" ref="BB263" si="1776">BA211-BB211+BA230+BA231-BB230-BB231</f>
        <v>384.54952394902602</v>
      </c>
      <c r="BC263" s="23">
        <f t="shared" ref="BC263" si="1777">BB211-BC211+BB230+BB231-BC230-BC231</f>
        <v>61.836129975318045</v>
      </c>
      <c r="BD263" s="23">
        <f t="shared" ref="BD263" si="1778">BC211-BD211+BC230+BC231-BD230-BD231</f>
        <v>41.273870024681855</v>
      </c>
      <c r="BE263" s="23">
        <f t="shared" ref="BE263" si="1779">BD211-BE211+BD230+BD231-BE230-BE231</f>
        <v>-343.29793847640508</v>
      </c>
      <c r="BF263" s="23">
        <f t="shared" ref="BF263" si="1780">BE211-BF211+BE230+BE231-BF230-BF231</f>
        <v>-3597.5120615235942</v>
      </c>
      <c r="BG263" s="23">
        <f t="shared" ref="BG263" si="1781">BF211-BG211+BF230+BF231-BG230-BG231</f>
        <v>68.498272464627007</v>
      </c>
      <c r="BH263" s="23">
        <f t="shared" ref="BH263" si="1782">BG211-BH211+BG230+BG231-BH230-BH231</f>
        <v>-1602.0882724646272</v>
      </c>
      <c r="BI263" s="23">
        <f t="shared" ref="BI263" si="1783">BH211-BI211+BH230+BH231-BI230-BI231</f>
        <v>-915.16058210494703</v>
      </c>
      <c r="BJ263" s="23">
        <f t="shared" ref="BJ263" si="1784">BI211-BJ211+BI230+BI231-BJ230-BJ231</f>
        <v>1633.4905821049474</v>
      </c>
      <c r="BK263" s="23">
        <f t="shared" ref="BK263" si="1785">BJ211-BK211+BJ230+BJ231-BK230-BK231</f>
        <v>-133.6026805889469</v>
      </c>
      <c r="BL263" s="23">
        <f t="shared" ref="BL263" si="1786">BK211-BL211+BK230+BK231-BL230-BL231</f>
        <v>317.37268058894665</v>
      </c>
      <c r="BM263" s="23">
        <f t="shared" ref="BM263" si="1787">BL211-BM211+BL230+BL231-BM230-BM231</f>
        <v>-79.845206292897274</v>
      </c>
      <c r="BN263" s="23">
        <f t="shared" ref="BN263" si="1788">BM211-BN211+BM230+BM231-BN230-BN231</f>
        <v>-3565.3647937071037</v>
      </c>
      <c r="BO263" s="23">
        <f t="shared" ref="BO263" si="1789">BN211-BO211+BN230+BN231-BO230-BO231</f>
        <v>358.13183833496623</v>
      </c>
      <c r="BP263" s="23">
        <f t="shared" ref="BP263" si="1790">BO211-BP211+BO230+BO231-BP230-BP231</f>
        <v>-125.24183833496591</v>
      </c>
      <c r="BQ263" s="23">
        <f t="shared" ref="BQ263" si="1791">BP211-BQ211+BP230+BP231-BQ230-BQ231</f>
        <v>-328.56523608773023</v>
      </c>
      <c r="BR263" s="23">
        <f t="shared" ref="BR263" si="1792">BQ211-BR211+BQ230+BQ231-BR230-BR231</f>
        <v>1035.3852360877313</v>
      </c>
      <c r="BS263" s="23">
        <f t="shared" ref="BS263" si="1793">BR211-BS211+BR230+BR231-BS230-BS231</f>
        <v>-47.134221615853676</v>
      </c>
      <c r="BT263" s="23">
        <f t="shared" ref="BT263" si="1794">BS211-BT211+BS230+BS231-BT230-BT231</f>
        <v>-890.41577838414651</v>
      </c>
      <c r="BU263" s="23">
        <f t="shared" ref="BU263" si="1795">BT211-BU211+BT230+BT231-BU230-BU231</f>
        <v>-185.00179362880954</v>
      </c>
      <c r="BV263" s="23">
        <f t="shared" ref="BV263" si="1796">BU211-BV211+BU230+BU231-BV230-BV231</f>
        <v>-23.078206371189935</v>
      </c>
      <c r="BW263" s="23">
        <f t="shared" ref="BW263" si="1797">BV211-BW211+BV230+BV231-BW230-BW231</f>
        <v>-69.783574475666683</v>
      </c>
      <c r="BX263" s="23">
        <f t="shared" ref="BX263" si="1798">BW211-BX211+BW230+BW231-BX230-BX231</f>
        <v>-2133.9364255243336</v>
      </c>
      <c r="BY263" s="23">
        <f t="shared" ref="BY263" si="1799">BX211-BY211+BX230+BX231-BY230-BY231</f>
        <v>-175.01968777295406</v>
      </c>
      <c r="BZ263" s="23">
        <f t="shared" ref="BZ263" si="1800">BY211-BZ211+BY230+BY231-BZ230-BZ231</f>
        <v>575.81968777295174</v>
      </c>
      <c r="CA263" s="23">
        <f t="shared" ref="CA263" si="1801">BZ211-CA211+BZ230+BZ231-CA230-CA231</f>
        <v>-144.97726839525058</v>
      </c>
      <c r="CB263" s="23">
        <f t="shared" ref="CB263" si="1802">CA211-CB211+CA230+CA231-CB230-CB231</f>
        <v>321.29726839525279</v>
      </c>
      <c r="CC263" s="23">
        <f t="shared" ref="CC263" si="1803">CB211-CC211+CB230+CB231-CC230-CC231</f>
        <v>-412.09094829158312</v>
      </c>
      <c r="CD263" s="23">
        <f t="shared" ref="CD263" si="1804">CC211-CD211+CC230+CC231-CD230-CD231</f>
        <v>-1316.0690517084199</v>
      </c>
      <c r="CE263" s="23">
        <f t="shared" ref="CE263" si="1805">CD211-CE211+CD230+CD231-CE230-CE231</f>
        <v>-570.80193632684313</v>
      </c>
      <c r="CF263" s="23">
        <f t="shared" ref="CF263" si="1806">CE211-CF211+CE230+CE231-CF230-CF231</f>
        <v>-4623.8580636731585</v>
      </c>
      <c r="CG263" s="23">
        <f t="shared" ref="CG263" si="1807">CF211-CG211+CF230+CF231-CG230-CG231</f>
        <v>273.15538696896692</v>
      </c>
      <c r="CH263" s="23">
        <f t="shared" ref="CH263:CJ263" si="1808">CG211-CH211+CG230+CG231-CH230-CH231</f>
        <v>12945.714613031038</v>
      </c>
      <c r="CI263" s="23">
        <f t="shared" si="1808"/>
        <v>-450.9234197390258</v>
      </c>
      <c r="CJ263" s="23">
        <f t="shared" si="1808"/>
        <v>-23007.976580260973</v>
      </c>
      <c r="CK263" s="23">
        <f t="shared" ref="CK263" si="1809">CJ211-CK211+CJ230+CJ231-CK230-CK231</f>
        <v>-611.87181003755518</v>
      </c>
      <c r="CL263" s="23">
        <f t="shared" ref="CL263" si="1810">CK211-CL211+CK230+CK231-CL230-CL231</f>
        <v>-6890.678189962442</v>
      </c>
      <c r="CM263" s="24">
        <f t="shared" ref="CM263" si="1811">CL211-CM211+CL230+CL231-CM230-CM231</f>
        <v>-3317.1275720968329</v>
      </c>
      <c r="CN263" s="24">
        <f t="shared" ref="CN263" si="1812">CM211-CN211+CM230+CM231-CN230-CN231</f>
        <v>-1759.2817803114444</v>
      </c>
      <c r="CO263" s="24">
        <f t="shared" ref="CO263" si="1813">CN211-CO211+CN230+CN231-CO230-CO231</f>
        <v>-4722.2063508553838</v>
      </c>
      <c r="CP263" s="24">
        <f t="shared" ref="CP263" si="1814">CO211-CP211+CO230+CO231-CP230-CP231</f>
        <v>-2431.2403995497366</v>
      </c>
      <c r="CQ263" s="24">
        <f t="shared" ref="CQ263" si="1815">CP211-CQ211+CP230+CP231-CQ230-CQ231</f>
        <v>-2611.2306675359355</v>
      </c>
      <c r="CR263" s="24">
        <f t="shared" ref="CR263" si="1816">CQ211-CR211+CQ230+CQ231-CR230-CR231</f>
        <v>1735.8142155422393</v>
      </c>
      <c r="CS263" s="24">
        <f t="shared" ref="CS263" si="1817">CR211-CS211+CR230+CR231-CS230-CS231</f>
        <v>-462.40841115479998</v>
      </c>
      <c r="CT263" s="24">
        <f t="shared" ref="CT263" si="1818">CS211-CT211+CS230+CS231-CT230-CT231</f>
        <v>-1167.3671633369595</v>
      </c>
      <c r="CU263" s="24">
        <f t="shared" ref="CU263" si="1819">CT211-CU211+CT230+CT231-CU230-CU231</f>
        <v>-463.78599819117517</v>
      </c>
      <c r="CV263" s="24">
        <f t="shared" ref="CV263" si="1820">CU211-CV211+CU230+CU231-CV230-CV231</f>
        <v>348.48068862163927</v>
      </c>
      <c r="CW263" s="24">
        <f t="shared" ref="CW263" si="1821">CV211-CW211+CV230+CV231-CW230-CW231</f>
        <v>-4121.2344601601435</v>
      </c>
      <c r="CX263" s="24">
        <f t="shared" ref="CX263" si="1822">CW211-CX211+CW230+CW231-CX230-CX231</f>
        <v>-1457.4030864046654</v>
      </c>
      <c r="CY263" s="24">
        <f t="shared" ref="CY263" si="1823">CX211-CY211+CX230+CX231-CY230-CY231</f>
        <v>-2266.5459445330557</v>
      </c>
      <c r="CZ263" s="24">
        <f t="shared" ref="CZ263" si="1824">CY211-CZ211+CY230+CY231-CZ230-CZ231</f>
        <v>30.000809838915302</v>
      </c>
      <c r="DA263" s="24">
        <f t="shared" ref="DA263" si="1825">CZ211-DA211+CZ230+CZ231-DA230-DA231</f>
        <v>-2407.4954022278321</v>
      </c>
      <c r="DB263" s="24">
        <f t="shared" ref="DB263" si="1826">DA211-DB211+DA230+DA231-DB230-DB231</f>
        <v>-2967.4267218024975</v>
      </c>
      <c r="DE263" s="123"/>
      <c r="DF263" s="23">
        <v>0</v>
      </c>
      <c r="DG263" s="23">
        <v>-3948.1355280847529</v>
      </c>
    </row>
    <row r="264" spans="1:111" s="23" customFormat="1" x14ac:dyDescent="0.2">
      <c r="A264" s="23" t="s">
        <v>73</v>
      </c>
      <c r="C264" s="23">
        <f t="shared" ref="C264:Y264" si="1827">B222-C222</f>
        <v>0</v>
      </c>
      <c r="D264" s="23">
        <f t="shared" si="1827"/>
        <v>0</v>
      </c>
      <c r="E264" s="23">
        <f>D222-E222</f>
        <v>0</v>
      </c>
      <c r="F264" s="23">
        <f t="shared" si="1827"/>
        <v>0</v>
      </c>
      <c r="G264" s="23">
        <f t="shared" si="1827"/>
        <v>0</v>
      </c>
      <c r="H264" s="23">
        <f t="shared" si="1827"/>
        <v>0</v>
      </c>
      <c r="I264" s="23">
        <f t="shared" si="1827"/>
        <v>0</v>
      </c>
      <c r="J264" s="23">
        <f>I222-J222</f>
        <v>0</v>
      </c>
      <c r="K264" s="23">
        <f>J222-K222</f>
        <v>0</v>
      </c>
      <c r="L264" s="23">
        <f t="shared" si="1827"/>
        <v>0</v>
      </c>
      <c r="M264" s="23">
        <f t="shared" si="1827"/>
        <v>0</v>
      </c>
      <c r="N264" s="23">
        <f t="shared" si="1827"/>
        <v>0</v>
      </c>
      <c r="O264" s="23">
        <f t="shared" si="1827"/>
        <v>-2.7028999999999998E-3</v>
      </c>
      <c r="P264" s="23">
        <f t="shared" si="1827"/>
        <v>-707.9472970999999</v>
      </c>
      <c r="Q264" s="23">
        <f t="shared" si="1827"/>
        <v>219.02999999999997</v>
      </c>
      <c r="R264" s="23">
        <f t="shared" si="1827"/>
        <v>-677.4799999999999</v>
      </c>
      <c r="S264" s="23">
        <f t="shared" si="1827"/>
        <v>-221.23000000000025</v>
      </c>
      <c r="T264" s="23">
        <f t="shared" si="1827"/>
        <v>-2345.87</v>
      </c>
      <c r="U264" s="23">
        <f t="shared" si="1827"/>
        <v>-1199.4999999999991</v>
      </c>
      <c r="V264" s="23">
        <f t="shared" si="1827"/>
        <v>-130.39000000000033</v>
      </c>
      <c r="W264" s="23">
        <f t="shared" si="1827"/>
        <v>-165.18000000000029</v>
      </c>
      <c r="X264" s="23">
        <f t="shared" si="1827"/>
        <v>-204.25000000000091</v>
      </c>
      <c r="Y264" s="23">
        <f t="shared" si="1827"/>
        <v>-781.20999999999822</v>
      </c>
      <c r="Z264" s="23">
        <f>Y222-Z222</f>
        <v>-2774.9700000000012</v>
      </c>
      <c r="AA264" s="23">
        <f>Z222-AA222</f>
        <v>-3515.7700000000004</v>
      </c>
      <c r="AB264" s="24">
        <f t="shared" ref="AB264" si="1828">AA222-AB222</f>
        <v>5827.1302908011148</v>
      </c>
      <c r="AC264" s="24">
        <f t="shared" ref="AC264" si="1829">AB222-AC222</f>
        <v>-1394.8766858111594</v>
      </c>
      <c r="AD264" s="24">
        <f t="shared" ref="AD264" si="1830">AC222-AD222</f>
        <v>-1221.5565018397992</v>
      </c>
      <c r="AE264" s="24">
        <f t="shared" ref="AE264" si="1831">AD222-AE222</f>
        <v>-1207.805704297507</v>
      </c>
      <c r="AI264" s="23">
        <f t="shared" ref="AI264" si="1832">AH222-AI222</f>
        <v>0</v>
      </c>
      <c r="AJ264" s="23">
        <f t="shared" ref="AJ264" si="1833">AI222-AJ222</f>
        <v>0</v>
      </c>
      <c r="AK264" s="23" t="e">
        <f t="shared" ref="AK264" si="1834">AJ222-AK222</f>
        <v>#DIV/0!</v>
      </c>
      <c r="AL264" s="23" t="e">
        <f t="shared" ref="AL264" si="1835">AK222-AL222</f>
        <v>#DIV/0!</v>
      </c>
      <c r="AM264" s="23" t="e">
        <f t="shared" ref="AM264" si="1836">AL222-AM222</f>
        <v>#DIV/0!</v>
      </c>
      <c r="AN264" s="23" t="e">
        <f t="shared" ref="AN264" si="1837">AM222-AN222</f>
        <v>#DIV/0!</v>
      </c>
      <c r="AO264" s="23" t="e">
        <f t="shared" ref="AO264" si="1838">AN222-AO222</f>
        <v>#DIV/0!</v>
      </c>
      <c r="AP264" s="23" t="e">
        <f t="shared" ref="AP264" si="1839">AO222-AP222</f>
        <v>#DIV/0!</v>
      </c>
      <c r="AQ264" s="23" t="e">
        <f t="shared" ref="AQ264" si="1840">AP222-AQ222</f>
        <v>#DIV/0!</v>
      </c>
      <c r="AR264" s="23" t="e">
        <f t="shared" ref="AR264" si="1841">AQ222-AR222</f>
        <v>#DIV/0!</v>
      </c>
      <c r="AS264" s="23" t="e">
        <f t="shared" ref="AS264" si="1842">AR222-AS222</f>
        <v>#DIV/0!</v>
      </c>
      <c r="AT264" s="23" t="e">
        <f t="shared" ref="AT264" si="1843">AS222-AT222</f>
        <v>#DIV/0!</v>
      </c>
      <c r="AU264" s="23">
        <f t="shared" ref="AU264" si="1844">AT222-AU222</f>
        <v>-136.00721504681951</v>
      </c>
      <c r="AV264" s="23">
        <f t="shared" ref="AV264" si="1845">AU222-AV222</f>
        <v>454.12721504681963</v>
      </c>
      <c r="AW264" s="23">
        <f t="shared" ref="AW264" si="1846">AV222-AW222</f>
        <v>2.7965216928964765</v>
      </c>
      <c r="AX264" s="23">
        <f t="shared" ref="AX264" si="1847">AW222-AX222</f>
        <v>55.793478307103214</v>
      </c>
      <c r="AY264" s="23">
        <f t="shared" ref="AY264" si="1848">AX222-AY222</f>
        <v>7.7366012662196226E-2</v>
      </c>
      <c r="AZ264" s="23">
        <f t="shared" ref="AZ264" si="1849">AY222-AZ222</f>
        <v>626.82263398733789</v>
      </c>
      <c r="BA264" s="23">
        <f t="shared" ref="BA264" si="1850">AZ222-BA222</f>
        <v>-1.2994527610956084</v>
      </c>
      <c r="BB264" s="23">
        <f t="shared" ref="BB264" si="1851">BA222-BB222</f>
        <v>-695.10054723890426</v>
      </c>
      <c r="BC264" s="23">
        <f t="shared" ref="BC264" si="1852">BB222-BC222</f>
        <v>7.3562830988951191</v>
      </c>
      <c r="BD264" s="23">
        <f t="shared" ref="BD264" si="1853">BC222-BD222</f>
        <v>-420.70628309889526</v>
      </c>
      <c r="BE264" s="23">
        <f t="shared" ref="BE264" si="1854">BD222-BE222</f>
        <v>-43.586547753261357</v>
      </c>
      <c r="BF264" s="23">
        <f t="shared" ref="BF264" si="1855">BE222-BF222</f>
        <v>58.576547753261366</v>
      </c>
      <c r="BG264" s="23">
        <f t="shared" ref="BG264" si="1856">BF222-BG222</f>
        <v>9.2267175346323711</v>
      </c>
      <c r="BH264" s="23">
        <f t="shared" ref="BH264" si="1857">BG222-BH222</f>
        <v>-7748.1467175346315</v>
      </c>
      <c r="BI264" s="23">
        <f t="shared" ref="BI264" si="1858">BH222-BI222</f>
        <v>-1380.0391198590405</v>
      </c>
      <c r="BJ264" s="23">
        <f t="shared" ref="BJ264" si="1859">BI222-BJ222</f>
        <v>4787.8891198590391</v>
      </c>
      <c r="BK264" s="23">
        <f t="shared" ref="BK264" si="1860">BJ222-BK222</f>
        <v>-151.85744527726729</v>
      </c>
      <c r="BL264" s="23">
        <f t="shared" ref="BL264" si="1861">BK222-BL222</f>
        <v>318.31744527726732</v>
      </c>
      <c r="BM264" s="23">
        <f t="shared" ref="BM264" si="1862">BL222-BM222</f>
        <v>-75.581210303076659</v>
      </c>
      <c r="BN264" s="23">
        <f t="shared" ref="BN264" si="1863">BM222-BN222</f>
        <v>189.45121030307746</v>
      </c>
      <c r="BO264" s="23">
        <f t="shared" ref="BO264" si="1864">BN222-BO222</f>
        <v>406.94127930692503</v>
      </c>
      <c r="BP264" s="23">
        <f t="shared" ref="BP264" si="1865">BO222-BP222</f>
        <v>33.33872069307472</v>
      </c>
      <c r="BQ264" s="23">
        <f t="shared" ref="BQ264" si="1866">BP222-BQ222</f>
        <v>-292.42281477977394</v>
      </c>
      <c r="BR264" s="23">
        <f t="shared" ref="BR264" si="1867">BQ222-BR222</f>
        <v>442.02281477977431</v>
      </c>
      <c r="BS264" s="23">
        <f t="shared" ref="BS264" si="1868">BR222-BS222</f>
        <v>-46.898408793336785</v>
      </c>
      <c r="BT264" s="23">
        <f t="shared" ref="BT264" si="1869">BS222-BT222</f>
        <v>569.0984087933366</v>
      </c>
      <c r="BU264" s="23">
        <f t="shared" ref="BU264" si="1870">BT222-BU222</f>
        <v>-159.15218403739618</v>
      </c>
      <c r="BV264" s="23">
        <f t="shared" ref="BV264" si="1871">BU222-BV222</f>
        <v>-528.22781596260393</v>
      </c>
      <c r="BW264" s="23">
        <f t="shared" ref="BW264" si="1872">BV222-BW222</f>
        <v>-84.943190306346878</v>
      </c>
      <c r="BX264" s="23">
        <f t="shared" ref="BX264" si="1873">BW222-BX222</f>
        <v>282.41319030634622</v>
      </c>
      <c r="BY264" s="23">
        <f t="shared" ref="BY264" si="1874">BX222-BY222</f>
        <v>-128.61941571222906</v>
      </c>
      <c r="BZ264" s="23">
        <f t="shared" ref="BZ264" si="1875">BY222-BZ222</f>
        <v>-273.10058428777029</v>
      </c>
      <c r="CA264" s="23">
        <f t="shared" ref="CA264" si="1876">BZ222-CA222</f>
        <v>-164.21605746263776</v>
      </c>
      <c r="CB264" s="23">
        <f t="shared" ref="CB264" si="1877">CA222-CB222</f>
        <v>201.59605746263696</v>
      </c>
      <c r="CC264" s="23">
        <f t="shared" ref="CC264" si="1878">CB222-CC222</f>
        <v>-401.60280336538835</v>
      </c>
      <c r="CD264" s="23">
        <f t="shared" ref="CD264" si="1879">CC222-CD222</f>
        <v>-416.98719663461179</v>
      </c>
      <c r="CE264" s="23">
        <f t="shared" ref="CE264" si="1880">CD222-CE222</f>
        <v>-216.33225278052123</v>
      </c>
      <c r="CF264" s="23">
        <f t="shared" ref="CF264" si="1881">CE222-CF222</f>
        <v>-222.47774721947735</v>
      </c>
      <c r="CG264" s="23">
        <f t="shared" ref="CG264" si="1882">CF222-CG222</f>
        <v>92.818509824213834</v>
      </c>
      <c r="CH264" s="23">
        <f t="shared" ref="CH264:CJ264" si="1883">CG222-CH222</f>
        <v>364.26149017578609</v>
      </c>
      <c r="CI264" s="23">
        <f t="shared" si="1883"/>
        <v>-432.22525593842965</v>
      </c>
      <c r="CJ264" s="23">
        <f t="shared" si="1883"/>
        <v>-4253.1747440615709</v>
      </c>
      <c r="CK264" s="23">
        <f t="shared" ref="CK264" si="1884">CJ222-CK222</f>
        <v>-220.76324453480447</v>
      </c>
      <c r="CL264" s="23">
        <f t="shared" ref="CL264" si="1885">CK222-CL222</f>
        <v>-3818.7667554651962</v>
      </c>
      <c r="CM264" s="24">
        <f t="shared" ref="CM264" si="1886">CL222-CM222</f>
        <v>6112.8243394423243</v>
      </c>
      <c r="CN264" s="24">
        <f t="shared" ref="CN264" si="1887">CM222-CN222</f>
        <v>996.78848966201531</v>
      </c>
      <c r="CO264" s="24">
        <f t="shared" ref="CO264" si="1888">CN222-CO222</f>
        <v>513.46707846945992</v>
      </c>
      <c r="CP264" s="24">
        <f t="shared" ref="CP264" si="1889">CO222-CP222</f>
        <v>619.97038322731532</v>
      </c>
      <c r="CQ264" s="24">
        <f t="shared" ref="CQ264" si="1890">CP222-CQ222</f>
        <v>-585.21052018913724</v>
      </c>
      <c r="CR264" s="24">
        <f t="shared" ref="CR264" si="1891">CQ222-CR222</f>
        <v>-9.5574750727791979</v>
      </c>
      <c r="CS264" s="24">
        <f t="shared" ref="CS264" si="1892">CR222-CS222</f>
        <v>-333.59768467403592</v>
      </c>
      <c r="CT264" s="24">
        <f t="shared" ref="CT264" si="1893">CS222-CT222</f>
        <v>-466.51100587520705</v>
      </c>
      <c r="CU264" s="24">
        <f t="shared" ref="CU264" si="1894">CT222-CU222</f>
        <v>-391.6227883164629</v>
      </c>
      <c r="CV264" s="24">
        <f t="shared" ref="CV264" si="1895">CU222-CV222</f>
        <v>55.297743424212968</v>
      </c>
      <c r="CW264" s="24">
        <f t="shared" ref="CW264" si="1896">CV222-CW222</f>
        <v>-653.96727339572681</v>
      </c>
      <c r="CX264" s="24">
        <f t="shared" ref="CX264" si="1897">CW222-CX222</f>
        <v>-231.2641835518225</v>
      </c>
      <c r="CY264" s="24">
        <f t="shared" ref="CY264" si="1898">CX222-CY222</f>
        <v>-359.66089425419887</v>
      </c>
      <c r="CZ264" s="24">
        <f t="shared" ref="CZ264" si="1899">CY222-CZ222</f>
        <v>4.7605997668124473</v>
      </c>
      <c r="DA264" s="24">
        <f t="shared" ref="DA264" si="1900">CZ222-DA222</f>
        <v>-382.02708900150901</v>
      </c>
      <c r="DB264" s="24">
        <f t="shared" ref="DB264" si="1901">DA222-DB222</f>
        <v>-470.87832080861153</v>
      </c>
      <c r="DE264" s="123"/>
      <c r="DF264" s="23">
        <v>0</v>
      </c>
      <c r="DG264" s="23">
        <v>2494.0954625348422</v>
      </c>
    </row>
    <row r="265" spans="1:111" s="22" customFormat="1" x14ac:dyDescent="0.2">
      <c r="A265" s="22" t="s">
        <v>90</v>
      </c>
      <c r="C265" s="22">
        <f t="shared" ref="C265:W265" si="1902">C263-C264</f>
        <v>0</v>
      </c>
      <c r="D265" s="22">
        <f t="shared" si="1902"/>
        <v>0</v>
      </c>
      <c r="E265" s="22">
        <f t="shared" si="1902"/>
        <v>0</v>
      </c>
      <c r="F265" s="22">
        <f t="shared" si="1902"/>
        <v>0</v>
      </c>
      <c r="G265" s="22">
        <f t="shared" si="1902"/>
        <v>0</v>
      </c>
      <c r="H265" s="22">
        <f t="shared" si="1902"/>
        <v>0</v>
      </c>
      <c r="I265" s="22">
        <f t="shared" si="1902"/>
        <v>0</v>
      </c>
      <c r="J265" s="22">
        <f>J263-J264</f>
        <v>0</v>
      </c>
      <c r="K265" s="22">
        <f t="shared" si="1902"/>
        <v>0</v>
      </c>
      <c r="L265" s="22">
        <f t="shared" si="1902"/>
        <v>0</v>
      </c>
      <c r="M265" s="22">
        <f t="shared" si="1902"/>
        <v>0</v>
      </c>
      <c r="N265" s="22">
        <f t="shared" si="1902"/>
        <v>0</v>
      </c>
      <c r="O265" s="22">
        <f t="shared" si="1902"/>
        <v>2.7028999999999998E-3</v>
      </c>
      <c r="P265" s="22">
        <f t="shared" si="1902"/>
        <v>-186.89270290000002</v>
      </c>
      <c r="Q265" s="22">
        <f t="shared" si="1902"/>
        <v>-582.44000000000005</v>
      </c>
      <c r="R265" s="22">
        <f t="shared" si="1902"/>
        <v>537.45999999999992</v>
      </c>
      <c r="S265" s="22">
        <f t="shared" si="1902"/>
        <v>-3950.5900000000011</v>
      </c>
      <c r="T265" s="22">
        <f t="shared" si="1902"/>
        <v>2145.9900000000011</v>
      </c>
      <c r="U265" s="22">
        <f t="shared" si="1902"/>
        <v>-2024.2100000000009</v>
      </c>
      <c r="V265" s="22">
        <f t="shared" si="1902"/>
        <v>1924.9899999999993</v>
      </c>
      <c r="W265" s="22">
        <f t="shared" si="1902"/>
        <v>-268.65000000000191</v>
      </c>
      <c r="X265" s="22">
        <f t="shared" ref="X265:Y265" si="1903">X263-X264</f>
        <v>-1650.0199999999984</v>
      </c>
      <c r="Y265" s="22">
        <f t="shared" si="1903"/>
        <v>-117.93000000000347</v>
      </c>
      <c r="Z265" s="22">
        <f>Z263-Z264</f>
        <v>-5357.380000000001</v>
      </c>
      <c r="AA265" s="22">
        <f>AA263-AA264</f>
        <v>-10688.259999999993</v>
      </c>
      <c r="AB265" s="21">
        <f t="shared" ref="AB265:AD265" si="1904">AB263-AB264</f>
        <v>-21063.616393614513</v>
      </c>
      <c r="AC265" s="21">
        <f t="shared" si="1904"/>
        <v>-1110.3153406742963</v>
      </c>
      <c r="AD265" s="21">
        <f t="shared" si="1904"/>
        <v>-4472.3863542945455</v>
      </c>
      <c r="AE265" s="21">
        <f t="shared" ref="AE265" si="1905">AE263-AE264</f>
        <v>-6403.6615544269644</v>
      </c>
      <c r="AI265" s="22">
        <f t="shared" ref="AI265" si="1906">AI263-AI264</f>
        <v>0</v>
      </c>
      <c r="AJ265" s="22">
        <f t="shared" ref="AJ265:AL265" si="1907">AJ263-AJ264</f>
        <v>0</v>
      </c>
      <c r="AK265" s="22" t="e">
        <f t="shared" si="1907"/>
        <v>#DIV/0!</v>
      </c>
      <c r="AL265" s="22" t="e">
        <f t="shared" si="1907"/>
        <v>#DIV/0!</v>
      </c>
      <c r="AM265" s="22" t="e">
        <f t="shared" ref="AM265" si="1908">AM263-AM264</f>
        <v>#DIV/0!</v>
      </c>
      <c r="AN265" s="22" t="e">
        <f t="shared" ref="AN265:CD265" si="1909">AN263-AN264</f>
        <v>#DIV/0!</v>
      </c>
      <c r="AO265" s="22" t="e">
        <f t="shared" si="1909"/>
        <v>#DIV/0!</v>
      </c>
      <c r="AP265" s="22" t="e">
        <f t="shared" si="1909"/>
        <v>#DIV/0!</v>
      </c>
      <c r="AQ265" s="22" t="e">
        <f t="shared" si="1909"/>
        <v>#DIV/0!</v>
      </c>
      <c r="AR265" s="22" t="e">
        <f t="shared" si="1909"/>
        <v>#DIV/0!</v>
      </c>
      <c r="AS265" s="22" t="e">
        <f t="shared" si="1909"/>
        <v>#DIV/0!</v>
      </c>
      <c r="AT265" s="22" t="e">
        <f t="shared" si="1909"/>
        <v>#DIV/0!</v>
      </c>
      <c r="AU265" s="22">
        <f t="shared" si="1909"/>
        <v>-1168.4003559896671</v>
      </c>
      <c r="AV265" s="22">
        <f t="shared" si="1909"/>
        <v>758.53035598966699</v>
      </c>
      <c r="AW265" s="22">
        <f t="shared" si="1909"/>
        <v>11.89909612930694</v>
      </c>
      <c r="AX265" s="22">
        <f t="shared" si="1909"/>
        <v>-340.41909612930647</v>
      </c>
      <c r="AY265" s="22">
        <f t="shared" si="1909"/>
        <v>1.8769875571990724</v>
      </c>
      <c r="AZ265" s="22">
        <f t="shared" si="1909"/>
        <v>-853.10698755719932</v>
      </c>
      <c r="BA265" s="22">
        <f t="shared" si="1909"/>
        <v>-20.090071187930334</v>
      </c>
      <c r="BB265" s="22">
        <f t="shared" si="1909"/>
        <v>1079.6500711879303</v>
      </c>
      <c r="BC265" s="22">
        <f t="shared" si="1909"/>
        <v>54.479846876422926</v>
      </c>
      <c r="BD265" s="22">
        <f t="shared" si="1909"/>
        <v>461.98015312357711</v>
      </c>
      <c r="BE265" s="22">
        <f t="shared" si="1909"/>
        <v>-299.71139072314372</v>
      </c>
      <c r="BF265" s="22">
        <f t="shared" si="1909"/>
        <v>-3656.0886092768555</v>
      </c>
      <c r="BG265" s="22">
        <f t="shared" si="1909"/>
        <v>59.271554929994636</v>
      </c>
      <c r="BH265" s="22">
        <f t="shared" si="1909"/>
        <v>6146.0584450700044</v>
      </c>
      <c r="BI265" s="22">
        <f t="shared" si="1909"/>
        <v>464.87853775409349</v>
      </c>
      <c r="BJ265" s="22">
        <f t="shared" si="1909"/>
        <v>-3154.3985377540916</v>
      </c>
      <c r="BK265" s="22">
        <f t="shared" si="1909"/>
        <v>18.254764688320392</v>
      </c>
      <c r="BL265" s="22">
        <f t="shared" si="1909"/>
        <v>-0.9447646883206744</v>
      </c>
      <c r="BM265" s="22">
        <f t="shared" si="1909"/>
        <v>-4.2639959898206143</v>
      </c>
      <c r="BN265" s="22">
        <f t="shared" si="1909"/>
        <v>-3754.8160040101811</v>
      </c>
      <c r="BO265" s="22">
        <f t="shared" si="1909"/>
        <v>-48.809440971958793</v>
      </c>
      <c r="BP265" s="22">
        <f t="shared" si="1909"/>
        <v>-158.58055902804062</v>
      </c>
      <c r="BQ265" s="22">
        <f t="shared" si="1909"/>
        <v>-36.142421307956283</v>
      </c>
      <c r="BR265" s="22">
        <f t="shared" si="1909"/>
        <v>593.36242130795699</v>
      </c>
      <c r="BS265" s="22">
        <f t="shared" si="1909"/>
        <v>-0.23581282251689117</v>
      </c>
      <c r="BT265" s="22">
        <f t="shared" si="1909"/>
        <v>-1459.5141871774831</v>
      </c>
      <c r="BU265" s="22">
        <f t="shared" si="1909"/>
        <v>-25.849609591413355</v>
      </c>
      <c r="BV265" s="22">
        <f t="shared" si="1909"/>
        <v>505.14960959141399</v>
      </c>
      <c r="BW265" s="22">
        <f t="shared" si="1909"/>
        <v>15.159615830680195</v>
      </c>
      <c r="BX265" s="22">
        <f t="shared" si="1909"/>
        <v>-2416.3496158306798</v>
      </c>
      <c r="BY265" s="22">
        <f t="shared" si="1909"/>
        <v>-46.400272060725001</v>
      </c>
      <c r="BZ265" s="22">
        <f t="shared" si="1909"/>
        <v>848.92027206072203</v>
      </c>
      <c r="CA265" s="22">
        <f t="shared" si="1909"/>
        <v>19.238789067387188</v>
      </c>
      <c r="CB265" s="22">
        <f t="shared" si="1909"/>
        <v>119.70121093261582</v>
      </c>
      <c r="CC265" s="22">
        <f t="shared" si="1909"/>
        <v>-10.488144926194764</v>
      </c>
      <c r="CD265" s="22">
        <f t="shared" si="1909"/>
        <v>-899.08185507380813</v>
      </c>
      <c r="CE265" s="22">
        <f t="shared" ref="CE265:CF265" si="1910">CE263-CE264</f>
        <v>-354.4696835463219</v>
      </c>
      <c r="CF265" s="22">
        <f t="shared" si="1910"/>
        <v>-4401.3803164536812</v>
      </c>
      <c r="CG265" s="22">
        <f t="shared" ref="CG265:CH265" si="1911">CG263-CG264</f>
        <v>180.33687714475309</v>
      </c>
      <c r="CH265" s="22">
        <f t="shared" si="1911"/>
        <v>12581.453122855251</v>
      </c>
      <c r="CI265" s="22">
        <f t="shared" ref="CI265:CJ265" si="1912">CI263-CI264</f>
        <v>-18.698163800596149</v>
      </c>
      <c r="CJ265" s="22">
        <f t="shared" si="1912"/>
        <v>-18754.801836199404</v>
      </c>
      <c r="CK265" s="22">
        <f t="shared" ref="CK265:DB265" si="1913">CK263-CK264</f>
        <v>-391.10856550275071</v>
      </c>
      <c r="CL265" s="22">
        <f t="shared" si="1913"/>
        <v>-3071.9114344972459</v>
      </c>
      <c r="CM265" s="21">
        <f t="shared" si="1913"/>
        <v>-9429.9519115391577</v>
      </c>
      <c r="CN265" s="21">
        <f t="shared" si="1913"/>
        <v>-2756.0702699734597</v>
      </c>
      <c r="CO265" s="21">
        <f t="shared" si="1913"/>
        <v>-5235.6734293248437</v>
      </c>
      <c r="CP265" s="21">
        <f t="shared" si="1913"/>
        <v>-3051.2107827770519</v>
      </c>
      <c r="CQ265" s="21">
        <f t="shared" si="1913"/>
        <v>-2026.0201473467982</v>
      </c>
      <c r="CR265" s="21">
        <f t="shared" si="1913"/>
        <v>1745.3716906150185</v>
      </c>
      <c r="CS265" s="21">
        <f t="shared" si="1913"/>
        <v>-128.81072648076406</v>
      </c>
      <c r="CT265" s="21">
        <f t="shared" si="1913"/>
        <v>-700.85615746175245</v>
      </c>
      <c r="CU265" s="21">
        <f t="shared" si="1913"/>
        <v>-72.163209874712265</v>
      </c>
      <c r="CV265" s="21">
        <f t="shared" si="1913"/>
        <v>293.18294519742631</v>
      </c>
      <c r="CW265" s="21">
        <f t="shared" si="1913"/>
        <v>-3467.2671867644167</v>
      </c>
      <c r="CX265" s="21">
        <f t="shared" si="1913"/>
        <v>-1226.1389028528429</v>
      </c>
      <c r="CY265" s="21">
        <f t="shared" si="1913"/>
        <v>-1906.8850502788569</v>
      </c>
      <c r="CZ265" s="21">
        <f t="shared" si="1913"/>
        <v>25.240210072102855</v>
      </c>
      <c r="DA265" s="21">
        <f t="shared" si="1913"/>
        <v>-2025.4683132263231</v>
      </c>
      <c r="DB265" s="21">
        <f t="shared" si="1913"/>
        <v>-2496.5484009938859</v>
      </c>
      <c r="DE265" s="126"/>
      <c r="DF265" s="22">
        <v>0</v>
      </c>
      <c r="DG265" s="22">
        <v>-6442.2309906195951</v>
      </c>
    </row>
    <row r="266" spans="1:111" s="22" customFormat="1" x14ac:dyDescent="0.2">
      <c r="A266" s="22" t="s">
        <v>91</v>
      </c>
      <c r="C266" s="22">
        <f t="shared" ref="C266:W266" si="1914">C262+C265</f>
        <v>0</v>
      </c>
      <c r="D266" s="22">
        <f>D262+D265</f>
        <v>0</v>
      </c>
      <c r="E266" s="22">
        <f t="shared" si="1914"/>
        <v>0</v>
      </c>
      <c r="F266" s="22">
        <f t="shared" si="1914"/>
        <v>0</v>
      </c>
      <c r="G266" s="22">
        <f t="shared" si="1914"/>
        <v>0</v>
      </c>
      <c r="H266" s="22">
        <f t="shared" si="1914"/>
        <v>0</v>
      </c>
      <c r="I266" s="22">
        <f t="shared" si="1914"/>
        <v>0</v>
      </c>
      <c r="J266" s="22">
        <f>J262+J265</f>
        <v>0</v>
      </c>
      <c r="K266" s="22">
        <f t="shared" si="1914"/>
        <v>0</v>
      </c>
      <c r="L266" s="22">
        <f t="shared" si="1914"/>
        <v>0</v>
      </c>
      <c r="M266" s="22">
        <f t="shared" si="1914"/>
        <v>0</v>
      </c>
      <c r="N266" s="22">
        <f t="shared" si="1914"/>
        <v>0</v>
      </c>
      <c r="O266" s="22">
        <f t="shared" si="1914"/>
        <v>0</v>
      </c>
      <c r="P266" s="22">
        <f t="shared" si="1914"/>
        <v>-156.57270290000002</v>
      </c>
      <c r="Q266" s="22">
        <f t="shared" si="1914"/>
        <v>345.15000000000032</v>
      </c>
      <c r="R266" s="22">
        <f t="shared" si="1914"/>
        <v>1523.1399999999999</v>
      </c>
      <c r="S266" s="22">
        <f t="shared" si="1914"/>
        <v>-2228.2400000000007</v>
      </c>
      <c r="T266" s="22">
        <f t="shared" si="1914"/>
        <v>3587.3400000000006</v>
      </c>
      <c r="U266" s="22">
        <f t="shared" si="1914"/>
        <v>-108.37000000000126</v>
      </c>
      <c r="V266" s="22">
        <f t="shared" si="1914"/>
        <v>4477.91</v>
      </c>
      <c r="W266" s="22">
        <f t="shared" si="1914"/>
        <v>2363.1099999999983</v>
      </c>
      <c r="X266" s="22">
        <f t="shared" ref="X266:Y266" si="1915">X262+X265</f>
        <v>1214.0500000000004</v>
      </c>
      <c r="Y266" s="22">
        <f t="shared" si="1915"/>
        <v>2795.4299999999971</v>
      </c>
      <c r="Z266" s="22">
        <f>Z262+Z265</f>
        <v>-2391.46</v>
      </c>
      <c r="AA266" s="22">
        <f>AA262+AA265</f>
        <v>-6427.4899999999925</v>
      </c>
      <c r="AB266" s="21">
        <f t="shared" ref="AB266:AD266" si="1916">AB262+AB265</f>
        <v>-14616.758140194965</v>
      </c>
      <c r="AC266" s="21">
        <f t="shared" si="1916"/>
        <v>6663.1259344698283</v>
      </c>
      <c r="AD266" s="21">
        <f t="shared" si="1916"/>
        <v>5382.2454834574928</v>
      </c>
      <c r="AE266" s="21">
        <f t="shared" ref="AE266" si="1917">AE262+AE265</f>
        <v>4580.825672632549</v>
      </c>
      <c r="AI266" s="22">
        <f t="shared" ref="AI266" si="1918">AI262+AI265</f>
        <v>0</v>
      </c>
      <c r="AJ266" s="22">
        <f t="shared" ref="AJ266:AL266" si="1919">AJ262+AJ265</f>
        <v>0</v>
      </c>
      <c r="AK266" s="22" t="e">
        <f t="shared" si="1919"/>
        <v>#DIV/0!</v>
      </c>
      <c r="AL266" s="22" t="e">
        <f t="shared" si="1919"/>
        <v>#DIV/0!</v>
      </c>
      <c r="AM266" s="22" t="e">
        <f t="shared" ref="AM266" si="1920">AM262+AM265</f>
        <v>#DIV/0!</v>
      </c>
      <c r="AN266" s="22" t="e">
        <f t="shared" ref="AN266:CD266" si="1921">AN262+AN265</f>
        <v>#DIV/0!</v>
      </c>
      <c r="AO266" s="22" t="e">
        <f t="shared" si="1921"/>
        <v>#DIV/0!</v>
      </c>
      <c r="AP266" s="22" t="e">
        <f t="shared" si="1921"/>
        <v>#DIV/0!</v>
      </c>
      <c r="AQ266" s="22" t="e">
        <f t="shared" si="1921"/>
        <v>#DIV/0!</v>
      </c>
      <c r="AR266" s="22" t="e">
        <f t="shared" si="1921"/>
        <v>#DIV/0!</v>
      </c>
      <c r="AS266" s="22" t="e">
        <f t="shared" si="1921"/>
        <v>#DIV/0!</v>
      </c>
      <c r="AT266" s="22" t="e">
        <f t="shared" si="1921"/>
        <v>#DIV/0!</v>
      </c>
      <c r="AU266" s="22">
        <f t="shared" si="1921"/>
        <v>-998.94035598966707</v>
      </c>
      <c r="AV266" s="22">
        <f t="shared" si="1921"/>
        <v>1061.3403559896669</v>
      </c>
      <c r="AW266" s="22">
        <f t="shared" si="1921"/>
        <v>227.2890961293069</v>
      </c>
      <c r="AX266" s="22">
        <f t="shared" si="1921"/>
        <v>-100.47909612930647</v>
      </c>
      <c r="AY266" s="22">
        <f t="shared" si="1921"/>
        <v>264.3469875571991</v>
      </c>
      <c r="AZ266" s="22">
        <f t="shared" si="1921"/>
        <v>-612.38698755719929</v>
      </c>
      <c r="BA266" s="22">
        <f t="shared" si="1921"/>
        <v>224.86992881206967</v>
      </c>
      <c r="BB266" s="22">
        <f t="shared" si="1921"/>
        <v>1317.1800711879303</v>
      </c>
      <c r="BC266" s="22">
        <f t="shared" si="1921"/>
        <v>283.13984687642295</v>
      </c>
      <c r="BD266" s="22">
        <f t="shared" si="1921"/>
        <v>674.66015312357717</v>
      </c>
      <c r="BE266" s="22">
        <f t="shared" si="1921"/>
        <v>688.18860927685625</v>
      </c>
      <c r="BF266" s="22">
        <f t="shared" si="1921"/>
        <v>-3362.9786092768554</v>
      </c>
      <c r="BG266" s="22">
        <f t="shared" si="1921"/>
        <v>374.67155492999467</v>
      </c>
      <c r="BH266" s="22">
        <f t="shared" si="1921"/>
        <v>6427.6984450700038</v>
      </c>
      <c r="BI266" s="22">
        <f t="shared" si="1921"/>
        <v>886.17853775409355</v>
      </c>
      <c r="BJ266" s="22">
        <f t="shared" si="1921"/>
        <v>-2731.3885377540914</v>
      </c>
      <c r="BK266" s="22">
        <f t="shared" si="1921"/>
        <v>516.92476468832012</v>
      </c>
      <c r="BL266" s="22">
        <f t="shared" si="1921"/>
        <v>520.81523531167977</v>
      </c>
      <c r="BM266" s="22">
        <f t="shared" si="1921"/>
        <v>492.94600401017925</v>
      </c>
      <c r="BN266" s="22">
        <f t="shared" si="1921"/>
        <v>-3356.6160040101813</v>
      </c>
      <c r="BO266" s="22">
        <f t="shared" si="1921"/>
        <v>712.57055902804132</v>
      </c>
      <c r="BP266" s="22">
        <f t="shared" si="1921"/>
        <v>362.06944097195935</v>
      </c>
      <c r="BQ266" s="22">
        <f t="shared" si="1921"/>
        <v>684.45757869204374</v>
      </c>
      <c r="BR266" s="22">
        <f t="shared" si="1921"/>
        <v>1143.652421307957</v>
      </c>
      <c r="BS266" s="22">
        <f t="shared" si="1921"/>
        <v>777.3041871774833</v>
      </c>
      <c r="BT266" s="22">
        <f t="shared" si="1921"/>
        <v>-834.18418717748307</v>
      </c>
      <c r="BU266" s="22">
        <f t="shared" si="1921"/>
        <v>603.9203904085864</v>
      </c>
      <c r="BV266" s="22">
        <f t="shared" si="1921"/>
        <v>1104.2696095914139</v>
      </c>
      <c r="BW266" s="22">
        <f t="shared" si="1921"/>
        <v>585.12961583068</v>
      </c>
      <c r="BX266" s="22">
        <f t="shared" si="1921"/>
        <v>-1812.3396158306796</v>
      </c>
      <c r="BY266" s="22">
        <f t="shared" si="1921"/>
        <v>838.6897279392748</v>
      </c>
      <c r="BZ266" s="22">
        <f t="shared" si="1921"/>
        <v>1653.9202720607218</v>
      </c>
      <c r="CA266" s="22">
        <f t="shared" si="1921"/>
        <v>613.17878906738702</v>
      </c>
      <c r="CB266" s="22">
        <f t="shared" si="1921"/>
        <v>827.63121093261589</v>
      </c>
      <c r="CC266" s="22">
        <f t="shared" si="1921"/>
        <v>772.05185507380452</v>
      </c>
      <c r="CD266" s="22">
        <f t="shared" si="1921"/>
        <v>-70.131855073807856</v>
      </c>
      <c r="CE266" s="22">
        <f t="shared" ref="CE266:CF266" si="1922">CE262+CE265</f>
        <v>-680.5396835463215</v>
      </c>
      <c r="CF266" s="22">
        <f t="shared" si="1922"/>
        <v>-3242.350316453681</v>
      </c>
      <c r="CG266" s="22">
        <f t="shared" ref="CG266:CH266" si="1923">CG262+CG265</f>
        <v>1204.4968771447529</v>
      </c>
      <c r="CH266" s="22">
        <f t="shared" si="1923"/>
        <v>13690.253122855253</v>
      </c>
      <c r="CI266" s="22">
        <f t="shared" ref="CI266:CJ266" si="1924">CI262+CI265</f>
        <v>958.60183619940358</v>
      </c>
      <c r="CJ266" s="22">
        <f t="shared" si="1924"/>
        <v>-17711.421836199403</v>
      </c>
      <c r="CK266" s="22">
        <f t="shared" ref="CK266:DB266" si="1925">CK262+CK265</f>
        <v>657.39143449724975</v>
      </c>
      <c r="CL266" s="22">
        <f t="shared" si="1925"/>
        <v>-1880.321434497245</v>
      </c>
      <c r="CM266" s="21">
        <f t="shared" si="1925"/>
        <v>-7807.9129792251297</v>
      </c>
      <c r="CN266" s="21">
        <f t="shared" si="1925"/>
        <v>-1187.5172729208743</v>
      </c>
      <c r="CO266" s="21">
        <f t="shared" si="1925"/>
        <v>-3626.7451205045504</v>
      </c>
      <c r="CP266" s="21">
        <f t="shared" si="1925"/>
        <v>-1403.8727675444138</v>
      </c>
      <c r="CQ266" s="21">
        <f t="shared" si="1925"/>
        <v>-163.59001156049817</v>
      </c>
      <c r="CR266" s="21">
        <f t="shared" si="1925"/>
        <v>3608.7460196119546</v>
      </c>
      <c r="CS266" s="21">
        <f t="shared" si="1925"/>
        <v>1823.8835224301731</v>
      </c>
      <c r="CT266" s="21">
        <f t="shared" si="1925"/>
        <v>1394.0864039881944</v>
      </c>
      <c r="CU266" s="21">
        <f t="shared" si="1925"/>
        <v>2245.1612761869192</v>
      </c>
      <c r="CV266" s="21">
        <f t="shared" si="1925"/>
        <v>2614.873586448005</v>
      </c>
      <c r="CW266" s="21">
        <f t="shared" si="1925"/>
        <v>-871.61874631801902</v>
      </c>
      <c r="CX266" s="21">
        <f t="shared" si="1925"/>
        <v>1393.8293671405881</v>
      </c>
      <c r="CY266" s="21">
        <f t="shared" si="1925"/>
        <v>763.02608572041026</v>
      </c>
      <c r="CZ266" s="21">
        <f t="shared" si="1925"/>
        <v>2684.7309849995518</v>
      </c>
      <c r="DA266" s="21">
        <f t="shared" si="1925"/>
        <v>736.11383896354573</v>
      </c>
      <c r="DB266" s="21">
        <f t="shared" si="1925"/>
        <v>396.95476294904574</v>
      </c>
      <c r="DE266" s="126"/>
      <c r="DF266" s="22">
        <v>0</v>
      </c>
      <c r="DG266" s="22">
        <v>-4962.8174637005568</v>
      </c>
    </row>
    <row r="267" spans="1:111" s="23" customFormat="1" x14ac:dyDescent="0.2">
      <c r="AB267" s="24"/>
      <c r="AC267" s="24"/>
      <c r="AD267" s="24"/>
      <c r="AE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E267" s="123"/>
    </row>
    <row r="268" spans="1:111" s="22" customFormat="1" x14ac:dyDescent="0.2">
      <c r="A268" s="22" t="s">
        <v>92</v>
      </c>
      <c r="C268" s="22">
        <f t="shared" ref="C268:W268" si="1926">C269+C270</f>
        <v>0</v>
      </c>
      <c r="D268" s="22">
        <f>D269+D270</f>
        <v>0</v>
      </c>
      <c r="E268" s="22">
        <f t="shared" si="1926"/>
        <v>0</v>
      </c>
      <c r="F268" s="22">
        <f t="shared" si="1926"/>
        <v>0</v>
      </c>
      <c r="G268" s="22">
        <f t="shared" si="1926"/>
        <v>0</v>
      </c>
      <c r="H268" s="22">
        <f t="shared" si="1926"/>
        <v>0</v>
      </c>
      <c r="I268" s="22">
        <f t="shared" si="1926"/>
        <v>0</v>
      </c>
      <c r="J268" s="22">
        <f t="shared" si="1926"/>
        <v>0</v>
      </c>
      <c r="K268" s="22">
        <f t="shared" si="1926"/>
        <v>0</v>
      </c>
      <c r="L268" s="22">
        <f t="shared" si="1926"/>
        <v>0</v>
      </c>
      <c r="M268" s="22">
        <f t="shared" si="1926"/>
        <v>0</v>
      </c>
      <c r="N268" s="22">
        <f t="shared" si="1926"/>
        <v>0</v>
      </c>
      <c r="O268" s="22">
        <f t="shared" si="1926"/>
        <v>0</v>
      </c>
      <c r="P268" s="22">
        <f t="shared" si="1926"/>
        <v>-10620.22</v>
      </c>
      <c r="Q268" s="22">
        <f t="shared" si="1926"/>
        <v>-295.13999999999942</v>
      </c>
      <c r="R268" s="22">
        <f t="shared" si="1926"/>
        <v>-1446.4799999999996</v>
      </c>
      <c r="S268" s="22">
        <f t="shared" si="1926"/>
        <v>-1027.5700000000015</v>
      </c>
      <c r="T268" s="22">
        <f t="shared" si="1926"/>
        <v>-14465.1</v>
      </c>
      <c r="U268" s="22">
        <f t="shared" si="1926"/>
        <v>-3083.4799999999977</v>
      </c>
      <c r="V268" s="22">
        <f t="shared" si="1926"/>
        <v>-6701.42</v>
      </c>
      <c r="W268" s="22">
        <f t="shared" si="1926"/>
        <v>-4514.2700000000041</v>
      </c>
      <c r="X268" s="22">
        <f t="shared" ref="X268:Y268" si="1927">X269+X270</f>
        <v>-5170.1099999999997</v>
      </c>
      <c r="Y268" s="22">
        <f t="shared" si="1927"/>
        <v>-4863.83</v>
      </c>
      <c r="Z268" s="22">
        <f>Z269+Z270</f>
        <v>-5265.4399999999951</v>
      </c>
      <c r="AA268" s="22">
        <f>AA269+AA270</f>
        <v>-5637.3500000000058</v>
      </c>
      <c r="AB268" s="21">
        <f t="shared" ref="AB268:AD268" si="1928">AB269+AB270</f>
        <v>-21166.960000000006</v>
      </c>
      <c r="AC268" s="21">
        <f t="shared" si="1928"/>
        <v>-23000</v>
      </c>
      <c r="AD268" s="21">
        <f t="shared" si="1928"/>
        <v>-16000</v>
      </c>
      <c r="AE268" s="21">
        <f t="shared" ref="AE268" si="1929">AE269+AE270</f>
        <v>-16000</v>
      </c>
      <c r="AI268" s="22">
        <f t="shared" ref="AI268" si="1930">AI269+AI270</f>
        <v>0</v>
      </c>
      <c r="AJ268" s="22">
        <f t="shared" ref="AJ268:AL268" si="1931">AJ269+AJ270</f>
        <v>0</v>
      </c>
      <c r="AK268" s="22">
        <f t="shared" si="1931"/>
        <v>0</v>
      </c>
      <c r="AL268" s="22">
        <f t="shared" si="1931"/>
        <v>0</v>
      </c>
      <c r="AM268" s="22">
        <f t="shared" ref="AM268" si="1932">AM269+AM270</f>
        <v>0</v>
      </c>
      <c r="AN268" s="22">
        <f t="shared" ref="AN268:CD268" si="1933">AN269+AN270</f>
        <v>0</v>
      </c>
      <c r="AO268" s="22">
        <f t="shared" si="1933"/>
        <v>0</v>
      </c>
      <c r="AP268" s="22">
        <f t="shared" si="1933"/>
        <v>0</v>
      </c>
      <c r="AQ268" s="22">
        <f t="shared" si="1933"/>
        <v>0</v>
      </c>
      <c r="AR268" s="22">
        <f t="shared" si="1933"/>
        <v>0</v>
      </c>
      <c r="AS268" s="22">
        <f t="shared" si="1933"/>
        <v>0</v>
      </c>
      <c r="AT268" s="22">
        <f t="shared" si="1933"/>
        <v>-10620.22</v>
      </c>
      <c r="AU268" s="22">
        <f t="shared" si="1933"/>
        <v>-138.56999999999971</v>
      </c>
      <c r="AV268" s="22">
        <f t="shared" si="1933"/>
        <v>102.47999999999956</v>
      </c>
      <c r="AW268" s="22">
        <f t="shared" si="1933"/>
        <v>-140.61000000000058</v>
      </c>
      <c r="AX268" s="22">
        <f t="shared" si="1933"/>
        <v>-118.44000000000051</v>
      </c>
      <c r="AY268" s="22">
        <f t="shared" si="1933"/>
        <v>-139.76000000000022</v>
      </c>
      <c r="AZ268" s="22">
        <f t="shared" si="1933"/>
        <v>-197.26000000000022</v>
      </c>
      <c r="BA268" s="22">
        <f t="shared" si="1933"/>
        <v>-145.68000000000029</v>
      </c>
      <c r="BB268" s="22">
        <f t="shared" si="1933"/>
        <v>-963.77999999999884</v>
      </c>
      <c r="BC268" s="22">
        <f t="shared" si="1933"/>
        <v>-144.55999999999949</v>
      </c>
      <c r="BD268" s="22">
        <f t="shared" si="1933"/>
        <v>-454.95000000000073</v>
      </c>
      <c r="BE268" s="22">
        <f t="shared" si="1933"/>
        <v>-146.02000000000044</v>
      </c>
      <c r="BF268" s="22">
        <f t="shared" si="1933"/>
        <v>-282.04000000000087</v>
      </c>
      <c r="BG268" s="22">
        <f t="shared" si="1933"/>
        <v>-146.05999999999949</v>
      </c>
      <c r="BH268" s="22">
        <f t="shared" si="1933"/>
        <v>-16828.28</v>
      </c>
      <c r="BI268" s="22">
        <f t="shared" si="1933"/>
        <v>-267.63999999999942</v>
      </c>
      <c r="BJ268" s="22">
        <f t="shared" si="1933"/>
        <v>2776.8799999999992</v>
      </c>
      <c r="BK268" s="22">
        <f t="shared" si="1933"/>
        <v>-285.25</v>
      </c>
      <c r="BL268" s="22">
        <f t="shared" si="1933"/>
        <v>-369.93999999999693</v>
      </c>
      <c r="BM268" s="22">
        <f t="shared" si="1933"/>
        <v>-293.54000000000087</v>
      </c>
      <c r="BN268" s="22">
        <f t="shared" si="1933"/>
        <v>-1897.2100000000028</v>
      </c>
      <c r="BO268" s="22">
        <f t="shared" si="1933"/>
        <v>-377.83000000000175</v>
      </c>
      <c r="BP268" s="22">
        <f t="shared" si="1933"/>
        <v>-1183.9900000000023</v>
      </c>
      <c r="BQ268" s="22">
        <f t="shared" si="1933"/>
        <v>-325.29000000000087</v>
      </c>
      <c r="BR268" s="22">
        <f t="shared" si="1933"/>
        <v>-4833.6999999999989</v>
      </c>
      <c r="BS268" s="22">
        <f t="shared" si="1933"/>
        <v>-342.11999999999898</v>
      </c>
      <c r="BT268" s="22">
        <f t="shared" si="1933"/>
        <v>-1244.0099999999966</v>
      </c>
      <c r="BU268" s="22">
        <f t="shared" si="1933"/>
        <v>-362.7400000000016</v>
      </c>
      <c r="BV268" s="22">
        <f t="shared" si="1933"/>
        <v>-2110.5500000000011</v>
      </c>
      <c r="BW268" s="22">
        <f t="shared" si="1933"/>
        <v>-383.9800000000032</v>
      </c>
      <c r="BX268" s="22">
        <f t="shared" si="1933"/>
        <v>-1827.3299999999988</v>
      </c>
      <c r="BY268" s="22">
        <f t="shared" si="1933"/>
        <v>-410.37000000000262</v>
      </c>
      <c r="BZ268" s="22">
        <f t="shared" si="1933"/>
        <v>-2569.2100000000009</v>
      </c>
      <c r="CA268" s="22">
        <f t="shared" si="1933"/>
        <v>-418.87999999999738</v>
      </c>
      <c r="CB268" s="22">
        <f t="shared" si="1933"/>
        <v>-2005.0700000000052</v>
      </c>
      <c r="CC268" s="22">
        <f t="shared" si="1933"/>
        <v>-457.63999999999942</v>
      </c>
      <c r="CD268" s="22">
        <f t="shared" si="1933"/>
        <v>-1851.3499999999988</v>
      </c>
      <c r="CE268" s="22">
        <f t="shared" ref="CE268:CF268" si="1934">CE269+CE270</f>
        <v>-497.84999999999854</v>
      </c>
      <c r="CF268" s="22">
        <f t="shared" si="1934"/>
        <v>-1139.8100000000022</v>
      </c>
      <c r="CG268" s="22">
        <f t="shared" ref="CG268:CH268" si="1935">CG269+CG270</f>
        <v>-462.37999999999738</v>
      </c>
      <c r="CH268" s="22">
        <f t="shared" si="1935"/>
        <v>-3948.509999999997</v>
      </c>
      <c r="CI268" s="22">
        <f t="shared" ref="CI268:CJ268" si="1936">CI269+CI270</f>
        <v>0</v>
      </c>
      <c r="CJ268" s="22">
        <f t="shared" si="1936"/>
        <v>-1467.8800000000051</v>
      </c>
      <c r="CK268" s="22">
        <f t="shared" ref="CK268:DB268" si="1937">CK269+CK270</f>
        <v>-600</v>
      </c>
      <c r="CL268" s="22">
        <f t="shared" si="1937"/>
        <v>-2736.43</v>
      </c>
      <c r="CM268" s="21">
        <f t="shared" si="1937"/>
        <v>-5499.9999999999927</v>
      </c>
      <c r="CN268" s="21">
        <f t="shared" si="1937"/>
        <v>-5500.0000000000073</v>
      </c>
      <c r="CO268" s="21">
        <f t="shared" si="1937"/>
        <v>-5500</v>
      </c>
      <c r="CP268" s="21">
        <f t="shared" si="1937"/>
        <v>-5500</v>
      </c>
      <c r="CQ268" s="21">
        <f t="shared" si="1937"/>
        <v>-5750</v>
      </c>
      <c r="CR268" s="21">
        <f t="shared" si="1937"/>
        <v>-5749.9999999999854</v>
      </c>
      <c r="CS268" s="21">
        <f t="shared" si="1937"/>
        <v>-5750</v>
      </c>
      <c r="CT268" s="21">
        <f t="shared" si="1937"/>
        <v>-5750</v>
      </c>
      <c r="CU268" s="21">
        <f t="shared" si="1937"/>
        <v>-4000</v>
      </c>
      <c r="CV268" s="21">
        <f t="shared" si="1937"/>
        <v>-4000</v>
      </c>
      <c r="CW268" s="21">
        <f t="shared" si="1937"/>
        <v>-4000</v>
      </c>
      <c r="CX268" s="21">
        <f t="shared" si="1937"/>
        <v>-4000.0000000000146</v>
      </c>
      <c r="CY268" s="21">
        <f t="shared" si="1937"/>
        <v>-4000</v>
      </c>
      <c r="CZ268" s="21">
        <f t="shared" si="1937"/>
        <v>-3999.9999999999854</v>
      </c>
      <c r="DA268" s="21">
        <f t="shared" si="1937"/>
        <v>-4000</v>
      </c>
      <c r="DB268" s="21">
        <f t="shared" si="1937"/>
        <v>-4000</v>
      </c>
      <c r="DE268" s="126"/>
      <c r="DF268" s="22">
        <v>0</v>
      </c>
      <c r="DG268" s="22">
        <v>-700</v>
      </c>
    </row>
    <row r="269" spans="1:111" s="23" customFormat="1" x14ac:dyDescent="0.2">
      <c r="A269" s="23" t="s">
        <v>93</v>
      </c>
      <c r="C269" s="23">
        <f t="shared" ref="C269:AE269" si="1938">B193-C193</f>
        <v>0</v>
      </c>
      <c r="D269" s="23">
        <f t="shared" si="1938"/>
        <v>0</v>
      </c>
      <c r="E269" s="23">
        <f t="shared" si="1938"/>
        <v>0</v>
      </c>
      <c r="F269" s="23">
        <f t="shared" si="1938"/>
        <v>0</v>
      </c>
      <c r="G269" s="23">
        <f t="shared" si="1938"/>
        <v>0</v>
      </c>
      <c r="H269" s="23">
        <f t="shared" si="1938"/>
        <v>0</v>
      </c>
      <c r="I269" s="23">
        <f t="shared" si="1938"/>
        <v>0</v>
      </c>
      <c r="J269" s="23">
        <f t="shared" si="1938"/>
        <v>0</v>
      </c>
      <c r="K269" s="23">
        <f t="shared" si="1938"/>
        <v>0</v>
      </c>
      <c r="L269" s="23">
        <f t="shared" si="1938"/>
        <v>0</v>
      </c>
      <c r="M269" s="23">
        <f t="shared" si="1938"/>
        <v>0</v>
      </c>
      <c r="N269" s="23">
        <f t="shared" si="1938"/>
        <v>0</v>
      </c>
      <c r="O269" s="23">
        <f t="shared" si="1938"/>
        <v>0</v>
      </c>
      <c r="P269" s="23">
        <f t="shared" si="1938"/>
        <v>0</v>
      </c>
      <c r="Q269" s="23">
        <f t="shared" si="1938"/>
        <v>0</v>
      </c>
      <c r="R269" s="23">
        <f t="shared" si="1938"/>
        <v>0</v>
      </c>
      <c r="S269" s="23">
        <f t="shared" si="1938"/>
        <v>0</v>
      </c>
      <c r="T269" s="23">
        <f t="shared" si="1938"/>
        <v>-120.92</v>
      </c>
      <c r="U269" s="23">
        <f t="shared" si="1938"/>
        <v>120.92</v>
      </c>
      <c r="V269" s="23">
        <f t="shared" si="1938"/>
        <v>-267.24</v>
      </c>
      <c r="W269" s="23">
        <f t="shared" si="1938"/>
        <v>3.0699999999999932</v>
      </c>
      <c r="X269" s="23">
        <f t="shared" si="1938"/>
        <v>-48.71999999999997</v>
      </c>
      <c r="Y269" s="23">
        <f t="shared" si="1938"/>
        <v>-10.900000000000034</v>
      </c>
      <c r="Z269" s="23">
        <f t="shared" si="1938"/>
        <v>-24.930000000000007</v>
      </c>
      <c r="AA269" s="23">
        <f t="shared" si="1938"/>
        <v>-58.569999999999993</v>
      </c>
      <c r="AB269" s="24">
        <f t="shared" si="1938"/>
        <v>0</v>
      </c>
      <c r="AC269" s="24">
        <f t="shared" si="1938"/>
        <v>0</v>
      </c>
      <c r="AD269" s="24">
        <f t="shared" si="1938"/>
        <v>0</v>
      </c>
      <c r="AE269" s="24">
        <f t="shared" si="1938"/>
        <v>0</v>
      </c>
      <c r="AI269" s="23">
        <f t="shared" ref="AI269:BN269" si="1939">AH193-AI193</f>
        <v>0</v>
      </c>
      <c r="AJ269" s="23">
        <f t="shared" si="1939"/>
        <v>0</v>
      </c>
      <c r="AK269" s="23">
        <f t="shared" si="1939"/>
        <v>0</v>
      </c>
      <c r="AL269" s="23">
        <f t="shared" si="1939"/>
        <v>0</v>
      </c>
      <c r="AM269" s="23">
        <f t="shared" si="1939"/>
        <v>0</v>
      </c>
      <c r="AN269" s="23">
        <f t="shared" si="1939"/>
        <v>0</v>
      </c>
      <c r="AO269" s="23">
        <f t="shared" si="1939"/>
        <v>0</v>
      </c>
      <c r="AP269" s="23">
        <f t="shared" si="1939"/>
        <v>0</v>
      </c>
      <c r="AQ269" s="23">
        <f t="shared" si="1939"/>
        <v>0</v>
      </c>
      <c r="AR269" s="23">
        <f t="shared" si="1939"/>
        <v>0</v>
      </c>
      <c r="AS269" s="23">
        <f t="shared" si="1939"/>
        <v>0</v>
      </c>
      <c r="AT269" s="23">
        <f t="shared" si="1939"/>
        <v>0</v>
      </c>
      <c r="AU269" s="23">
        <f t="shared" si="1939"/>
        <v>0</v>
      </c>
      <c r="AV269" s="23">
        <f t="shared" si="1939"/>
        <v>0</v>
      </c>
      <c r="AW269" s="23">
        <f t="shared" si="1939"/>
        <v>0</v>
      </c>
      <c r="AX269" s="23">
        <f t="shared" si="1939"/>
        <v>0</v>
      </c>
      <c r="AY269" s="23">
        <f t="shared" si="1939"/>
        <v>0</v>
      </c>
      <c r="AZ269" s="23">
        <f t="shared" si="1939"/>
        <v>0</v>
      </c>
      <c r="BA269" s="23">
        <f t="shared" si="1939"/>
        <v>0</v>
      </c>
      <c r="BB269" s="23">
        <f t="shared" si="1939"/>
        <v>0</v>
      </c>
      <c r="BC269" s="23">
        <f t="shared" si="1939"/>
        <v>0</v>
      </c>
      <c r="BD269" s="23">
        <f t="shared" si="1939"/>
        <v>0</v>
      </c>
      <c r="BE269" s="23">
        <f t="shared" si="1939"/>
        <v>0</v>
      </c>
      <c r="BF269" s="23">
        <f t="shared" si="1939"/>
        <v>0</v>
      </c>
      <c r="BG269" s="23">
        <f t="shared" si="1939"/>
        <v>0</v>
      </c>
      <c r="BH269" s="23">
        <f t="shared" si="1939"/>
        <v>-118</v>
      </c>
      <c r="BI269" s="23">
        <f t="shared" si="1939"/>
        <v>0</v>
      </c>
      <c r="BJ269" s="23">
        <f t="shared" si="1939"/>
        <v>-2.9200000000000017</v>
      </c>
      <c r="BK269" s="23">
        <f t="shared" si="1939"/>
        <v>0</v>
      </c>
      <c r="BL269" s="23">
        <f t="shared" si="1939"/>
        <v>120.92</v>
      </c>
      <c r="BM269" s="23">
        <f t="shared" si="1939"/>
        <v>0</v>
      </c>
      <c r="BN269" s="23">
        <f t="shared" si="1939"/>
        <v>0</v>
      </c>
      <c r="BO269" s="23">
        <f t="shared" ref="BO269:CT269" si="1940">BN193-BO193</f>
        <v>0</v>
      </c>
      <c r="BP269" s="23">
        <f t="shared" si="1940"/>
        <v>-2.89</v>
      </c>
      <c r="BQ269" s="23">
        <f t="shared" si="1940"/>
        <v>0</v>
      </c>
      <c r="BR269" s="23">
        <f t="shared" si="1940"/>
        <v>-264.35000000000002</v>
      </c>
      <c r="BS269" s="23">
        <f t="shared" si="1940"/>
        <v>0</v>
      </c>
      <c r="BT269" s="23">
        <f t="shared" si="1940"/>
        <v>1.5799999999999841</v>
      </c>
      <c r="BU269" s="23">
        <f t="shared" si="1940"/>
        <v>0</v>
      </c>
      <c r="BV269" s="23">
        <f t="shared" si="1940"/>
        <v>1.4900000000000091</v>
      </c>
      <c r="BW269" s="23">
        <f t="shared" si="1940"/>
        <v>0</v>
      </c>
      <c r="BX269" s="23">
        <f t="shared" si="1940"/>
        <v>-49.050000000000011</v>
      </c>
      <c r="BY269" s="23">
        <f t="shared" si="1940"/>
        <v>0</v>
      </c>
      <c r="BZ269" s="23">
        <f t="shared" si="1940"/>
        <v>0.33000000000004093</v>
      </c>
      <c r="CA269" s="23">
        <f t="shared" si="1940"/>
        <v>0</v>
      </c>
      <c r="CB269" s="23">
        <f t="shared" si="1940"/>
        <v>0.16999999999995907</v>
      </c>
      <c r="CC269" s="23">
        <f t="shared" si="1940"/>
        <v>0</v>
      </c>
      <c r="CD269" s="23">
        <f t="shared" si="1940"/>
        <v>-11.069999999999993</v>
      </c>
      <c r="CE269" s="23">
        <f t="shared" si="1940"/>
        <v>0</v>
      </c>
      <c r="CF269" s="23">
        <f t="shared" si="1940"/>
        <v>-24.870000000000005</v>
      </c>
      <c r="CG269" s="23">
        <f t="shared" si="1940"/>
        <v>0</v>
      </c>
      <c r="CH269" s="23">
        <f t="shared" si="1940"/>
        <v>-6.0000000000002274E-2</v>
      </c>
      <c r="CI269" s="23">
        <f t="shared" si="1940"/>
        <v>0</v>
      </c>
      <c r="CJ269" s="23">
        <f t="shared" si="1940"/>
        <v>-58.639999999999986</v>
      </c>
      <c r="CK269" s="23">
        <f t="shared" si="1940"/>
        <v>0</v>
      </c>
      <c r="CL269" s="23">
        <f t="shared" si="1940"/>
        <v>6.9999999999993179E-2</v>
      </c>
      <c r="CM269" s="24">
        <f t="shared" si="1940"/>
        <v>0</v>
      </c>
      <c r="CN269" s="24">
        <f t="shared" si="1940"/>
        <v>0</v>
      </c>
      <c r="CO269" s="24">
        <f t="shared" si="1940"/>
        <v>0</v>
      </c>
      <c r="CP269" s="24">
        <f t="shared" si="1940"/>
        <v>0</v>
      </c>
      <c r="CQ269" s="24">
        <f t="shared" si="1940"/>
        <v>0</v>
      </c>
      <c r="CR269" s="24">
        <f t="shared" si="1940"/>
        <v>0</v>
      </c>
      <c r="CS269" s="24">
        <f t="shared" si="1940"/>
        <v>0</v>
      </c>
      <c r="CT269" s="24">
        <f t="shared" si="1940"/>
        <v>0</v>
      </c>
      <c r="CU269" s="24">
        <f t="shared" ref="CU269:DB269" si="1941">CT193-CU193</f>
        <v>0</v>
      </c>
      <c r="CV269" s="24">
        <f t="shared" si="1941"/>
        <v>0</v>
      </c>
      <c r="CW269" s="24">
        <f t="shared" si="1941"/>
        <v>0</v>
      </c>
      <c r="CX269" s="24">
        <f t="shared" si="1941"/>
        <v>0</v>
      </c>
      <c r="CY269" s="24">
        <f t="shared" si="1941"/>
        <v>0</v>
      </c>
      <c r="CZ269" s="24">
        <f t="shared" si="1941"/>
        <v>0</v>
      </c>
      <c r="DA269" s="24">
        <f t="shared" si="1941"/>
        <v>0</v>
      </c>
      <c r="DB269" s="24">
        <f t="shared" si="1941"/>
        <v>0</v>
      </c>
      <c r="DE269" s="123"/>
      <c r="DF269" s="23">
        <v>0</v>
      </c>
      <c r="DG269" s="23">
        <v>0</v>
      </c>
    </row>
    <row r="270" spans="1:111" s="23" customFormat="1" x14ac:dyDescent="0.2">
      <c r="A270" s="23" t="s">
        <v>94</v>
      </c>
      <c r="C270" s="23">
        <f t="shared" ref="C270:AE270" si="1942">B191-C85-C191</f>
        <v>0</v>
      </c>
      <c r="D270" s="23">
        <f t="shared" si="1942"/>
        <v>0</v>
      </c>
      <c r="E270" s="23">
        <f t="shared" si="1942"/>
        <v>0</v>
      </c>
      <c r="F270" s="23">
        <f t="shared" si="1942"/>
        <v>0</v>
      </c>
      <c r="G270" s="23">
        <f t="shared" si="1942"/>
        <v>0</v>
      </c>
      <c r="H270" s="23">
        <f t="shared" si="1942"/>
        <v>0</v>
      </c>
      <c r="I270" s="23">
        <f t="shared" si="1942"/>
        <v>0</v>
      </c>
      <c r="J270" s="23">
        <f t="shared" si="1942"/>
        <v>0</v>
      </c>
      <c r="K270" s="23">
        <f t="shared" si="1942"/>
        <v>0</v>
      </c>
      <c r="L270" s="23">
        <f t="shared" si="1942"/>
        <v>0</v>
      </c>
      <c r="M270" s="23">
        <f t="shared" si="1942"/>
        <v>0</v>
      </c>
      <c r="N270" s="23">
        <f t="shared" si="1942"/>
        <v>0</v>
      </c>
      <c r="O270" s="23">
        <f t="shared" si="1942"/>
        <v>0</v>
      </c>
      <c r="P270" s="23">
        <f t="shared" si="1942"/>
        <v>-10620.22</v>
      </c>
      <c r="Q270" s="23">
        <f t="shared" si="1942"/>
        <v>-295.13999999999942</v>
      </c>
      <c r="R270" s="23">
        <f t="shared" si="1942"/>
        <v>-1446.4799999999996</v>
      </c>
      <c r="S270" s="23">
        <f t="shared" si="1942"/>
        <v>-1027.5700000000015</v>
      </c>
      <c r="T270" s="23">
        <f t="shared" si="1942"/>
        <v>-14344.18</v>
      </c>
      <c r="U270" s="23">
        <f t="shared" si="1942"/>
        <v>-3204.3999999999978</v>
      </c>
      <c r="V270" s="23">
        <f t="shared" si="1942"/>
        <v>-6434.18</v>
      </c>
      <c r="W270" s="23">
        <f t="shared" si="1942"/>
        <v>-4517.3400000000038</v>
      </c>
      <c r="X270" s="23">
        <f t="shared" si="1942"/>
        <v>-5121.3899999999994</v>
      </c>
      <c r="Y270" s="23">
        <f t="shared" si="1942"/>
        <v>-4852.93</v>
      </c>
      <c r="Z270" s="23">
        <f t="shared" si="1942"/>
        <v>-5240.5099999999948</v>
      </c>
      <c r="AA270" s="23">
        <f t="shared" si="1942"/>
        <v>-5578.7800000000061</v>
      </c>
      <c r="AB270" s="24">
        <f t="shared" si="1942"/>
        <v>-21166.960000000006</v>
      </c>
      <c r="AC270" s="24">
        <f t="shared" si="1942"/>
        <v>-23000</v>
      </c>
      <c r="AD270" s="24">
        <f t="shared" si="1942"/>
        <v>-16000</v>
      </c>
      <c r="AE270" s="24">
        <f t="shared" si="1942"/>
        <v>-16000</v>
      </c>
      <c r="AI270" s="23">
        <f t="shared" ref="AI270:BN270" si="1943">AH191-AI85-AI191</f>
        <v>0</v>
      </c>
      <c r="AJ270" s="23">
        <f t="shared" si="1943"/>
        <v>0</v>
      </c>
      <c r="AK270" s="23">
        <f t="shared" si="1943"/>
        <v>0</v>
      </c>
      <c r="AL270" s="23">
        <f t="shared" si="1943"/>
        <v>0</v>
      </c>
      <c r="AM270" s="23">
        <f t="shared" si="1943"/>
        <v>0</v>
      </c>
      <c r="AN270" s="23">
        <f t="shared" si="1943"/>
        <v>0</v>
      </c>
      <c r="AO270" s="23">
        <f t="shared" si="1943"/>
        <v>0</v>
      </c>
      <c r="AP270" s="23">
        <f t="shared" si="1943"/>
        <v>0</v>
      </c>
      <c r="AQ270" s="23">
        <f t="shared" si="1943"/>
        <v>0</v>
      </c>
      <c r="AR270" s="23">
        <f t="shared" si="1943"/>
        <v>0</v>
      </c>
      <c r="AS270" s="23">
        <f t="shared" si="1943"/>
        <v>0</v>
      </c>
      <c r="AT270" s="23">
        <f t="shared" si="1943"/>
        <v>-10620.22</v>
      </c>
      <c r="AU270" s="23">
        <f t="shared" si="1943"/>
        <v>-138.56999999999971</v>
      </c>
      <c r="AV270" s="23">
        <f t="shared" si="1943"/>
        <v>102.47999999999956</v>
      </c>
      <c r="AW270" s="23">
        <f t="shared" si="1943"/>
        <v>-140.61000000000058</v>
      </c>
      <c r="AX270" s="23">
        <f t="shared" si="1943"/>
        <v>-118.44000000000051</v>
      </c>
      <c r="AY270" s="23">
        <f t="shared" si="1943"/>
        <v>-139.76000000000022</v>
      </c>
      <c r="AZ270" s="23">
        <f t="shared" si="1943"/>
        <v>-197.26000000000022</v>
      </c>
      <c r="BA270" s="23">
        <f t="shared" si="1943"/>
        <v>-145.68000000000029</v>
      </c>
      <c r="BB270" s="23">
        <f t="shared" si="1943"/>
        <v>-963.77999999999884</v>
      </c>
      <c r="BC270" s="23">
        <f t="shared" si="1943"/>
        <v>-144.55999999999949</v>
      </c>
      <c r="BD270" s="23">
        <f t="shared" si="1943"/>
        <v>-454.95000000000073</v>
      </c>
      <c r="BE270" s="23">
        <f t="shared" si="1943"/>
        <v>-146.02000000000044</v>
      </c>
      <c r="BF270" s="23">
        <f t="shared" si="1943"/>
        <v>-282.04000000000087</v>
      </c>
      <c r="BG270" s="23">
        <f t="shared" si="1943"/>
        <v>-146.05999999999949</v>
      </c>
      <c r="BH270" s="23">
        <f t="shared" si="1943"/>
        <v>-16710.28</v>
      </c>
      <c r="BI270" s="23">
        <f t="shared" si="1943"/>
        <v>-267.63999999999942</v>
      </c>
      <c r="BJ270" s="23">
        <f t="shared" si="1943"/>
        <v>2779.7999999999993</v>
      </c>
      <c r="BK270" s="23">
        <f t="shared" si="1943"/>
        <v>-285.25</v>
      </c>
      <c r="BL270" s="23">
        <f t="shared" si="1943"/>
        <v>-490.85999999999694</v>
      </c>
      <c r="BM270" s="23">
        <f t="shared" si="1943"/>
        <v>-293.54000000000087</v>
      </c>
      <c r="BN270" s="23">
        <f t="shared" si="1943"/>
        <v>-1897.2100000000028</v>
      </c>
      <c r="BO270" s="23">
        <f t="shared" ref="BO270:CT270" si="1944">BN191-BO85-BO191</f>
        <v>-377.83000000000175</v>
      </c>
      <c r="BP270" s="23">
        <f t="shared" si="1944"/>
        <v>-1181.1000000000022</v>
      </c>
      <c r="BQ270" s="23">
        <f t="shared" si="1944"/>
        <v>-325.29000000000087</v>
      </c>
      <c r="BR270" s="23">
        <f t="shared" si="1944"/>
        <v>-4569.3499999999985</v>
      </c>
      <c r="BS270" s="23">
        <f t="shared" si="1944"/>
        <v>-342.11999999999898</v>
      </c>
      <c r="BT270" s="23">
        <f t="shared" si="1944"/>
        <v>-1245.5899999999965</v>
      </c>
      <c r="BU270" s="23">
        <f t="shared" si="1944"/>
        <v>-362.7400000000016</v>
      </c>
      <c r="BV270" s="23">
        <f t="shared" si="1944"/>
        <v>-2112.0400000000009</v>
      </c>
      <c r="BW270" s="23">
        <f t="shared" si="1944"/>
        <v>-383.9800000000032</v>
      </c>
      <c r="BX270" s="23">
        <f t="shared" si="1944"/>
        <v>-1778.2799999999988</v>
      </c>
      <c r="BY270" s="23">
        <f t="shared" si="1944"/>
        <v>-410.37000000000262</v>
      </c>
      <c r="BZ270" s="23">
        <f t="shared" si="1944"/>
        <v>-2569.5400000000009</v>
      </c>
      <c r="CA270" s="23">
        <f t="shared" si="1944"/>
        <v>-418.87999999999738</v>
      </c>
      <c r="CB270" s="23">
        <f t="shared" si="1944"/>
        <v>-2005.2400000000052</v>
      </c>
      <c r="CC270" s="23">
        <f t="shared" si="1944"/>
        <v>-457.63999999999942</v>
      </c>
      <c r="CD270" s="23">
        <f t="shared" si="1944"/>
        <v>-1840.2799999999988</v>
      </c>
      <c r="CE270" s="23">
        <f t="shared" si="1944"/>
        <v>-497.84999999999854</v>
      </c>
      <c r="CF270" s="23">
        <f t="shared" si="1944"/>
        <v>-1114.9400000000023</v>
      </c>
      <c r="CG270" s="23">
        <f t="shared" si="1944"/>
        <v>-462.37999999999738</v>
      </c>
      <c r="CH270" s="23">
        <f t="shared" si="1944"/>
        <v>-3948.4499999999971</v>
      </c>
      <c r="CI270" s="23">
        <f t="shared" si="1944"/>
        <v>0</v>
      </c>
      <c r="CJ270" s="23">
        <f t="shared" si="1944"/>
        <v>-1409.2400000000052</v>
      </c>
      <c r="CK270" s="23">
        <f t="shared" si="1944"/>
        <v>-600</v>
      </c>
      <c r="CL270" s="23">
        <f t="shared" si="1944"/>
        <v>-2736.5</v>
      </c>
      <c r="CM270" s="24">
        <f t="shared" si="1944"/>
        <v>-5499.9999999999927</v>
      </c>
      <c r="CN270" s="24">
        <f t="shared" si="1944"/>
        <v>-5500.0000000000073</v>
      </c>
      <c r="CO270" s="24">
        <f t="shared" si="1944"/>
        <v>-5500</v>
      </c>
      <c r="CP270" s="24">
        <f t="shared" si="1944"/>
        <v>-5500</v>
      </c>
      <c r="CQ270" s="24">
        <f t="shared" si="1944"/>
        <v>-5750</v>
      </c>
      <c r="CR270" s="24">
        <f t="shared" si="1944"/>
        <v>-5749.9999999999854</v>
      </c>
      <c r="CS270" s="24">
        <f t="shared" si="1944"/>
        <v>-5750</v>
      </c>
      <c r="CT270" s="24">
        <f t="shared" si="1944"/>
        <v>-5750</v>
      </c>
      <c r="CU270" s="24">
        <f t="shared" ref="CU270:DB270" si="1945">CT191-CU85-CU191</f>
        <v>-4000</v>
      </c>
      <c r="CV270" s="24">
        <f t="shared" si="1945"/>
        <v>-4000</v>
      </c>
      <c r="CW270" s="24">
        <f t="shared" si="1945"/>
        <v>-4000</v>
      </c>
      <c r="CX270" s="24">
        <f t="shared" si="1945"/>
        <v>-4000.0000000000146</v>
      </c>
      <c r="CY270" s="24">
        <f t="shared" si="1945"/>
        <v>-4000</v>
      </c>
      <c r="CZ270" s="24">
        <f t="shared" si="1945"/>
        <v>-3999.9999999999854</v>
      </c>
      <c r="DA270" s="24">
        <f t="shared" si="1945"/>
        <v>-4000</v>
      </c>
      <c r="DB270" s="24">
        <f t="shared" si="1945"/>
        <v>-4000</v>
      </c>
      <c r="DE270" s="123"/>
      <c r="DF270" s="23">
        <v>0</v>
      </c>
      <c r="DG270" s="23">
        <v>-700</v>
      </c>
    </row>
    <row r="271" spans="1:111" s="23" customFormat="1" x14ac:dyDescent="0.2">
      <c r="AB271" s="24"/>
      <c r="AC271" s="24"/>
      <c r="AD271" s="24"/>
      <c r="AE271" s="24"/>
      <c r="CM271" s="24"/>
      <c r="CN271" s="24"/>
      <c r="CO271" s="24"/>
      <c r="CP271" s="24"/>
      <c r="CQ271" s="24"/>
      <c r="CR271" s="24"/>
      <c r="CS271" s="24"/>
      <c r="CT271" s="24"/>
      <c r="CU271" s="24"/>
      <c r="CV271" s="24"/>
      <c r="CW271" s="24"/>
      <c r="CX271" s="24"/>
      <c r="CY271" s="24"/>
      <c r="CZ271" s="24"/>
      <c r="DA271" s="24"/>
      <c r="DB271" s="24"/>
      <c r="DE271" s="123"/>
    </row>
    <row r="272" spans="1:111" s="22" customFormat="1" x14ac:dyDescent="0.2">
      <c r="A272" s="22" t="s">
        <v>95</v>
      </c>
      <c r="C272" s="22">
        <f t="shared" ref="C272:W272" si="1946">C273+C274</f>
        <v>0</v>
      </c>
      <c r="D272" s="22">
        <f t="shared" si="1946"/>
        <v>0</v>
      </c>
      <c r="E272" s="22">
        <f t="shared" si="1946"/>
        <v>0</v>
      </c>
      <c r="F272" s="22">
        <f t="shared" si="1946"/>
        <v>0</v>
      </c>
      <c r="G272" s="22">
        <f t="shared" si="1946"/>
        <v>0</v>
      </c>
      <c r="H272" s="22">
        <f t="shared" si="1946"/>
        <v>0</v>
      </c>
      <c r="I272" s="22">
        <f t="shared" si="1946"/>
        <v>0</v>
      </c>
      <c r="J272" s="22">
        <f t="shared" si="1946"/>
        <v>0</v>
      </c>
      <c r="K272" s="22">
        <f t="shared" si="1946"/>
        <v>0</v>
      </c>
      <c r="L272" s="22">
        <f t="shared" si="1946"/>
        <v>0</v>
      </c>
      <c r="M272" s="22">
        <f t="shared" si="1946"/>
        <v>0</v>
      </c>
      <c r="N272" s="22">
        <f t="shared" si="1946"/>
        <v>0</v>
      </c>
      <c r="O272" s="22">
        <f t="shared" si="1946"/>
        <v>0.05</v>
      </c>
      <c r="P272" s="22">
        <f t="shared" si="1946"/>
        <v>10791.152702900001</v>
      </c>
      <c r="Q272" s="22">
        <f t="shared" si="1946"/>
        <v>104.36999999999944</v>
      </c>
      <c r="R272" s="22">
        <f t="shared" si="1946"/>
        <v>248.14999999999827</v>
      </c>
      <c r="S272" s="22">
        <f t="shared" si="1946"/>
        <v>3420.5499999999984</v>
      </c>
      <c r="T272" s="22">
        <f t="shared" si="1946"/>
        <v>11135.84</v>
      </c>
      <c r="U272" s="22">
        <f t="shared" si="1946"/>
        <v>4885.1300000000037</v>
      </c>
      <c r="V272" s="22">
        <f t="shared" si="1946"/>
        <v>1952.9800000000023</v>
      </c>
      <c r="W272" s="22">
        <f t="shared" si="1946"/>
        <v>2632.6299999999919</v>
      </c>
      <c r="X272" s="22">
        <f t="shared" ref="X272:Y272" si="1947">X273+X274</f>
        <v>4997.2000000000007</v>
      </c>
      <c r="Y272" s="22">
        <f t="shared" si="1947"/>
        <v>2500.1099999999974</v>
      </c>
      <c r="Z272" s="22">
        <f>Z273+Z274</f>
        <v>11445.370000000003</v>
      </c>
      <c r="AA272" s="22">
        <f>AA273+AA274</f>
        <v>12340.129999999994</v>
      </c>
      <c r="AB272" s="21">
        <f t="shared" ref="AB272:AD272" si="1948">AB273+AB274</f>
        <v>-2415.9199999999983</v>
      </c>
      <c r="AC272" s="21">
        <f t="shared" si="1948"/>
        <v>-7.2759576141834259E-12</v>
      </c>
      <c r="AD272" s="21">
        <f t="shared" si="1948"/>
        <v>0</v>
      </c>
      <c r="AE272" s="21">
        <f t="shared" ref="AE272" si="1949">AE273+AE274</f>
        <v>-7.2759576141834259E-12</v>
      </c>
      <c r="AI272" s="22">
        <f t="shared" ref="AI272" si="1950">AI273+AI274</f>
        <v>0</v>
      </c>
      <c r="AJ272" s="22">
        <f t="shared" ref="AJ272:AL272" si="1951">AJ273+AJ274</f>
        <v>0</v>
      </c>
      <c r="AK272" s="22">
        <f t="shared" si="1951"/>
        <v>0</v>
      </c>
      <c r="AL272" s="22">
        <f t="shared" si="1951"/>
        <v>0</v>
      </c>
      <c r="AM272" s="22">
        <f t="shared" ref="AM272" si="1952">AM273+AM274</f>
        <v>0</v>
      </c>
      <c r="AN272" s="22">
        <f t="shared" ref="AN272:CD272" si="1953">AN273+AN274</f>
        <v>0</v>
      </c>
      <c r="AO272" s="22">
        <f t="shared" si="1953"/>
        <v>0</v>
      </c>
      <c r="AP272" s="22">
        <f t="shared" si="1953"/>
        <v>0</v>
      </c>
      <c r="AQ272" s="22">
        <f t="shared" si="1953"/>
        <v>0</v>
      </c>
      <c r="AR272" s="22">
        <f t="shared" si="1953"/>
        <v>0</v>
      </c>
      <c r="AS272" s="22">
        <f t="shared" si="1953"/>
        <v>0</v>
      </c>
      <c r="AT272" s="22">
        <f t="shared" si="1953"/>
        <v>9987.77</v>
      </c>
      <c r="AU272" s="22">
        <f t="shared" si="1953"/>
        <v>0</v>
      </c>
      <c r="AV272" s="22">
        <f t="shared" si="1953"/>
        <v>99.689999999998918</v>
      </c>
      <c r="AW272" s="22">
        <f t="shared" si="1953"/>
        <v>0</v>
      </c>
      <c r="AX272" s="22">
        <f t="shared" si="1953"/>
        <v>162.35000000000082</v>
      </c>
      <c r="AY272" s="22">
        <f t="shared" si="1953"/>
        <v>0</v>
      </c>
      <c r="AZ272" s="22">
        <f t="shared" si="1953"/>
        <v>798.87000000000035</v>
      </c>
      <c r="BA272" s="22">
        <f t="shared" si="1953"/>
        <v>-4.5474735088646412E-13</v>
      </c>
      <c r="BB272" s="22">
        <f t="shared" si="1953"/>
        <v>-219.41999999999962</v>
      </c>
      <c r="BC272" s="22">
        <f t="shared" si="1953"/>
        <v>4.5474735088646412E-13</v>
      </c>
      <c r="BD272" s="22">
        <f t="shared" si="1953"/>
        <v>-407.25000000000136</v>
      </c>
      <c r="BE272" s="22">
        <f t="shared" si="1953"/>
        <v>0</v>
      </c>
      <c r="BF272" s="22">
        <f t="shared" si="1953"/>
        <v>3319.119999999999</v>
      </c>
      <c r="BG272" s="22">
        <f t="shared" si="1953"/>
        <v>0</v>
      </c>
      <c r="BH272" s="22">
        <f t="shared" si="1953"/>
        <v>10236.34</v>
      </c>
      <c r="BI272" s="22">
        <f t="shared" si="1953"/>
        <v>9.0949470177292824E-13</v>
      </c>
      <c r="BJ272" s="22">
        <f t="shared" si="1953"/>
        <v>-477.47000000000116</v>
      </c>
      <c r="BK272" s="22">
        <f t="shared" si="1953"/>
        <v>0</v>
      </c>
      <c r="BL272" s="22">
        <f t="shared" si="1953"/>
        <v>637.21000000000095</v>
      </c>
      <c r="BM272" s="22">
        <f t="shared" si="1953"/>
        <v>0</v>
      </c>
      <c r="BN272" s="22">
        <f t="shared" si="1953"/>
        <v>5727.7500000000027</v>
      </c>
      <c r="BO272" s="22">
        <f t="shared" si="1953"/>
        <v>1.8189894035458565E-12</v>
      </c>
      <c r="BP272" s="22">
        <f t="shared" si="1953"/>
        <v>-274.06000000000199</v>
      </c>
      <c r="BQ272" s="22">
        <f t="shared" si="1953"/>
        <v>0</v>
      </c>
      <c r="BR272" s="22">
        <f t="shared" si="1953"/>
        <v>2947.3100000000031</v>
      </c>
      <c r="BS272" s="22">
        <f t="shared" si="1953"/>
        <v>0</v>
      </c>
      <c r="BT272" s="22">
        <f t="shared" si="1953"/>
        <v>1822.2999999999945</v>
      </c>
      <c r="BU272" s="22">
        <f t="shared" si="1953"/>
        <v>0</v>
      </c>
      <c r="BV272" s="22">
        <f t="shared" si="1953"/>
        <v>810.33000000000447</v>
      </c>
      <c r="BW272" s="22">
        <f t="shared" si="1953"/>
        <v>0</v>
      </c>
      <c r="BX272" s="22">
        <f t="shared" si="1953"/>
        <v>3947.7599999999975</v>
      </c>
      <c r="BY272" s="22">
        <f t="shared" si="1953"/>
        <v>0</v>
      </c>
      <c r="BZ272" s="22">
        <f t="shared" si="1953"/>
        <v>1049.4399999999978</v>
      </c>
      <c r="CA272" s="22">
        <f t="shared" si="1953"/>
        <v>0</v>
      </c>
      <c r="CB272" s="22">
        <f t="shared" si="1953"/>
        <v>1353.99000000001</v>
      </c>
      <c r="CC272" s="22">
        <f t="shared" si="1953"/>
        <v>0</v>
      </c>
      <c r="CD272" s="22">
        <f t="shared" si="1953"/>
        <v>1146.1199999999965</v>
      </c>
      <c r="CE272" s="22">
        <f t="shared" ref="CE272:CF272" si="1954">CE273+CE274</f>
        <v>0</v>
      </c>
      <c r="CF272" s="22">
        <f t="shared" si="1954"/>
        <v>10209.439999999997</v>
      </c>
      <c r="CG272" s="22">
        <f t="shared" ref="CG272:CH272" si="1955">CG273+CG274</f>
        <v>0</v>
      </c>
      <c r="CH272" s="22">
        <f t="shared" si="1955"/>
        <v>1235.9300000000003</v>
      </c>
      <c r="CI272" s="22">
        <f t="shared" ref="CI272:CJ272" si="1956">CI273+CI274</f>
        <v>0</v>
      </c>
      <c r="CJ272" s="22">
        <f t="shared" si="1956"/>
        <v>5510.67</v>
      </c>
      <c r="CK272" s="22">
        <f t="shared" ref="CK272:DB272" si="1957">CK273+CK274</f>
        <v>0</v>
      </c>
      <c r="CL272" s="22">
        <f t="shared" si="1957"/>
        <v>4413.5399999999909</v>
      </c>
      <c r="CM272" s="21">
        <f t="shared" si="1957"/>
        <v>0</v>
      </c>
      <c r="CN272" s="21">
        <f t="shared" si="1957"/>
        <v>0</v>
      </c>
      <c r="CO272" s="21">
        <f t="shared" si="1957"/>
        <v>0</v>
      </c>
      <c r="CP272" s="21">
        <f t="shared" si="1957"/>
        <v>0</v>
      </c>
      <c r="CQ272" s="21">
        <f t="shared" si="1957"/>
        <v>0</v>
      </c>
      <c r="CR272" s="21">
        <f t="shared" si="1957"/>
        <v>0</v>
      </c>
      <c r="CS272" s="21">
        <f t="shared" si="1957"/>
        <v>0</v>
      </c>
      <c r="CT272" s="21">
        <f t="shared" si="1957"/>
        <v>0</v>
      </c>
      <c r="CU272" s="21">
        <f t="shared" si="1957"/>
        <v>0</v>
      </c>
      <c r="CV272" s="21">
        <f t="shared" si="1957"/>
        <v>0</v>
      </c>
      <c r="CW272" s="21">
        <f t="shared" si="1957"/>
        <v>0</v>
      </c>
      <c r="CX272" s="21">
        <f t="shared" si="1957"/>
        <v>0</v>
      </c>
      <c r="CY272" s="21">
        <f t="shared" si="1957"/>
        <v>0</v>
      </c>
      <c r="CZ272" s="21">
        <f t="shared" si="1957"/>
        <v>0</v>
      </c>
      <c r="DA272" s="21">
        <f t="shared" si="1957"/>
        <v>0</v>
      </c>
      <c r="DB272" s="21">
        <f t="shared" si="1957"/>
        <v>0</v>
      </c>
      <c r="DE272" s="126"/>
      <c r="DF272" s="22">
        <v>0</v>
      </c>
      <c r="DG272" s="22">
        <v>0</v>
      </c>
    </row>
    <row r="273" spans="1:111" s="23" customFormat="1" x14ac:dyDescent="0.2">
      <c r="A273" s="23" t="s">
        <v>49</v>
      </c>
      <c r="C273" s="23">
        <f t="shared" ref="C273:AE273" si="1958">C181-B181</f>
        <v>0</v>
      </c>
      <c r="D273" s="23">
        <f t="shared" si="1958"/>
        <v>0</v>
      </c>
      <c r="E273" s="23">
        <f t="shared" si="1958"/>
        <v>0</v>
      </c>
      <c r="F273" s="23">
        <f t="shared" si="1958"/>
        <v>0</v>
      </c>
      <c r="G273" s="23">
        <f t="shared" si="1958"/>
        <v>0</v>
      </c>
      <c r="H273" s="23">
        <f t="shared" si="1958"/>
        <v>0</v>
      </c>
      <c r="I273" s="23">
        <f t="shared" si="1958"/>
        <v>0</v>
      </c>
      <c r="J273" s="23">
        <f t="shared" si="1958"/>
        <v>0</v>
      </c>
      <c r="K273" s="23">
        <f t="shared" si="1958"/>
        <v>0</v>
      </c>
      <c r="L273" s="23">
        <f t="shared" si="1958"/>
        <v>0</v>
      </c>
      <c r="M273" s="23">
        <f t="shared" si="1958"/>
        <v>0</v>
      </c>
      <c r="N273" s="23">
        <f t="shared" si="1958"/>
        <v>0</v>
      </c>
      <c r="O273" s="23">
        <f t="shared" si="1958"/>
        <v>0</v>
      </c>
      <c r="P273" s="23">
        <f t="shared" si="1958"/>
        <v>9701.2000000000007</v>
      </c>
      <c r="Q273" s="23">
        <f t="shared" si="1958"/>
        <v>-1116.25</v>
      </c>
      <c r="R273" s="23">
        <f t="shared" si="1958"/>
        <v>389.85999999999876</v>
      </c>
      <c r="S273" s="23">
        <f t="shared" si="1958"/>
        <v>3302.159999999998</v>
      </c>
      <c r="T273" s="23">
        <f t="shared" si="1958"/>
        <v>11268.05</v>
      </c>
      <c r="U273" s="23">
        <f t="shared" si="1958"/>
        <v>3980.1300000000047</v>
      </c>
      <c r="V273" s="23">
        <f t="shared" si="1958"/>
        <v>2265.5300000000025</v>
      </c>
      <c r="W273" s="23">
        <f t="shared" si="1958"/>
        <v>3079.549999999992</v>
      </c>
      <c r="X273" s="23">
        <f t="shared" si="1958"/>
        <v>1328.6100000000006</v>
      </c>
      <c r="Y273" s="23">
        <f t="shared" si="1958"/>
        <v>2810.0299999999988</v>
      </c>
      <c r="Z273" s="23">
        <f t="shared" si="1958"/>
        <v>3197.2100000000064</v>
      </c>
      <c r="AA273" s="23">
        <f t="shared" si="1958"/>
        <v>11108.289999999994</v>
      </c>
      <c r="AB273" s="24">
        <f t="shared" si="1958"/>
        <v>-2415.9199999999983</v>
      </c>
      <c r="AC273" s="24">
        <f t="shared" si="1958"/>
        <v>0</v>
      </c>
      <c r="AD273" s="24">
        <f t="shared" si="1958"/>
        <v>0</v>
      </c>
      <c r="AE273" s="24">
        <f t="shared" si="1958"/>
        <v>0</v>
      </c>
      <c r="AI273" s="23">
        <f t="shared" ref="AI273:BN273" si="1959">AI181-AH181</f>
        <v>0</v>
      </c>
      <c r="AJ273" s="23">
        <f t="shared" si="1959"/>
        <v>0</v>
      </c>
      <c r="AK273" s="23">
        <f t="shared" si="1959"/>
        <v>0</v>
      </c>
      <c r="AL273" s="23">
        <f t="shared" si="1959"/>
        <v>0</v>
      </c>
      <c r="AM273" s="23">
        <f t="shared" si="1959"/>
        <v>0</v>
      </c>
      <c r="AN273" s="23">
        <f t="shared" si="1959"/>
        <v>0</v>
      </c>
      <c r="AO273" s="23">
        <f t="shared" si="1959"/>
        <v>0</v>
      </c>
      <c r="AP273" s="23">
        <f t="shared" si="1959"/>
        <v>0</v>
      </c>
      <c r="AQ273" s="23">
        <f t="shared" si="1959"/>
        <v>0</v>
      </c>
      <c r="AR273" s="23">
        <f t="shared" si="1959"/>
        <v>0</v>
      </c>
      <c r="AS273" s="23">
        <f t="shared" si="1959"/>
        <v>0</v>
      </c>
      <c r="AT273" s="23">
        <f t="shared" si="1959"/>
        <v>8897.77</v>
      </c>
      <c r="AU273" s="23">
        <f t="shared" si="1959"/>
        <v>0</v>
      </c>
      <c r="AV273" s="23">
        <f t="shared" si="1959"/>
        <v>-1120.1400000000012</v>
      </c>
      <c r="AW273" s="23">
        <f t="shared" si="1959"/>
        <v>0</v>
      </c>
      <c r="AX273" s="23">
        <f t="shared" si="1959"/>
        <v>161.57000000000062</v>
      </c>
      <c r="AY273" s="23">
        <f t="shared" si="1959"/>
        <v>0</v>
      </c>
      <c r="AZ273" s="23">
        <f t="shared" si="1959"/>
        <v>865.21</v>
      </c>
      <c r="BA273" s="23">
        <f t="shared" si="1959"/>
        <v>0</v>
      </c>
      <c r="BB273" s="23">
        <f t="shared" si="1959"/>
        <v>-144.04999999999927</v>
      </c>
      <c r="BC273" s="23">
        <f t="shared" si="1959"/>
        <v>0</v>
      </c>
      <c r="BD273" s="23">
        <f t="shared" si="1959"/>
        <v>-304.29000000000087</v>
      </c>
      <c r="BE273" s="23">
        <f t="shared" si="1959"/>
        <v>0</v>
      </c>
      <c r="BF273" s="23">
        <f t="shared" si="1959"/>
        <v>1249.1399999999994</v>
      </c>
      <c r="BG273" s="23">
        <f t="shared" si="1959"/>
        <v>0</v>
      </c>
      <c r="BH273" s="23">
        <f t="shared" si="1959"/>
        <v>8783.09</v>
      </c>
      <c r="BI273" s="23">
        <f t="shared" si="1959"/>
        <v>0</v>
      </c>
      <c r="BJ273" s="23">
        <f t="shared" si="1959"/>
        <v>-451.40999999999985</v>
      </c>
      <c r="BK273" s="23">
        <f t="shared" si="1959"/>
        <v>0</v>
      </c>
      <c r="BL273" s="23">
        <f t="shared" si="1959"/>
        <v>-145.45999999999913</v>
      </c>
      <c r="BM273" s="23">
        <f t="shared" si="1959"/>
        <v>0</v>
      </c>
      <c r="BN273" s="23">
        <f t="shared" si="1959"/>
        <v>5734.0300000000025</v>
      </c>
      <c r="BO273" s="23">
        <f t="shared" ref="BO273:CT273" si="1960">BO181-BN181</f>
        <v>0</v>
      </c>
      <c r="BP273" s="23">
        <f t="shared" si="1960"/>
        <v>457.91999999999825</v>
      </c>
      <c r="BQ273" s="23">
        <f t="shared" si="1960"/>
        <v>0</v>
      </c>
      <c r="BR273" s="23">
        <f t="shared" si="1960"/>
        <v>2977.6000000000022</v>
      </c>
      <c r="BS273" s="23">
        <f t="shared" si="1960"/>
        <v>0</v>
      </c>
      <c r="BT273" s="23">
        <f t="shared" si="1960"/>
        <v>1790.8299999999945</v>
      </c>
      <c r="BU273" s="23">
        <f t="shared" si="1960"/>
        <v>0</v>
      </c>
      <c r="BV273" s="23">
        <f t="shared" si="1960"/>
        <v>1062.7700000000041</v>
      </c>
      <c r="BW273" s="23">
        <f t="shared" si="1960"/>
        <v>0</v>
      </c>
      <c r="BX273" s="23">
        <f t="shared" si="1960"/>
        <v>3704.8099999999977</v>
      </c>
      <c r="BY273" s="23">
        <f t="shared" si="1960"/>
        <v>0</v>
      </c>
      <c r="BZ273" s="23">
        <f t="shared" si="1960"/>
        <v>679.44999999999709</v>
      </c>
      <c r="CA273" s="23">
        <f t="shared" si="1960"/>
        <v>0</v>
      </c>
      <c r="CB273" s="23">
        <f t="shared" si="1960"/>
        <v>1764.1900000000096</v>
      </c>
      <c r="CC273" s="23">
        <f t="shared" si="1960"/>
        <v>0</v>
      </c>
      <c r="CD273" s="23">
        <f t="shared" si="1960"/>
        <v>1045.8399999999965</v>
      </c>
      <c r="CE273" s="23">
        <f t="shared" si="1960"/>
        <v>0</v>
      </c>
      <c r="CF273" s="23">
        <f t="shared" si="1960"/>
        <v>1941.989999999998</v>
      </c>
      <c r="CG273" s="23">
        <f t="shared" si="1960"/>
        <v>0</v>
      </c>
      <c r="CH273" s="23">
        <f t="shared" si="1960"/>
        <v>1255.2200000000012</v>
      </c>
      <c r="CI273" s="23">
        <f t="shared" si="1960"/>
        <v>0</v>
      </c>
      <c r="CJ273" s="23">
        <f t="shared" si="1960"/>
        <v>5167.57</v>
      </c>
      <c r="CK273" s="23">
        <f t="shared" si="1960"/>
        <v>0</v>
      </c>
      <c r="CL273" s="23">
        <f t="shared" si="1960"/>
        <v>3524.7999999999956</v>
      </c>
      <c r="CM273" s="24">
        <f t="shared" si="1960"/>
        <v>0</v>
      </c>
      <c r="CN273" s="24">
        <f t="shared" si="1960"/>
        <v>0</v>
      </c>
      <c r="CO273" s="24">
        <f t="shared" si="1960"/>
        <v>0</v>
      </c>
      <c r="CP273" s="24">
        <f t="shared" si="1960"/>
        <v>0</v>
      </c>
      <c r="CQ273" s="24">
        <f t="shared" si="1960"/>
        <v>0</v>
      </c>
      <c r="CR273" s="24">
        <f t="shared" si="1960"/>
        <v>0</v>
      </c>
      <c r="CS273" s="24">
        <f t="shared" si="1960"/>
        <v>0</v>
      </c>
      <c r="CT273" s="24">
        <f t="shared" si="1960"/>
        <v>0</v>
      </c>
      <c r="CU273" s="24">
        <f t="shared" ref="CU273:DB273" si="1961">CU181-CT181</f>
        <v>0</v>
      </c>
      <c r="CV273" s="24">
        <f t="shared" si="1961"/>
        <v>0</v>
      </c>
      <c r="CW273" s="24">
        <f t="shared" si="1961"/>
        <v>0</v>
      </c>
      <c r="CX273" s="24">
        <f t="shared" si="1961"/>
        <v>0</v>
      </c>
      <c r="CY273" s="24">
        <f t="shared" si="1961"/>
        <v>0</v>
      </c>
      <c r="CZ273" s="24">
        <f t="shared" si="1961"/>
        <v>0</v>
      </c>
      <c r="DA273" s="24">
        <f t="shared" si="1961"/>
        <v>0</v>
      </c>
      <c r="DB273" s="24">
        <f t="shared" si="1961"/>
        <v>0</v>
      </c>
      <c r="DE273" s="123"/>
      <c r="DF273" s="23">
        <v>0</v>
      </c>
      <c r="DG273" s="23">
        <v>0</v>
      </c>
    </row>
    <row r="274" spans="1:111" s="23" customFormat="1" x14ac:dyDescent="0.2">
      <c r="A274" s="23" t="s">
        <v>27</v>
      </c>
      <c r="C274" s="23">
        <f t="shared" ref="C274:AE274" si="1962">C173-C101-B173+C175-B175</f>
        <v>0</v>
      </c>
      <c r="D274" s="23">
        <f t="shared" si="1962"/>
        <v>0</v>
      </c>
      <c r="E274" s="23">
        <f t="shared" si="1962"/>
        <v>0</v>
      </c>
      <c r="F274" s="23">
        <f t="shared" si="1962"/>
        <v>0</v>
      </c>
      <c r="G274" s="23">
        <f t="shared" si="1962"/>
        <v>0</v>
      </c>
      <c r="H274" s="23">
        <f t="shared" si="1962"/>
        <v>0</v>
      </c>
      <c r="I274" s="23">
        <f t="shared" si="1962"/>
        <v>0</v>
      </c>
      <c r="J274" s="23">
        <f t="shared" si="1962"/>
        <v>0</v>
      </c>
      <c r="K274" s="23">
        <f t="shared" si="1962"/>
        <v>0</v>
      </c>
      <c r="L274" s="23">
        <f t="shared" si="1962"/>
        <v>0</v>
      </c>
      <c r="M274" s="23">
        <f t="shared" si="1962"/>
        <v>0</v>
      </c>
      <c r="N274" s="23">
        <f t="shared" si="1962"/>
        <v>0</v>
      </c>
      <c r="O274" s="23">
        <f t="shared" si="1962"/>
        <v>0.05</v>
      </c>
      <c r="P274" s="23">
        <f t="shared" si="1962"/>
        <v>1089.9527029000001</v>
      </c>
      <c r="Q274" s="23">
        <f t="shared" si="1962"/>
        <v>1220.6199999999994</v>
      </c>
      <c r="R274" s="23">
        <f t="shared" si="1962"/>
        <v>-141.71000000000049</v>
      </c>
      <c r="S274" s="23">
        <f t="shared" si="1962"/>
        <v>118.39000000000033</v>
      </c>
      <c r="T274" s="23">
        <f t="shared" si="1962"/>
        <v>-132.21000000000004</v>
      </c>
      <c r="U274" s="23">
        <f t="shared" si="1962"/>
        <v>904.99999999999909</v>
      </c>
      <c r="V274" s="23">
        <f t="shared" si="1962"/>
        <v>-312.55000000000018</v>
      </c>
      <c r="W274" s="23">
        <f t="shared" si="1962"/>
        <v>-446.9200000000003</v>
      </c>
      <c r="X274" s="23">
        <f t="shared" si="1962"/>
        <v>3668.59</v>
      </c>
      <c r="Y274" s="23">
        <f t="shared" si="1962"/>
        <v>-309.92000000000144</v>
      </c>
      <c r="Z274" s="23">
        <f t="shared" si="1962"/>
        <v>8248.1599999999962</v>
      </c>
      <c r="AA274" s="23">
        <f t="shared" si="1962"/>
        <v>1231.8399999999992</v>
      </c>
      <c r="AB274" s="24">
        <f t="shared" si="1962"/>
        <v>0</v>
      </c>
      <c r="AC274" s="24">
        <f t="shared" si="1962"/>
        <v>-7.2759576141834259E-12</v>
      </c>
      <c r="AD274" s="24">
        <f t="shared" si="1962"/>
        <v>0</v>
      </c>
      <c r="AE274" s="24">
        <f t="shared" si="1962"/>
        <v>-7.2759576141834259E-12</v>
      </c>
      <c r="AI274" s="23">
        <f t="shared" ref="AI274:BN274" si="1963">AI173-AI101-AH173+AI175-AH175</f>
        <v>0</v>
      </c>
      <c r="AJ274" s="23">
        <f t="shared" si="1963"/>
        <v>0</v>
      </c>
      <c r="AK274" s="23">
        <f t="shared" si="1963"/>
        <v>0</v>
      </c>
      <c r="AL274" s="23">
        <f t="shared" si="1963"/>
        <v>0</v>
      </c>
      <c r="AM274" s="23">
        <f t="shared" si="1963"/>
        <v>0</v>
      </c>
      <c r="AN274" s="23">
        <f t="shared" si="1963"/>
        <v>0</v>
      </c>
      <c r="AO274" s="23">
        <f t="shared" si="1963"/>
        <v>0</v>
      </c>
      <c r="AP274" s="23">
        <f t="shared" si="1963"/>
        <v>0</v>
      </c>
      <c r="AQ274" s="23">
        <f t="shared" si="1963"/>
        <v>0</v>
      </c>
      <c r="AR274" s="23">
        <f t="shared" si="1963"/>
        <v>0</v>
      </c>
      <c r="AS274" s="23">
        <f t="shared" si="1963"/>
        <v>0</v>
      </c>
      <c r="AT274" s="23">
        <f t="shared" si="1963"/>
        <v>1090</v>
      </c>
      <c r="AU274" s="23">
        <f t="shared" si="1963"/>
        <v>0</v>
      </c>
      <c r="AV274" s="23">
        <f t="shared" si="1963"/>
        <v>1219.8300000000002</v>
      </c>
      <c r="AW274" s="23">
        <f t="shared" si="1963"/>
        <v>0</v>
      </c>
      <c r="AX274" s="23">
        <f t="shared" si="1963"/>
        <v>0.78000000000020009</v>
      </c>
      <c r="AY274" s="23">
        <f t="shared" si="1963"/>
        <v>0</v>
      </c>
      <c r="AZ274" s="23">
        <f t="shared" si="1963"/>
        <v>-66.339999999999691</v>
      </c>
      <c r="BA274" s="23">
        <f t="shared" si="1963"/>
        <v>-4.5474735088646412E-13</v>
      </c>
      <c r="BB274" s="23">
        <f t="shared" si="1963"/>
        <v>-75.370000000000346</v>
      </c>
      <c r="BC274" s="23">
        <f t="shared" si="1963"/>
        <v>4.5474735088646412E-13</v>
      </c>
      <c r="BD274" s="23">
        <f t="shared" si="1963"/>
        <v>-102.96000000000049</v>
      </c>
      <c r="BE274" s="23">
        <f t="shared" si="1963"/>
        <v>0</v>
      </c>
      <c r="BF274" s="23">
        <f t="shared" si="1963"/>
        <v>2069.9799999999996</v>
      </c>
      <c r="BG274" s="23">
        <f t="shared" si="1963"/>
        <v>0</v>
      </c>
      <c r="BH274" s="23">
        <f t="shared" si="1963"/>
        <v>1453.25</v>
      </c>
      <c r="BI274" s="23">
        <f t="shared" si="1963"/>
        <v>9.0949470177292824E-13</v>
      </c>
      <c r="BJ274" s="23">
        <f t="shared" si="1963"/>
        <v>-26.06000000000131</v>
      </c>
      <c r="BK274" s="23">
        <f t="shared" si="1963"/>
        <v>0</v>
      </c>
      <c r="BL274" s="23">
        <f t="shared" si="1963"/>
        <v>782.67000000000007</v>
      </c>
      <c r="BM274" s="23">
        <f t="shared" si="1963"/>
        <v>0</v>
      </c>
      <c r="BN274" s="23">
        <f t="shared" si="1963"/>
        <v>-6.2799999999997453</v>
      </c>
      <c r="BO274" s="23">
        <f t="shared" ref="BO274:CT274" si="1964">BO173-BO101-BN173+BO175-BN175</f>
        <v>1.8189894035458565E-12</v>
      </c>
      <c r="BP274" s="23">
        <f t="shared" si="1964"/>
        <v>-731.98000000000025</v>
      </c>
      <c r="BQ274" s="23">
        <f t="shared" si="1964"/>
        <v>0</v>
      </c>
      <c r="BR274" s="23">
        <f t="shared" si="1964"/>
        <v>-30.289999999999281</v>
      </c>
      <c r="BS274" s="23">
        <f t="shared" si="1964"/>
        <v>0</v>
      </c>
      <c r="BT274" s="23">
        <f t="shared" si="1964"/>
        <v>31.470000000000027</v>
      </c>
      <c r="BU274" s="23">
        <f t="shared" si="1964"/>
        <v>0</v>
      </c>
      <c r="BV274" s="23">
        <f t="shared" si="1964"/>
        <v>-252.4399999999996</v>
      </c>
      <c r="BW274" s="23">
        <f t="shared" si="1964"/>
        <v>0</v>
      </c>
      <c r="BX274" s="23">
        <f t="shared" si="1964"/>
        <v>242.94999999999959</v>
      </c>
      <c r="BY274" s="23">
        <f t="shared" si="1964"/>
        <v>0</v>
      </c>
      <c r="BZ274" s="23">
        <f t="shared" si="1964"/>
        <v>369.99000000000069</v>
      </c>
      <c r="CA274" s="23">
        <f t="shared" si="1964"/>
        <v>0</v>
      </c>
      <c r="CB274" s="23">
        <f t="shared" si="1964"/>
        <v>-410.19999999999959</v>
      </c>
      <c r="CC274" s="23">
        <f t="shared" si="1964"/>
        <v>0</v>
      </c>
      <c r="CD274" s="23">
        <f t="shared" si="1964"/>
        <v>100.27999999999997</v>
      </c>
      <c r="CE274" s="23">
        <f t="shared" si="1964"/>
        <v>0</v>
      </c>
      <c r="CF274" s="23">
        <f t="shared" si="1964"/>
        <v>8267.4499999999989</v>
      </c>
      <c r="CG274" s="23">
        <f t="shared" si="1964"/>
        <v>0</v>
      </c>
      <c r="CH274" s="23">
        <f t="shared" si="1964"/>
        <v>-19.290000000000759</v>
      </c>
      <c r="CI274" s="23">
        <f t="shared" si="1964"/>
        <v>0</v>
      </c>
      <c r="CJ274" s="23">
        <f t="shared" si="1964"/>
        <v>343.10000000000036</v>
      </c>
      <c r="CK274" s="23">
        <f t="shared" si="1964"/>
        <v>0</v>
      </c>
      <c r="CL274" s="23">
        <f t="shared" si="1964"/>
        <v>888.73999999999523</v>
      </c>
      <c r="CM274" s="24">
        <f t="shared" si="1964"/>
        <v>0</v>
      </c>
      <c r="CN274" s="24">
        <f t="shared" si="1964"/>
        <v>0</v>
      </c>
      <c r="CO274" s="24">
        <f t="shared" si="1964"/>
        <v>0</v>
      </c>
      <c r="CP274" s="24">
        <f t="shared" si="1964"/>
        <v>0</v>
      </c>
      <c r="CQ274" s="24">
        <f t="shared" si="1964"/>
        <v>0</v>
      </c>
      <c r="CR274" s="24">
        <f t="shared" si="1964"/>
        <v>0</v>
      </c>
      <c r="CS274" s="24">
        <f t="shared" si="1964"/>
        <v>0</v>
      </c>
      <c r="CT274" s="24">
        <f t="shared" si="1964"/>
        <v>0</v>
      </c>
      <c r="CU274" s="24">
        <f t="shared" ref="CU274:DB274" si="1965">CU173-CU101-CT173+CU175-CT175</f>
        <v>0</v>
      </c>
      <c r="CV274" s="24">
        <f t="shared" si="1965"/>
        <v>0</v>
      </c>
      <c r="CW274" s="24">
        <f t="shared" si="1965"/>
        <v>0</v>
      </c>
      <c r="CX274" s="24">
        <f t="shared" si="1965"/>
        <v>0</v>
      </c>
      <c r="CY274" s="24">
        <f t="shared" si="1965"/>
        <v>0</v>
      </c>
      <c r="CZ274" s="24">
        <f t="shared" si="1965"/>
        <v>0</v>
      </c>
      <c r="DA274" s="24">
        <f t="shared" si="1965"/>
        <v>0</v>
      </c>
      <c r="DB274" s="24">
        <f t="shared" si="1965"/>
        <v>0</v>
      </c>
      <c r="DE274" s="123"/>
      <c r="DF274" s="23">
        <v>0</v>
      </c>
      <c r="DG274" s="23">
        <v>0</v>
      </c>
    </row>
    <row r="275" spans="1:111" s="23" customFormat="1" x14ac:dyDescent="0.2">
      <c r="AB275" s="24"/>
      <c r="AC275" s="24"/>
      <c r="AD275" s="24"/>
      <c r="AE275" s="24"/>
      <c r="CM275" s="24"/>
      <c r="CN275" s="24"/>
      <c r="CO275" s="24"/>
      <c r="CP275" s="24"/>
      <c r="CQ275" s="24"/>
      <c r="CR275" s="24"/>
      <c r="CS275" s="24"/>
      <c r="CT275" s="24"/>
      <c r="CU275" s="24"/>
      <c r="CV275" s="24"/>
      <c r="CW275" s="24"/>
      <c r="CX275" s="24"/>
      <c r="CY275" s="24"/>
      <c r="CZ275" s="24"/>
      <c r="DA275" s="24"/>
      <c r="DB275" s="24"/>
      <c r="DE275" s="123"/>
    </row>
    <row r="276" spans="1:111" s="23" customFormat="1" x14ac:dyDescent="0.2">
      <c r="A276" s="23" t="s">
        <v>442</v>
      </c>
      <c r="C276" s="23">
        <f t="shared" ref="C276" si="1966">B228</f>
        <v>0</v>
      </c>
      <c r="D276" s="23">
        <f t="shared" ref="D276" si="1967">C228</f>
        <v>0</v>
      </c>
      <c r="E276" s="23">
        <f>D228</f>
        <v>0</v>
      </c>
      <c r="F276" s="23">
        <f t="shared" ref="F276" si="1968">E228</f>
        <v>0</v>
      </c>
      <c r="G276" s="23">
        <f t="shared" ref="G276" si="1969">F228</f>
        <v>0</v>
      </c>
      <c r="H276" s="23">
        <f t="shared" ref="H276" si="1970">G228</f>
        <v>0</v>
      </c>
      <c r="I276" s="23">
        <f t="shared" ref="I276" si="1971">H228</f>
        <v>0</v>
      </c>
      <c r="J276" s="23">
        <f>I228</f>
        <v>0</v>
      </c>
      <c r="K276" s="23">
        <f>J228</f>
        <v>0</v>
      </c>
      <c r="L276" s="23">
        <f t="shared" ref="L276" si="1972">K228</f>
        <v>0</v>
      </c>
      <c r="M276" s="23">
        <f t="shared" ref="M276" si="1973">L228</f>
        <v>0</v>
      </c>
      <c r="N276" s="23">
        <f t="shared" ref="N276" si="1974">M228</f>
        <v>0</v>
      </c>
      <c r="O276" s="23">
        <f t="shared" ref="O276" si="1975">N228</f>
        <v>0</v>
      </c>
      <c r="P276" s="23">
        <f t="shared" ref="P276" si="1976">O228</f>
        <v>0.05</v>
      </c>
      <c r="Q276" s="23">
        <f t="shared" ref="Q276" si="1977">P228</f>
        <v>15.09</v>
      </c>
      <c r="R276" s="23">
        <f t="shared" ref="R276" si="1978">Q228</f>
        <v>171.2</v>
      </c>
      <c r="S276" s="23">
        <f t="shared" ref="S276" si="1979">R228</f>
        <v>498.18</v>
      </c>
      <c r="T276" s="23">
        <f t="shared" ref="T276" si="1980">S228</f>
        <v>665.49</v>
      </c>
      <c r="U276" s="23">
        <f t="shared" ref="U276" si="1981">T228</f>
        <v>916.42</v>
      </c>
      <c r="V276" s="23">
        <f t="shared" ref="V276" si="1982">U228</f>
        <v>2609.7000000000003</v>
      </c>
      <c r="W276" s="23">
        <f t="shared" ref="W276:Y276" si="1983">V228</f>
        <v>2339.17</v>
      </c>
      <c r="X276" s="23">
        <f t="shared" si="1983"/>
        <v>2820.64</v>
      </c>
      <c r="Y276" s="23">
        <f t="shared" si="1983"/>
        <v>3861.78</v>
      </c>
      <c r="Z276" s="23">
        <f>Y228</f>
        <v>4293.49</v>
      </c>
      <c r="AA276" s="23">
        <f>Z228</f>
        <v>8081.96</v>
      </c>
      <c r="AB276" s="24">
        <f t="shared" ref="AB276" si="1984">AA228</f>
        <v>8357.25</v>
      </c>
      <c r="AC276" s="24">
        <f t="shared" ref="AC276" si="1985">AB228</f>
        <v>-29842.388140194969</v>
      </c>
      <c r="AD276" s="24">
        <f t="shared" ref="AD276" si="1986">AC228</f>
        <v>-46179.262205725128</v>
      </c>
      <c r="AE276" s="24">
        <f t="shared" ref="AE276" si="1987">AD228</f>
        <v>-56797.016722267654</v>
      </c>
      <c r="AI276" s="23">
        <f t="shared" ref="AI276" si="1988">AH228</f>
        <v>0</v>
      </c>
      <c r="AJ276" s="23">
        <f t="shared" ref="AJ276" si="1989">AI228</f>
        <v>0</v>
      </c>
      <c r="AK276" s="23">
        <f t="shared" ref="AK276" si="1990">AJ228</f>
        <v>0</v>
      </c>
      <c r="AL276" s="23" t="e">
        <f t="shared" ref="AL276" si="1991">AK228</f>
        <v>#DIV/0!</v>
      </c>
      <c r="AM276" s="23">
        <f t="shared" ref="AM276" si="1992">AL228</f>
        <v>0</v>
      </c>
      <c r="AN276" s="23" t="e">
        <f t="shared" ref="AN276" si="1993">AM228</f>
        <v>#DIV/0!</v>
      </c>
      <c r="AO276" s="23">
        <f t="shared" ref="AO276" si="1994">AN228</f>
        <v>0</v>
      </c>
      <c r="AP276" s="23" t="e">
        <f t="shared" ref="AP276" si="1995">AO228</f>
        <v>#DIV/0!</v>
      </c>
      <c r="AQ276" s="23">
        <f t="shared" ref="AQ276" si="1996">AP228</f>
        <v>0</v>
      </c>
      <c r="AR276" s="23" t="e">
        <f t="shared" ref="AR276" si="1997">AQ228</f>
        <v>#DIV/0!</v>
      </c>
      <c r="AS276" s="23">
        <f t="shared" ref="AS276" si="1998">AR228</f>
        <v>0</v>
      </c>
      <c r="AT276" s="23" t="e">
        <f t="shared" ref="AT276" si="1999">AS228</f>
        <v>#DIV/0!</v>
      </c>
      <c r="AU276" s="23">
        <f t="shared" ref="AU276" si="2000">AT228</f>
        <v>15.09</v>
      </c>
      <c r="AV276" s="23">
        <f t="shared" ref="AV276" si="2001">AU228</f>
        <v>-1122.4203559896669</v>
      </c>
      <c r="AW276" s="23">
        <f t="shared" ref="AW276" si="2002">AV228</f>
        <v>141.09</v>
      </c>
      <c r="AX276" s="23">
        <f t="shared" ref="AX276" si="2003">AW228</f>
        <v>227.76909612930632</v>
      </c>
      <c r="AY276" s="23">
        <f t="shared" ref="AY276" si="2004">AX228</f>
        <v>171.2</v>
      </c>
      <c r="AZ276" s="23">
        <f t="shared" ref="AZ276" si="2005">AY228</f>
        <v>295.78698755719887</v>
      </c>
      <c r="BA276" s="23">
        <f t="shared" ref="BA276" si="2006">AZ228</f>
        <v>285.01</v>
      </c>
      <c r="BB276" s="23">
        <f t="shared" ref="BB276" si="2007">BA228</f>
        <v>364.19992881206895</v>
      </c>
      <c r="BC276" s="23">
        <f t="shared" ref="BC276" si="2008">BB228</f>
        <v>498.18</v>
      </c>
      <c r="BD276" s="23">
        <f t="shared" ref="BD276" si="2009">BC228</f>
        <v>636.75984687642392</v>
      </c>
      <c r="BE276" s="23">
        <f t="shared" ref="BE276" si="2010">BD228</f>
        <v>449.22</v>
      </c>
      <c r="BF276" s="23">
        <f t="shared" ref="BF276" si="2011">BE228</f>
        <v>991.38860927685585</v>
      </c>
      <c r="BG276" s="23">
        <f t="shared" ref="BG276" si="2012">BF228</f>
        <v>665.49</v>
      </c>
      <c r="BH276" s="23">
        <f t="shared" ref="BH276" si="2013">BG228</f>
        <v>894.10155492999525</v>
      </c>
      <c r="BI276" s="23">
        <f t="shared" ref="BI276" si="2014">BH228</f>
        <v>729.86</v>
      </c>
      <c r="BJ276" s="23">
        <f t="shared" ref="BJ276" si="2015">BI228</f>
        <v>1348.3985377540951</v>
      </c>
      <c r="BK276" s="23">
        <f t="shared" ref="BK276" si="2016">BJ228</f>
        <v>916.42</v>
      </c>
      <c r="BL276" s="23">
        <f t="shared" ref="BL276" si="2017">BK228</f>
        <v>1148.0947646883201</v>
      </c>
      <c r="BM276" s="23">
        <f t="shared" ref="BM276" si="2018">BL228</f>
        <v>1936.1799999999998</v>
      </c>
      <c r="BN276" s="23">
        <f t="shared" ref="BN276" si="2019">BM228</f>
        <v>2135.5860040101784</v>
      </c>
      <c r="BO276" s="23">
        <f t="shared" ref="BO276" si="2020">BN228</f>
        <v>2609.5100000000002</v>
      </c>
      <c r="BP276" s="23">
        <f t="shared" ref="BP276" si="2021">BO228</f>
        <v>2944.2505590280416</v>
      </c>
      <c r="BQ276" s="23">
        <f t="shared" ref="BQ276" si="2022">BP228</f>
        <v>1848.27</v>
      </c>
      <c r="BR276" s="23">
        <f t="shared" ref="BR276" si="2023">BQ228</f>
        <v>2207.4375786920427</v>
      </c>
      <c r="BS276" s="23">
        <f t="shared" ref="BS276" si="2024">BR228</f>
        <v>1464.7</v>
      </c>
      <c r="BT276" s="23">
        <f t="shared" ref="BT276" si="2025">BS228</f>
        <v>1899.8841871774844</v>
      </c>
      <c r="BU276" s="23">
        <f t="shared" ref="BU276" si="2026">BT228</f>
        <v>1643.99</v>
      </c>
      <c r="BV276" s="23">
        <f t="shared" ref="BV276" si="2027">BU228</f>
        <v>1885.1703904085848</v>
      </c>
      <c r="BW276" s="23">
        <f t="shared" ref="BW276" si="2028">BV228</f>
        <v>1689.2199999999998</v>
      </c>
      <c r="BX276" s="23">
        <f t="shared" ref="BX276" si="2029">BW228</f>
        <v>1890.3696158306766</v>
      </c>
      <c r="BY276" s="23">
        <f t="shared" ref="BY276" si="2030">BX228</f>
        <v>2198.46</v>
      </c>
      <c r="BZ276" s="23">
        <f t="shared" ref="BZ276" si="2031">BY228</f>
        <v>2626.7797279392721</v>
      </c>
      <c r="CA276" s="23">
        <f t="shared" ref="CA276" si="2032">BZ228</f>
        <v>2760.9300000000003</v>
      </c>
      <c r="CB276" s="23">
        <f t="shared" ref="CB276" si="2033">CA228</f>
        <v>2955.2287890673897</v>
      </c>
      <c r="CC276" s="23">
        <f t="shared" ref="CC276" si="2034">CB228</f>
        <v>3131.78</v>
      </c>
      <c r="CD276" s="23">
        <f t="shared" ref="CD276" si="2035">CC228</f>
        <v>3446.1918550738055</v>
      </c>
      <c r="CE276" s="23">
        <f t="shared" ref="CE276" si="2036">CD228</f>
        <v>2670.83</v>
      </c>
      <c r="CF276" s="23">
        <f t="shared" ref="CF276" si="2037">CE228</f>
        <v>1492.4403164536798</v>
      </c>
      <c r="CG276" s="23">
        <f t="shared" ref="CG276" si="2038">CF228</f>
        <v>7319.72</v>
      </c>
      <c r="CH276" s="23">
        <f t="shared" ref="CH276:CJ276" si="2039">CG228</f>
        <v>8061.8368771447558</v>
      </c>
      <c r="CI276" s="23">
        <f t="shared" si="2039"/>
        <v>5908.37</v>
      </c>
      <c r="CJ276" s="23">
        <f t="shared" si="2039"/>
        <v>6866.9718361994037</v>
      </c>
      <c r="CK276" s="23">
        <f t="shared" ref="CK276" si="2040">CJ228</f>
        <v>6329.48</v>
      </c>
      <c r="CL276" s="23">
        <f t="shared" ref="CL276" si="2041">CK228</f>
        <v>6386.8714344972495</v>
      </c>
      <c r="CM276" s="24">
        <f t="shared" ref="CM276" si="2042">CL228</f>
        <v>6183.66</v>
      </c>
      <c r="CN276" s="24">
        <f t="shared" ref="CN276" si="2043">CM228</f>
        <v>-7124.2529792251225</v>
      </c>
      <c r="CO276" s="24">
        <f t="shared" ref="CO276" si="2044">CN228</f>
        <v>-13811.770252146005</v>
      </c>
      <c r="CP276" s="24">
        <f t="shared" ref="CP276" si="2045">CO228</f>
        <v>-22938.515372650556</v>
      </c>
      <c r="CQ276" s="24">
        <f t="shared" ref="CQ276" si="2046">CP228</f>
        <v>-29842.388140194969</v>
      </c>
      <c r="CR276" s="24">
        <f t="shared" ref="CR276" si="2047">CQ228</f>
        <v>-35755.978151755466</v>
      </c>
      <c r="CS276" s="24">
        <f t="shared" ref="CS276" si="2048">CR228</f>
        <v>-37897.232132143494</v>
      </c>
      <c r="CT276" s="24">
        <f t="shared" ref="CT276" si="2049">CS228</f>
        <v>-41823.348609713321</v>
      </c>
      <c r="CU276" s="24">
        <f t="shared" ref="CU276" si="2050">CT228</f>
        <v>-46179.262205725128</v>
      </c>
      <c r="CV276" s="24">
        <f t="shared" ref="CV276" si="2051">CU228</f>
        <v>-47934.10092953821</v>
      </c>
      <c r="CW276" s="24">
        <f t="shared" ref="CW276" si="2052">CV228</f>
        <v>-49319.227343090206</v>
      </c>
      <c r="CX276" s="24">
        <f t="shared" ref="CX276" si="2053">CW228</f>
        <v>-54190.846089408224</v>
      </c>
      <c r="CY276" s="24">
        <f t="shared" ref="CY276" si="2054">CX228</f>
        <v>-56797.016722267654</v>
      </c>
      <c r="CZ276" s="24">
        <f t="shared" ref="CZ276" si="2055">CY228</f>
        <v>-60033.990636547242</v>
      </c>
      <c r="DA276" s="24">
        <f t="shared" ref="DA276" si="2056">CZ228</f>
        <v>-61349.259651547676</v>
      </c>
      <c r="DB276" s="24">
        <f t="shared" ref="DB276" si="2057">DA228</f>
        <v>-64613.145812584131</v>
      </c>
      <c r="DE276" s="123"/>
      <c r="DF276" s="23">
        <v>2173.59</v>
      </c>
      <c r="DG276" s="23">
        <v>6386.8714344972495</v>
      </c>
    </row>
    <row r="277" spans="1:111" s="23" customFormat="1" x14ac:dyDescent="0.2">
      <c r="A277" s="23" t="s">
        <v>443</v>
      </c>
      <c r="C277" s="23">
        <f t="shared" ref="C277:W277" si="2058">C276+C272+C268+C266</f>
        <v>0</v>
      </c>
      <c r="D277" s="23">
        <f t="shared" si="2058"/>
        <v>0</v>
      </c>
      <c r="E277" s="23">
        <f t="shared" si="2058"/>
        <v>0</v>
      </c>
      <c r="F277" s="23">
        <f t="shared" si="2058"/>
        <v>0</v>
      </c>
      <c r="G277" s="23">
        <f t="shared" si="2058"/>
        <v>0</v>
      </c>
      <c r="H277" s="23">
        <f t="shared" si="2058"/>
        <v>0</v>
      </c>
      <c r="I277" s="23">
        <f t="shared" si="2058"/>
        <v>0</v>
      </c>
      <c r="J277" s="23">
        <f>J276+J272+J268+J266</f>
        <v>0</v>
      </c>
      <c r="K277" s="23">
        <f>K276+K272+K268+K266</f>
        <v>0</v>
      </c>
      <c r="L277" s="23">
        <f>L276+L272+L268+L266</f>
        <v>0</v>
      </c>
      <c r="M277" s="23">
        <f>M276+M272+M268+M266</f>
        <v>0</v>
      </c>
      <c r="N277" s="23">
        <f t="shared" si="2058"/>
        <v>0</v>
      </c>
      <c r="O277" s="23">
        <f t="shared" si="2058"/>
        <v>0.05</v>
      </c>
      <c r="P277" s="23">
        <f t="shared" si="2058"/>
        <v>14.410000000000707</v>
      </c>
      <c r="Q277" s="23">
        <f t="shared" si="2058"/>
        <v>169.47000000000034</v>
      </c>
      <c r="R277" s="23">
        <f t="shared" si="2058"/>
        <v>496.00999999999863</v>
      </c>
      <c r="S277" s="23">
        <f t="shared" si="2058"/>
        <v>662.91999999999598</v>
      </c>
      <c r="T277" s="23">
        <f t="shared" si="2058"/>
        <v>923.57000000000016</v>
      </c>
      <c r="U277" s="23">
        <f t="shared" si="2058"/>
        <v>2609.7000000000048</v>
      </c>
      <c r="V277" s="23">
        <f t="shared" si="2058"/>
        <v>2339.1700000000019</v>
      </c>
      <c r="W277" s="23">
        <f t="shared" si="2058"/>
        <v>2820.6399999999862</v>
      </c>
      <c r="X277" s="23">
        <f t="shared" ref="X277:Y277" si="2059">X276+X272+X268+X266</f>
        <v>3861.7800000000007</v>
      </c>
      <c r="Y277" s="23">
        <f t="shared" si="2059"/>
        <v>4293.4899999999943</v>
      </c>
      <c r="Z277" s="23">
        <f>Z276+Z272+Z268+Z266</f>
        <v>8081.9600000000073</v>
      </c>
      <c r="AA277" s="23">
        <f>AA276+AA272+AA268+AA266</f>
        <v>8357.2499999999945</v>
      </c>
      <c r="AB277" s="24">
        <f t="shared" ref="AB277:AD277" si="2060">AB276+AB272+AB268+AB266</f>
        <v>-29842.388140194969</v>
      </c>
      <c r="AC277" s="24">
        <f t="shared" si="2060"/>
        <v>-46179.26220572515</v>
      </c>
      <c r="AD277" s="24">
        <f t="shared" si="2060"/>
        <v>-56797.016722267639</v>
      </c>
      <c r="AE277" s="24">
        <f t="shared" ref="AE277" si="2061">AE276+AE272+AE268+AE266</f>
        <v>-68216.191049635119</v>
      </c>
      <c r="AI277" s="23">
        <f t="shared" ref="AI277" si="2062">AI276+AI272+AI268+AI266</f>
        <v>0</v>
      </c>
      <c r="AJ277" s="23">
        <f t="shared" ref="AJ277:AL277" si="2063">AJ276+AJ272+AJ268+AJ266</f>
        <v>0</v>
      </c>
      <c r="AK277" s="23" t="e">
        <f t="shared" si="2063"/>
        <v>#DIV/0!</v>
      </c>
      <c r="AL277" s="23" t="e">
        <f t="shared" si="2063"/>
        <v>#DIV/0!</v>
      </c>
      <c r="AM277" s="23" t="e">
        <f t="shared" ref="AM277" si="2064">AM276+AM272+AM268+AM266</f>
        <v>#DIV/0!</v>
      </c>
      <c r="AN277" s="23" t="e">
        <f t="shared" ref="AN277:CD277" si="2065">AN276+AN272+AN268+AN266</f>
        <v>#DIV/0!</v>
      </c>
      <c r="AO277" s="23" t="e">
        <f t="shared" si="2065"/>
        <v>#DIV/0!</v>
      </c>
      <c r="AP277" s="23" t="e">
        <f t="shared" si="2065"/>
        <v>#DIV/0!</v>
      </c>
      <c r="AQ277" s="23" t="e">
        <f t="shared" si="2065"/>
        <v>#DIV/0!</v>
      </c>
      <c r="AR277" s="23" t="e">
        <f t="shared" si="2065"/>
        <v>#DIV/0!</v>
      </c>
      <c r="AS277" s="23" t="e">
        <f t="shared" si="2065"/>
        <v>#DIV/0!</v>
      </c>
      <c r="AT277" s="23" t="e">
        <f t="shared" si="2065"/>
        <v>#DIV/0!</v>
      </c>
      <c r="AU277" s="23">
        <f t="shared" si="2065"/>
        <v>-1122.4203559896669</v>
      </c>
      <c r="AV277" s="23">
        <f t="shared" si="2065"/>
        <v>141.08999999999855</v>
      </c>
      <c r="AW277" s="23">
        <f t="shared" si="2065"/>
        <v>227.76909612930632</v>
      </c>
      <c r="AX277" s="23">
        <f t="shared" si="2065"/>
        <v>171.20000000000016</v>
      </c>
      <c r="AY277" s="23">
        <f t="shared" si="2065"/>
        <v>295.78698755719887</v>
      </c>
      <c r="AZ277" s="23">
        <f t="shared" si="2065"/>
        <v>285.00999999999976</v>
      </c>
      <c r="BA277" s="23">
        <f t="shared" si="2065"/>
        <v>364.19992881206895</v>
      </c>
      <c r="BB277" s="23">
        <f t="shared" si="2065"/>
        <v>498.18000000000075</v>
      </c>
      <c r="BC277" s="23">
        <f t="shared" si="2065"/>
        <v>636.75984687642392</v>
      </c>
      <c r="BD277" s="23">
        <f t="shared" si="2065"/>
        <v>449.219999999999</v>
      </c>
      <c r="BE277" s="23">
        <f t="shared" si="2065"/>
        <v>991.38860927685585</v>
      </c>
      <c r="BF277" s="23">
        <f t="shared" si="2065"/>
        <v>665.48999999999887</v>
      </c>
      <c r="BG277" s="23">
        <f t="shared" si="2065"/>
        <v>894.10155492999525</v>
      </c>
      <c r="BH277" s="23">
        <f t="shared" si="2065"/>
        <v>729.86000000000058</v>
      </c>
      <c r="BI277" s="23">
        <f t="shared" si="2065"/>
        <v>1348.3985377540951</v>
      </c>
      <c r="BJ277" s="23">
        <f t="shared" si="2065"/>
        <v>916.42000000000144</v>
      </c>
      <c r="BK277" s="23">
        <f t="shared" si="2065"/>
        <v>1148.0947646883201</v>
      </c>
      <c r="BL277" s="23">
        <f t="shared" si="2065"/>
        <v>1936.1800000000039</v>
      </c>
      <c r="BM277" s="23">
        <f t="shared" si="2065"/>
        <v>2135.5860040101784</v>
      </c>
      <c r="BN277" s="23">
        <f t="shared" si="2065"/>
        <v>2609.5099999999975</v>
      </c>
      <c r="BO277" s="23">
        <f t="shared" si="2065"/>
        <v>2944.2505590280416</v>
      </c>
      <c r="BP277" s="23">
        <f t="shared" si="2065"/>
        <v>1848.2699999999963</v>
      </c>
      <c r="BQ277" s="23">
        <f t="shared" si="2065"/>
        <v>2207.4375786920427</v>
      </c>
      <c r="BR277" s="23">
        <f t="shared" si="2065"/>
        <v>1464.7000000000039</v>
      </c>
      <c r="BS277" s="23">
        <f t="shared" si="2065"/>
        <v>1899.8841871774844</v>
      </c>
      <c r="BT277" s="23">
        <f t="shared" si="2065"/>
        <v>1643.9899999999989</v>
      </c>
      <c r="BU277" s="23">
        <f t="shared" si="2065"/>
        <v>1885.1703904085848</v>
      </c>
      <c r="BV277" s="23">
        <f t="shared" si="2065"/>
        <v>1689.2200000000021</v>
      </c>
      <c r="BW277" s="23">
        <f t="shared" si="2065"/>
        <v>1890.3696158306766</v>
      </c>
      <c r="BX277" s="23">
        <f t="shared" si="2065"/>
        <v>2198.4599999999955</v>
      </c>
      <c r="BY277" s="23">
        <f t="shared" si="2065"/>
        <v>2626.7797279392721</v>
      </c>
      <c r="BZ277" s="23">
        <f t="shared" si="2065"/>
        <v>2760.9299999999907</v>
      </c>
      <c r="CA277" s="23">
        <f t="shared" si="2065"/>
        <v>2955.2287890673897</v>
      </c>
      <c r="CB277" s="23">
        <f t="shared" si="2065"/>
        <v>3131.7800000000102</v>
      </c>
      <c r="CC277" s="23">
        <f t="shared" si="2065"/>
        <v>3446.1918550738055</v>
      </c>
      <c r="CD277" s="23">
        <f t="shared" si="2065"/>
        <v>2670.8299999999954</v>
      </c>
      <c r="CE277" s="23">
        <f t="shared" ref="CE277:CF277" si="2066">CE276+CE272+CE268+CE266</f>
        <v>1492.4403164536798</v>
      </c>
      <c r="CF277" s="23">
        <f t="shared" si="2066"/>
        <v>7319.7199999999939</v>
      </c>
      <c r="CG277" s="23">
        <f t="shared" ref="CG277:CH277" si="2067">CG276+CG272+CG268+CG266</f>
        <v>8061.8368771447558</v>
      </c>
      <c r="CH277" s="23">
        <f t="shared" si="2067"/>
        <v>19039.510000000013</v>
      </c>
      <c r="CI277" s="23">
        <f t="shared" ref="CI277:CJ277" si="2068">CI276+CI272+CI268+CI266</f>
        <v>6866.9718361994037</v>
      </c>
      <c r="CJ277" s="23">
        <f t="shared" si="2068"/>
        <v>-6801.6600000000035</v>
      </c>
      <c r="CK277" s="23">
        <f t="shared" ref="CK277:DB277" si="2069">CK276+CK272+CK268+CK266</f>
        <v>6386.8714344972495</v>
      </c>
      <c r="CL277" s="23">
        <f t="shared" si="2069"/>
        <v>6183.6599999999953</v>
      </c>
      <c r="CM277" s="24">
        <f t="shared" si="2069"/>
        <v>-7124.2529792251225</v>
      </c>
      <c r="CN277" s="24">
        <f t="shared" si="2069"/>
        <v>-13811.770252146005</v>
      </c>
      <c r="CO277" s="24">
        <f t="shared" si="2069"/>
        <v>-22938.515372650556</v>
      </c>
      <c r="CP277" s="24">
        <f t="shared" si="2069"/>
        <v>-29842.388140194969</v>
      </c>
      <c r="CQ277" s="24">
        <f t="shared" si="2069"/>
        <v>-35755.978151755466</v>
      </c>
      <c r="CR277" s="24">
        <f t="shared" si="2069"/>
        <v>-37897.232132143494</v>
      </c>
      <c r="CS277" s="24">
        <f t="shared" si="2069"/>
        <v>-41823.348609713321</v>
      </c>
      <c r="CT277" s="24">
        <f t="shared" si="2069"/>
        <v>-46179.262205725128</v>
      </c>
      <c r="CU277" s="24">
        <f t="shared" si="2069"/>
        <v>-47934.10092953821</v>
      </c>
      <c r="CV277" s="24">
        <f t="shared" si="2069"/>
        <v>-49319.227343090206</v>
      </c>
      <c r="CW277" s="24">
        <f t="shared" si="2069"/>
        <v>-54190.846089408224</v>
      </c>
      <c r="CX277" s="24">
        <f t="shared" si="2069"/>
        <v>-56797.016722267654</v>
      </c>
      <c r="CY277" s="24">
        <f t="shared" si="2069"/>
        <v>-60033.990636547242</v>
      </c>
      <c r="CZ277" s="24">
        <f t="shared" si="2069"/>
        <v>-61349.259651547676</v>
      </c>
      <c r="DA277" s="24">
        <f t="shared" si="2069"/>
        <v>-64613.145812584131</v>
      </c>
      <c r="DB277" s="24">
        <f t="shared" si="2069"/>
        <v>-68216.19104963509</v>
      </c>
      <c r="DE277" s="123"/>
      <c r="DF277" s="23">
        <v>2173.59</v>
      </c>
      <c r="DG277" s="23">
        <v>724.05397079669274</v>
      </c>
    </row>
    <row r="278" spans="1:111" s="28" customFormat="1" x14ac:dyDescent="0.2">
      <c r="A278" s="28" t="s">
        <v>444</v>
      </c>
      <c r="C278" s="28">
        <f t="shared" ref="C278:W278" si="2070">C277-C228</f>
        <v>0</v>
      </c>
      <c r="D278" s="28">
        <f t="shared" si="2070"/>
        <v>0</v>
      </c>
      <c r="E278" s="28">
        <f t="shared" si="2070"/>
        <v>0</v>
      </c>
      <c r="F278" s="28">
        <f t="shared" si="2070"/>
        <v>0</v>
      </c>
      <c r="G278" s="28">
        <f t="shared" si="2070"/>
        <v>0</v>
      </c>
      <c r="H278" s="28">
        <f t="shared" si="2070"/>
        <v>0</v>
      </c>
      <c r="I278" s="28">
        <f t="shared" si="2070"/>
        <v>0</v>
      </c>
      <c r="J278" s="28">
        <f>J277-J228</f>
        <v>0</v>
      </c>
      <c r="K278" s="28">
        <f t="shared" si="2070"/>
        <v>0</v>
      </c>
      <c r="L278" s="28">
        <f t="shared" si="2070"/>
        <v>0</v>
      </c>
      <c r="M278" s="28">
        <f t="shared" si="2070"/>
        <v>0</v>
      </c>
      <c r="N278" s="28">
        <f t="shared" si="2070"/>
        <v>0</v>
      </c>
      <c r="O278" s="28">
        <f t="shared" si="2070"/>
        <v>0</v>
      </c>
      <c r="P278" s="28">
        <f t="shared" si="2070"/>
        <v>-0.67999999999929273</v>
      </c>
      <c r="Q278" s="28">
        <f t="shared" si="2070"/>
        <v>-1.7299999999996487</v>
      </c>
      <c r="R278" s="28">
        <f t="shared" si="2070"/>
        <v>-2.1700000000013802</v>
      </c>
      <c r="S278" s="28">
        <f t="shared" si="2070"/>
        <v>-2.5700000000040291</v>
      </c>
      <c r="T278" s="28">
        <f t="shared" si="2070"/>
        <v>7.1500000000002046</v>
      </c>
      <c r="U278" s="28">
        <f t="shared" si="2070"/>
        <v>4.5474735088646412E-12</v>
      </c>
      <c r="V278" s="28">
        <f t="shared" si="2070"/>
        <v>0</v>
      </c>
      <c r="W278" s="28">
        <f t="shared" si="2070"/>
        <v>-1.3642420526593924E-11</v>
      </c>
      <c r="X278" s="28">
        <f t="shared" ref="X278:Y278" si="2071">X277-X228</f>
        <v>0</v>
      </c>
      <c r="Y278" s="28">
        <f t="shared" si="2071"/>
        <v>0</v>
      </c>
      <c r="Z278" s="28">
        <f>Z277-Z228</f>
        <v>7.2759576141834259E-12</v>
      </c>
      <c r="AA278" s="28">
        <f>AA277-AA228</f>
        <v>0</v>
      </c>
      <c r="AB278" s="30">
        <f t="shared" ref="AB278:AD278" si="2072">AB277-AB228</f>
        <v>0</v>
      </c>
      <c r="AC278" s="30">
        <f t="shared" si="2072"/>
        <v>0</v>
      </c>
      <c r="AD278" s="30">
        <f t="shared" si="2072"/>
        <v>0</v>
      </c>
      <c r="AE278" s="30">
        <f t="shared" ref="AE278" si="2073">AE277-AE228</f>
        <v>0</v>
      </c>
      <c r="AI278" s="28">
        <f t="shared" ref="AI278" si="2074">AI277-AI228</f>
        <v>0</v>
      </c>
      <c r="AJ278" s="28">
        <f t="shared" ref="AJ278:AL278" si="2075">AJ277-AJ228</f>
        <v>0</v>
      </c>
      <c r="AK278" s="28" t="e">
        <f t="shared" si="2075"/>
        <v>#DIV/0!</v>
      </c>
      <c r="AL278" s="28" t="e">
        <f t="shared" si="2075"/>
        <v>#DIV/0!</v>
      </c>
      <c r="AM278" s="28" t="e">
        <f t="shared" ref="AM278" si="2076">AM277-AM228</f>
        <v>#DIV/0!</v>
      </c>
      <c r="AN278" s="28" t="e">
        <f t="shared" ref="AN278:CD278" si="2077">AN277-AN228</f>
        <v>#DIV/0!</v>
      </c>
      <c r="AO278" s="28" t="e">
        <f t="shared" si="2077"/>
        <v>#DIV/0!</v>
      </c>
      <c r="AP278" s="28" t="e">
        <f t="shared" si="2077"/>
        <v>#DIV/0!</v>
      </c>
      <c r="AQ278" s="28" t="e">
        <f t="shared" si="2077"/>
        <v>#DIV/0!</v>
      </c>
      <c r="AR278" s="28" t="e">
        <f t="shared" si="2077"/>
        <v>#DIV/0!</v>
      </c>
      <c r="AS278" s="28" t="e">
        <f t="shared" si="2077"/>
        <v>#DIV/0!</v>
      </c>
      <c r="AT278" s="28" t="e">
        <f t="shared" si="2077"/>
        <v>#DIV/0!</v>
      </c>
      <c r="AU278" s="28">
        <f t="shared" si="2077"/>
        <v>0</v>
      </c>
      <c r="AV278" s="28">
        <f t="shared" si="2077"/>
        <v>-1.4495071809506044E-12</v>
      </c>
      <c r="AW278" s="28">
        <f t="shared" si="2077"/>
        <v>0</v>
      </c>
      <c r="AX278" s="28">
        <f t="shared" si="2077"/>
        <v>0</v>
      </c>
      <c r="AY278" s="28">
        <f t="shared" si="2077"/>
        <v>0</v>
      </c>
      <c r="AZ278" s="28">
        <f t="shared" si="2077"/>
        <v>0</v>
      </c>
      <c r="BA278" s="28">
        <f t="shared" si="2077"/>
        <v>0</v>
      </c>
      <c r="BB278" s="28">
        <f t="shared" si="2077"/>
        <v>7.3896444519050419E-13</v>
      </c>
      <c r="BC278" s="28">
        <f t="shared" si="2077"/>
        <v>0</v>
      </c>
      <c r="BD278" s="28">
        <f t="shared" si="2077"/>
        <v>-1.0231815394945443E-12</v>
      </c>
      <c r="BE278" s="28">
        <f t="shared" si="2077"/>
        <v>0</v>
      </c>
      <c r="BF278" s="28">
        <f t="shared" si="2077"/>
        <v>-1.1368683772161603E-12</v>
      </c>
      <c r="BG278" s="28">
        <f t="shared" si="2077"/>
        <v>0</v>
      </c>
      <c r="BH278" s="28">
        <f t="shared" si="2077"/>
        <v>0</v>
      </c>
      <c r="BI278" s="28">
        <f t="shared" si="2077"/>
        <v>0</v>
      </c>
      <c r="BJ278" s="28">
        <f t="shared" si="2077"/>
        <v>1.4779288903810084E-12</v>
      </c>
      <c r="BK278" s="28">
        <f t="shared" si="2077"/>
        <v>0</v>
      </c>
      <c r="BL278" s="28">
        <f t="shared" si="2077"/>
        <v>4.0927261579781771E-12</v>
      </c>
      <c r="BM278" s="28">
        <f t="shared" si="2077"/>
        <v>0</v>
      </c>
      <c r="BN278" s="28">
        <f t="shared" si="2077"/>
        <v>0</v>
      </c>
      <c r="BO278" s="28">
        <f t="shared" si="2077"/>
        <v>0</v>
      </c>
      <c r="BP278" s="28">
        <f t="shared" si="2077"/>
        <v>-3.637978807091713E-12</v>
      </c>
      <c r="BQ278" s="28">
        <f t="shared" si="2077"/>
        <v>0</v>
      </c>
      <c r="BR278" s="28">
        <f t="shared" si="2077"/>
        <v>3.865352482534945E-12</v>
      </c>
      <c r="BS278" s="28">
        <f t="shared" si="2077"/>
        <v>0</v>
      </c>
      <c r="BT278" s="28">
        <f t="shared" si="2077"/>
        <v>0</v>
      </c>
      <c r="BU278" s="28">
        <f t="shared" si="2077"/>
        <v>0</v>
      </c>
      <c r="BV278" s="28">
        <f t="shared" si="2077"/>
        <v>2.2737367544323206E-12</v>
      </c>
      <c r="BW278" s="28">
        <f t="shared" si="2077"/>
        <v>0</v>
      </c>
      <c r="BX278" s="28">
        <f t="shared" si="2077"/>
        <v>-4.5474735088646412E-12</v>
      </c>
      <c r="BY278" s="28">
        <f t="shared" si="2077"/>
        <v>0</v>
      </c>
      <c r="BZ278" s="28">
        <f t="shared" si="2077"/>
        <v>-9.5496943686157465E-12</v>
      </c>
      <c r="CA278" s="28">
        <f t="shared" si="2077"/>
        <v>0</v>
      </c>
      <c r="CB278" s="28">
        <f t="shared" si="2077"/>
        <v>1.0004441719502211E-11</v>
      </c>
      <c r="CC278" s="28">
        <f t="shared" si="2077"/>
        <v>0</v>
      </c>
      <c r="CD278" s="28">
        <f t="shared" si="2077"/>
        <v>-4.5474735088646412E-12</v>
      </c>
      <c r="CE278" s="28">
        <f t="shared" ref="CE278:CF278" si="2078">CE277-CE228</f>
        <v>0</v>
      </c>
      <c r="CF278" s="28">
        <f t="shared" si="2078"/>
        <v>0</v>
      </c>
      <c r="CG278" s="28">
        <f t="shared" ref="CG278:CH278" si="2079">CG277-CG228</f>
        <v>0</v>
      </c>
      <c r="CH278" s="28">
        <f t="shared" si="2079"/>
        <v>13131.140000000014</v>
      </c>
      <c r="CI278" s="28">
        <f t="shared" ref="CI278:CJ278" si="2080">CI277-CI228</f>
        <v>0</v>
      </c>
      <c r="CJ278" s="28">
        <f t="shared" si="2080"/>
        <v>-13131.140000000003</v>
      </c>
      <c r="CK278" s="28">
        <f t="shared" ref="CK278:DB278" si="2081">CK277-CK228</f>
        <v>0</v>
      </c>
      <c r="CL278" s="28">
        <f t="shared" si="2081"/>
        <v>0</v>
      </c>
      <c r="CM278" s="30">
        <f t="shared" si="2081"/>
        <v>0</v>
      </c>
      <c r="CN278" s="30">
        <f t="shared" si="2081"/>
        <v>0</v>
      </c>
      <c r="CO278" s="30">
        <f t="shared" si="2081"/>
        <v>0</v>
      </c>
      <c r="CP278" s="30">
        <f t="shared" si="2081"/>
        <v>0</v>
      </c>
      <c r="CQ278" s="30">
        <f t="shared" si="2081"/>
        <v>0</v>
      </c>
      <c r="CR278" s="30">
        <f t="shared" si="2081"/>
        <v>0</v>
      </c>
      <c r="CS278" s="30">
        <f t="shared" si="2081"/>
        <v>0</v>
      </c>
      <c r="CT278" s="30">
        <f t="shared" si="2081"/>
        <v>0</v>
      </c>
      <c r="CU278" s="30">
        <f t="shared" si="2081"/>
        <v>0</v>
      </c>
      <c r="CV278" s="30">
        <f t="shared" si="2081"/>
        <v>0</v>
      </c>
      <c r="CW278" s="30">
        <f t="shared" si="2081"/>
        <v>0</v>
      </c>
      <c r="CX278" s="30">
        <f t="shared" si="2081"/>
        <v>0</v>
      </c>
      <c r="CY278" s="30">
        <f t="shared" si="2081"/>
        <v>0</v>
      </c>
      <c r="CZ278" s="30">
        <f t="shared" si="2081"/>
        <v>0</v>
      </c>
      <c r="DA278" s="30">
        <f t="shared" si="2081"/>
        <v>0</v>
      </c>
      <c r="DB278" s="30">
        <f t="shared" si="2081"/>
        <v>0</v>
      </c>
      <c r="DE278" s="139"/>
      <c r="DF278" s="28">
        <v>0</v>
      </c>
      <c r="DG278" s="28">
        <v>0</v>
      </c>
    </row>
    <row r="279" spans="1:111" s="23" customFormat="1" x14ac:dyDescent="0.2">
      <c r="AB279" s="24"/>
      <c r="AC279" s="24"/>
      <c r="AD279" s="24"/>
      <c r="AE279" s="24"/>
      <c r="CM279" s="24"/>
      <c r="CN279" s="24"/>
      <c r="CO279" s="24"/>
      <c r="CP279" s="24"/>
      <c r="CQ279" s="24"/>
      <c r="CR279" s="24"/>
      <c r="CS279" s="24"/>
      <c r="CT279" s="24"/>
      <c r="CU279" s="24"/>
      <c r="CV279" s="24"/>
      <c r="CW279" s="24"/>
      <c r="CX279" s="24"/>
      <c r="CY279" s="24"/>
      <c r="CZ279" s="24"/>
      <c r="DA279" s="24"/>
      <c r="DB279" s="24"/>
      <c r="DE279" s="123"/>
    </row>
    <row r="280" spans="1:111" s="22" customFormat="1" x14ac:dyDescent="0.2">
      <c r="A280" s="22" t="s">
        <v>96</v>
      </c>
      <c r="C280" s="22">
        <f t="shared" ref="C280:W280" si="2082">C266+C268</f>
        <v>0</v>
      </c>
      <c r="D280" s="22">
        <f t="shared" si="2082"/>
        <v>0</v>
      </c>
      <c r="E280" s="22">
        <f t="shared" si="2082"/>
        <v>0</v>
      </c>
      <c r="F280" s="22">
        <f t="shared" si="2082"/>
        <v>0</v>
      </c>
      <c r="G280" s="22">
        <f t="shared" si="2082"/>
        <v>0</v>
      </c>
      <c r="H280" s="22">
        <f t="shared" si="2082"/>
        <v>0</v>
      </c>
      <c r="I280" s="22">
        <f t="shared" si="2082"/>
        <v>0</v>
      </c>
      <c r="J280" s="22">
        <f>J266+J268</f>
        <v>0</v>
      </c>
      <c r="K280" s="22">
        <f t="shared" si="2082"/>
        <v>0</v>
      </c>
      <c r="L280" s="22">
        <f t="shared" si="2082"/>
        <v>0</v>
      </c>
      <c r="M280" s="22">
        <f t="shared" si="2082"/>
        <v>0</v>
      </c>
      <c r="N280" s="22">
        <f t="shared" si="2082"/>
        <v>0</v>
      </c>
      <c r="O280" s="22">
        <f t="shared" si="2082"/>
        <v>0</v>
      </c>
      <c r="P280" s="22">
        <f t="shared" si="2082"/>
        <v>-10776.7927029</v>
      </c>
      <c r="Q280" s="22">
        <f t="shared" si="2082"/>
        <v>50.0100000000009</v>
      </c>
      <c r="R280" s="22">
        <f t="shared" si="2082"/>
        <v>76.660000000000309</v>
      </c>
      <c r="S280" s="22">
        <f t="shared" si="2082"/>
        <v>-3255.8100000000022</v>
      </c>
      <c r="T280" s="22">
        <f t="shared" si="2082"/>
        <v>-10877.76</v>
      </c>
      <c r="U280" s="22">
        <f t="shared" si="2082"/>
        <v>-3191.849999999999</v>
      </c>
      <c r="V280" s="22">
        <f t="shared" si="2082"/>
        <v>-2223.5100000000002</v>
      </c>
      <c r="W280" s="22">
        <f t="shared" si="2082"/>
        <v>-2151.1600000000058</v>
      </c>
      <c r="X280" s="22">
        <f t="shared" ref="X280:Y280" si="2083">X266+X268</f>
        <v>-3956.0599999999995</v>
      </c>
      <c r="Y280" s="22">
        <f t="shared" si="2083"/>
        <v>-2068.4000000000028</v>
      </c>
      <c r="Z280" s="22">
        <f>Z266+Z268</f>
        <v>-7656.8999999999951</v>
      </c>
      <c r="AA280" s="22">
        <f>AA266+AA268</f>
        <v>-12064.839999999998</v>
      </c>
      <c r="AB280" s="21">
        <f t="shared" ref="AB280:AD280" si="2084">AB266+AB268</f>
        <v>-35783.718140194971</v>
      </c>
      <c r="AC280" s="21">
        <f t="shared" si="2084"/>
        <v>-16336.874065530172</v>
      </c>
      <c r="AD280" s="21">
        <f t="shared" si="2084"/>
        <v>-10617.754516542507</v>
      </c>
      <c r="AE280" s="21">
        <f t="shared" ref="AE280" si="2085">AE266+AE268</f>
        <v>-11419.174327367451</v>
      </c>
      <c r="AI280" s="22">
        <f t="shared" ref="AI280" si="2086">AI266+AI268</f>
        <v>0</v>
      </c>
      <c r="AJ280" s="22">
        <f t="shared" ref="AJ280:AL280" si="2087">AJ266+AJ268</f>
        <v>0</v>
      </c>
      <c r="AK280" s="22" t="e">
        <f t="shared" si="2087"/>
        <v>#DIV/0!</v>
      </c>
      <c r="AL280" s="22" t="e">
        <f t="shared" si="2087"/>
        <v>#DIV/0!</v>
      </c>
      <c r="AM280" s="22" t="e">
        <f t="shared" ref="AM280" si="2088">AM266+AM268</f>
        <v>#DIV/0!</v>
      </c>
      <c r="AN280" s="22" t="e">
        <f t="shared" ref="AN280:CD280" si="2089">AN266+AN268</f>
        <v>#DIV/0!</v>
      </c>
      <c r="AO280" s="22" t="e">
        <f t="shared" si="2089"/>
        <v>#DIV/0!</v>
      </c>
      <c r="AP280" s="22" t="e">
        <f t="shared" si="2089"/>
        <v>#DIV/0!</v>
      </c>
      <c r="AQ280" s="22" t="e">
        <f t="shared" si="2089"/>
        <v>#DIV/0!</v>
      </c>
      <c r="AR280" s="22" t="e">
        <f t="shared" si="2089"/>
        <v>#DIV/0!</v>
      </c>
      <c r="AS280" s="22" t="e">
        <f t="shared" si="2089"/>
        <v>#DIV/0!</v>
      </c>
      <c r="AT280" s="22" t="e">
        <f t="shared" si="2089"/>
        <v>#DIV/0!</v>
      </c>
      <c r="AU280" s="22">
        <f t="shared" si="2089"/>
        <v>-1137.5103559896668</v>
      </c>
      <c r="AV280" s="22">
        <f t="shared" si="2089"/>
        <v>1163.8203559896665</v>
      </c>
      <c r="AW280" s="22">
        <f t="shared" si="2089"/>
        <v>86.679096129306316</v>
      </c>
      <c r="AX280" s="22">
        <f t="shared" si="2089"/>
        <v>-218.91909612930698</v>
      </c>
      <c r="AY280" s="22">
        <f t="shared" si="2089"/>
        <v>124.58698755719888</v>
      </c>
      <c r="AZ280" s="22">
        <f t="shared" si="2089"/>
        <v>-809.64698755719951</v>
      </c>
      <c r="BA280" s="22">
        <f t="shared" si="2089"/>
        <v>79.189928812069383</v>
      </c>
      <c r="BB280" s="22">
        <f t="shared" si="2089"/>
        <v>353.40007118793142</v>
      </c>
      <c r="BC280" s="22">
        <f t="shared" si="2089"/>
        <v>138.57984687642346</v>
      </c>
      <c r="BD280" s="22">
        <f t="shared" si="2089"/>
        <v>219.71015312357645</v>
      </c>
      <c r="BE280" s="22">
        <f t="shared" si="2089"/>
        <v>542.16860927685582</v>
      </c>
      <c r="BF280" s="22">
        <f t="shared" si="2089"/>
        <v>-3645.0186092768563</v>
      </c>
      <c r="BG280" s="22">
        <f t="shared" si="2089"/>
        <v>228.61155492999518</v>
      </c>
      <c r="BH280" s="22">
        <f t="shared" si="2089"/>
        <v>-10400.581554929995</v>
      </c>
      <c r="BI280" s="22">
        <f t="shared" si="2089"/>
        <v>618.53853775409414</v>
      </c>
      <c r="BJ280" s="22">
        <f t="shared" si="2089"/>
        <v>45.491462245907769</v>
      </c>
      <c r="BK280" s="22">
        <f t="shared" si="2089"/>
        <v>231.67476468832012</v>
      </c>
      <c r="BL280" s="22">
        <f t="shared" si="2089"/>
        <v>150.87523531168284</v>
      </c>
      <c r="BM280" s="22">
        <f t="shared" si="2089"/>
        <v>199.40600401017838</v>
      </c>
      <c r="BN280" s="22">
        <f t="shared" si="2089"/>
        <v>-5253.8260040101841</v>
      </c>
      <c r="BO280" s="22">
        <f t="shared" si="2089"/>
        <v>334.74055902803957</v>
      </c>
      <c r="BP280" s="22">
        <f t="shared" si="2089"/>
        <v>-821.92055902804293</v>
      </c>
      <c r="BQ280" s="22">
        <f t="shared" si="2089"/>
        <v>359.16757869204287</v>
      </c>
      <c r="BR280" s="22">
        <f t="shared" si="2089"/>
        <v>-3690.047578692042</v>
      </c>
      <c r="BS280" s="22">
        <f t="shared" si="2089"/>
        <v>435.18418717748432</v>
      </c>
      <c r="BT280" s="22">
        <f t="shared" si="2089"/>
        <v>-2078.1941871774798</v>
      </c>
      <c r="BU280" s="22">
        <f t="shared" si="2089"/>
        <v>241.1803904085848</v>
      </c>
      <c r="BV280" s="22">
        <f t="shared" si="2089"/>
        <v>-1006.2803904085872</v>
      </c>
      <c r="BW280" s="22">
        <f t="shared" si="2089"/>
        <v>201.14961583067679</v>
      </c>
      <c r="BX280" s="22">
        <f t="shared" si="2089"/>
        <v>-3639.6696158306786</v>
      </c>
      <c r="BY280" s="22">
        <f t="shared" si="2089"/>
        <v>428.31972793927218</v>
      </c>
      <c r="BZ280" s="22">
        <f t="shared" si="2089"/>
        <v>-915.28972793927915</v>
      </c>
      <c r="CA280" s="22">
        <f t="shared" si="2089"/>
        <v>194.29878906738963</v>
      </c>
      <c r="CB280" s="22">
        <f t="shared" si="2089"/>
        <v>-1177.4387890673893</v>
      </c>
      <c r="CC280" s="22">
        <f t="shared" si="2089"/>
        <v>314.4118550738051</v>
      </c>
      <c r="CD280" s="22">
        <f t="shared" si="2089"/>
        <v>-1921.4818550738066</v>
      </c>
      <c r="CE280" s="22">
        <f t="shared" ref="CE280:CF280" si="2090">CE266+CE268</f>
        <v>-1178.3896835463202</v>
      </c>
      <c r="CF280" s="22">
        <f t="shared" si="2090"/>
        <v>-4382.1603164536828</v>
      </c>
      <c r="CG280" s="22">
        <f t="shared" ref="CG280:CH280" si="2091">CG266+CG268</f>
        <v>742.11687714475556</v>
      </c>
      <c r="CH280" s="22">
        <f t="shared" si="2091"/>
        <v>9741.7431228552559</v>
      </c>
      <c r="CI280" s="22">
        <f t="shared" ref="CI280:CJ280" si="2092">CI266+CI268</f>
        <v>958.60183619940358</v>
      </c>
      <c r="CJ280" s="22">
        <f t="shared" si="2092"/>
        <v>-19179.301836199407</v>
      </c>
      <c r="CK280" s="22">
        <f t="shared" ref="CK280:DB280" si="2093">CK266+CK268</f>
        <v>57.391434497249747</v>
      </c>
      <c r="CL280" s="22">
        <f t="shared" si="2093"/>
        <v>-4616.7514344972451</v>
      </c>
      <c r="CM280" s="21">
        <f t="shared" si="2093"/>
        <v>-13307.912979225122</v>
      </c>
      <c r="CN280" s="21">
        <f t="shared" si="2093"/>
        <v>-6687.5172729208816</v>
      </c>
      <c r="CO280" s="21">
        <f t="shared" si="2093"/>
        <v>-9126.7451205045509</v>
      </c>
      <c r="CP280" s="21">
        <f t="shared" si="2093"/>
        <v>-6903.8727675444134</v>
      </c>
      <c r="CQ280" s="21">
        <f t="shared" si="2093"/>
        <v>-5913.5900115604982</v>
      </c>
      <c r="CR280" s="21">
        <f t="shared" si="2093"/>
        <v>-2141.2539803880309</v>
      </c>
      <c r="CS280" s="21">
        <f t="shared" si="2093"/>
        <v>-3926.1164775698271</v>
      </c>
      <c r="CT280" s="21">
        <f t="shared" si="2093"/>
        <v>-4355.9135960118056</v>
      </c>
      <c r="CU280" s="21">
        <f t="shared" si="2093"/>
        <v>-1754.8387238130808</v>
      </c>
      <c r="CV280" s="21">
        <f t="shared" si="2093"/>
        <v>-1385.126413551995</v>
      </c>
      <c r="CW280" s="21">
        <f t="shared" si="2093"/>
        <v>-4871.6187463180195</v>
      </c>
      <c r="CX280" s="21">
        <f t="shared" si="2093"/>
        <v>-2606.1706328594264</v>
      </c>
      <c r="CY280" s="21">
        <f t="shared" si="2093"/>
        <v>-3236.9739142795897</v>
      </c>
      <c r="CZ280" s="21">
        <f t="shared" si="2093"/>
        <v>-1315.2690150004337</v>
      </c>
      <c r="DA280" s="21">
        <f t="shared" si="2093"/>
        <v>-3263.8861610364543</v>
      </c>
      <c r="DB280" s="21">
        <f t="shared" si="2093"/>
        <v>-3603.0452370509543</v>
      </c>
      <c r="DE280" s="126"/>
      <c r="DF280" s="22">
        <v>0</v>
      </c>
      <c r="DG280" s="22">
        <v>-5662.8174637005568</v>
      </c>
    </row>
    <row r="281" spans="1:111" x14ac:dyDescent="0.2">
      <c r="A281" s="152" t="s">
        <v>496</v>
      </c>
      <c r="AA281" s="2"/>
    </row>
    <row r="282" spans="1:111" x14ac:dyDescent="0.2">
      <c r="AA282" s="2"/>
    </row>
    <row r="283" spans="1:111" s="7" customFormat="1" hidden="1" outlineLevel="1" x14ac:dyDescent="0.2">
      <c r="A283" s="61" t="s">
        <v>97</v>
      </c>
      <c r="AB283" s="77"/>
      <c r="AC283" s="77"/>
      <c r="AD283" s="77"/>
      <c r="AE283" s="77"/>
      <c r="CM283" s="50"/>
      <c r="CN283" s="50"/>
      <c r="CO283" s="50"/>
      <c r="CP283" s="50"/>
      <c r="CQ283" s="50"/>
      <c r="CR283" s="50"/>
      <c r="CS283" s="50"/>
      <c r="CT283" s="50"/>
      <c r="CU283" s="50"/>
      <c r="CV283" s="50"/>
      <c r="CW283" s="50"/>
      <c r="CX283" s="50"/>
      <c r="CY283" s="50"/>
      <c r="CZ283" s="50"/>
      <c r="DA283" s="50"/>
      <c r="DB283" s="50"/>
      <c r="DE283" s="138"/>
    </row>
    <row r="284" spans="1:111" s="62" customFormat="1" hidden="1" outlineLevel="1" x14ac:dyDescent="0.2">
      <c r="A284" s="62" t="s">
        <v>98</v>
      </c>
      <c r="AB284" s="63"/>
      <c r="AC284" s="63"/>
      <c r="AD284" s="63"/>
      <c r="AE284" s="63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E284" s="139"/>
    </row>
    <row r="285" spans="1:111" s="62" customFormat="1" hidden="1" outlineLevel="1" x14ac:dyDescent="0.2">
      <c r="A285" s="62" t="s">
        <v>99</v>
      </c>
      <c r="AB285" s="63"/>
      <c r="AC285" s="63"/>
      <c r="AD285" s="63"/>
      <c r="AE285" s="63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E285" s="139"/>
    </row>
    <row r="286" spans="1:111" s="62" customFormat="1" hidden="1" outlineLevel="1" x14ac:dyDescent="0.2">
      <c r="A286" s="62" t="s">
        <v>100</v>
      </c>
      <c r="AB286" s="63"/>
      <c r="AC286" s="63"/>
      <c r="AD286" s="63"/>
      <c r="AE286" s="63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E286" s="139"/>
    </row>
    <row r="287" spans="1:111" s="62" customFormat="1" hidden="1" outlineLevel="1" x14ac:dyDescent="0.2">
      <c r="AB287" s="63"/>
      <c r="AC287" s="63"/>
      <c r="AD287" s="63"/>
      <c r="AE287" s="63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E287" s="139"/>
    </row>
    <row r="288" spans="1:111" s="62" customFormat="1" hidden="1" outlineLevel="1" x14ac:dyDescent="0.2">
      <c r="AB288" s="63"/>
      <c r="AC288" s="63"/>
      <c r="AD288" s="63"/>
      <c r="AE288" s="63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E288" s="139"/>
    </row>
    <row r="289" spans="1:111" s="62" customFormat="1" hidden="1" outlineLevel="1" x14ac:dyDescent="0.2">
      <c r="AB289" s="63"/>
      <c r="AC289" s="63"/>
      <c r="AD289" s="63"/>
      <c r="AE289" s="63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E289" s="139"/>
    </row>
    <row r="290" spans="1:111" s="11" customFormat="1" collapsed="1" x14ac:dyDescent="0.2">
      <c r="AB290" s="63"/>
      <c r="AC290" s="63"/>
      <c r="AD290" s="63"/>
      <c r="AE290" s="63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E290" s="139"/>
    </row>
    <row r="291" spans="1:111" s="83" customFormat="1" x14ac:dyDescent="0.2">
      <c r="A291" s="82" t="s">
        <v>101</v>
      </c>
      <c r="AB291" s="72"/>
      <c r="AC291" s="72"/>
      <c r="AD291" s="72"/>
      <c r="AE291" s="72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E291" s="139"/>
    </row>
    <row r="292" spans="1:111" s="66" customFormat="1" x14ac:dyDescent="0.2">
      <c r="A292" s="66" t="s">
        <v>471</v>
      </c>
      <c r="AB292" s="50"/>
      <c r="AC292" s="50"/>
      <c r="AD292" s="50"/>
      <c r="AE292" s="50"/>
      <c r="AL292" s="66">
        <f t="shared" ref="AL292:BQ292" si="2094">SUM(AI61:AL61)</f>
        <v>0</v>
      </c>
      <c r="AM292" s="66">
        <f t="shared" si="2094"/>
        <v>0</v>
      </c>
      <c r="AN292" s="66">
        <f t="shared" si="2094"/>
        <v>0</v>
      </c>
      <c r="AO292" s="66">
        <f t="shared" si="2094"/>
        <v>0</v>
      </c>
      <c r="AP292" s="66">
        <f t="shared" si="2094"/>
        <v>0</v>
      </c>
      <c r="AQ292" s="66">
        <f t="shared" si="2094"/>
        <v>0</v>
      </c>
      <c r="AR292" s="66">
        <f t="shared" si="2094"/>
        <v>0</v>
      </c>
      <c r="AS292" s="66">
        <f t="shared" si="2094"/>
        <v>11.45</v>
      </c>
      <c r="AT292" s="66">
        <f t="shared" si="2094"/>
        <v>135.32999999999998</v>
      </c>
      <c r="AU292" s="66">
        <f t="shared" si="2094"/>
        <v>603.48</v>
      </c>
      <c r="AV292" s="66">
        <f t="shared" si="2094"/>
        <v>1167.72</v>
      </c>
      <c r="AW292" s="66">
        <f t="shared" si="2094"/>
        <v>1682.77</v>
      </c>
      <c r="AX292" s="66">
        <f t="shared" si="2094"/>
        <v>2197.0099999999998</v>
      </c>
      <c r="AY292" s="66">
        <f t="shared" si="2094"/>
        <v>2360.87</v>
      </c>
      <c r="AZ292" s="66">
        <f t="shared" si="2094"/>
        <v>2479.33</v>
      </c>
      <c r="BA292" s="66">
        <f t="shared" si="2094"/>
        <v>2682.05</v>
      </c>
      <c r="BB292" s="66">
        <f t="shared" si="2094"/>
        <v>2878.55</v>
      </c>
      <c r="BC292" s="66">
        <f t="shared" si="2094"/>
        <v>2855.02</v>
      </c>
      <c r="BD292" s="66">
        <f t="shared" si="2094"/>
        <v>2917.4</v>
      </c>
      <c r="BE292" s="66">
        <f t="shared" si="2094"/>
        <v>3969.16</v>
      </c>
      <c r="BF292" s="66">
        <f t="shared" si="2094"/>
        <v>3944.48</v>
      </c>
      <c r="BG292" s="66">
        <f t="shared" si="2094"/>
        <v>3956.7</v>
      </c>
      <c r="BH292" s="66">
        <f t="shared" si="2094"/>
        <v>4590.57</v>
      </c>
      <c r="BI292" s="66">
        <f t="shared" si="2094"/>
        <v>5552.64</v>
      </c>
      <c r="BJ292" s="66">
        <f t="shared" si="2094"/>
        <v>7288.26</v>
      </c>
      <c r="BK292" s="66">
        <f t="shared" si="2094"/>
        <v>9525.64</v>
      </c>
      <c r="BL292" s="66">
        <f t="shared" si="2094"/>
        <v>10740.09</v>
      </c>
      <c r="BM292" s="66">
        <f t="shared" si="2094"/>
        <v>10774.56</v>
      </c>
      <c r="BN292" s="66">
        <f t="shared" si="2094"/>
        <v>11415.96</v>
      </c>
      <c r="BO292" s="66">
        <f t="shared" si="2094"/>
        <v>11004.390000000001</v>
      </c>
      <c r="BP292" s="66">
        <f t="shared" si="2094"/>
        <v>10567.18</v>
      </c>
      <c r="BQ292" s="66">
        <f t="shared" si="2094"/>
        <v>10386.68</v>
      </c>
      <c r="BR292" s="66">
        <f t="shared" ref="BR292:CW292" si="2095">SUM(BO61:BR61)</f>
        <v>9926.3300000000017</v>
      </c>
      <c r="BS292" s="66">
        <f t="shared" si="2095"/>
        <v>10309.469999999999</v>
      </c>
      <c r="BT292" s="66">
        <f t="shared" si="2095"/>
        <v>10694.720000000001</v>
      </c>
      <c r="BU292" s="66">
        <f t="shared" si="2095"/>
        <v>11009.400000000001</v>
      </c>
      <c r="BV292" s="66">
        <f t="shared" si="2095"/>
        <v>11257.52</v>
      </c>
      <c r="BW292" s="66">
        <f t="shared" si="2095"/>
        <v>11559.75</v>
      </c>
      <c r="BX292" s="66">
        <f t="shared" si="2095"/>
        <v>12269.79</v>
      </c>
      <c r="BY292" s="66">
        <f t="shared" si="2095"/>
        <v>12909.79</v>
      </c>
      <c r="BZ292" s="66">
        <f t="shared" si="2095"/>
        <v>13292.720000000001</v>
      </c>
      <c r="CA292" s="66">
        <f t="shared" si="2095"/>
        <v>13824.75</v>
      </c>
      <c r="CB292" s="66">
        <f t="shared" si="2095"/>
        <v>14247.14</v>
      </c>
      <c r="CC292" s="66">
        <f t="shared" si="2095"/>
        <v>15258.169999999998</v>
      </c>
      <c r="CD292" s="66">
        <f t="shared" si="2095"/>
        <v>16607.36</v>
      </c>
      <c r="CE292" s="66">
        <f t="shared" si="2095"/>
        <v>18322</v>
      </c>
      <c r="CF292" s="66">
        <f t="shared" si="2095"/>
        <v>20831.830000000002</v>
      </c>
      <c r="CG292" s="66">
        <f t="shared" si="2095"/>
        <v>22099.360000000001</v>
      </c>
      <c r="CH292" s="66">
        <f t="shared" si="2095"/>
        <v>23767.090000000004</v>
      </c>
      <c r="CI292" s="66">
        <f t="shared" si="2095"/>
        <v>25207.82</v>
      </c>
      <c r="CJ292" s="66">
        <f t="shared" si="2095"/>
        <v>25619.949999999997</v>
      </c>
      <c r="CK292" s="66">
        <f t="shared" si="2095"/>
        <v>26519.340000000004</v>
      </c>
      <c r="CL292" s="66">
        <f t="shared" si="2095"/>
        <v>27588.030000000002</v>
      </c>
      <c r="CM292" s="50">
        <f t="shared" si="2095"/>
        <v>28818.731163405457</v>
      </c>
      <c r="CN292" s="50">
        <f t="shared" si="2095"/>
        <v>30168.770054250948</v>
      </c>
      <c r="CO292" s="50">
        <f t="shared" si="2095"/>
        <v>31808.65747527478</v>
      </c>
      <c r="CP292" s="50">
        <f t="shared" si="2095"/>
        <v>33142.354579639948</v>
      </c>
      <c r="CQ292" s="50">
        <f t="shared" si="2095"/>
        <v>34638.530490186189</v>
      </c>
      <c r="CR292" s="50">
        <f t="shared" si="2095"/>
        <v>36251.380843155945</v>
      </c>
      <c r="CS292" s="50">
        <f t="shared" si="2095"/>
        <v>37879.037341429321</v>
      </c>
      <c r="CT292" s="50">
        <f t="shared" si="2095"/>
        <v>39712.437662375844</v>
      </c>
      <c r="CU292" s="50">
        <f t="shared" si="2095"/>
        <v>41291.389820730641</v>
      </c>
      <c r="CV292" s="50">
        <f t="shared" si="2095"/>
        <v>42785.097469934954</v>
      </c>
      <c r="CW292" s="50">
        <f t="shared" si="2095"/>
        <v>44699.893028026549</v>
      </c>
      <c r="CX292" s="50">
        <f t="shared" ref="CX292:DB292" si="2096">SUM(CU61:CX61)</f>
        <v>46305.484479449369</v>
      </c>
      <c r="CY292" s="50">
        <f t="shared" si="2096"/>
        <v>47869.065803792219</v>
      </c>
      <c r="CZ292" s="50">
        <f t="shared" si="2096"/>
        <v>49499.072222441755</v>
      </c>
      <c r="DA292" s="50">
        <f t="shared" si="2096"/>
        <v>50771.645452610777</v>
      </c>
      <c r="DB292" s="50">
        <f t="shared" si="2096"/>
        <v>52359.163108060267</v>
      </c>
      <c r="DE292" s="138"/>
      <c r="DG292" s="66">
        <v>27286.653600666796</v>
      </c>
    </row>
    <row r="293" spans="1:111" s="66" customFormat="1" x14ac:dyDescent="0.2">
      <c r="A293" s="66" t="s">
        <v>472</v>
      </c>
      <c r="AB293" s="50"/>
      <c r="AC293" s="50"/>
      <c r="AD293" s="50"/>
      <c r="AE293" s="50"/>
      <c r="AL293" s="66">
        <f t="shared" ref="AL293:BQ293" si="2097">SUM(AI81:AL81)</f>
        <v>0</v>
      </c>
      <c r="AM293" s="66">
        <f t="shared" si="2097"/>
        <v>0</v>
      </c>
      <c r="AN293" s="66">
        <f t="shared" si="2097"/>
        <v>0</v>
      </c>
      <c r="AO293" s="66">
        <f t="shared" si="2097"/>
        <v>0</v>
      </c>
      <c r="AP293" s="66">
        <f t="shared" si="2097"/>
        <v>0</v>
      </c>
      <c r="AQ293" s="66">
        <f t="shared" si="2097"/>
        <v>0</v>
      </c>
      <c r="AR293" s="66">
        <f t="shared" si="2097"/>
        <v>0</v>
      </c>
      <c r="AS293" s="66">
        <f t="shared" si="2097"/>
        <v>6.2299999999999995</v>
      </c>
      <c r="AT293" s="66">
        <f t="shared" si="2097"/>
        <v>101.26</v>
      </c>
      <c r="AU293" s="66">
        <f t="shared" si="2097"/>
        <v>541.14</v>
      </c>
      <c r="AV293" s="66">
        <f t="shared" si="2097"/>
        <v>1068.8600000000001</v>
      </c>
      <c r="AW293" s="66">
        <f t="shared" si="2097"/>
        <v>1537.44</v>
      </c>
      <c r="AX293" s="66">
        <f t="shared" si="2097"/>
        <v>1926.5500000000002</v>
      </c>
      <c r="AY293" s="66">
        <f t="shared" si="2097"/>
        <v>2065.02</v>
      </c>
      <c r="AZ293" s="66">
        <f t="shared" si="2097"/>
        <v>2010.38</v>
      </c>
      <c r="BA293" s="66">
        <f t="shared" si="2097"/>
        <v>2006.9600000000003</v>
      </c>
      <c r="BB293" s="66">
        <f t="shared" si="2097"/>
        <v>1983.0900000000001</v>
      </c>
      <c r="BC293" s="66">
        <f t="shared" si="2097"/>
        <v>1857.03</v>
      </c>
      <c r="BD293" s="66">
        <f t="shared" si="2097"/>
        <v>1830.02</v>
      </c>
      <c r="BE293" s="66">
        <f t="shared" si="2097"/>
        <v>2795.59</v>
      </c>
      <c r="BF293" s="66">
        <f t="shared" si="2097"/>
        <v>2826.01</v>
      </c>
      <c r="BG293" s="66">
        <f t="shared" si="2097"/>
        <v>2878.7400000000002</v>
      </c>
      <c r="BH293" s="66">
        <f t="shared" si="2097"/>
        <v>2989.58</v>
      </c>
      <c r="BI293" s="66">
        <f t="shared" si="2097"/>
        <v>2445.44</v>
      </c>
      <c r="BJ293" s="66">
        <f t="shared" si="2097"/>
        <v>2826.05</v>
      </c>
      <c r="BK293" s="66">
        <f t="shared" si="2097"/>
        <v>3427.7499999999995</v>
      </c>
      <c r="BL293" s="66">
        <f t="shared" si="2097"/>
        <v>3874.4500000000007</v>
      </c>
      <c r="BM293" s="66">
        <f t="shared" si="2097"/>
        <v>4037.43</v>
      </c>
      <c r="BN293" s="66">
        <f t="shared" si="2097"/>
        <v>4253.8599999999997</v>
      </c>
      <c r="BO293" s="66">
        <f t="shared" si="2097"/>
        <v>4541.83</v>
      </c>
      <c r="BP293" s="66">
        <f t="shared" si="2097"/>
        <v>4534.04</v>
      </c>
      <c r="BQ293" s="66">
        <f t="shared" si="2097"/>
        <v>4593.7199999999993</v>
      </c>
      <c r="BR293" s="66">
        <f t="shared" ref="BR293:CW293" si="2098">SUM(BO81:BR81)</f>
        <v>4533.17</v>
      </c>
      <c r="BS293" s="66">
        <f t="shared" si="2098"/>
        <v>4528.8600000000006</v>
      </c>
      <c r="BT293" s="66">
        <f t="shared" si="2098"/>
        <v>4688.76</v>
      </c>
      <c r="BU293" s="66">
        <f t="shared" si="2098"/>
        <v>4724.67</v>
      </c>
      <c r="BV293" s="66">
        <f t="shared" si="2098"/>
        <v>4888.6399999999994</v>
      </c>
      <c r="BW293" s="66">
        <f t="shared" si="2098"/>
        <v>4706.1899999999987</v>
      </c>
      <c r="BX293" s="66">
        <f t="shared" si="2098"/>
        <v>4787.08</v>
      </c>
      <c r="BY293" s="66">
        <f t="shared" si="2098"/>
        <v>5175.8599999999997</v>
      </c>
      <c r="BZ293" s="66">
        <f t="shared" si="2098"/>
        <v>5553.19</v>
      </c>
      <c r="CA293" s="66">
        <f t="shared" si="2098"/>
        <v>5614.5599999999995</v>
      </c>
      <c r="CB293" s="66">
        <f t="shared" si="2098"/>
        <v>5728.0899999999983</v>
      </c>
      <c r="CC293" s="66">
        <f t="shared" si="2098"/>
        <v>5658.5599999999995</v>
      </c>
      <c r="CD293" s="66">
        <f t="shared" si="2098"/>
        <v>5711.1999999999989</v>
      </c>
      <c r="CE293" s="66">
        <f t="shared" si="2098"/>
        <v>6092.58</v>
      </c>
      <c r="CF293" s="66">
        <f t="shared" si="2098"/>
        <v>6457.5800000000008</v>
      </c>
      <c r="CG293" s="66">
        <f t="shared" si="2098"/>
        <v>6647.68</v>
      </c>
      <c r="CH293" s="66">
        <f t="shared" si="2098"/>
        <v>7066.52</v>
      </c>
      <c r="CI293" s="66">
        <f t="shared" si="2098"/>
        <v>7226.53</v>
      </c>
      <c r="CJ293" s="66">
        <f t="shared" si="2098"/>
        <v>7466.8099999999995</v>
      </c>
      <c r="CK293" s="66">
        <f t="shared" si="2098"/>
        <v>7801.47</v>
      </c>
      <c r="CL293" s="66">
        <f t="shared" si="2098"/>
        <v>7988.8400000000011</v>
      </c>
      <c r="CM293" s="50">
        <f t="shared" si="2098"/>
        <v>8664.2607861580946</v>
      </c>
      <c r="CN293" s="50">
        <f t="shared" si="2098"/>
        <v>9280.5558437714044</v>
      </c>
      <c r="CO293" s="50">
        <f t="shared" si="2098"/>
        <v>9970.4384649422755</v>
      </c>
      <c r="CP293" s="50">
        <f t="shared" si="2098"/>
        <v>10554.629078782691</v>
      </c>
      <c r="CQ293" s="50">
        <f t="shared" si="2098"/>
        <v>11138.368092582332</v>
      </c>
      <c r="CR293" s="50">
        <f t="shared" si="2098"/>
        <v>11680.591706736421</v>
      </c>
      <c r="CS293" s="50">
        <f t="shared" si="2098"/>
        <v>12229.984426166795</v>
      </c>
      <c r="CT293" s="50">
        <f t="shared" si="2098"/>
        <v>12862.480334243583</v>
      </c>
      <c r="CU293" s="50">
        <f t="shared" si="2098"/>
        <v>13323.081484076585</v>
      </c>
      <c r="CV293" s="50">
        <f t="shared" si="2098"/>
        <v>13746.207199258894</v>
      </c>
      <c r="CW293" s="50">
        <f t="shared" si="2098"/>
        <v>14420.664489572006</v>
      </c>
      <c r="CX293" s="50">
        <f t="shared" ref="CX293:DB293" si="2099">SUM(CU81:CX81)</f>
        <v>14941.308718795281</v>
      </c>
      <c r="CY293" s="50">
        <f t="shared" si="2099"/>
        <v>15449.828431036909</v>
      </c>
      <c r="CZ293" s="50">
        <f t="shared" si="2099"/>
        <v>15948.504779083887</v>
      </c>
      <c r="DA293" s="50">
        <f t="shared" si="2099"/>
        <v>16211.603529578881</v>
      </c>
      <c r="DB293" s="50">
        <f t="shared" si="2099"/>
        <v>16611.402267039357</v>
      </c>
      <c r="DE293" s="138"/>
      <c r="DG293" s="66">
        <v>8278.3092282185171</v>
      </c>
    </row>
    <row r="294" spans="1:111" s="66" customFormat="1" x14ac:dyDescent="0.2">
      <c r="A294" s="66" t="s">
        <v>473</v>
      </c>
      <c r="AB294" s="50"/>
      <c r="AC294" s="50"/>
      <c r="AD294" s="50"/>
      <c r="AE294" s="50"/>
      <c r="AL294" s="66">
        <f t="shared" ref="AL294:BQ294" si="2100">SUM(AI94:AL94)</f>
        <v>0</v>
      </c>
      <c r="AM294" s="66">
        <f t="shared" si="2100"/>
        <v>0</v>
      </c>
      <c r="AN294" s="66">
        <f t="shared" si="2100"/>
        <v>0</v>
      </c>
      <c r="AO294" s="66">
        <f t="shared" si="2100"/>
        <v>0</v>
      </c>
      <c r="AP294" s="66">
        <f t="shared" si="2100"/>
        <v>0</v>
      </c>
      <c r="AQ294" s="66">
        <f t="shared" si="2100"/>
        <v>0</v>
      </c>
      <c r="AR294" s="66">
        <f t="shared" si="2100"/>
        <v>0</v>
      </c>
      <c r="AS294" s="66">
        <f t="shared" si="2100"/>
        <v>6.17</v>
      </c>
      <c r="AT294" s="66">
        <f t="shared" si="2100"/>
        <v>-6.7499999999999982</v>
      </c>
      <c r="AU294" s="66">
        <f t="shared" si="2100"/>
        <v>24.139999999999993</v>
      </c>
      <c r="AV294" s="66">
        <f t="shared" si="2100"/>
        <v>186.33999999999997</v>
      </c>
      <c r="AW294" s="66">
        <f t="shared" si="2100"/>
        <v>254.94999999999993</v>
      </c>
      <c r="AX294" s="66">
        <f t="shared" si="2100"/>
        <v>367.94999999999987</v>
      </c>
      <c r="AY294" s="66">
        <f t="shared" si="2100"/>
        <v>459.77</v>
      </c>
      <c r="AZ294" s="66">
        <f t="shared" si="2100"/>
        <v>397.11</v>
      </c>
      <c r="BA294" s="66">
        <f t="shared" si="2100"/>
        <v>421.61</v>
      </c>
      <c r="BB294" s="66">
        <f t="shared" si="2100"/>
        <v>416.43000000000012</v>
      </c>
      <c r="BC294" s="66">
        <f t="shared" si="2100"/>
        <v>377.82000000000011</v>
      </c>
      <c r="BD294" s="66">
        <f t="shared" si="2100"/>
        <v>344.97</v>
      </c>
      <c r="BE294" s="66">
        <f t="shared" si="2100"/>
        <v>1087.5700000000002</v>
      </c>
      <c r="BF294" s="66">
        <f t="shared" si="2100"/>
        <v>1142.94</v>
      </c>
      <c r="BG294" s="66">
        <f t="shared" si="2100"/>
        <v>1228.1800000000003</v>
      </c>
      <c r="BH294" s="66">
        <f t="shared" si="2100"/>
        <v>1216.2400000000002</v>
      </c>
      <c r="BI294" s="66">
        <f t="shared" si="2100"/>
        <v>520.08000000000004</v>
      </c>
      <c r="BJ294" s="66">
        <f t="shared" si="2100"/>
        <v>511.21000000000009</v>
      </c>
      <c r="BK294" s="66">
        <f t="shared" si="2100"/>
        <v>526.34999999999968</v>
      </c>
      <c r="BL294" s="66">
        <f t="shared" si="2100"/>
        <v>672.98000000000025</v>
      </c>
      <c r="BM294" s="66">
        <f t="shared" si="2100"/>
        <v>700.7</v>
      </c>
      <c r="BN294" s="66">
        <f t="shared" si="2100"/>
        <v>563.80000000000007</v>
      </c>
      <c r="BO294" s="66">
        <f t="shared" si="2100"/>
        <v>712.25000000000045</v>
      </c>
      <c r="BP294" s="66">
        <f t="shared" si="2100"/>
        <v>701.3</v>
      </c>
      <c r="BQ294" s="66">
        <f t="shared" si="2100"/>
        <v>968.34000000000015</v>
      </c>
      <c r="BR294" s="66">
        <f t="shared" ref="BR294:CW294" si="2101">SUM(BO94:BR94)</f>
        <v>1195.67</v>
      </c>
      <c r="BS294" s="66">
        <f t="shared" si="2101"/>
        <v>1305.43</v>
      </c>
      <c r="BT294" s="66">
        <f t="shared" si="2101"/>
        <v>1413.3600000000001</v>
      </c>
      <c r="BU294" s="66">
        <f t="shared" si="2101"/>
        <v>1256.6299999999999</v>
      </c>
      <c r="BV294" s="66">
        <f t="shared" si="2101"/>
        <v>1264.4299999999996</v>
      </c>
      <c r="BW294" s="66">
        <f t="shared" si="2101"/>
        <v>989.30999999999938</v>
      </c>
      <c r="BX294" s="66">
        <f t="shared" si="2101"/>
        <v>885.70999999999958</v>
      </c>
      <c r="BY294" s="66">
        <f t="shared" si="2101"/>
        <v>1080.1099999999999</v>
      </c>
      <c r="BZ294" s="66">
        <f t="shared" si="2101"/>
        <v>1276.3899999999999</v>
      </c>
      <c r="CA294" s="66">
        <f t="shared" si="2101"/>
        <v>1291.4499999999998</v>
      </c>
      <c r="CB294" s="66">
        <f t="shared" si="2101"/>
        <v>1381.6599999999996</v>
      </c>
      <c r="CC294" s="66">
        <f t="shared" si="2101"/>
        <v>1251.9799999999991</v>
      </c>
      <c r="CD294" s="66">
        <f t="shared" si="2101"/>
        <v>1199.4299999999994</v>
      </c>
      <c r="CE294" s="66">
        <f t="shared" si="2101"/>
        <v>1333.5500000000002</v>
      </c>
      <c r="CF294" s="66">
        <f t="shared" si="2101"/>
        <v>1821.7300000000005</v>
      </c>
      <c r="CG294" s="66">
        <f t="shared" si="2101"/>
        <v>2098.7000000000007</v>
      </c>
      <c r="CH294" s="66">
        <f t="shared" si="2101"/>
        <v>2401.880000000001</v>
      </c>
      <c r="CI294" s="66">
        <f t="shared" si="2101"/>
        <v>2626.0600000000004</v>
      </c>
      <c r="CJ294" s="66">
        <f t="shared" si="2101"/>
        <v>2411.14</v>
      </c>
      <c r="CK294" s="66">
        <f t="shared" si="2101"/>
        <v>2360.5800000000008</v>
      </c>
      <c r="CL294" s="66">
        <f t="shared" si="2101"/>
        <v>2343.130000000001</v>
      </c>
      <c r="CM294" s="50">
        <f t="shared" si="2101"/>
        <v>2860.047881628263</v>
      </c>
      <c r="CN294" s="50">
        <f t="shared" si="2101"/>
        <v>3241.0931347694232</v>
      </c>
      <c r="CO294" s="50">
        <f t="shared" si="2101"/>
        <v>3581.6420933321897</v>
      </c>
      <c r="CP294" s="50">
        <f t="shared" si="2101"/>
        <v>3803.0227407100019</v>
      </c>
      <c r="CQ294" s="50">
        <f t="shared" si="2101"/>
        <v>3788.2118528590881</v>
      </c>
      <c r="CR294" s="50">
        <f t="shared" si="2101"/>
        <v>3827.9002360457598</v>
      </c>
      <c r="CS294" s="50">
        <f t="shared" si="2101"/>
        <v>3916.6014509495299</v>
      </c>
      <c r="CT294" s="50">
        <f t="shared" si="2101"/>
        <v>4109.2085887707026</v>
      </c>
      <c r="CU294" s="50">
        <f t="shared" si="2101"/>
        <v>4309.1719527128589</v>
      </c>
      <c r="CV294" s="50">
        <f t="shared" si="2101"/>
        <v>4539.205421360195</v>
      </c>
      <c r="CW294" s="50">
        <f t="shared" si="2101"/>
        <v>4980.1707235101612</v>
      </c>
      <c r="CX294" s="50">
        <f t="shared" ref="CX294:DB294" si="2102">SUM(CU94:CX94)</f>
        <v>5329.1520160092214</v>
      </c>
      <c r="CY294" s="50">
        <f t="shared" si="2102"/>
        <v>5531.293887419587</v>
      </c>
      <c r="CZ294" s="50">
        <f t="shared" si="2102"/>
        <v>5720.6488495172753</v>
      </c>
      <c r="DA294" s="50">
        <f t="shared" si="2102"/>
        <v>5740.1104192503226</v>
      </c>
      <c r="DB294" s="50">
        <f t="shared" si="2102"/>
        <v>5869.1199766268001</v>
      </c>
      <c r="DE294" s="138"/>
      <c r="DG294" s="66">
        <v>2220.048776919039</v>
      </c>
    </row>
    <row r="295" spans="1:111" s="93" customFormat="1" x14ac:dyDescent="0.2">
      <c r="AB295" s="30"/>
      <c r="AC295" s="30"/>
      <c r="AD295" s="30"/>
      <c r="AE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E295" s="139"/>
    </row>
    <row r="296" spans="1:111" s="11" customFormat="1" x14ac:dyDescent="0.2">
      <c r="AB296" s="63"/>
      <c r="AC296" s="63"/>
      <c r="AD296" s="63"/>
      <c r="AE296" s="63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E296" s="139"/>
    </row>
    <row r="297" spans="1:111" s="62" customFormat="1" hidden="1" outlineLevel="1" x14ac:dyDescent="0.2">
      <c r="A297" s="61" t="s">
        <v>339</v>
      </c>
      <c r="AB297" s="63"/>
      <c r="AC297" s="63"/>
      <c r="AD297" s="63"/>
      <c r="AE297" s="63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E297" s="139"/>
    </row>
    <row r="298" spans="1:111" s="64" customFormat="1" hidden="1" outlineLevel="1" x14ac:dyDescent="0.2">
      <c r="A298" s="64" t="s">
        <v>474</v>
      </c>
      <c r="B298" s="64">
        <f t="shared" ref="B298:Z298" si="2103">B59-B304</f>
        <v>0</v>
      </c>
      <c r="C298" s="64">
        <f t="shared" si="2103"/>
        <v>0</v>
      </c>
      <c r="D298" s="64">
        <f t="shared" si="2103"/>
        <v>0</v>
      </c>
      <c r="E298" s="64">
        <f t="shared" si="2103"/>
        <v>0</v>
      </c>
      <c r="F298" s="64">
        <f t="shared" si="2103"/>
        <v>0</v>
      </c>
      <c r="G298" s="64">
        <f t="shared" si="2103"/>
        <v>0</v>
      </c>
      <c r="H298" s="64">
        <f t="shared" si="2103"/>
        <v>0</v>
      </c>
      <c r="I298" s="64">
        <f t="shared" si="2103"/>
        <v>0</v>
      </c>
      <c r="J298" s="64">
        <f t="shared" si="2103"/>
        <v>0</v>
      </c>
      <c r="K298" s="64">
        <f t="shared" si="2103"/>
        <v>0</v>
      </c>
      <c r="L298" s="64">
        <f t="shared" si="2103"/>
        <v>0</v>
      </c>
      <c r="M298" s="64">
        <f t="shared" si="2103"/>
        <v>0</v>
      </c>
      <c r="N298" s="64">
        <f t="shared" si="2103"/>
        <v>0</v>
      </c>
      <c r="O298" s="64">
        <f t="shared" si="2103"/>
        <v>0</v>
      </c>
      <c r="P298" s="64">
        <f t="shared" si="2103"/>
        <v>135.34</v>
      </c>
      <c r="Q298" s="64">
        <f t="shared" si="2103"/>
        <v>2197.0100000000002</v>
      </c>
      <c r="R298" s="64">
        <f t="shared" si="2103"/>
        <v>2875.71</v>
      </c>
      <c r="S298" s="64">
        <f t="shared" si="2103"/>
        <v>3944.48</v>
      </c>
      <c r="T298" s="64">
        <f t="shared" si="2103"/>
        <v>7305.45</v>
      </c>
      <c r="U298" s="64">
        <f t="shared" si="2103"/>
        <v>11415.96</v>
      </c>
      <c r="V298" s="64">
        <f t="shared" si="2103"/>
        <v>9926.33</v>
      </c>
      <c r="W298" s="64">
        <f t="shared" si="2103"/>
        <v>11257.52</v>
      </c>
      <c r="X298" s="64">
        <f t="shared" si="2103"/>
        <v>13292.72</v>
      </c>
      <c r="Y298" s="64">
        <f t="shared" si="2103"/>
        <v>16607.36</v>
      </c>
      <c r="Z298" s="64">
        <f t="shared" si="2103"/>
        <v>23767.09</v>
      </c>
      <c r="AA298" s="64">
        <f t="shared" ref="AA298" si="2104">AA59-AA304</f>
        <v>27588.03</v>
      </c>
      <c r="AB298" s="30"/>
      <c r="AC298" s="30"/>
      <c r="AD298" s="30"/>
      <c r="AE298" s="30"/>
      <c r="AI298" s="64">
        <f t="shared" ref="AI298:BN298" si="2105">AI59-AI304</f>
        <v>0</v>
      </c>
      <c r="AJ298" s="64">
        <f t="shared" si="2105"/>
        <v>0</v>
      </c>
      <c r="AK298" s="64">
        <f t="shared" si="2105"/>
        <v>0</v>
      </c>
      <c r="AL298" s="64">
        <f t="shared" si="2105"/>
        <v>0</v>
      </c>
      <c r="AM298" s="64">
        <f t="shared" si="2105"/>
        <v>0</v>
      </c>
      <c r="AN298" s="64">
        <f t="shared" si="2105"/>
        <v>0</v>
      </c>
      <c r="AO298" s="64">
        <f t="shared" si="2105"/>
        <v>0</v>
      </c>
      <c r="AP298" s="64">
        <f t="shared" si="2105"/>
        <v>0</v>
      </c>
      <c r="AQ298" s="64">
        <f t="shared" si="2105"/>
        <v>0</v>
      </c>
      <c r="AR298" s="64">
        <f t="shared" si="2105"/>
        <v>0</v>
      </c>
      <c r="AS298" s="64">
        <f t="shared" si="2105"/>
        <v>11.45</v>
      </c>
      <c r="AT298" s="64">
        <f t="shared" si="2105"/>
        <v>123.88</v>
      </c>
      <c r="AU298" s="64">
        <f t="shared" si="2105"/>
        <v>468.15</v>
      </c>
      <c r="AV298" s="64">
        <f t="shared" si="2105"/>
        <v>564.24</v>
      </c>
      <c r="AW298" s="64">
        <f t="shared" si="2105"/>
        <v>526.5</v>
      </c>
      <c r="AX298" s="64">
        <f t="shared" si="2105"/>
        <v>638.12</v>
      </c>
      <c r="AY298" s="64">
        <f t="shared" si="2105"/>
        <v>632.01</v>
      </c>
      <c r="AZ298" s="64">
        <f t="shared" si="2105"/>
        <v>682.7</v>
      </c>
      <c r="BA298" s="64">
        <f t="shared" si="2105"/>
        <v>729.22</v>
      </c>
      <c r="BB298" s="64">
        <f t="shared" si="2105"/>
        <v>834.62</v>
      </c>
      <c r="BC298" s="64">
        <f t="shared" si="2105"/>
        <v>608.48</v>
      </c>
      <c r="BD298" s="64">
        <f t="shared" si="2105"/>
        <v>745.08</v>
      </c>
      <c r="BE298" s="64">
        <f t="shared" si="2105"/>
        <v>1780.98</v>
      </c>
      <c r="BF298" s="64">
        <f t="shared" si="2105"/>
        <v>809.94</v>
      </c>
      <c r="BG298" s="64">
        <f t="shared" si="2105"/>
        <v>620.70000000000005</v>
      </c>
      <c r="BH298" s="64">
        <f t="shared" si="2105"/>
        <v>1396.14</v>
      </c>
      <c r="BI298" s="64">
        <f t="shared" si="2105"/>
        <v>2743.05</v>
      </c>
      <c r="BJ298" s="64">
        <f t="shared" si="2105"/>
        <v>2545.56</v>
      </c>
      <c r="BK298" s="64">
        <f t="shared" si="2105"/>
        <v>2858.08</v>
      </c>
      <c r="BL298" s="64">
        <f t="shared" si="2105"/>
        <v>2593.4</v>
      </c>
      <c r="BM298" s="64">
        <f t="shared" si="2105"/>
        <v>2777.52</v>
      </c>
      <c r="BN298" s="64">
        <f t="shared" si="2105"/>
        <v>3186.96</v>
      </c>
      <c r="BO298" s="64">
        <f t="shared" ref="BO298:CT298" si="2106">BO59-BO304</f>
        <v>2446.5100000000002</v>
      </c>
      <c r="BP298" s="64">
        <f t="shared" si="2106"/>
        <v>2156.19</v>
      </c>
      <c r="BQ298" s="64">
        <f t="shared" si="2106"/>
        <v>2597.02</v>
      </c>
      <c r="BR298" s="64">
        <f t="shared" si="2106"/>
        <v>2726.61</v>
      </c>
      <c r="BS298" s="64">
        <f t="shared" si="2106"/>
        <v>2829.65</v>
      </c>
      <c r="BT298" s="64">
        <f t="shared" si="2106"/>
        <v>2541.44</v>
      </c>
      <c r="BU298" s="64">
        <f t="shared" si="2106"/>
        <v>2911.7</v>
      </c>
      <c r="BV298" s="64">
        <f t="shared" si="2106"/>
        <v>2974.73</v>
      </c>
      <c r="BW298" s="64">
        <f t="shared" si="2106"/>
        <v>3131.88</v>
      </c>
      <c r="BX298" s="64">
        <f t="shared" si="2106"/>
        <v>3251.48</v>
      </c>
      <c r="BY298" s="64">
        <f t="shared" si="2106"/>
        <v>3551.7</v>
      </c>
      <c r="BZ298" s="64">
        <f t="shared" si="2106"/>
        <v>3357.66</v>
      </c>
      <c r="CA298" s="64">
        <f t="shared" si="2106"/>
        <v>3663.91</v>
      </c>
      <c r="CB298" s="64">
        <f t="shared" si="2106"/>
        <v>3673.87</v>
      </c>
      <c r="CC298" s="64">
        <f t="shared" si="2106"/>
        <v>4562.7299999999996</v>
      </c>
      <c r="CD298" s="64">
        <f t="shared" si="2106"/>
        <v>4706.8500000000004</v>
      </c>
      <c r="CE298" s="64">
        <f t="shared" si="2106"/>
        <v>5378.55</v>
      </c>
      <c r="CF298" s="64">
        <f t="shared" si="2106"/>
        <v>6183.7</v>
      </c>
      <c r="CG298" s="64">
        <f t="shared" si="2106"/>
        <v>5830.26</v>
      </c>
      <c r="CH298" s="64">
        <f t="shared" si="2106"/>
        <v>6374.58</v>
      </c>
      <c r="CI298" s="64">
        <f t="shared" si="2106"/>
        <v>6819.28</v>
      </c>
      <c r="CJ298" s="64">
        <f t="shared" si="2106"/>
        <v>6595.83</v>
      </c>
      <c r="CK298" s="64">
        <f t="shared" si="2106"/>
        <v>6729.65</v>
      </c>
      <c r="CL298" s="64">
        <f t="shared" si="2106"/>
        <v>7443.27</v>
      </c>
      <c r="CM298" s="30">
        <f t="shared" si="2106"/>
        <v>8049.9811634054568</v>
      </c>
      <c r="CN298" s="30">
        <f t="shared" si="2106"/>
        <v>7945.8688908454933</v>
      </c>
      <c r="CO298" s="30">
        <f t="shared" si="2106"/>
        <v>8369.5374210238297</v>
      </c>
      <c r="CP298" s="30">
        <f t="shared" si="2106"/>
        <v>8776.967104365167</v>
      </c>
      <c r="CQ298" s="30">
        <f t="shared" si="2106"/>
        <v>9546.1570739516974</v>
      </c>
      <c r="CR298" s="30">
        <f t="shared" si="2106"/>
        <v>9558.7192438152506</v>
      </c>
      <c r="CS298" s="30">
        <f t="shared" si="2106"/>
        <v>9997.1939192972059</v>
      </c>
      <c r="CT298" s="30">
        <f t="shared" si="2106"/>
        <v>10610.367425311688</v>
      </c>
      <c r="CU298" s="30">
        <f t="shared" ref="CU298:DB298" si="2107">CU59-CU304</f>
        <v>11125.1092323065</v>
      </c>
      <c r="CV298" s="30">
        <f t="shared" si="2107"/>
        <v>11052.426893019559</v>
      </c>
      <c r="CW298" s="30">
        <f t="shared" si="2107"/>
        <v>11911.989477388803</v>
      </c>
      <c r="CX298" s="30">
        <f t="shared" si="2107"/>
        <v>12215.958876734507</v>
      </c>
      <c r="CY298" s="30">
        <f t="shared" si="2107"/>
        <v>12688.690556649353</v>
      </c>
      <c r="CZ298" s="30">
        <f t="shared" si="2107"/>
        <v>12682.433311669094</v>
      </c>
      <c r="DA298" s="30">
        <f t="shared" si="2107"/>
        <v>13184.562707557821</v>
      </c>
      <c r="DB298" s="30">
        <f t="shared" si="2107"/>
        <v>13803.476532183997</v>
      </c>
      <c r="DE298" s="139"/>
      <c r="DF298" s="64">
        <v>0</v>
      </c>
      <c r="DG298" s="64">
        <v>7141.8936006667955</v>
      </c>
    </row>
    <row r="299" spans="1:111" s="64" customFormat="1" hidden="1" outlineLevel="1" x14ac:dyDescent="0.2">
      <c r="A299" s="64" t="s">
        <v>475</v>
      </c>
      <c r="B299" s="64">
        <f t="shared" ref="B299:Z299" si="2108">B81-B305</f>
        <v>0</v>
      </c>
      <c r="C299" s="64">
        <f t="shared" si="2108"/>
        <v>0</v>
      </c>
      <c r="D299" s="64">
        <f t="shared" si="2108"/>
        <v>0</v>
      </c>
      <c r="E299" s="64">
        <f t="shared" si="2108"/>
        <v>0</v>
      </c>
      <c r="F299" s="64">
        <f t="shared" si="2108"/>
        <v>0</v>
      </c>
      <c r="G299" s="64">
        <f t="shared" si="2108"/>
        <v>0</v>
      </c>
      <c r="H299" s="64">
        <f t="shared" si="2108"/>
        <v>0</v>
      </c>
      <c r="I299" s="64">
        <f t="shared" si="2108"/>
        <v>0</v>
      </c>
      <c r="J299" s="64">
        <f t="shared" si="2108"/>
        <v>0</v>
      </c>
      <c r="K299" s="64">
        <f t="shared" si="2108"/>
        <v>0</v>
      </c>
      <c r="L299" s="64">
        <f t="shared" si="2108"/>
        <v>0</v>
      </c>
      <c r="M299" s="64">
        <f t="shared" si="2108"/>
        <v>0</v>
      </c>
      <c r="N299" s="64">
        <f t="shared" si="2108"/>
        <v>0</v>
      </c>
      <c r="O299" s="64">
        <f t="shared" si="2108"/>
        <v>-2.7028999999999998E-3</v>
      </c>
      <c r="P299" s="64">
        <f t="shared" si="2108"/>
        <v>101.25999999999999</v>
      </c>
      <c r="Q299" s="64">
        <f t="shared" si="2108"/>
        <v>1926.5400000000002</v>
      </c>
      <c r="R299" s="64">
        <f t="shared" si="2108"/>
        <v>1983.0900000000001</v>
      </c>
      <c r="S299" s="64">
        <f t="shared" si="2108"/>
        <v>2826.01</v>
      </c>
      <c r="T299" s="64">
        <f t="shared" si="2108"/>
        <v>2762.2299999999996</v>
      </c>
      <c r="U299" s="64">
        <f t="shared" si="2108"/>
        <v>4253.8599999999997</v>
      </c>
      <c r="V299" s="64">
        <f t="shared" si="2108"/>
        <v>3950.3600000000006</v>
      </c>
      <c r="W299" s="64">
        <f t="shared" si="2108"/>
        <v>4206.17</v>
      </c>
      <c r="X299" s="64">
        <f t="shared" si="2108"/>
        <v>4517.6099999999988</v>
      </c>
      <c r="Y299" s="64">
        <f t="shared" si="2108"/>
        <v>5711.2000000000007</v>
      </c>
      <c r="Z299" s="64">
        <f t="shared" si="2108"/>
        <v>7066.52</v>
      </c>
      <c r="AA299" s="64">
        <f t="shared" ref="AA299" si="2109">AA81-AA305</f>
        <v>7988.84</v>
      </c>
      <c r="AB299" s="30"/>
      <c r="AC299" s="30"/>
      <c r="AD299" s="30"/>
      <c r="AE299" s="30"/>
      <c r="AI299" s="64">
        <f t="shared" ref="AI299:BN299" si="2110">AI81-AI305</f>
        <v>0</v>
      </c>
      <c r="AJ299" s="64">
        <f t="shared" si="2110"/>
        <v>0</v>
      </c>
      <c r="AK299" s="64">
        <f t="shared" si="2110"/>
        <v>0</v>
      </c>
      <c r="AL299" s="64">
        <f t="shared" si="2110"/>
        <v>0</v>
      </c>
      <c r="AM299" s="64">
        <f t="shared" si="2110"/>
        <v>0</v>
      </c>
      <c r="AN299" s="64">
        <f t="shared" si="2110"/>
        <v>0</v>
      </c>
      <c r="AO299" s="64">
        <f t="shared" si="2110"/>
        <v>0</v>
      </c>
      <c r="AP299" s="64">
        <f t="shared" si="2110"/>
        <v>0</v>
      </c>
      <c r="AQ299" s="64">
        <f t="shared" si="2110"/>
        <v>0</v>
      </c>
      <c r="AR299" s="64">
        <f t="shared" si="2110"/>
        <v>0</v>
      </c>
      <c r="AS299" s="64">
        <f t="shared" si="2110"/>
        <v>6.2299999999999995</v>
      </c>
      <c r="AT299" s="64">
        <f t="shared" si="2110"/>
        <v>95.03</v>
      </c>
      <c r="AU299" s="64">
        <f t="shared" si="2110"/>
        <v>439.88</v>
      </c>
      <c r="AV299" s="64">
        <f t="shared" si="2110"/>
        <v>527.72</v>
      </c>
      <c r="AW299" s="64">
        <f t="shared" si="2110"/>
        <v>474.81</v>
      </c>
      <c r="AX299" s="64">
        <f t="shared" si="2110"/>
        <v>484.14</v>
      </c>
      <c r="AY299" s="64">
        <f t="shared" si="2110"/>
        <v>578.35</v>
      </c>
      <c r="AZ299" s="64">
        <f t="shared" si="2110"/>
        <v>473.08000000000004</v>
      </c>
      <c r="BA299" s="64">
        <f t="shared" si="2110"/>
        <v>471.39000000000004</v>
      </c>
      <c r="BB299" s="64">
        <f t="shared" si="2110"/>
        <v>460.27</v>
      </c>
      <c r="BC299" s="64">
        <f t="shared" si="2110"/>
        <v>452.29</v>
      </c>
      <c r="BD299" s="64">
        <f t="shared" si="2110"/>
        <v>446.07000000000005</v>
      </c>
      <c r="BE299" s="64">
        <f t="shared" si="2110"/>
        <v>1436.96</v>
      </c>
      <c r="BF299" s="64">
        <f t="shared" si="2110"/>
        <v>490.69000000000005</v>
      </c>
      <c r="BG299" s="64">
        <f t="shared" si="2110"/>
        <v>505.02</v>
      </c>
      <c r="BH299" s="64">
        <f t="shared" si="2110"/>
        <v>556.90999999999985</v>
      </c>
      <c r="BI299" s="64">
        <f t="shared" si="2110"/>
        <v>892.82000000000016</v>
      </c>
      <c r="BJ299" s="64">
        <f t="shared" si="2110"/>
        <v>871.3</v>
      </c>
      <c r="BK299" s="64">
        <f t="shared" si="2110"/>
        <v>1106.7199999999998</v>
      </c>
      <c r="BL299" s="64">
        <f t="shared" si="2110"/>
        <v>1003.6100000000004</v>
      </c>
      <c r="BM299" s="64">
        <f t="shared" si="2110"/>
        <v>1055.7999999999997</v>
      </c>
      <c r="BN299" s="64">
        <f t="shared" si="2110"/>
        <v>1087.73</v>
      </c>
      <c r="BO299" s="64">
        <f t="shared" ref="BO299:CT299" si="2111">BO81-BO305</f>
        <v>1394.69</v>
      </c>
      <c r="BP299" s="64">
        <f t="shared" si="2111"/>
        <v>995.81999999999994</v>
      </c>
      <c r="BQ299" s="64">
        <f t="shared" si="2111"/>
        <v>1115.48</v>
      </c>
      <c r="BR299" s="64">
        <f t="shared" si="2111"/>
        <v>1027.18</v>
      </c>
      <c r="BS299" s="64">
        <f t="shared" si="2111"/>
        <v>1390.38</v>
      </c>
      <c r="BT299" s="64">
        <f t="shared" si="2111"/>
        <v>1155.72</v>
      </c>
      <c r="BU299" s="64">
        <f t="shared" si="2111"/>
        <v>1151.3899999999996</v>
      </c>
      <c r="BV299" s="64">
        <f t="shared" si="2111"/>
        <v>1191.1499999999999</v>
      </c>
      <c r="BW299" s="64">
        <f t="shared" si="2111"/>
        <v>1207.9299999999998</v>
      </c>
      <c r="BX299" s="64">
        <f t="shared" si="2111"/>
        <v>1236.6100000000001</v>
      </c>
      <c r="BY299" s="64">
        <f t="shared" si="2111"/>
        <v>1540.1699999999996</v>
      </c>
      <c r="BZ299" s="64">
        <f t="shared" si="2111"/>
        <v>1568.4799999999998</v>
      </c>
      <c r="CA299" s="64">
        <f t="shared" si="2111"/>
        <v>1269.2999999999997</v>
      </c>
      <c r="CB299" s="64">
        <f t="shared" si="2111"/>
        <v>1350.1399999999999</v>
      </c>
      <c r="CC299" s="64">
        <f t="shared" si="2111"/>
        <v>1470.6399999999994</v>
      </c>
      <c r="CD299" s="64">
        <f t="shared" si="2111"/>
        <v>1621.1200000000003</v>
      </c>
      <c r="CE299" s="64">
        <f t="shared" si="2111"/>
        <v>1650.6800000000003</v>
      </c>
      <c r="CF299" s="64">
        <f t="shared" si="2111"/>
        <v>1715.1400000000003</v>
      </c>
      <c r="CG299" s="64">
        <f t="shared" si="2111"/>
        <v>1660.7399999999998</v>
      </c>
      <c r="CH299" s="64">
        <f t="shared" si="2111"/>
        <v>2039.9600000000005</v>
      </c>
      <c r="CI299" s="64">
        <f t="shared" si="2111"/>
        <v>1810.6899999999996</v>
      </c>
      <c r="CJ299" s="64">
        <f t="shared" si="2111"/>
        <v>1955.42</v>
      </c>
      <c r="CK299" s="64">
        <f t="shared" si="2111"/>
        <v>1995.4000000000005</v>
      </c>
      <c r="CL299" s="64">
        <f t="shared" si="2111"/>
        <v>2227.3300000000008</v>
      </c>
      <c r="CM299" s="30">
        <f t="shared" si="2111"/>
        <v>2486.1107861580931</v>
      </c>
      <c r="CN299" s="30">
        <f t="shared" si="2111"/>
        <v>2571.7150576133099</v>
      </c>
      <c r="CO299" s="30">
        <f t="shared" si="2111"/>
        <v>2685.2826211708707</v>
      </c>
      <c r="CP299" s="30">
        <f t="shared" si="2111"/>
        <v>2811.5206138404183</v>
      </c>
      <c r="CQ299" s="30">
        <f t="shared" si="2111"/>
        <v>3069.8497999577321</v>
      </c>
      <c r="CR299" s="30">
        <f t="shared" si="2111"/>
        <v>3113.9386717673988</v>
      </c>
      <c r="CS299" s="30">
        <f t="shared" si="2111"/>
        <v>3234.6753406012449</v>
      </c>
      <c r="CT299" s="30">
        <f t="shared" si="2111"/>
        <v>3444.0165219172068</v>
      </c>
      <c r="CU299" s="30">
        <f t="shared" ref="CU299:DB299" si="2112">CU81-CU305</f>
        <v>3530.4509497907347</v>
      </c>
      <c r="CV299" s="30">
        <f t="shared" si="2112"/>
        <v>3537.064386949708</v>
      </c>
      <c r="CW299" s="30">
        <f t="shared" si="2112"/>
        <v>3909.1326309143551</v>
      </c>
      <c r="CX299" s="30">
        <f t="shared" si="2112"/>
        <v>3964.6607511404836</v>
      </c>
      <c r="CY299" s="30">
        <f t="shared" si="2112"/>
        <v>4038.9706620323623</v>
      </c>
      <c r="CZ299" s="30">
        <f t="shared" si="2112"/>
        <v>4035.7407349966843</v>
      </c>
      <c r="DA299" s="30">
        <f t="shared" si="2112"/>
        <v>4172.2313814093504</v>
      </c>
      <c r="DB299" s="30">
        <f t="shared" si="2112"/>
        <v>4364.45948860096</v>
      </c>
      <c r="DE299" s="139"/>
      <c r="DF299" s="64">
        <v>0</v>
      </c>
      <c r="DG299" s="64">
        <v>2516.7992282185169</v>
      </c>
    </row>
    <row r="300" spans="1:111" s="89" customFormat="1" hidden="1" outlineLevel="1" x14ac:dyDescent="0.2">
      <c r="A300" s="86" t="s">
        <v>476</v>
      </c>
      <c r="B300" s="86" t="e">
        <f>+B299/B298</f>
        <v>#DIV/0!</v>
      </c>
      <c r="C300" s="86" t="e">
        <f t="shared" ref="C300" si="2113">+C299/C298</f>
        <v>#DIV/0!</v>
      </c>
      <c r="D300" s="86" t="e">
        <f t="shared" ref="D300" si="2114">+D299/D298</f>
        <v>#DIV/0!</v>
      </c>
      <c r="E300" s="86" t="e">
        <f t="shared" ref="E300" si="2115">+E299/E298</f>
        <v>#DIV/0!</v>
      </c>
      <c r="F300" s="86" t="e">
        <f t="shared" ref="F300" si="2116">+F299/F298</f>
        <v>#DIV/0!</v>
      </c>
      <c r="G300" s="86" t="e">
        <f t="shared" ref="G300" si="2117">+G299/G298</f>
        <v>#DIV/0!</v>
      </c>
      <c r="H300" s="86" t="e">
        <f t="shared" ref="H300" si="2118">+H299/H298</f>
        <v>#DIV/0!</v>
      </c>
      <c r="I300" s="86" t="e">
        <f t="shared" ref="I300" si="2119">+I299/I298</f>
        <v>#DIV/0!</v>
      </c>
      <c r="J300" s="86" t="e">
        <f t="shared" ref="J300" si="2120">+J299/J298</f>
        <v>#DIV/0!</v>
      </c>
      <c r="K300" s="86" t="e">
        <f t="shared" ref="K300" si="2121">+K299/K298</f>
        <v>#DIV/0!</v>
      </c>
      <c r="L300" s="86" t="e">
        <f t="shared" ref="L300" si="2122">+L299/L298</f>
        <v>#DIV/0!</v>
      </c>
      <c r="M300" s="86" t="e">
        <f t="shared" ref="M300" si="2123">+M299/M298</f>
        <v>#DIV/0!</v>
      </c>
      <c r="N300" s="86" t="e">
        <f t="shared" ref="N300" si="2124">+N299/N298</f>
        <v>#DIV/0!</v>
      </c>
      <c r="O300" s="86" t="e">
        <f t="shared" ref="O300" si="2125">+O299/O298</f>
        <v>#DIV/0!</v>
      </c>
      <c r="P300" s="86">
        <f t="shared" ref="P300" si="2126">+P299/P298</f>
        <v>0.74818974434756902</v>
      </c>
      <c r="Q300" s="86">
        <f t="shared" ref="Q300" si="2127">+Q299/Q298</f>
        <v>0.87689177564052967</v>
      </c>
      <c r="R300" s="86">
        <f t="shared" ref="R300" si="2128">+R299/R298</f>
        <v>0.68960013353224081</v>
      </c>
      <c r="S300" s="86">
        <f t="shared" ref="S300" si="2129">+S299/S298</f>
        <v>0.71644678132478812</v>
      </c>
      <c r="T300" s="86">
        <f t="shared" ref="T300" si="2130">+T299/T298</f>
        <v>0.37810538707403374</v>
      </c>
      <c r="U300" s="86">
        <f t="shared" ref="U300" si="2131">+U299/U298</f>
        <v>0.37262394051836201</v>
      </c>
      <c r="V300" s="86">
        <f t="shared" ref="V300" si="2132">+V299/V298</f>
        <v>0.39796782899621519</v>
      </c>
      <c r="W300" s="86">
        <f t="shared" ref="W300" si="2133">+W299/W298</f>
        <v>0.37363202552604835</v>
      </c>
      <c r="X300" s="86">
        <f t="shared" ref="X300:Y300" si="2134">+X299/X298</f>
        <v>0.33985595122743872</v>
      </c>
      <c r="Y300" s="86">
        <f t="shared" si="2134"/>
        <v>0.34389571852479867</v>
      </c>
      <c r="Z300" s="86">
        <f>+Z299/Z298</f>
        <v>0.29732373630932524</v>
      </c>
      <c r="AA300" s="86">
        <f>+AA299/AA298</f>
        <v>0.28957631262543937</v>
      </c>
      <c r="AB300" s="87"/>
      <c r="AC300" s="87"/>
      <c r="AD300" s="87"/>
      <c r="AE300" s="87"/>
      <c r="AF300" s="86"/>
      <c r="AG300" s="86"/>
      <c r="AH300" s="86"/>
      <c r="AI300" s="86" t="e">
        <f t="shared" ref="AI300" si="2135">+AI299/AI298</f>
        <v>#DIV/0!</v>
      </c>
      <c r="AJ300" s="86" t="e">
        <f t="shared" ref="AJ300" si="2136">+AJ299/AJ298</f>
        <v>#DIV/0!</v>
      </c>
      <c r="AK300" s="86" t="e">
        <f t="shared" ref="AK300" si="2137">+AK299/AK298</f>
        <v>#DIV/0!</v>
      </c>
      <c r="AL300" s="86" t="e">
        <f t="shared" ref="AL300" si="2138">+AL299/AL298</f>
        <v>#DIV/0!</v>
      </c>
      <c r="AM300" s="86" t="e">
        <f t="shared" ref="AM300" si="2139">+AM299/AM298</f>
        <v>#DIV/0!</v>
      </c>
      <c r="AN300" s="86" t="e">
        <f t="shared" ref="AN300" si="2140">+AN299/AN298</f>
        <v>#DIV/0!</v>
      </c>
      <c r="AO300" s="86" t="e">
        <f t="shared" ref="AO300" si="2141">+AO299/AO298</f>
        <v>#DIV/0!</v>
      </c>
      <c r="AP300" s="86" t="e">
        <f t="shared" ref="AP300" si="2142">+AP299/AP298</f>
        <v>#DIV/0!</v>
      </c>
      <c r="AQ300" s="86" t="e">
        <f t="shared" ref="AQ300" si="2143">+AQ299/AQ298</f>
        <v>#DIV/0!</v>
      </c>
      <c r="AR300" s="86" t="e">
        <f t="shared" ref="AR300" si="2144">+AR299/AR298</f>
        <v>#DIV/0!</v>
      </c>
      <c r="AS300" s="86">
        <f t="shared" ref="AS300" si="2145">+AS299/AS298</f>
        <v>0.54410480349344981</v>
      </c>
      <c r="AT300" s="86">
        <f t="shared" ref="AT300" si="2146">+AT299/AT298</f>
        <v>0.76711333548595417</v>
      </c>
      <c r="AU300" s="86">
        <f t="shared" ref="AU300" si="2147">+AU299/AU298</f>
        <v>0.93961337178254833</v>
      </c>
      <c r="AV300" s="86">
        <f t="shared" ref="AV300" si="2148">+AV299/AV298</f>
        <v>0.93527576917623712</v>
      </c>
      <c r="AW300" s="86">
        <f t="shared" ref="AW300" si="2149">+AW299/AW298</f>
        <v>0.90182336182336187</v>
      </c>
      <c r="AX300" s="86">
        <f t="shared" ref="AX300" si="2150">+AX299/AX298</f>
        <v>0.75869742368206605</v>
      </c>
      <c r="AY300" s="86">
        <f t="shared" ref="AY300" si="2151">+AY299/AY298</f>
        <v>0.91509628012215005</v>
      </c>
      <c r="AZ300" s="86">
        <f t="shared" ref="AZ300" si="2152">+AZ299/AZ298</f>
        <v>0.69295444558371178</v>
      </c>
      <c r="BA300" s="86">
        <f t="shared" ref="BA300" si="2153">+BA299/BA298</f>
        <v>0.64643043251693599</v>
      </c>
      <c r="BB300" s="86">
        <f t="shared" ref="BB300" si="2154">+BB299/BB298</f>
        <v>0.55147252641920874</v>
      </c>
      <c r="BC300" s="86">
        <f t="shared" ref="BC300" si="2155">+BC299/BC298</f>
        <v>0.74331120168288189</v>
      </c>
      <c r="BD300" s="86">
        <f t="shared" ref="BD300" si="2156">+BD299/BD298</f>
        <v>0.59868738927363507</v>
      </c>
      <c r="BE300" s="86">
        <f t="shared" ref="BE300" si="2157">+BE299/BE298</f>
        <v>0.80683668542038656</v>
      </c>
      <c r="BF300" s="86">
        <f t="shared" ref="BF300" si="2158">+BF299/BF298</f>
        <v>0.60583500012346592</v>
      </c>
      <c r="BG300" s="86">
        <f t="shared" ref="BG300" si="2159">+BG299/BG298</f>
        <v>0.81362977283711935</v>
      </c>
      <c r="BH300" s="86">
        <f t="shared" ref="BH300" si="2160">+BH299/BH298</f>
        <v>0.39889266119443595</v>
      </c>
      <c r="BI300" s="86">
        <f t="shared" ref="BI300" si="2161">+BI299/BI298</f>
        <v>0.32548440604436674</v>
      </c>
      <c r="BJ300" s="86">
        <f t="shared" ref="BJ300" si="2162">+BJ299/BJ298</f>
        <v>0.34228224830685583</v>
      </c>
      <c r="BK300" s="86">
        <f t="shared" ref="BK300" si="2163">+BK299/BK298</f>
        <v>0.38722499020321327</v>
      </c>
      <c r="BL300" s="86">
        <f t="shared" ref="BL300" si="2164">+BL299/BL298</f>
        <v>0.38698619572761639</v>
      </c>
      <c r="BM300" s="86">
        <f t="shared" ref="BM300" si="2165">+BM299/BM298</f>
        <v>0.38012327543996072</v>
      </c>
      <c r="BN300" s="86">
        <f t="shared" ref="BN300" si="2166">+BN299/BN298</f>
        <v>0.34130644877877353</v>
      </c>
      <c r="BO300" s="86">
        <f t="shared" ref="BO300" si="2167">+BO299/BO298</f>
        <v>0.57007328807157953</v>
      </c>
      <c r="BP300" s="86">
        <f t="shared" ref="BP300" si="2168">+BP299/BP298</f>
        <v>0.46184241648463259</v>
      </c>
      <c r="BQ300" s="86">
        <f t="shared" ref="BQ300" si="2169">+BQ299/BQ298</f>
        <v>0.42952306874802659</v>
      </c>
      <c r="BR300" s="86">
        <f t="shared" ref="BR300" si="2170">+BR299/BR298</f>
        <v>0.37672421064985456</v>
      </c>
      <c r="BS300" s="86">
        <f t="shared" ref="BS300" si="2171">+BS299/BS298</f>
        <v>0.49136112240029689</v>
      </c>
      <c r="BT300" s="86">
        <f t="shared" ref="BT300" si="2172">+BT299/BT298</f>
        <v>0.45475006295643416</v>
      </c>
      <c r="BU300" s="86">
        <f t="shared" ref="BU300" si="2173">+BU299/BU298</f>
        <v>0.39543565614589404</v>
      </c>
      <c r="BV300" s="86">
        <f t="shared" ref="BV300" si="2174">+BV299/BV298</f>
        <v>0.40042289552329113</v>
      </c>
      <c r="BW300" s="86">
        <f t="shared" ref="BW300" si="2175">+BW299/BW298</f>
        <v>0.38568846826826053</v>
      </c>
      <c r="BX300" s="86">
        <f t="shared" ref="BX300" si="2176">+BX299/BX298</f>
        <v>0.38032219174037674</v>
      </c>
      <c r="BY300" s="86">
        <f t="shared" ref="BY300" si="2177">+BY299/BY298</f>
        <v>0.43364304417602828</v>
      </c>
      <c r="BZ300" s="86">
        <f t="shared" ref="BZ300" si="2178">+BZ299/BZ298</f>
        <v>0.46713484986568021</v>
      </c>
      <c r="CA300" s="86">
        <f t="shared" ref="CA300" si="2179">+CA299/CA298</f>
        <v>0.34643318203776835</v>
      </c>
      <c r="CB300" s="86">
        <f t="shared" ref="CB300:CC300" si="2180">+CB299/CB298</f>
        <v>0.36749803340891213</v>
      </c>
      <c r="CC300" s="86">
        <f t="shared" si="2180"/>
        <v>0.32231580654564251</v>
      </c>
      <c r="CD300" s="86">
        <f t="shared" ref="CD300" si="2181">+CD299/CD298</f>
        <v>0.34441717921752346</v>
      </c>
      <c r="CE300" s="86">
        <f t="shared" ref="CE300:CF300" si="2182">+CE299/CE298</f>
        <v>0.3069005587007651</v>
      </c>
      <c r="CF300" s="86">
        <f t="shared" si="2182"/>
        <v>0.27736468457396063</v>
      </c>
      <c r="CG300" s="86">
        <f t="shared" ref="CG300:CH300" si="2183">+CG299/CG298</f>
        <v>0.28484836010743941</v>
      </c>
      <c r="CH300" s="86">
        <f t="shared" si="2183"/>
        <v>0.32001480881877714</v>
      </c>
      <c r="CI300" s="86">
        <f t="shared" ref="CI300:CJ300" si="2184">+CI299/CI298</f>
        <v>0.26552509942398606</v>
      </c>
      <c r="CJ300" s="86">
        <f t="shared" si="2184"/>
        <v>0.29646306833256769</v>
      </c>
      <c r="CK300" s="86">
        <f t="shared" ref="CK300:DB300" si="2185">+CK299/CK298</f>
        <v>0.29650873373801023</v>
      </c>
      <c r="CL300" s="86">
        <f t="shared" si="2185"/>
        <v>0.29924079067399151</v>
      </c>
      <c r="CM300" s="47">
        <f t="shared" si="2185"/>
        <v>0.30883436068891013</v>
      </c>
      <c r="CN300" s="47">
        <f t="shared" si="2185"/>
        <v>0.32365435334280507</v>
      </c>
      <c r="CO300" s="47">
        <f t="shared" si="2185"/>
        <v>0.32084002807916057</v>
      </c>
      <c r="CP300" s="47">
        <f t="shared" si="2185"/>
        <v>0.32032940085216077</v>
      </c>
      <c r="CQ300" s="47">
        <f t="shared" si="2185"/>
        <v>0.32157964468595807</v>
      </c>
      <c r="CR300" s="47">
        <f t="shared" si="2185"/>
        <v>0.32576944592050877</v>
      </c>
      <c r="CS300" s="47">
        <f t="shared" si="2185"/>
        <v>0.32355832713792548</v>
      </c>
      <c r="CT300" s="47">
        <f t="shared" si="2185"/>
        <v>0.32458975112410265</v>
      </c>
      <c r="CU300" s="47">
        <f t="shared" si="2185"/>
        <v>0.31734078974600666</v>
      </c>
      <c r="CV300" s="47">
        <f t="shared" si="2185"/>
        <v>0.32002603782736899</v>
      </c>
      <c r="CW300" s="47">
        <f t="shared" si="2185"/>
        <v>0.32816790497797405</v>
      </c>
      <c r="CX300" s="47">
        <f t="shared" si="2185"/>
        <v>0.32454765042564482</v>
      </c>
      <c r="CY300" s="47">
        <f t="shared" si="2185"/>
        <v>0.31831264573756896</v>
      </c>
      <c r="CZ300" s="47">
        <f t="shared" si="2185"/>
        <v>0.31821501724620965</v>
      </c>
      <c r="DA300" s="47">
        <f t="shared" si="2185"/>
        <v>0.31644821856834821</v>
      </c>
      <c r="DB300" s="47">
        <f t="shared" si="2185"/>
        <v>0.31618552604663369</v>
      </c>
      <c r="DE300" s="130"/>
      <c r="DF300" s="89" t="e">
        <v>#DIV/0!</v>
      </c>
      <c r="DG300" s="89">
        <v>0.35239942919109557</v>
      </c>
    </row>
    <row r="301" spans="1:111" s="64" customFormat="1" hidden="1" outlineLevel="1" x14ac:dyDescent="0.2">
      <c r="A301" s="64" t="s">
        <v>477</v>
      </c>
      <c r="B301" s="64">
        <f t="shared" ref="B301:Z301" si="2186">B94-B307</f>
        <v>0</v>
      </c>
      <c r="C301" s="64">
        <f t="shared" si="2186"/>
        <v>0</v>
      </c>
      <c r="D301" s="64">
        <f t="shared" si="2186"/>
        <v>0</v>
      </c>
      <c r="E301" s="64">
        <f t="shared" si="2186"/>
        <v>0</v>
      </c>
      <c r="F301" s="64">
        <f t="shared" si="2186"/>
        <v>0</v>
      </c>
      <c r="G301" s="64">
        <f t="shared" si="2186"/>
        <v>0</v>
      </c>
      <c r="H301" s="64">
        <f t="shared" si="2186"/>
        <v>0</v>
      </c>
      <c r="I301" s="64">
        <f t="shared" si="2186"/>
        <v>0</v>
      </c>
      <c r="J301" s="64">
        <f t="shared" si="2186"/>
        <v>0</v>
      </c>
      <c r="K301" s="64">
        <f t="shared" si="2186"/>
        <v>0</v>
      </c>
      <c r="L301" s="64">
        <f t="shared" si="2186"/>
        <v>0</v>
      </c>
      <c r="M301" s="64">
        <f t="shared" si="2186"/>
        <v>0</v>
      </c>
      <c r="N301" s="64">
        <f t="shared" si="2186"/>
        <v>0</v>
      </c>
      <c r="O301" s="64">
        <f t="shared" si="2186"/>
        <v>-2.7028999999999998E-3</v>
      </c>
      <c r="P301" s="64">
        <f t="shared" si="2186"/>
        <v>-6.7499999999999973</v>
      </c>
      <c r="Q301" s="64">
        <f t="shared" si="2186"/>
        <v>367.94000000000045</v>
      </c>
      <c r="R301" s="64">
        <f t="shared" si="2186"/>
        <v>416.43000000000006</v>
      </c>
      <c r="S301" s="64">
        <f t="shared" si="2186"/>
        <v>1142.9400000000003</v>
      </c>
      <c r="T301" s="64">
        <f t="shared" si="2186"/>
        <v>559.19999999999959</v>
      </c>
      <c r="U301" s="64">
        <f t="shared" si="2186"/>
        <v>706.48999999999978</v>
      </c>
      <c r="V301" s="64">
        <f t="shared" si="2186"/>
        <v>1289.5700000000006</v>
      </c>
      <c r="W301" s="64">
        <f t="shared" si="2186"/>
        <v>1235.7500000000002</v>
      </c>
      <c r="X301" s="64">
        <f t="shared" si="2186"/>
        <v>1280.599999999999</v>
      </c>
      <c r="Y301" s="64">
        <f t="shared" si="2186"/>
        <v>1195.6100000000004</v>
      </c>
      <c r="Z301" s="64">
        <f t="shared" si="2186"/>
        <v>2427.7100000000009</v>
      </c>
      <c r="AA301" s="64">
        <f t="shared" ref="AA301" si="2187">AA94-AA307</f>
        <v>2392.7500000000005</v>
      </c>
      <c r="AB301" s="30"/>
      <c r="AC301" s="30"/>
      <c r="AD301" s="30"/>
      <c r="AE301" s="30"/>
      <c r="AI301" s="64">
        <f t="shared" ref="AI301:BN301" si="2188">AI94-AI307</f>
        <v>0</v>
      </c>
      <c r="AJ301" s="64">
        <f t="shared" si="2188"/>
        <v>0</v>
      </c>
      <c r="AK301" s="64">
        <f t="shared" si="2188"/>
        <v>0</v>
      </c>
      <c r="AL301" s="64">
        <f t="shared" si="2188"/>
        <v>0</v>
      </c>
      <c r="AM301" s="64">
        <f t="shared" si="2188"/>
        <v>0</v>
      </c>
      <c r="AN301" s="64">
        <f t="shared" si="2188"/>
        <v>0</v>
      </c>
      <c r="AO301" s="64">
        <f t="shared" si="2188"/>
        <v>0</v>
      </c>
      <c r="AP301" s="64">
        <f t="shared" si="2188"/>
        <v>0</v>
      </c>
      <c r="AQ301" s="64">
        <f t="shared" si="2188"/>
        <v>0</v>
      </c>
      <c r="AR301" s="64">
        <f t="shared" si="2188"/>
        <v>0</v>
      </c>
      <c r="AS301" s="64">
        <f t="shared" si="2188"/>
        <v>6.17</v>
      </c>
      <c r="AT301" s="64">
        <f t="shared" si="2188"/>
        <v>-12.919999999999998</v>
      </c>
      <c r="AU301" s="64">
        <f t="shared" si="2188"/>
        <v>30.889999999999993</v>
      </c>
      <c r="AV301" s="64">
        <f t="shared" si="2188"/>
        <v>162.19999999999999</v>
      </c>
      <c r="AW301" s="64">
        <f t="shared" si="2188"/>
        <v>74.779999999999944</v>
      </c>
      <c r="AX301" s="64">
        <f t="shared" si="2188"/>
        <v>100.07999999999998</v>
      </c>
      <c r="AY301" s="64">
        <f t="shared" si="2188"/>
        <v>122.71000000000005</v>
      </c>
      <c r="AZ301" s="64">
        <f t="shared" si="2188"/>
        <v>99.540000000000049</v>
      </c>
      <c r="BA301" s="64">
        <f t="shared" si="2188"/>
        <v>99.28</v>
      </c>
      <c r="BB301" s="64">
        <f t="shared" si="2188"/>
        <v>94.90000000000002</v>
      </c>
      <c r="BC301" s="64">
        <f t="shared" si="2188"/>
        <v>84.100000000000023</v>
      </c>
      <c r="BD301" s="64">
        <f t="shared" si="2188"/>
        <v>66.690000000000026</v>
      </c>
      <c r="BE301" s="64">
        <f t="shared" si="2188"/>
        <v>841.88</v>
      </c>
      <c r="BF301" s="64">
        <f t="shared" si="2188"/>
        <v>150.27000000000004</v>
      </c>
      <c r="BG301" s="64">
        <f t="shared" si="2188"/>
        <v>169.34000000000003</v>
      </c>
      <c r="BH301" s="64">
        <f t="shared" si="2188"/>
        <v>54.749999999999886</v>
      </c>
      <c r="BI301" s="64">
        <f t="shared" si="2188"/>
        <v>145.72000000000011</v>
      </c>
      <c r="BJ301" s="64">
        <f t="shared" si="2188"/>
        <v>141.40000000000003</v>
      </c>
      <c r="BK301" s="64">
        <f t="shared" si="2188"/>
        <v>184.47999999999973</v>
      </c>
      <c r="BL301" s="64">
        <f t="shared" si="2188"/>
        <v>201.38000000000039</v>
      </c>
      <c r="BM301" s="64">
        <f t="shared" si="2188"/>
        <v>173.43999999999986</v>
      </c>
      <c r="BN301" s="64">
        <f t="shared" si="2188"/>
        <v>4.5000000000000853</v>
      </c>
      <c r="BO301" s="64">
        <f t="shared" ref="BO301:CT301" si="2189">BO94-BO307</f>
        <v>332.93000000000006</v>
      </c>
      <c r="BP301" s="64">
        <f t="shared" si="2189"/>
        <v>190.42999999999998</v>
      </c>
      <c r="BQ301" s="64">
        <f t="shared" si="2189"/>
        <v>440.48</v>
      </c>
      <c r="BR301" s="64">
        <f t="shared" si="2189"/>
        <v>231.83000000000007</v>
      </c>
      <c r="BS301" s="64">
        <f t="shared" si="2189"/>
        <v>442.69000000000011</v>
      </c>
      <c r="BT301" s="64">
        <f t="shared" si="2189"/>
        <v>298.36</v>
      </c>
      <c r="BU301" s="64">
        <f t="shared" si="2189"/>
        <v>283.74999999999966</v>
      </c>
      <c r="BV301" s="64">
        <f t="shared" si="2189"/>
        <v>239.62999999999991</v>
      </c>
      <c r="BW301" s="64">
        <f t="shared" si="2189"/>
        <v>167.56999999999982</v>
      </c>
      <c r="BX301" s="64">
        <f t="shared" si="2189"/>
        <v>194.76000000000028</v>
      </c>
      <c r="BY301" s="64">
        <f t="shared" si="2189"/>
        <v>478.14999999999981</v>
      </c>
      <c r="BZ301" s="64">
        <f t="shared" si="2189"/>
        <v>435.90999999999985</v>
      </c>
      <c r="CA301" s="64">
        <f t="shared" si="2189"/>
        <v>182.6299999999998</v>
      </c>
      <c r="CB301" s="64">
        <f t="shared" si="2189"/>
        <v>284.97000000000003</v>
      </c>
      <c r="CC301" s="64">
        <f t="shared" si="2189"/>
        <v>348.4699999999994</v>
      </c>
      <c r="CD301" s="64">
        <f t="shared" si="2189"/>
        <v>383.36000000000024</v>
      </c>
      <c r="CE301" s="64">
        <f t="shared" si="2189"/>
        <v>316.75000000000051</v>
      </c>
      <c r="CF301" s="64">
        <f t="shared" si="2189"/>
        <v>773.1500000000002</v>
      </c>
      <c r="CG301" s="64">
        <f t="shared" si="2189"/>
        <v>625.43999999999983</v>
      </c>
      <c r="CH301" s="64">
        <f t="shared" si="2189"/>
        <v>686.54000000000042</v>
      </c>
      <c r="CI301" s="64">
        <f t="shared" si="2189"/>
        <v>540.92999999999972</v>
      </c>
      <c r="CJ301" s="64">
        <f t="shared" si="2189"/>
        <v>558.23</v>
      </c>
      <c r="CK301" s="64">
        <f t="shared" si="2189"/>
        <v>574.88000000000045</v>
      </c>
      <c r="CL301" s="64">
        <f t="shared" si="2189"/>
        <v>669.09000000000083</v>
      </c>
      <c r="CM301" s="30">
        <f t="shared" si="2189"/>
        <v>1057.8478816282618</v>
      </c>
      <c r="CN301" s="30">
        <f t="shared" si="2189"/>
        <v>939.27525314115996</v>
      </c>
      <c r="CO301" s="30">
        <f t="shared" si="2189"/>
        <v>915.42895856276687</v>
      </c>
      <c r="CP301" s="30">
        <f t="shared" si="2189"/>
        <v>890.47064737781307</v>
      </c>
      <c r="CQ301" s="30">
        <f t="shared" si="2189"/>
        <v>1043.0369937773487</v>
      </c>
      <c r="CR301" s="30">
        <f t="shared" si="2189"/>
        <v>978.96363632783152</v>
      </c>
      <c r="CS301" s="30">
        <f t="shared" si="2189"/>
        <v>1004.1301734665365</v>
      </c>
      <c r="CT301" s="30">
        <f t="shared" si="2189"/>
        <v>1083.0777851989862</v>
      </c>
      <c r="CU301" s="30">
        <f t="shared" ref="CU301:DB301" si="2190">CU94-CU307</f>
        <v>1243.0003577195046</v>
      </c>
      <c r="CV301" s="30">
        <f t="shared" si="2190"/>
        <v>1208.9971049751671</v>
      </c>
      <c r="CW301" s="30">
        <f t="shared" si="2190"/>
        <v>1445.0954756165033</v>
      </c>
      <c r="CX301" s="30">
        <f t="shared" si="2190"/>
        <v>1432.0590776980464</v>
      </c>
      <c r="CY301" s="30">
        <f t="shared" si="2190"/>
        <v>1445.1422291298704</v>
      </c>
      <c r="CZ301" s="30">
        <f t="shared" si="2190"/>
        <v>1398.3520670728547</v>
      </c>
      <c r="DA301" s="30">
        <f t="shared" si="2190"/>
        <v>1464.5570453495513</v>
      </c>
      <c r="DB301" s="30">
        <f t="shared" si="2190"/>
        <v>1561.0686350745234</v>
      </c>
      <c r="DE301" s="139"/>
      <c r="DF301" s="64">
        <v>0</v>
      </c>
      <c r="DG301" s="64">
        <v>546.0087769190385</v>
      </c>
    </row>
    <row r="302" spans="1:111" s="64" customFormat="1" hidden="1" outlineLevel="1" x14ac:dyDescent="0.2">
      <c r="AB302" s="30"/>
      <c r="AC302" s="30"/>
      <c r="AD302" s="30"/>
      <c r="AE302" s="30"/>
      <c r="CM302" s="30"/>
      <c r="CN302" s="30"/>
      <c r="CO302" s="30"/>
      <c r="CP302" s="30"/>
      <c r="CQ302" s="30"/>
      <c r="CR302" s="30"/>
      <c r="CS302" s="30"/>
      <c r="CT302" s="30"/>
      <c r="CU302" s="30"/>
      <c r="CV302" s="30"/>
      <c r="CW302" s="30"/>
      <c r="CX302" s="30"/>
      <c r="CY302" s="30"/>
      <c r="CZ302" s="30"/>
      <c r="DA302" s="30"/>
      <c r="DB302" s="30"/>
      <c r="DE302" s="139"/>
    </row>
    <row r="303" spans="1:111" s="64" customFormat="1" hidden="1" outlineLevel="1" x14ac:dyDescent="0.2">
      <c r="A303" s="65" t="s">
        <v>352</v>
      </c>
      <c r="AB303" s="30"/>
      <c r="AC303" s="30"/>
      <c r="AD303" s="30"/>
      <c r="AE303" s="30"/>
      <c r="CM303" s="30"/>
      <c r="CN303" s="30"/>
      <c r="CO303" s="30"/>
      <c r="CP303" s="30"/>
      <c r="CQ303" s="30"/>
      <c r="CR303" s="30"/>
      <c r="CS303" s="30"/>
      <c r="CT303" s="30"/>
      <c r="CU303" s="30"/>
      <c r="CV303" s="30"/>
      <c r="CW303" s="30"/>
      <c r="CX303" s="30"/>
      <c r="CY303" s="30"/>
      <c r="CZ303" s="30"/>
      <c r="DA303" s="30"/>
      <c r="DB303" s="30"/>
      <c r="DE303" s="139"/>
    </row>
    <row r="304" spans="1:111" s="64" customFormat="1" hidden="1" outlineLevel="1" x14ac:dyDescent="0.2">
      <c r="A304" s="64" t="s">
        <v>478</v>
      </c>
      <c r="AB304" s="30"/>
      <c r="AC304" s="30"/>
      <c r="AD304" s="30"/>
      <c r="AE304" s="30"/>
      <c r="CM304" s="30"/>
      <c r="CN304" s="30"/>
      <c r="CO304" s="30"/>
      <c r="CP304" s="30"/>
      <c r="CQ304" s="30"/>
      <c r="CR304" s="30"/>
      <c r="CS304" s="30"/>
      <c r="CT304" s="30"/>
      <c r="CU304" s="30"/>
      <c r="CV304" s="30"/>
      <c r="CW304" s="30"/>
      <c r="CX304" s="30"/>
      <c r="CY304" s="30"/>
      <c r="CZ304" s="30"/>
      <c r="DA304" s="30"/>
      <c r="DB304" s="30"/>
      <c r="DE304" s="139"/>
    </row>
    <row r="305" spans="1:111" s="64" customFormat="1" hidden="1" outlineLevel="1" x14ac:dyDescent="0.2">
      <c r="A305" s="64" t="s">
        <v>479</v>
      </c>
      <c r="AB305" s="30"/>
      <c r="AC305" s="30"/>
      <c r="AD305" s="30"/>
      <c r="AE305" s="30"/>
      <c r="CM305" s="30"/>
      <c r="CN305" s="30"/>
      <c r="CO305" s="30"/>
      <c r="CP305" s="30"/>
      <c r="CQ305" s="30"/>
      <c r="CR305" s="30"/>
      <c r="CS305" s="30"/>
      <c r="CT305" s="30"/>
      <c r="CU305" s="30"/>
      <c r="CV305" s="30"/>
      <c r="CW305" s="30"/>
      <c r="CX305" s="30"/>
      <c r="CY305" s="30"/>
      <c r="CZ305" s="30"/>
      <c r="DA305" s="30"/>
      <c r="DB305" s="30"/>
      <c r="DE305" s="139"/>
    </row>
    <row r="306" spans="1:111" s="89" customFormat="1" hidden="1" outlineLevel="1" x14ac:dyDescent="0.2">
      <c r="A306" s="86" t="s">
        <v>480</v>
      </c>
      <c r="B306" s="86" t="e">
        <f>+B305/B304</f>
        <v>#DIV/0!</v>
      </c>
      <c r="C306" s="86" t="e">
        <f t="shared" ref="C306:X306" si="2191">+C305/C304</f>
        <v>#DIV/0!</v>
      </c>
      <c r="D306" s="86" t="e">
        <f t="shared" si="2191"/>
        <v>#DIV/0!</v>
      </c>
      <c r="E306" s="86" t="e">
        <f t="shared" si="2191"/>
        <v>#DIV/0!</v>
      </c>
      <c r="F306" s="86" t="e">
        <f t="shared" si="2191"/>
        <v>#DIV/0!</v>
      </c>
      <c r="G306" s="86" t="e">
        <f t="shared" si="2191"/>
        <v>#DIV/0!</v>
      </c>
      <c r="H306" s="86" t="e">
        <f t="shared" si="2191"/>
        <v>#DIV/0!</v>
      </c>
      <c r="I306" s="86" t="e">
        <f t="shared" si="2191"/>
        <v>#DIV/0!</v>
      </c>
      <c r="J306" s="86" t="e">
        <f t="shared" si="2191"/>
        <v>#DIV/0!</v>
      </c>
      <c r="K306" s="86" t="e">
        <f t="shared" si="2191"/>
        <v>#DIV/0!</v>
      </c>
      <c r="L306" s="86" t="e">
        <f t="shared" si="2191"/>
        <v>#DIV/0!</v>
      </c>
      <c r="M306" s="86" t="e">
        <f t="shared" si="2191"/>
        <v>#DIV/0!</v>
      </c>
      <c r="N306" s="86" t="e">
        <f t="shared" si="2191"/>
        <v>#DIV/0!</v>
      </c>
      <c r="O306" s="86" t="e">
        <f t="shared" si="2191"/>
        <v>#DIV/0!</v>
      </c>
      <c r="P306" s="86" t="e">
        <f t="shared" si="2191"/>
        <v>#DIV/0!</v>
      </c>
      <c r="Q306" s="86" t="e">
        <f t="shared" si="2191"/>
        <v>#DIV/0!</v>
      </c>
      <c r="R306" s="86" t="e">
        <f t="shared" si="2191"/>
        <v>#DIV/0!</v>
      </c>
      <c r="S306" s="86" t="e">
        <f t="shared" si="2191"/>
        <v>#DIV/0!</v>
      </c>
      <c r="T306" s="86" t="e">
        <f t="shared" si="2191"/>
        <v>#DIV/0!</v>
      </c>
      <c r="U306" s="86" t="e">
        <f t="shared" si="2191"/>
        <v>#DIV/0!</v>
      </c>
      <c r="V306" s="86" t="e">
        <f t="shared" si="2191"/>
        <v>#DIV/0!</v>
      </c>
      <c r="W306" s="86" t="e">
        <f t="shared" si="2191"/>
        <v>#DIV/0!</v>
      </c>
      <c r="X306" s="86" t="e">
        <f t="shared" si="2191"/>
        <v>#DIV/0!</v>
      </c>
      <c r="Y306" s="86" t="e">
        <f t="shared" ref="Y306" si="2192">+Y305/Y304</f>
        <v>#DIV/0!</v>
      </c>
      <c r="Z306" s="86" t="e">
        <f>+Z305/Z304</f>
        <v>#DIV/0!</v>
      </c>
      <c r="AA306" s="86" t="e">
        <f>+AA305/AA304</f>
        <v>#DIV/0!</v>
      </c>
      <c r="AB306" s="87"/>
      <c r="AC306" s="87"/>
      <c r="AD306" s="87"/>
      <c r="AE306" s="87"/>
      <c r="AF306" s="86"/>
      <c r="AG306" s="86"/>
      <c r="AH306" s="86"/>
      <c r="AI306" s="86" t="e">
        <f t="shared" ref="AI306" si="2193">+AI305/AI304</f>
        <v>#DIV/0!</v>
      </c>
      <c r="AJ306" s="86" t="e">
        <f t="shared" ref="AJ306" si="2194">+AJ305/AJ304</f>
        <v>#DIV/0!</v>
      </c>
      <c r="AK306" s="86" t="e">
        <f t="shared" ref="AK306" si="2195">+AK305/AK304</f>
        <v>#DIV/0!</v>
      </c>
      <c r="AL306" s="86" t="e">
        <f t="shared" ref="AL306" si="2196">+AL305/AL304</f>
        <v>#DIV/0!</v>
      </c>
      <c r="AM306" s="86" t="e">
        <f t="shared" ref="AM306" si="2197">+AM305/AM304</f>
        <v>#DIV/0!</v>
      </c>
      <c r="AN306" s="86" t="e">
        <f t="shared" ref="AN306" si="2198">+AN305/AN304</f>
        <v>#DIV/0!</v>
      </c>
      <c r="AO306" s="86" t="e">
        <f t="shared" ref="AO306" si="2199">+AO305/AO304</f>
        <v>#DIV/0!</v>
      </c>
      <c r="AP306" s="86" t="e">
        <f t="shared" ref="AP306" si="2200">+AP305/AP304</f>
        <v>#DIV/0!</v>
      </c>
      <c r="AQ306" s="86" t="e">
        <f t="shared" ref="AQ306" si="2201">+AQ305/AQ304</f>
        <v>#DIV/0!</v>
      </c>
      <c r="AR306" s="86" t="e">
        <f t="shared" ref="AR306" si="2202">+AR305/AR304</f>
        <v>#DIV/0!</v>
      </c>
      <c r="AS306" s="86" t="e">
        <f t="shared" ref="AS306" si="2203">+AS305/AS304</f>
        <v>#DIV/0!</v>
      </c>
      <c r="AT306" s="86" t="e">
        <f t="shared" ref="AT306" si="2204">+AT305/AT304</f>
        <v>#DIV/0!</v>
      </c>
      <c r="AU306" s="86" t="e">
        <f t="shared" ref="AU306" si="2205">+AU305/AU304</f>
        <v>#DIV/0!</v>
      </c>
      <c r="AV306" s="86" t="e">
        <f t="shared" ref="AV306" si="2206">+AV305/AV304</f>
        <v>#DIV/0!</v>
      </c>
      <c r="AW306" s="86" t="e">
        <f t="shared" ref="AW306" si="2207">+AW305/AW304</f>
        <v>#DIV/0!</v>
      </c>
      <c r="AX306" s="86" t="e">
        <f t="shared" ref="AX306" si="2208">+AX305/AX304</f>
        <v>#DIV/0!</v>
      </c>
      <c r="AY306" s="86" t="e">
        <f t="shared" ref="AY306" si="2209">+AY305/AY304</f>
        <v>#DIV/0!</v>
      </c>
      <c r="AZ306" s="86" t="e">
        <f t="shared" ref="AZ306" si="2210">+AZ305/AZ304</f>
        <v>#DIV/0!</v>
      </c>
      <c r="BA306" s="86" t="e">
        <f t="shared" ref="BA306" si="2211">+BA305/BA304</f>
        <v>#DIV/0!</v>
      </c>
      <c r="BB306" s="86" t="e">
        <f t="shared" ref="BB306" si="2212">+BB305/BB304</f>
        <v>#DIV/0!</v>
      </c>
      <c r="BC306" s="86" t="e">
        <f t="shared" ref="BC306" si="2213">+BC305/BC304</f>
        <v>#DIV/0!</v>
      </c>
      <c r="BD306" s="86" t="e">
        <f t="shared" ref="BD306" si="2214">+BD305/BD304</f>
        <v>#DIV/0!</v>
      </c>
      <c r="BE306" s="86" t="e">
        <f t="shared" ref="BE306" si="2215">+BE305/BE304</f>
        <v>#DIV/0!</v>
      </c>
      <c r="BF306" s="86" t="e">
        <f t="shared" ref="BF306" si="2216">+BF305/BF304</f>
        <v>#DIV/0!</v>
      </c>
      <c r="BG306" s="86" t="e">
        <f t="shared" ref="BG306" si="2217">+BG305/BG304</f>
        <v>#DIV/0!</v>
      </c>
      <c r="BH306" s="86" t="e">
        <f t="shared" ref="BH306" si="2218">+BH305/BH304</f>
        <v>#DIV/0!</v>
      </c>
      <c r="BI306" s="86" t="e">
        <f t="shared" ref="BI306" si="2219">+BI305/BI304</f>
        <v>#DIV/0!</v>
      </c>
      <c r="BJ306" s="86" t="e">
        <f t="shared" ref="BJ306" si="2220">+BJ305/BJ304</f>
        <v>#DIV/0!</v>
      </c>
      <c r="BK306" s="86" t="e">
        <f t="shared" ref="BK306" si="2221">+BK305/BK304</f>
        <v>#DIV/0!</v>
      </c>
      <c r="BL306" s="86" t="e">
        <f t="shared" ref="BL306" si="2222">+BL305/BL304</f>
        <v>#DIV/0!</v>
      </c>
      <c r="BM306" s="86" t="e">
        <f t="shared" ref="BM306" si="2223">+BM305/BM304</f>
        <v>#DIV/0!</v>
      </c>
      <c r="BN306" s="86" t="e">
        <f t="shared" ref="BN306" si="2224">+BN305/BN304</f>
        <v>#DIV/0!</v>
      </c>
      <c r="BO306" s="86" t="e">
        <f t="shared" ref="BO306" si="2225">+BO305/BO304</f>
        <v>#DIV/0!</v>
      </c>
      <c r="BP306" s="86" t="e">
        <f t="shared" ref="BP306" si="2226">+BP305/BP304</f>
        <v>#DIV/0!</v>
      </c>
      <c r="BQ306" s="86" t="e">
        <f t="shared" ref="BQ306" si="2227">+BQ305/BQ304</f>
        <v>#DIV/0!</v>
      </c>
      <c r="BR306" s="86" t="e">
        <f t="shared" ref="BR306" si="2228">+BR305/BR304</f>
        <v>#DIV/0!</v>
      </c>
      <c r="BS306" s="86" t="e">
        <f t="shared" ref="BS306" si="2229">+BS305/BS304</f>
        <v>#DIV/0!</v>
      </c>
      <c r="BT306" s="86" t="e">
        <f t="shared" ref="BT306" si="2230">+BT305/BT304</f>
        <v>#DIV/0!</v>
      </c>
      <c r="BU306" s="86" t="e">
        <f t="shared" ref="BU306" si="2231">+BU305/BU304</f>
        <v>#DIV/0!</v>
      </c>
      <c r="BV306" s="86" t="e">
        <f t="shared" ref="BV306" si="2232">+BV305/BV304</f>
        <v>#DIV/0!</v>
      </c>
      <c r="BW306" s="86" t="e">
        <f t="shared" ref="BW306" si="2233">+BW305/BW304</f>
        <v>#DIV/0!</v>
      </c>
      <c r="BX306" s="86" t="e">
        <f t="shared" ref="BX306" si="2234">+BX305/BX304</f>
        <v>#DIV/0!</v>
      </c>
      <c r="BY306" s="86" t="e">
        <f t="shared" ref="BY306" si="2235">+BY305/BY304</f>
        <v>#DIV/0!</v>
      </c>
      <c r="BZ306" s="86" t="e">
        <f t="shared" ref="BZ306" si="2236">+BZ305/BZ304</f>
        <v>#DIV/0!</v>
      </c>
      <c r="CA306" s="86" t="e">
        <f t="shared" ref="CA306" si="2237">+CA305/CA304</f>
        <v>#DIV/0!</v>
      </c>
      <c r="CB306" s="86" t="e">
        <f t="shared" ref="CB306:CC306" si="2238">+CB305/CB304</f>
        <v>#DIV/0!</v>
      </c>
      <c r="CC306" s="86" t="e">
        <f t="shared" si="2238"/>
        <v>#DIV/0!</v>
      </c>
      <c r="CD306" s="86" t="e">
        <f t="shared" ref="CD306" si="2239">+CD305/CD304</f>
        <v>#DIV/0!</v>
      </c>
      <c r="CE306" s="86" t="e">
        <f t="shared" ref="CE306:CF306" si="2240">+CE305/CE304</f>
        <v>#DIV/0!</v>
      </c>
      <c r="CF306" s="86" t="e">
        <f t="shared" si="2240"/>
        <v>#DIV/0!</v>
      </c>
      <c r="CG306" s="86" t="e">
        <f t="shared" ref="CG306:CH306" si="2241">+CG305/CG304</f>
        <v>#DIV/0!</v>
      </c>
      <c r="CH306" s="86" t="e">
        <f t="shared" si="2241"/>
        <v>#DIV/0!</v>
      </c>
      <c r="CI306" s="86" t="e">
        <f t="shared" ref="CI306:CJ306" si="2242">+CI305/CI304</f>
        <v>#DIV/0!</v>
      </c>
      <c r="CJ306" s="86" t="e">
        <f t="shared" si="2242"/>
        <v>#DIV/0!</v>
      </c>
      <c r="CK306" s="86" t="e">
        <f t="shared" ref="CK306:DB306" si="2243">+CK305/CK304</f>
        <v>#DIV/0!</v>
      </c>
      <c r="CL306" s="86" t="e">
        <f t="shared" si="2243"/>
        <v>#DIV/0!</v>
      </c>
      <c r="CM306" s="47" t="e">
        <f t="shared" si="2243"/>
        <v>#DIV/0!</v>
      </c>
      <c r="CN306" s="47" t="e">
        <f t="shared" si="2243"/>
        <v>#DIV/0!</v>
      </c>
      <c r="CO306" s="47" t="e">
        <f t="shared" si="2243"/>
        <v>#DIV/0!</v>
      </c>
      <c r="CP306" s="47" t="e">
        <f t="shared" si="2243"/>
        <v>#DIV/0!</v>
      </c>
      <c r="CQ306" s="47" t="e">
        <f t="shared" si="2243"/>
        <v>#DIV/0!</v>
      </c>
      <c r="CR306" s="47" t="e">
        <f t="shared" si="2243"/>
        <v>#DIV/0!</v>
      </c>
      <c r="CS306" s="47" t="e">
        <f t="shared" si="2243"/>
        <v>#DIV/0!</v>
      </c>
      <c r="CT306" s="47" t="e">
        <f t="shared" si="2243"/>
        <v>#DIV/0!</v>
      </c>
      <c r="CU306" s="47" t="e">
        <f t="shared" si="2243"/>
        <v>#DIV/0!</v>
      </c>
      <c r="CV306" s="47" t="e">
        <f t="shared" si="2243"/>
        <v>#DIV/0!</v>
      </c>
      <c r="CW306" s="47" t="e">
        <f t="shared" si="2243"/>
        <v>#DIV/0!</v>
      </c>
      <c r="CX306" s="47" t="e">
        <f t="shared" si="2243"/>
        <v>#DIV/0!</v>
      </c>
      <c r="CY306" s="47" t="e">
        <f t="shared" si="2243"/>
        <v>#DIV/0!</v>
      </c>
      <c r="CZ306" s="47" t="e">
        <f t="shared" si="2243"/>
        <v>#DIV/0!</v>
      </c>
      <c r="DA306" s="47" t="e">
        <f t="shared" si="2243"/>
        <v>#DIV/0!</v>
      </c>
      <c r="DB306" s="47" t="e">
        <f t="shared" si="2243"/>
        <v>#DIV/0!</v>
      </c>
      <c r="DE306" s="130"/>
      <c r="DF306" s="89" t="e">
        <v>#DIV/0!</v>
      </c>
      <c r="DG306" s="89" t="e">
        <v>#DIV/0!</v>
      </c>
    </row>
    <row r="307" spans="1:111" s="64" customFormat="1" hidden="1" outlineLevel="1" x14ac:dyDescent="0.2">
      <c r="A307" s="64" t="s">
        <v>481</v>
      </c>
      <c r="AB307" s="30"/>
      <c r="AC307" s="30"/>
      <c r="AD307" s="30"/>
      <c r="AE307" s="30"/>
      <c r="CM307" s="30"/>
      <c r="CN307" s="30"/>
      <c r="CO307" s="30"/>
      <c r="CP307" s="30"/>
      <c r="CQ307" s="30"/>
      <c r="CR307" s="30"/>
      <c r="CS307" s="30"/>
      <c r="CT307" s="30"/>
      <c r="CU307" s="30"/>
      <c r="CV307" s="30"/>
      <c r="CW307" s="30"/>
      <c r="CX307" s="30"/>
      <c r="CY307" s="30"/>
      <c r="CZ307" s="30"/>
      <c r="DA307" s="30"/>
      <c r="DB307" s="30"/>
      <c r="DE307" s="139"/>
    </row>
    <row r="308" spans="1:111" s="62" customFormat="1" hidden="1" outlineLevel="1" x14ac:dyDescent="0.2">
      <c r="AB308" s="63"/>
      <c r="AC308" s="63"/>
      <c r="AD308" s="63"/>
      <c r="AE308" s="63"/>
      <c r="CM308" s="30"/>
      <c r="CN308" s="30"/>
      <c r="CO308" s="30"/>
      <c r="CP308" s="30"/>
      <c r="CQ308" s="30"/>
      <c r="CR308" s="30"/>
      <c r="CS308" s="30"/>
      <c r="CT308" s="30"/>
      <c r="CU308" s="30"/>
      <c r="CV308" s="30"/>
      <c r="CW308" s="30"/>
      <c r="CX308" s="30"/>
      <c r="CY308" s="30"/>
      <c r="CZ308" s="30"/>
      <c r="DA308" s="30"/>
      <c r="DB308" s="30"/>
      <c r="DE308" s="139"/>
    </row>
    <row r="309" spans="1:111" s="11" customFormat="1" collapsed="1" x14ac:dyDescent="0.2">
      <c r="AB309" s="63"/>
      <c r="AC309" s="63"/>
      <c r="AD309" s="63"/>
      <c r="AE309" s="63"/>
      <c r="CM309" s="30"/>
      <c r="CN309" s="30"/>
      <c r="CO309" s="30"/>
      <c r="CP309" s="30"/>
      <c r="CQ309" s="30"/>
      <c r="CR309" s="30"/>
      <c r="CS309" s="30"/>
      <c r="CT309" s="30"/>
      <c r="CU309" s="30"/>
      <c r="CV309" s="30"/>
      <c r="CW309" s="30"/>
      <c r="CX309" s="30"/>
      <c r="CY309" s="30"/>
      <c r="CZ309" s="30"/>
      <c r="DA309" s="30"/>
      <c r="DB309" s="30"/>
      <c r="DE309" s="139"/>
    </row>
    <row r="310" spans="1:111" s="62" customFormat="1" x14ac:dyDescent="0.2">
      <c r="A310" s="154" t="s">
        <v>497</v>
      </c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63"/>
      <c r="AC310" s="63"/>
      <c r="AD310" s="63"/>
      <c r="AE310" s="63"/>
      <c r="AL310" s="180"/>
      <c r="CF310" s="180"/>
      <c r="CG310" s="180"/>
      <c r="CH310" s="180"/>
      <c r="CI310" s="180"/>
      <c r="CJ310" s="180"/>
      <c r="CK310" s="180"/>
      <c r="CL310" s="180"/>
      <c r="CM310" s="30"/>
      <c r="CN310" s="30"/>
      <c r="CO310" s="30"/>
      <c r="CP310" s="30"/>
      <c r="CQ310" s="30"/>
      <c r="CR310" s="30"/>
      <c r="CS310" s="30"/>
      <c r="CT310" s="30"/>
      <c r="CU310" s="30"/>
      <c r="CV310" s="30"/>
      <c r="CW310" s="30"/>
      <c r="CX310" s="30"/>
      <c r="CY310" s="30"/>
      <c r="CZ310" s="30"/>
      <c r="DA310" s="30"/>
      <c r="DB310" s="30"/>
      <c r="DE310" s="139"/>
    </row>
    <row r="311" spans="1:111" s="84" customFormat="1" x14ac:dyDescent="0.2">
      <c r="A311" s="84" t="s">
        <v>512</v>
      </c>
      <c r="B311" s="84" t="e">
        <f>B59/B232</f>
        <v>#DIV/0!</v>
      </c>
      <c r="C311" s="84" t="e">
        <f>C59/C232</f>
        <v>#DIV/0!</v>
      </c>
      <c r="D311" s="84" t="e">
        <f>D59/D232</f>
        <v>#DIV/0!</v>
      </c>
      <c r="E311" s="84" t="e">
        <f t="shared" ref="E311:AE311" si="2244">E61/(E228+E211+E191)</f>
        <v>#DIV/0!</v>
      </c>
      <c r="F311" s="84" t="e">
        <f t="shared" si="2244"/>
        <v>#DIV/0!</v>
      </c>
      <c r="G311" s="84" t="e">
        <f t="shared" si="2244"/>
        <v>#DIV/0!</v>
      </c>
      <c r="H311" s="84" t="e">
        <f t="shared" si="2244"/>
        <v>#DIV/0!</v>
      </c>
      <c r="I311" s="84" t="e">
        <f t="shared" si="2244"/>
        <v>#DIV/0!</v>
      </c>
      <c r="J311" s="84" t="e">
        <f t="shared" si="2244"/>
        <v>#DIV/0!</v>
      </c>
      <c r="K311" s="84" t="e">
        <f t="shared" si="2244"/>
        <v>#DIV/0!</v>
      </c>
      <c r="L311" s="84" t="e">
        <f t="shared" si="2244"/>
        <v>#DIV/0!</v>
      </c>
      <c r="M311" s="84" t="e">
        <f t="shared" si="2244"/>
        <v>#DIV/0!</v>
      </c>
      <c r="N311" s="84" t="e">
        <f t="shared" si="2244"/>
        <v>#DIV/0!</v>
      </c>
      <c r="O311" s="84">
        <f t="shared" si="2244"/>
        <v>0</v>
      </c>
      <c r="P311" s="84">
        <f t="shared" si="2244"/>
        <v>1.1791632941643877E-2</v>
      </c>
      <c r="Q311" s="84">
        <f t="shared" si="2244"/>
        <v>0.18700997353612375</v>
      </c>
      <c r="R311" s="84">
        <f t="shared" si="2244"/>
        <v>0.21964861842668068</v>
      </c>
      <c r="S311" s="84">
        <f t="shared" si="2244"/>
        <v>0.22059813744768142</v>
      </c>
      <c r="T311" s="84">
        <f t="shared" si="2244"/>
        <v>0.22521590724820684</v>
      </c>
      <c r="U311" s="84">
        <f t="shared" si="2244"/>
        <v>0.28747463876051055</v>
      </c>
      <c r="V311" s="84">
        <f t="shared" si="2244"/>
        <v>0.23102572851213302</v>
      </c>
      <c r="W311" s="84">
        <f t="shared" si="2244"/>
        <v>0.23850708284798666</v>
      </c>
      <c r="X311" s="84">
        <f t="shared" si="2244"/>
        <v>0.24791127599505097</v>
      </c>
      <c r="Y311" s="84">
        <f t="shared" si="2244"/>
        <v>0.28527831253299213</v>
      </c>
      <c r="Z311" s="84">
        <f t="shared" si="2244"/>
        <v>0.32312643594399887</v>
      </c>
      <c r="AA311" s="84">
        <f t="shared" ref="AA311" si="2245">AA61/(AA228+AA211+AA191)</f>
        <v>0.29873515232249331</v>
      </c>
      <c r="AB311" s="50">
        <f t="shared" si="2244"/>
        <v>0.37767363924215314</v>
      </c>
      <c r="AC311" s="50">
        <f t="shared" si="2244"/>
        <v>0.42654507709544298</v>
      </c>
      <c r="AD311" s="50">
        <f t="shared" si="2244"/>
        <v>0.46539210798787373</v>
      </c>
      <c r="AE311" s="50">
        <f t="shared" si="2244"/>
        <v>0.49200846653182939</v>
      </c>
      <c r="AL311" s="84" t="e">
        <f t="shared" ref="AL311:BQ311" si="2246">SUM(AI61:AL61)/(AL228+AL211+AL191)</f>
        <v>#DIV/0!</v>
      </c>
      <c r="AM311" s="84" t="e">
        <f t="shared" si="2246"/>
        <v>#DIV/0!</v>
      </c>
      <c r="AN311" s="84" t="e">
        <f t="shared" si="2246"/>
        <v>#DIV/0!</v>
      </c>
      <c r="AO311" s="84" t="e">
        <f t="shared" si="2246"/>
        <v>#DIV/0!</v>
      </c>
      <c r="AP311" s="84" t="e">
        <f t="shared" si="2246"/>
        <v>#DIV/0!</v>
      </c>
      <c r="AQ311" s="84" t="e">
        <f t="shared" si="2246"/>
        <v>#DIV/0!</v>
      </c>
      <c r="AR311" s="84" t="e">
        <f t="shared" si="2246"/>
        <v>#DIV/0!</v>
      </c>
      <c r="AS311" s="84" t="e">
        <f t="shared" si="2246"/>
        <v>#DIV/0!</v>
      </c>
      <c r="AT311" s="84">
        <f t="shared" si="2246"/>
        <v>1.1775608228046359E-2</v>
      </c>
      <c r="AU311" s="84">
        <f t="shared" si="2246"/>
        <v>5.1759551958344745E-2</v>
      </c>
      <c r="AV311" s="84">
        <f t="shared" si="2246"/>
        <v>0.10183255341822578</v>
      </c>
      <c r="AW311" s="84">
        <f t="shared" si="2246"/>
        <v>0.14583271162497427</v>
      </c>
      <c r="AX311" s="84">
        <f t="shared" si="2246"/>
        <v>0.18704834458285938</v>
      </c>
      <c r="AY311" s="84">
        <f t="shared" si="2246"/>
        <v>0.19892212758527833</v>
      </c>
      <c r="AZ311" s="84">
        <f t="shared" si="2246"/>
        <v>0.20422985362317647</v>
      </c>
      <c r="BA311" s="84">
        <f t="shared" si="2246"/>
        <v>0.21911314914997126</v>
      </c>
      <c r="BB311" s="84">
        <f t="shared" si="2246"/>
        <v>0.22469257032595275</v>
      </c>
      <c r="BC311" s="84">
        <f t="shared" si="2246"/>
        <v>0.22152882389541037</v>
      </c>
      <c r="BD311" s="84">
        <f t="shared" si="2246"/>
        <v>0.22497002224715548</v>
      </c>
      <c r="BE311" s="84">
        <f t="shared" si="2246"/>
        <v>0.28651127224234918</v>
      </c>
      <c r="BF311" s="84">
        <f t="shared" si="2246"/>
        <v>0.22846075343489256</v>
      </c>
      <c r="BG311" s="84">
        <f t="shared" si="2246"/>
        <v>0.22706283092456206</v>
      </c>
      <c r="BH311" s="84">
        <f t="shared" si="2246"/>
        <v>0.13081256431175345</v>
      </c>
      <c r="BI311" s="84">
        <f t="shared" si="2246"/>
        <v>0.15160200252744074</v>
      </c>
      <c r="BJ311" s="84">
        <f t="shared" si="2246"/>
        <v>0.22468596570516752</v>
      </c>
      <c r="BK311" s="84">
        <f t="shared" si="2246"/>
        <v>0.29039090974093867</v>
      </c>
      <c r="BL311" s="84">
        <f t="shared" si="2246"/>
        <v>0.3199756057885903</v>
      </c>
      <c r="BM311" s="84">
        <f t="shared" si="2246"/>
        <v>0.31835397074377947</v>
      </c>
      <c r="BN311" s="84">
        <f t="shared" si="2246"/>
        <v>0.28747463876051055</v>
      </c>
      <c r="BO311" s="84">
        <f t="shared" si="2246"/>
        <v>0.27727388151317028</v>
      </c>
      <c r="BP311" s="84">
        <f t="shared" si="2246"/>
        <v>0.265803225453489</v>
      </c>
      <c r="BQ311" s="84">
        <f t="shared" si="2246"/>
        <v>0.25682025778032236</v>
      </c>
      <c r="BR311" s="84">
        <f t="shared" ref="BR311:CW311" si="2247">SUM(BO61:BR61)/(BR228+BR211+BR191)</f>
        <v>0.23102572851213304</v>
      </c>
      <c r="BS311" s="84">
        <f t="shared" si="2247"/>
        <v>0.23727936321995899</v>
      </c>
      <c r="BT311" s="84">
        <f t="shared" si="2247"/>
        <v>0.2373718003352368</v>
      </c>
      <c r="BU311" s="84">
        <f t="shared" si="2247"/>
        <v>0.24206643824809645</v>
      </c>
      <c r="BV311" s="84">
        <f t="shared" si="2247"/>
        <v>0.23850708284798666</v>
      </c>
      <c r="BW311" s="84">
        <f t="shared" si="2247"/>
        <v>0.24351247877109886</v>
      </c>
      <c r="BX311" s="84">
        <f t="shared" si="2247"/>
        <v>0.2394048842944391</v>
      </c>
      <c r="BY311" s="84">
        <f t="shared" si="2247"/>
        <v>0.2489615693408814</v>
      </c>
      <c r="BZ311" s="84">
        <f t="shared" si="2247"/>
        <v>0.247911275995051</v>
      </c>
      <c r="CA311" s="84">
        <f t="shared" si="2247"/>
        <v>0.25621251974451731</v>
      </c>
      <c r="CB311" s="84">
        <f t="shared" si="2247"/>
        <v>0.25727828362922961</v>
      </c>
      <c r="CC311" s="84">
        <f t="shared" si="2247"/>
        <v>0.27196766436188768</v>
      </c>
      <c r="CD311" s="84">
        <f t="shared" si="2247"/>
        <v>0.28527831253299213</v>
      </c>
      <c r="CE311" s="84">
        <f t="shared" si="2247"/>
        <v>0.31805161323275849</v>
      </c>
      <c r="CF311" s="84">
        <f t="shared" si="2247"/>
        <v>0.30317018592610573</v>
      </c>
      <c r="CG311" s="84">
        <f t="shared" si="2247"/>
        <v>0.31943670436971944</v>
      </c>
      <c r="CH311" s="84">
        <f t="shared" si="2247"/>
        <v>0.41241437709908974</v>
      </c>
      <c r="CI311" s="84">
        <f t="shared" si="2247"/>
        <v>0.43035958432058885</v>
      </c>
      <c r="CJ311" s="84">
        <f t="shared" si="2247"/>
        <v>0.31175437990204902</v>
      </c>
      <c r="CK311" s="84">
        <f t="shared" si="2247"/>
        <v>0.31969117644524758</v>
      </c>
      <c r="CL311" s="84">
        <f t="shared" si="2247"/>
        <v>0.29873515232249331</v>
      </c>
      <c r="CM311" s="50">
        <f t="shared" si="2247"/>
        <v>0.33027939399534806</v>
      </c>
      <c r="CN311" s="50">
        <f t="shared" si="2247"/>
        <v>0.34613396594313511</v>
      </c>
      <c r="CO311" s="50">
        <f t="shared" si="2247"/>
        <v>0.3634347978994858</v>
      </c>
      <c r="CP311" s="50">
        <f t="shared" si="2247"/>
        <v>0.37767363924215314</v>
      </c>
      <c r="CQ311" s="50">
        <f t="shared" si="2247"/>
        <v>0.38770135951046097</v>
      </c>
      <c r="CR311" s="50">
        <f t="shared" si="2247"/>
        <v>0.40148614445383823</v>
      </c>
      <c r="CS311" s="50">
        <f t="shared" si="2247"/>
        <v>0.41356345480699203</v>
      </c>
      <c r="CT311" s="50">
        <f t="shared" si="2247"/>
        <v>0.42654507709544298</v>
      </c>
      <c r="CU311" s="50">
        <f t="shared" si="2247"/>
        <v>0.43603090109162546</v>
      </c>
      <c r="CV311" s="50">
        <f t="shared" si="2247"/>
        <v>0.44654728324634069</v>
      </c>
      <c r="CW311" s="50">
        <f t="shared" si="2247"/>
        <v>0.45671166666678253</v>
      </c>
      <c r="CX311" s="50">
        <f t="shared" ref="CX311:DB311" si="2248">SUM(CU61:CX61)/(CX228+CX211+CX191)</f>
        <v>0.46539210798787373</v>
      </c>
      <c r="CY311" s="50">
        <f t="shared" si="2248"/>
        <v>0.47271684373855949</v>
      </c>
      <c r="CZ311" s="50">
        <f t="shared" si="2248"/>
        <v>0.48236040053445678</v>
      </c>
      <c r="DA311" s="50">
        <f t="shared" si="2248"/>
        <v>0.48619663788703177</v>
      </c>
      <c r="DB311" s="50">
        <f t="shared" si="2248"/>
        <v>0.49200846653182939</v>
      </c>
      <c r="DE311" s="138"/>
      <c r="DF311" s="84">
        <v>0</v>
      </c>
      <c r="DG311" s="84">
        <v>0.33694233171578697</v>
      </c>
    </row>
    <row r="312" spans="1:111" s="84" customFormat="1" x14ac:dyDescent="0.2">
      <c r="A312" s="84" t="s">
        <v>513</v>
      </c>
      <c r="E312" s="181" t="e">
        <f t="shared" ref="E312:AE312" si="2249">+E95</f>
        <v>#DIV/0!</v>
      </c>
      <c r="F312" s="181" t="e">
        <f t="shared" si="2249"/>
        <v>#DIV/0!</v>
      </c>
      <c r="G312" s="181" t="e">
        <f t="shared" si="2249"/>
        <v>#DIV/0!</v>
      </c>
      <c r="H312" s="181" t="e">
        <f t="shared" si="2249"/>
        <v>#DIV/0!</v>
      </c>
      <c r="I312" s="181" t="e">
        <f t="shared" si="2249"/>
        <v>#DIV/0!</v>
      </c>
      <c r="J312" s="181" t="e">
        <f t="shared" si="2249"/>
        <v>#DIV/0!</v>
      </c>
      <c r="K312" s="181" t="e">
        <f t="shared" si="2249"/>
        <v>#DIV/0!</v>
      </c>
      <c r="L312" s="181" t="e">
        <f t="shared" si="2249"/>
        <v>#DIV/0!</v>
      </c>
      <c r="M312" s="181" t="e">
        <f t="shared" si="2249"/>
        <v>#DIV/0!</v>
      </c>
      <c r="N312" s="181" t="e">
        <f t="shared" si="2249"/>
        <v>#DIV/0!</v>
      </c>
      <c r="O312" s="181" t="e">
        <f t="shared" si="2249"/>
        <v>#DIV/0!</v>
      </c>
      <c r="P312" s="181">
        <f t="shared" si="2249"/>
        <v>-4.9874390424117017E-2</v>
      </c>
      <c r="Q312" s="181">
        <f t="shared" si="2249"/>
        <v>0.16747306566651968</v>
      </c>
      <c r="R312" s="181">
        <f t="shared" si="2249"/>
        <v>0.14480945575179696</v>
      </c>
      <c r="S312" s="181">
        <f t="shared" si="2249"/>
        <v>0.28975682472721381</v>
      </c>
      <c r="T312" s="181">
        <f t="shared" si="2249"/>
        <v>7.6545592673962534E-2</v>
      </c>
      <c r="U312" s="181">
        <f t="shared" si="2249"/>
        <v>6.1886166384605396E-2</v>
      </c>
      <c r="V312" s="181">
        <f t="shared" si="2249"/>
        <v>0.12991407700529808</v>
      </c>
      <c r="W312" s="181">
        <f t="shared" si="2249"/>
        <v>0.1097710685834891</v>
      </c>
      <c r="X312" s="181">
        <f t="shared" si="2249"/>
        <v>9.6338446909285613E-2</v>
      </c>
      <c r="Y312" s="181">
        <f t="shared" si="2249"/>
        <v>7.1992779105167853E-2</v>
      </c>
      <c r="Z312" s="181">
        <f t="shared" si="2249"/>
        <v>0.10214586640602619</v>
      </c>
      <c r="AA312" s="181">
        <f t="shared" ref="AA312" si="2250">+AA95</f>
        <v>8.673145563492575E-2</v>
      </c>
      <c r="AB312" s="182">
        <f t="shared" si="2249"/>
        <v>0.11474811578554178</v>
      </c>
      <c r="AC312" s="182">
        <f t="shared" si="2249"/>
        <v>0.10347409604280809</v>
      </c>
      <c r="AD312" s="182">
        <f t="shared" si="2249"/>
        <v>0.11508684286359919</v>
      </c>
      <c r="AE312" s="182">
        <f t="shared" si="2249"/>
        <v>0.1120934642235199</v>
      </c>
      <c r="AL312" s="181" t="e">
        <f t="shared" ref="AL312:BQ312" si="2251">+AL95</f>
        <v>#DIV/0!</v>
      </c>
      <c r="AM312" s="181" t="e">
        <f t="shared" si="2251"/>
        <v>#DIV/0!</v>
      </c>
      <c r="AN312" s="181" t="e">
        <f t="shared" si="2251"/>
        <v>#DIV/0!</v>
      </c>
      <c r="AO312" s="181" t="e">
        <f t="shared" si="2251"/>
        <v>#DIV/0!</v>
      </c>
      <c r="AP312" s="181" t="e">
        <f t="shared" si="2251"/>
        <v>#DIV/0!</v>
      </c>
      <c r="AQ312" s="181" t="e">
        <f t="shared" si="2251"/>
        <v>#DIV/0!</v>
      </c>
      <c r="AR312" s="181" t="e">
        <f t="shared" si="2251"/>
        <v>#DIV/0!</v>
      </c>
      <c r="AS312" s="181">
        <f t="shared" si="2251"/>
        <v>0.53886462882096076</v>
      </c>
      <c r="AT312" s="181">
        <f t="shared" si="2251"/>
        <v>-0.10429447852760736</v>
      </c>
      <c r="AU312" s="181">
        <f t="shared" si="2251"/>
        <v>6.5983125066752094E-2</v>
      </c>
      <c r="AV312" s="181">
        <f t="shared" si="2251"/>
        <v>0.28746632638593506</v>
      </c>
      <c r="AW312" s="181">
        <f t="shared" si="2251"/>
        <v>0.14203228869895526</v>
      </c>
      <c r="AX312" s="181">
        <f t="shared" si="2251"/>
        <v>0.15683570488309406</v>
      </c>
      <c r="AY312" s="181">
        <f t="shared" si="2251"/>
        <v>0.1941583202797425</v>
      </c>
      <c r="AZ312" s="181">
        <f t="shared" si="2251"/>
        <v>0.14580342756701339</v>
      </c>
      <c r="BA312" s="181">
        <f t="shared" si="2251"/>
        <v>0.13614547050272893</v>
      </c>
      <c r="BB312" s="181">
        <f t="shared" si="2251"/>
        <v>0.11370444034410872</v>
      </c>
      <c r="BC312" s="181">
        <f t="shared" si="2251"/>
        <v>0.13821325269524062</v>
      </c>
      <c r="BD312" s="181">
        <f t="shared" si="2251"/>
        <v>8.9507167015622516E-2</v>
      </c>
      <c r="BE312" s="181">
        <f t="shared" si="2251"/>
        <v>0.47270603824860469</v>
      </c>
      <c r="BF312" s="181">
        <f t="shared" si="2251"/>
        <v>0.18553226164901107</v>
      </c>
      <c r="BG312" s="181">
        <f t="shared" si="2251"/>
        <v>0.27282100853874663</v>
      </c>
      <c r="BH312" s="181">
        <f t="shared" si="2251"/>
        <v>3.9704122702055832E-2</v>
      </c>
      <c r="BI312" s="181">
        <f t="shared" si="2251"/>
        <v>5.3123348097920235E-2</v>
      </c>
      <c r="BJ312" s="181">
        <f t="shared" si="2251"/>
        <v>5.5547698738195143E-2</v>
      </c>
      <c r="BK312" s="181">
        <f t="shared" si="2251"/>
        <v>6.4546828640205917E-2</v>
      </c>
      <c r="BL312" s="181">
        <f t="shared" si="2251"/>
        <v>7.7650960129559798E-2</v>
      </c>
      <c r="BM312" s="181">
        <f t="shared" si="2251"/>
        <v>6.2444194821279365E-2</v>
      </c>
      <c r="BN312" s="181">
        <f t="shared" si="2251"/>
        <v>1.4120039159575537E-3</v>
      </c>
      <c r="BO312" s="181">
        <f t="shared" si="2251"/>
        <v>0.13608364568303422</v>
      </c>
      <c r="BP312" s="181">
        <f t="shared" si="2251"/>
        <v>8.8317819858175745E-2</v>
      </c>
      <c r="BQ312" s="181">
        <f t="shared" si="2251"/>
        <v>0.16960978352111267</v>
      </c>
      <c r="BR312" s="181">
        <f t="shared" ref="BR312:DB312" si="2252">+BR95</f>
        <v>8.5024994406974252E-2</v>
      </c>
      <c r="BS312" s="181">
        <f t="shared" si="2252"/>
        <v>0.15644691039527861</v>
      </c>
      <c r="BT312" s="181">
        <f t="shared" si="2252"/>
        <v>0.11739801057668094</v>
      </c>
      <c r="BU312" s="181">
        <f t="shared" si="2252"/>
        <v>9.7451660541951327E-2</v>
      </c>
      <c r="BV312" s="181">
        <f t="shared" si="2252"/>
        <v>8.0555210052677018E-2</v>
      </c>
      <c r="BW312" s="181">
        <f t="shared" si="2252"/>
        <v>5.3504604263253965E-2</v>
      </c>
      <c r="BX312" s="181">
        <f t="shared" si="2252"/>
        <v>5.9898876819171665E-2</v>
      </c>
      <c r="BY312" s="181">
        <f t="shared" si="2252"/>
        <v>0.13462567221330626</v>
      </c>
      <c r="BZ312" s="181">
        <f t="shared" si="2252"/>
        <v>0.12982553325828103</v>
      </c>
      <c r="CA312" s="181">
        <f t="shared" si="2252"/>
        <v>4.9845656689165345E-2</v>
      </c>
      <c r="CB312" s="181">
        <f t="shared" si="2252"/>
        <v>7.7566707586278233E-2</v>
      </c>
      <c r="CC312" s="181">
        <f t="shared" si="2252"/>
        <v>7.6373136258336444E-2</v>
      </c>
      <c r="CD312" s="181">
        <f t="shared" si="2252"/>
        <v>8.1447252408723497E-2</v>
      </c>
      <c r="CE312" s="181">
        <f t="shared" si="2252"/>
        <v>5.889133688447639E-2</v>
      </c>
      <c r="CF312" s="181">
        <f t="shared" si="2252"/>
        <v>0.12503032165208536</v>
      </c>
      <c r="CG312" s="181">
        <f t="shared" si="2252"/>
        <v>0.10727480421113292</v>
      </c>
      <c r="CH312" s="181">
        <f t="shared" si="2252"/>
        <v>0.10769964452560019</v>
      </c>
      <c r="CI312" s="181">
        <f t="shared" si="2252"/>
        <v>7.9323623608357444E-2</v>
      </c>
      <c r="CJ312" s="181">
        <f t="shared" si="2252"/>
        <v>8.4633776188895102E-2</v>
      </c>
      <c r="CK312" s="181">
        <f t="shared" si="2252"/>
        <v>8.542494780560661E-2</v>
      </c>
      <c r="CL312" s="181">
        <f t="shared" si="2252"/>
        <v>8.9891942654236751E-2</v>
      </c>
      <c r="CM312" s="182">
        <f t="shared" si="2252"/>
        <v>0.13140998222916969</v>
      </c>
      <c r="CN312" s="182">
        <f t="shared" si="2252"/>
        <v>0.1182092564128899</v>
      </c>
      <c r="CO312" s="182">
        <f t="shared" si="2252"/>
        <v>0.10937629076886117</v>
      </c>
      <c r="CP312" s="182">
        <f t="shared" si="2252"/>
        <v>0.10145539305199666</v>
      </c>
      <c r="CQ312" s="182">
        <f t="shared" si="2252"/>
        <v>0.10926250067929967</v>
      </c>
      <c r="CR312" s="182">
        <f t="shared" si="2252"/>
        <v>0.10241577468249707</v>
      </c>
      <c r="CS312" s="182">
        <f t="shared" si="2252"/>
        <v>0.10044120195851176</v>
      </c>
      <c r="CT312" s="182">
        <f t="shared" si="2252"/>
        <v>0.10207731191431102</v>
      </c>
      <c r="CU312" s="182">
        <f t="shared" si="2252"/>
        <v>0.11172927220435039</v>
      </c>
      <c r="CV312" s="182">
        <f t="shared" si="2252"/>
        <v>0.10938747812380825</v>
      </c>
      <c r="CW312" s="182">
        <f t="shared" si="2252"/>
        <v>0.1213143680457044</v>
      </c>
      <c r="CX312" s="182">
        <f t="shared" si="2252"/>
        <v>0.11722854441049456</v>
      </c>
      <c r="CY312" s="182">
        <f t="shared" si="2252"/>
        <v>0.11389214849853528</v>
      </c>
      <c r="CZ312" s="182">
        <f t="shared" si="2252"/>
        <v>0.1102589726047471</v>
      </c>
      <c r="DA312" s="182">
        <f t="shared" si="2252"/>
        <v>0.11108119987248569</v>
      </c>
      <c r="DB312" s="182">
        <f t="shared" si="2252"/>
        <v>0.1130924250448615</v>
      </c>
      <c r="DE312" s="138"/>
      <c r="DF312" s="84" t="e">
        <v>#DIV/0!</v>
      </c>
      <c r="DG312" s="84">
        <v>7.6451541768706971E-2</v>
      </c>
    </row>
    <row r="313" spans="1:111" s="84" customFormat="1" x14ac:dyDescent="0.2">
      <c r="A313" s="84" t="s">
        <v>514</v>
      </c>
      <c r="E313" s="84" t="e">
        <f t="shared" ref="E313:AE313" si="2253">(E228+E211+E191+E193)/E173</f>
        <v>#DIV/0!</v>
      </c>
      <c r="F313" s="84" t="e">
        <f t="shared" si="2253"/>
        <v>#DIV/0!</v>
      </c>
      <c r="G313" s="84" t="e">
        <f t="shared" si="2253"/>
        <v>#DIV/0!</v>
      </c>
      <c r="H313" s="84" t="e">
        <f t="shared" si="2253"/>
        <v>#DIV/0!</v>
      </c>
      <c r="I313" s="84" t="e">
        <f t="shared" si="2253"/>
        <v>#DIV/0!</v>
      </c>
      <c r="J313" s="84" t="e">
        <f t="shared" si="2253"/>
        <v>#DIV/0!</v>
      </c>
      <c r="K313" s="84" t="e">
        <f t="shared" si="2253"/>
        <v>#DIV/0!</v>
      </c>
      <c r="L313" s="84" t="e">
        <f t="shared" si="2253"/>
        <v>#DIV/0!</v>
      </c>
      <c r="M313" s="84" t="e">
        <f t="shared" si="2253"/>
        <v>#DIV/0!</v>
      </c>
      <c r="N313" s="84" t="e">
        <f t="shared" si="2253"/>
        <v>#DIV/0!</v>
      </c>
      <c r="O313" s="84">
        <f t="shared" si="2253"/>
        <v>1.0571472669571707</v>
      </c>
      <c r="P313" s="84">
        <f t="shared" si="2253"/>
        <v>10.595550426955919</v>
      </c>
      <c r="Q313" s="84">
        <f t="shared" si="2253"/>
        <v>4.397052934153252</v>
      </c>
      <c r="R313" s="84">
        <f t="shared" si="2253"/>
        <v>4.4433011033317156</v>
      </c>
      <c r="S313" s="84">
        <f t="shared" si="2253"/>
        <v>4.2493904264875724</v>
      </c>
      <c r="T313" s="84">
        <f t="shared" si="2253"/>
        <v>7.0247063011747946</v>
      </c>
      <c r="U313" s="84">
        <f t="shared" si="2253"/>
        <v>7.6081781153128452</v>
      </c>
      <c r="V313" s="84">
        <f t="shared" si="2253"/>
        <v>7.0995996439820139</v>
      </c>
      <c r="W313" s="84">
        <f t="shared" si="2253"/>
        <v>6.9218219761213442</v>
      </c>
      <c r="X313" s="84">
        <f t="shared" si="2253"/>
        <v>4.5902604183955118</v>
      </c>
      <c r="Y313" s="84">
        <f t="shared" si="2253"/>
        <v>4.6306331106549443</v>
      </c>
      <c r="Z313" s="84">
        <f t="shared" si="2253"/>
        <v>3.348811865036569</v>
      </c>
      <c r="AA313" s="84">
        <f t="shared" ref="AA313" si="2254">(AA228+AA211+AA191+AA193)/AA173</f>
        <v>3.6478853243373131</v>
      </c>
      <c r="AB313" s="50">
        <f t="shared" si="2253"/>
        <v>3.0321923151905024</v>
      </c>
      <c r="AC313" s="50">
        <f t="shared" si="2253"/>
        <v>2.8311599467409887</v>
      </c>
      <c r="AD313" s="50">
        <f t="shared" si="2253"/>
        <v>2.6151461238483669</v>
      </c>
      <c r="AE313" s="50">
        <f t="shared" si="2253"/>
        <v>2.4325125680996731</v>
      </c>
      <c r="AL313" s="84" t="e">
        <f t="shared" ref="AL313:BQ313" si="2255">(AL228+AL211+AL191+AL193)/AL173</f>
        <v>#DIV/0!</v>
      </c>
      <c r="AM313" s="84" t="e">
        <f t="shared" si="2255"/>
        <v>#DIV/0!</v>
      </c>
      <c r="AN313" s="84" t="e">
        <f t="shared" si="2255"/>
        <v>#DIV/0!</v>
      </c>
      <c r="AO313" s="84" t="e">
        <f t="shared" si="2255"/>
        <v>#DIV/0!</v>
      </c>
      <c r="AP313" s="84" t="e">
        <f t="shared" si="2255"/>
        <v>#DIV/0!</v>
      </c>
      <c r="AQ313" s="84" t="e">
        <f t="shared" si="2255"/>
        <v>#DIV/0!</v>
      </c>
      <c r="AR313" s="84" t="e">
        <f t="shared" si="2255"/>
        <v>#DIV/0!</v>
      </c>
      <c r="AS313" s="84" t="e">
        <f t="shared" si="2255"/>
        <v>#DIV/0!</v>
      </c>
      <c r="AT313" s="84">
        <f t="shared" si="2255"/>
        <v>10.609185321947841</v>
      </c>
      <c r="AU313" s="84">
        <f t="shared" si="2255"/>
        <v>10.464840338778625</v>
      </c>
      <c r="AV313" s="84">
        <f t="shared" si="2255"/>
        <v>4.593861796271888</v>
      </c>
      <c r="AW313" s="84">
        <f t="shared" si="2255"/>
        <v>4.4882411086590963</v>
      </c>
      <c r="AX313" s="84">
        <f t="shared" si="2255"/>
        <v>4.3961509239055179</v>
      </c>
      <c r="AY313" s="84">
        <f t="shared" si="2255"/>
        <v>4.2469950596121473</v>
      </c>
      <c r="AZ313" s="84">
        <f t="shared" si="2255"/>
        <v>4.2931761277637106</v>
      </c>
      <c r="BA313" s="84">
        <f t="shared" si="2255"/>
        <v>4.1819198677010911</v>
      </c>
      <c r="BB313" s="84">
        <f t="shared" si="2255"/>
        <v>4.3478464498919074</v>
      </c>
      <c r="BC313" s="84">
        <f t="shared" si="2255"/>
        <v>4.2525163800599559</v>
      </c>
      <c r="BD313" s="84">
        <f t="shared" si="2255"/>
        <v>4.3307918887508521</v>
      </c>
      <c r="BE313" s="84">
        <f t="shared" si="2255"/>
        <v>3.6111965225724307</v>
      </c>
      <c r="BF313" s="84">
        <f t="shared" si="2255"/>
        <v>2.8507369780186211</v>
      </c>
      <c r="BG313" s="84">
        <f t="shared" si="2255"/>
        <v>2.7989156919584004</v>
      </c>
      <c r="BH313" s="84">
        <f t="shared" si="2255"/>
        <v>4.5324538075169469</v>
      </c>
      <c r="BI313" s="84">
        <f t="shared" si="2255"/>
        <v>4.6381363250619829</v>
      </c>
      <c r="BJ313" s="84">
        <f t="shared" si="2255"/>
        <v>4.0481096323704948</v>
      </c>
      <c r="BK313" s="84">
        <f t="shared" si="2255"/>
        <v>3.9877108929274936</v>
      </c>
      <c r="BL313" s="84">
        <f t="shared" si="2255"/>
        <v>3.6210909012449561</v>
      </c>
      <c r="BM313" s="84">
        <f t="shared" si="2255"/>
        <v>3.5727162588583292</v>
      </c>
      <c r="BN313" s="84">
        <f t="shared" si="2255"/>
        <v>4.6724763971121179</v>
      </c>
      <c r="BO313" s="84">
        <f t="shared" si="2255"/>
        <v>4.4680837646896059</v>
      </c>
      <c r="BP313" s="84">
        <f t="shared" si="2255"/>
        <v>4.7414288014215265</v>
      </c>
      <c r="BQ313" s="84">
        <f t="shared" si="2255"/>
        <v>4.6062907360927055</v>
      </c>
      <c r="BR313" s="84">
        <f t="shared" ref="BR313:DB313" si="2256">(BR228+BR211+BR191+BR193)/BR173</f>
        <v>4.8472051555730946</v>
      </c>
      <c r="BS313" s="84">
        <f t="shared" si="2256"/>
        <v>4.673148086928852</v>
      </c>
      <c r="BT313" s="84">
        <f t="shared" si="2256"/>
        <v>4.6969721780315794</v>
      </c>
      <c r="BU313" s="84">
        <f t="shared" si="2256"/>
        <v>4.6134646833198261</v>
      </c>
      <c r="BV313" s="84">
        <f t="shared" si="2256"/>
        <v>4.7881541276851598</v>
      </c>
      <c r="BW313" s="84">
        <f t="shared" si="2256"/>
        <v>4.7267988198912887</v>
      </c>
      <c r="BX313" s="84">
        <f t="shared" si="2256"/>
        <v>4.8482722697198017</v>
      </c>
      <c r="BY313" s="84">
        <f t="shared" si="2256"/>
        <v>4.6954208837446378</v>
      </c>
      <c r="BZ313" s="84">
        <f t="shared" si="2256"/>
        <v>4.5902604183955118</v>
      </c>
      <c r="CA313" s="84">
        <f t="shared" si="2256"/>
        <v>4.5513233187771993</v>
      </c>
      <c r="CB313" s="84">
        <f t="shared" si="2256"/>
        <v>4.6807239143554051</v>
      </c>
      <c r="CC313" s="84">
        <f t="shared" si="2256"/>
        <v>4.6157398034570347</v>
      </c>
      <c r="CD313" s="84">
        <f t="shared" si="2256"/>
        <v>4.6306331106549443</v>
      </c>
      <c r="CE313" s="84">
        <f t="shared" si="2256"/>
        <v>4.9020651562775726</v>
      </c>
      <c r="CF313" s="84">
        <f t="shared" si="2256"/>
        <v>3.2909819387168691</v>
      </c>
      <c r="CG313" s="84">
        <f t="shared" si="2256"/>
        <v>3.2269430310565652</v>
      </c>
      <c r="CH313" s="84">
        <f t="shared" si="2256"/>
        <v>2.6272133658386276</v>
      </c>
      <c r="CI313" s="84">
        <f t="shared" si="2256"/>
        <v>2.6094243067940575</v>
      </c>
      <c r="CJ313" s="84">
        <f t="shared" si="2256"/>
        <v>3.5318115124853375</v>
      </c>
      <c r="CK313" s="84">
        <f t="shared" si="2256"/>
        <v>3.482614709160909</v>
      </c>
      <c r="CL313" s="84">
        <f t="shared" si="2256"/>
        <v>3.6478853243373131</v>
      </c>
      <c r="CM313" s="50">
        <f t="shared" si="2256"/>
        <v>3.3147238488845887</v>
      </c>
      <c r="CN313" s="50">
        <f t="shared" si="2256"/>
        <v>3.2020611559891088</v>
      </c>
      <c r="CO313" s="50">
        <f t="shared" si="2256"/>
        <v>3.1154771014782683</v>
      </c>
      <c r="CP313" s="50">
        <f t="shared" si="2256"/>
        <v>3.0321923151905024</v>
      </c>
      <c r="CQ313" s="50">
        <f t="shared" si="2256"/>
        <v>2.9838051399590539</v>
      </c>
      <c r="CR313" s="50">
        <f t="shared" si="2256"/>
        <v>2.9239906851352675</v>
      </c>
      <c r="CS313" s="50">
        <f t="shared" si="2256"/>
        <v>2.8763567072528056</v>
      </c>
      <c r="CT313" s="50">
        <f t="shared" si="2256"/>
        <v>2.8311599467409887</v>
      </c>
      <c r="CU313" s="50">
        <f t="shared" si="2256"/>
        <v>2.7781895502742309</v>
      </c>
      <c r="CV313" s="50">
        <f t="shared" si="2256"/>
        <v>2.7178556411850905</v>
      </c>
      <c r="CW313" s="50">
        <f t="shared" si="2256"/>
        <v>2.6699947645311259</v>
      </c>
      <c r="CX313" s="50">
        <f t="shared" si="2256"/>
        <v>2.6151461238483669</v>
      </c>
      <c r="CY313" s="50">
        <f t="shared" si="2256"/>
        <v>2.5668821928571726</v>
      </c>
      <c r="CZ313" s="50">
        <f t="shared" si="2256"/>
        <v>2.5147708752836961</v>
      </c>
      <c r="DA313" s="50">
        <f t="shared" si="2256"/>
        <v>2.4728412323528879</v>
      </c>
      <c r="DB313" s="50">
        <f t="shared" si="2256"/>
        <v>2.4325125680996731</v>
      </c>
      <c r="DE313" s="138"/>
      <c r="DF313" s="84" t="e">
        <v>#DIV/0!</v>
      </c>
      <c r="DG313" s="84">
        <v>3.327440296505694</v>
      </c>
    </row>
    <row r="314" spans="1:111" s="84" customFormat="1" x14ac:dyDescent="0.2">
      <c r="A314" s="154" t="s">
        <v>498</v>
      </c>
      <c r="AB314" s="50"/>
      <c r="AC314" s="50"/>
      <c r="AD314" s="50"/>
      <c r="AE314" s="50"/>
      <c r="CM314" s="50"/>
      <c r="CN314" s="50"/>
      <c r="CO314" s="50"/>
      <c r="CP314" s="50"/>
      <c r="CQ314" s="50"/>
      <c r="CR314" s="50"/>
      <c r="CS314" s="50"/>
      <c r="CT314" s="50"/>
      <c r="CU314" s="50"/>
      <c r="CV314" s="50"/>
      <c r="CW314" s="50"/>
      <c r="CX314" s="50"/>
      <c r="CY314" s="50"/>
      <c r="CZ314" s="50"/>
      <c r="DA314" s="50"/>
      <c r="DB314" s="50"/>
      <c r="DE314" s="138"/>
    </row>
    <row r="315" spans="1:111" s="88" customFormat="1" x14ac:dyDescent="0.2">
      <c r="A315" s="88" t="s">
        <v>102</v>
      </c>
      <c r="B315" s="88" t="e">
        <f>B228/B173</f>
        <v>#DIV/0!</v>
      </c>
      <c r="C315" s="88" t="e">
        <f>C228/C173</f>
        <v>#DIV/0!</v>
      </c>
      <c r="D315" s="88" t="e">
        <f>D228/D173</f>
        <v>#DIV/0!</v>
      </c>
      <c r="F315" s="88" t="e">
        <f t="shared" ref="F315:AE315" si="2257">F228/F173</f>
        <v>#DIV/0!</v>
      </c>
      <c r="G315" s="88" t="e">
        <f t="shared" si="2257"/>
        <v>#DIV/0!</v>
      </c>
      <c r="H315" s="88" t="e">
        <f t="shared" si="2257"/>
        <v>#DIV/0!</v>
      </c>
      <c r="I315" s="88" t="e">
        <f t="shared" si="2257"/>
        <v>#DIV/0!</v>
      </c>
      <c r="J315" s="88" t="e">
        <f t="shared" si="2257"/>
        <v>#DIV/0!</v>
      </c>
      <c r="K315" s="88" t="e">
        <f t="shared" si="2257"/>
        <v>#DIV/0!</v>
      </c>
      <c r="L315" s="88" t="e">
        <f t="shared" si="2257"/>
        <v>#DIV/0!</v>
      </c>
      <c r="M315" s="88" t="e">
        <f t="shared" si="2257"/>
        <v>#DIV/0!</v>
      </c>
      <c r="N315" s="88" t="e">
        <f t="shared" si="2257"/>
        <v>#DIV/0!</v>
      </c>
      <c r="O315" s="88">
        <f t="shared" si="2257"/>
        <v>1.0571472669571707</v>
      </c>
      <c r="P315" s="88">
        <f t="shared" si="2257"/>
        <v>1.3930302330948535E-2</v>
      </c>
      <c r="Q315" s="88">
        <f t="shared" si="2257"/>
        <v>6.4076412619160791E-2</v>
      </c>
      <c r="R315" s="88">
        <f t="shared" si="2257"/>
        <v>0.16907345250175632</v>
      </c>
      <c r="S315" s="88">
        <f t="shared" si="2257"/>
        <v>0.15815402603698792</v>
      </c>
      <c r="T315" s="88">
        <f t="shared" si="2257"/>
        <v>0.19772376668069083</v>
      </c>
      <c r="U315" s="88">
        <f t="shared" si="2257"/>
        <v>0.49998658885648939</v>
      </c>
      <c r="V315" s="88">
        <f t="shared" si="2257"/>
        <v>0.38412665569710885</v>
      </c>
      <c r="W315" s="88">
        <f t="shared" si="2257"/>
        <v>0.41134170510575058</v>
      </c>
      <c r="X315" s="88">
        <f t="shared" si="2257"/>
        <v>0.32868534543291145</v>
      </c>
      <c r="Y315" s="88">
        <f t="shared" si="2257"/>
        <v>0.33963319371437839</v>
      </c>
      <c r="Z315" s="88">
        <f t="shared" si="2257"/>
        <v>0.36622651598227318</v>
      </c>
      <c r="AA315" s="88">
        <f t="shared" ref="AA315" si="2258">AA228/AA173</f>
        <v>0.32866923029125117</v>
      </c>
      <c r="AB315" s="42">
        <f t="shared" si="2257"/>
        <v>-1.0263904803411139</v>
      </c>
      <c r="AC315" s="42">
        <f t="shared" si="2257"/>
        <v>-1.3981508975621735</v>
      </c>
      <c r="AD315" s="42">
        <f t="shared" si="2257"/>
        <v>-1.4867362471862171</v>
      </c>
      <c r="AE315" s="42">
        <f t="shared" si="2257"/>
        <v>-1.5533290711769303</v>
      </c>
      <c r="AL315" s="88" t="e">
        <f t="shared" ref="AL315:BQ315" si="2259">AL228/AL173</f>
        <v>#DIV/0!</v>
      </c>
      <c r="AM315" s="88" t="e">
        <f t="shared" si="2259"/>
        <v>#DIV/0!</v>
      </c>
      <c r="AN315" s="88" t="e">
        <f t="shared" si="2259"/>
        <v>#DIV/0!</v>
      </c>
      <c r="AO315" s="88" t="e">
        <f t="shared" si="2259"/>
        <v>#DIV/0!</v>
      </c>
      <c r="AP315" s="88" t="e">
        <f t="shared" si="2259"/>
        <v>#DIV/0!</v>
      </c>
      <c r="AQ315" s="88" t="e">
        <f t="shared" si="2259"/>
        <v>#DIV/0!</v>
      </c>
      <c r="AR315" s="88" t="e">
        <f t="shared" si="2259"/>
        <v>#DIV/0!</v>
      </c>
      <c r="AS315" s="88" t="e">
        <f t="shared" si="2259"/>
        <v>#DIV/0!</v>
      </c>
      <c r="AT315" s="88">
        <f t="shared" si="2259"/>
        <v>1.3930302330948535E-2</v>
      </c>
      <c r="AU315" s="88">
        <f t="shared" si="2259"/>
        <v>-1.0074320605935221</v>
      </c>
      <c r="AV315" s="88">
        <f t="shared" si="2259"/>
        <v>5.6522592611881403E-2</v>
      </c>
      <c r="AW315" s="88">
        <f t="shared" si="2259"/>
        <v>8.8593358925419141E-2</v>
      </c>
      <c r="AX315" s="88">
        <f t="shared" si="2259"/>
        <v>6.4076412619160791E-2</v>
      </c>
      <c r="AY315" s="88">
        <f t="shared" si="2259"/>
        <v>0.1058453643406377</v>
      </c>
      <c r="AZ315" s="88">
        <f t="shared" si="2259"/>
        <v>0.10079145035576365</v>
      </c>
      <c r="BA315" s="88">
        <f t="shared" si="2259"/>
        <v>0.12442771739394225</v>
      </c>
      <c r="BB315" s="88">
        <f t="shared" si="2259"/>
        <v>0.16907345250175632</v>
      </c>
      <c r="BC315" s="88">
        <f t="shared" si="2259"/>
        <v>0.21010807880751656</v>
      </c>
      <c r="BD315" s="88">
        <f t="shared" si="2259"/>
        <v>0.15002204143790329</v>
      </c>
      <c r="BE315" s="88">
        <f t="shared" si="2259"/>
        <v>0.25842716026026941</v>
      </c>
      <c r="BF315" s="88">
        <f t="shared" si="2259"/>
        <v>0.10988047532481686</v>
      </c>
      <c r="BG315" s="88">
        <f t="shared" si="2259"/>
        <v>0.14361162365981647</v>
      </c>
      <c r="BH315" s="88">
        <f t="shared" si="2259"/>
        <v>9.3950245733454507E-2</v>
      </c>
      <c r="BI315" s="88">
        <f t="shared" si="2259"/>
        <v>0.17020420206331732</v>
      </c>
      <c r="BJ315" s="88">
        <f t="shared" si="2259"/>
        <v>0.11394177210153578</v>
      </c>
      <c r="BK315" s="88">
        <f t="shared" si="2259"/>
        <v>0.13905681294142899</v>
      </c>
      <c r="BL315" s="88">
        <f t="shared" si="2259"/>
        <v>0.20887867607396379</v>
      </c>
      <c r="BM315" s="88">
        <f t="shared" si="2259"/>
        <v>0.22543758295992519</v>
      </c>
      <c r="BN315" s="88">
        <f t="shared" si="2259"/>
        <v>0.30703874356391847</v>
      </c>
      <c r="BO315" s="88">
        <f t="shared" si="2259"/>
        <v>0.33146605621924902</v>
      </c>
      <c r="BP315" s="88">
        <f t="shared" si="2259"/>
        <v>0.22041655983351915</v>
      </c>
      <c r="BQ315" s="88">
        <f t="shared" si="2259"/>
        <v>0.25139768294092274</v>
      </c>
      <c r="BR315" s="88">
        <f t="shared" ref="BR315:DB315" si="2260">BR228/BR173</f>
        <v>0.16421729108179134</v>
      </c>
      <c r="BS315" s="88">
        <f t="shared" si="2260"/>
        <v>0.20309407967946425</v>
      </c>
      <c r="BT315" s="88">
        <f t="shared" si="2260"/>
        <v>0.17038196261730673</v>
      </c>
      <c r="BU315" s="88">
        <f t="shared" si="2260"/>
        <v>0.19011629733403237</v>
      </c>
      <c r="BV315" s="88">
        <f t="shared" si="2260"/>
        <v>0.17040761357514814</v>
      </c>
      <c r="BW315" s="88">
        <f t="shared" si="2260"/>
        <v>0.18718736324682578</v>
      </c>
      <c r="BX315" s="88">
        <f t="shared" si="2260"/>
        <v>0.20670707800102112</v>
      </c>
      <c r="BY315" s="88">
        <f t="shared" si="2260"/>
        <v>0.2364263707209289</v>
      </c>
      <c r="BZ315" s="88">
        <f t="shared" si="2260"/>
        <v>0.2349893652062231</v>
      </c>
      <c r="CA315" s="88">
        <f t="shared" si="2260"/>
        <v>0.24783393049843805</v>
      </c>
      <c r="CB315" s="88">
        <f t="shared" si="2260"/>
        <v>0.26322920536514277</v>
      </c>
      <c r="CC315" s="88">
        <f t="shared" si="2260"/>
        <v>0.28195612783321544</v>
      </c>
      <c r="CD315" s="88">
        <f t="shared" si="2260"/>
        <v>0.21127393397170444</v>
      </c>
      <c r="CE315" s="88">
        <f t="shared" si="2260"/>
        <v>0.12628930813146796</v>
      </c>
      <c r="CF315" s="88">
        <f t="shared" si="2260"/>
        <v>0.34880358652422994</v>
      </c>
      <c r="CG315" s="88">
        <f t="shared" si="2260"/>
        <v>0.37415124505243225</v>
      </c>
      <c r="CH315" s="88">
        <f t="shared" si="2260"/>
        <v>0.26773230258924607</v>
      </c>
      <c r="CI315" s="88">
        <f t="shared" si="2260"/>
        <v>0.30410828355033614</v>
      </c>
      <c r="CJ315" s="88">
        <f t="shared" si="2260"/>
        <v>0.27067764348269724</v>
      </c>
      <c r="CK315" s="88">
        <f t="shared" si="2260"/>
        <v>0.26682963228395429</v>
      </c>
      <c r="CL315" s="88">
        <f t="shared" si="2260"/>
        <v>0.24318750457181468</v>
      </c>
      <c r="CM315" s="42">
        <f t="shared" si="2260"/>
        <v>-0.2693834028023086</v>
      </c>
      <c r="CN315" s="42">
        <f t="shared" si="2260"/>
        <v>-0.5050575592756702</v>
      </c>
      <c r="CO315" s="42">
        <f t="shared" si="2260"/>
        <v>-0.81274575889662426</v>
      </c>
      <c r="CP315" s="42">
        <f t="shared" si="2260"/>
        <v>-1.0263904803411139</v>
      </c>
      <c r="CQ315" s="42">
        <f t="shared" si="2260"/>
        <v>-1.1887257317711439</v>
      </c>
      <c r="CR315" s="42">
        <f t="shared" si="2260"/>
        <v>-1.2217290249863713</v>
      </c>
      <c r="CS315" s="42">
        <f t="shared" si="2260"/>
        <v>-1.307608785952596</v>
      </c>
      <c r="CT315" s="42">
        <f t="shared" si="2260"/>
        <v>-1.3981508975621735</v>
      </c>
      <c r="CU315" s="42">
        <f t="shared" si="2260"/>
        <v>-1.4002331838008797</v>
      </c>
      <c r="CV315" s="42">
        <f t="shared" si="2260"/>
        <v>-1.3930777479377865</v>
      </c>
      <c r="CW315" s="42">
        <f t="shared" si="2260"/>
        <v>-1.4722055167687687</v>
      </c>
      <c r="CX315" s="42">
        <f t="shared" si="2260"/>
        <v>-1.4867362471862171</v>
      </c>
      <c r="CY315" s="42">
        <f t="shared" si="2260"/>
        <v>-1.5156747483128548</v>
      </c>
      <c r="CZ315" s="42">
        <f t="shared" si="2260"/>
        <v>-1.4974834941182245</v>
      </c>
      <c r="DA315" s="42">
        <f t="shared" si="2260"/>
        <v>-1.524113332029702</v>
      </c>
      <c r="DB315" s="42">
        <f t="shared" si="2260"/>
        <v>-1.5533290711769303</v>
      </c>
      <c r="DE315" s="125"/>
      <c r="DF315" s="88" t="e">
        <v>#DIV/0!</v>
      </c>
      <c r="DG315" s="88">
        <v>2.9601069769962782E-2</v>
      </c>
    </row>
    <row r="316" spans="1:111" s="89" customFormat="1" x14ac:dyDescent="0.2">
      <c r="A316" s="89" t="s">
        <v>103</v>
      </c>
      <c r="C316" s="89" t="e">
        <f>C181/B181-1</f>
        <v>#DIV/0!</v>
      </c>
      <c r="D316" s="89" t="e">
        <f>D181/C181-1</f>
        <v>#DIV/0!</v>
      </c>
      <c r="F316" s="89" t="e">
        <f t="shared" ref="F316:AE316" si="2261">F181/E181-1</f>
        <v>#DIV/0!</v>
      </c>
      <c r="G316" s="89" t="e">
        <f t="shared" si="2261"/>
        <v>#DIV/0!</v>
      </c>
      <c r="H316" s="89" t="e">
        <f t="shared" si="2261"/>
        <v>#DIV/0!</v>
      </c>
      <c r="I316" s="89" t="e">
        <f t="shared" si="2261"/>
        <v>#DIV/0!</v>
      </c>
      <c r="J316" s="89" t="e">
        <f t="shared" si="2261"/>
        <v>#DIV/0!</v>
      </c>
      <c r="K316" s="89" t="e">
        <f t="shared" si="2261"/>
        <v>#DIV/0!</v>
      </c>
      <c r="L316" s="89" t="e">
        <f t="shared" si="2261"/>
        <v>#DIV/0!</v>
      </c>
      <c r="M316" s="89" t="e">
        <f t="shared" si="2261"/>
        <v>#DIV/0!</v>
      </c>
      <c r="N316" s="89" t="e">
        <f t="shared" si="2261"/>
        <v>#DIV/0!</v>
      </c>
      <c r="O316" s="89" t="e">
        <f t="shared" si="2261"/>
        <v>#DIV/0!</v>
      </c>
      <c r="P316" s="89" t="e">
        <f t="shared" si="2261"/>
        <v>#DIV/0!</v>
      </c>
      <c r="Q316" s="89">
        <f t="shared" si="2261"/>
        <v>-0.11506308497917783</v>
      </c>
      <c r="R316" s="89">
        <f t="shared" si="2261"/>
        <v>4.5412029190618375E-2</v>
      </c>
      <c r="S316" s="89">
        <f t="shared" si="2261"/>
        <v>0.36793647999233392</v>
      </c>
      <c r="T316" s="89">
        <f t="shared" si="2261"/>
        <v>0.91782011359480409</v>
      </c>
      <c r="U316" s="89">
        <f t="shared" si="2261"/>
        <v>0.16904339006719904</v>
      </c>
      <c r="V316" s="89">
        <f t="shared" si="2261"/>
        <v>8.2307635017429659E-2</v>
      </c>
      <c r="W316" s="89">
        <f t="shared" si="2261"/>
        <v>0.10337293408542503</v>
      </c>
      <c r="X316" s="89">
        <f t="shared" si="2261"/>
        <v>4.0419857116910984E-2</v>
      </c>
      <c r="Y316" s="89">
        <f t="shared" si="2261"/>
        <v>8.2167406847717617E-2</v>
      </c>
      <c r="Z316" s="89">
        <f t="shared" si="2261"/>
        <v>8.6390370740852207E-2</v>
      </c>
      <c r="AA316" s="89">
        <f t="shared" si="2261"/>
        <v>0.27628383567858372</v>
      </c>
      <c r="AB316" s="47">
        <f t="shared" si="2261"/>
        <v>-4.7080768993168931E-2</v>
      </c>
      <c r="AC316" s="47">
        <f t="shared" si="2261"/>
        <v>0</v>
      </c>
      <c r="AD316" s="47">
        <f t="shared" si="2261"/>
        <v>0</v>
      </c>
      <c r="AE316" s="47">
        <f t="shared" si="2261"/>
        <v>0</v>
      </c>
      <c r="AL316" s="89" t="e">
        <f t="shared" ref="AL316:BQ316" si="2262">AL181/AK181-1</f>
        <v>#DIV/0!</v>
      </c>
      <c r="AM316" s="89" t="e">
        <f t="shared" si="2262"/>
        <v>#DIV/0!</v>
      </c>
      <c r="AN316" s="89" t="e">
        <f t="shared" si="2262"/>
        <v>#DIV/0!</v>
      </c>
      <c r="AO316" s="89" t="e">
        <f t="shared" si="2262"/>
        <v>#DIV/0!</v>
      </c>
      <c r="AP316" s="89" t="e">
        <f t="shared" si="2262"/>
        <v>#DIV/0!</v>
      </c>
      <c r="AQ316" s="89" t="e">
        <f t="shared" si="2262"/>
        <v>#DIV/0!</v>
      </c>
      <c r="AR316" s="89" t="e">
        <f t="shared" si="2262"/>
        <v>#DIV/0!</v>
      </c>
      <c r="AS316" s="89" t="e">
        <f t="shared" si="2262"/>
        <v>#DIV/0!</v>
      </c>
      <c r="AT316" s="89" t="e">
        <f t="shared" si="2262"/>
        <v>#DIV/0!</v>
      </c>
      <c r="AU316" s="89">
        <f t="shared" si="2262"/>
        <v>0</v>
      </c>
      <c r="AV316" s="89">
        <f t="shared" si="2262"/>
        <v>-0.12588997018354053</v>
      </c>
      <c r="AW316" s="89">
        <f t="shared" si="2262"/>
        <v>0</v>
      </c>
      <c r="AX316" s="89">
        <f t="shared" si="2262"/>
        <v>2.0773680414213569E-2</v>
      </c>
      <c r="AY316" s="89">
        <f t="shared" si="2262"/>
        <v>0</v>
      </c>
      <c r="AZ316" s="89">
        <f t="shared" si="2262"/>
        <v>0.10897949415558239</v>
      </c>
      <c r="BA316" s="89">
        <f t="shared" si="2262"/>
        <v>0</v>
      </c>
      <c r="BB316" s="89">
        <f t="shared" si="2262"/>
        <v>-1.6361119030122273E-2</v>
      </c>
      <c r="BC316" s="89">
        <f t="shared" si="2262"/>
        <v>0</v>
      </c>
      <c r="BD316" s="89">
        <f t="shared" si="2262"/>
        <v>-3.5135952777944679E-2</v>
      </c>
      <c r="BE316" s="89">
        <f t="shared" si="2262"/>
        <v>0</v>
      </c>
      <c r="BF316" s="89">
        <f t="shared" si="2262"/>
        <v>0.14948893439140631</v>
      </c>
      <c r="BG316" s="89">
        <f t="shared" si="2262"/>
        <v>0</v>
      </c>
      <c r="BH316" s="89">
        <f t="shared" si="2262"/>
        <v>0.91440895097556441</v>
      </c>
      <c r="BI316" s="89">
        <f t="shared" si="2262"/>
        <v>0</v>
      </c>
      <c r="BJ316" s="89">
        <f t="shared" si="2262"/>
        <v>-2.4548761984522716E-2</v>
      </c>
      <c r="BK316" s="89">
        <f t="shared" si="2262"/>
        <v>0</v>
      </c>
      <c r="BL316" s="89">
        <f t="shared" si="2262"/>
        <v>-8.1095440736939084E-3</v>
      </c>
      <c r="BM316" s="89">
        <f t="shared" si="2262"/>
        <v>0</v>
      </c>
      <c r="BN316" s="89">
        <f t="shared" si="2262"/>
        <v>0.32229168762713289</v>
      </c>
      <c r="BO316" s="89">
        <f t="shared" si="2262"/>
        <v>0</v>
      </c>
      <c r="BP316" s="89">
        <f t="shared" si="2262"/>
        <v>1.9464869124769413E-2</v>
      </c>
      <c r="BQ316" s="89">
        <f t="shared" si="2262"/>
        <v>0</v>
      </c>
      <c r="BR316" s="89">
        <f t="shared" ref="BR316:DB316" si="2263">BR181/BQ181-1</f>
        <v>0.12415264237150891</v>
      </c>
      <c r="BS316" s="89">
        <f t="shared" si="2263"/>
        <v>0</v>
      </c>
      <c r="BT316" s="89">
        <f t="shared" si="2263"/>
        <v>6.6423030616839407E-2</v>
      </c>
      <c r="BU316" s="89">
        <f t="shared" si="2263"/>
        <v>0</v>
      </c>
      <c r="BV316" s="89">
        <f t="shared" si="2263"/>
        <v>3.6963585944676414E-2</v>
      </c>
      <c r="BW316" s="89">
        <f t="shared" si="2263"/>
        <v>0</v>
      </c>
      <c r="BX316" s="89">
        <f t="shared" si="2263"/>
        <v>0.12426168673179361</v>
      </c>
      <c r="BY316" s="89">
        <f t="shared" si="2263"/>
        <v>0</v>
      </c>
      <c r="BZ316" s="89">
        <f t="shared" si="2263"/>
        <v>2.0270356948619783E-2</v>
      </c>
      <c r="CA316" s="89">
        <f t="shared" si="2263"/>
        <v>0</v>
      </c>
      <c r="CB316" s="89">
        <f t="shared" si="2263"/>
        <v>5.1586252633130547E-2</v>
      </c>
      <c r="CC316" s="89">
        <f t="shared" si="2263"/>
        <v>0</v>
      </c>
      <c r="CD316" s="89">
        <f t="shared" si="2263"/>
        <v>2.9080975657501451E-2</v>
      </c>
      <c r="CE316" s="89">
        <f t="shared" si="2263"/>
        <v>0</v>
      </c>
      <c r="CF316" s="89">
        <f t="shared" si="2263"/>
        <v>5.2473636725466122E-2</v>
      </c>
      <c r="CG316" s="89">
        <f t="shared" si="2263"/>
        <v>0</v>
      </c>
      <c r="CH316" s="89">
        <f t="shared" si="2263"/>
        <v>3.22257326282398E-2</v>
      </c>
      <c r="CI316" s="89">
        <f t="shared" si="2263"/>
        <v>0</v>
      </c>
      <c r="CJ316" s="89">
        <f t="shared" si="2263"/>
        <v>0.12852707849161127</v>
      </c>
      <c r="CK316" s="89">
        <f t="shared" si="2263"/>
        <v>0</v>
      </c>
      <c r="CL316" s="89">
        <f t="shared" si="2263"/>
        <v>7.7683853954883419E-2</v>
      </c>
      <c r="CM316" s="47">
        <f t="shared" si="2263"/>
        <v>0</v>
      </c>
      <c r="CN316" s="47">
        <f t="shared" si="2263"/>
        <v>0</v>
      </c>
      <c r="CO316" s="47">
        <f t="shared" si="2263"/>
        <v>0</v>
      </c>
      <c r="CP316" s="47">
        <f t="shared" si="2263"/>
        <v>0</v>
      </c>
      <c r="CQ316" s="47">
        <f t="shared" si="2263"/>
        <v>0</v>
      </c>
      <c r="CR316" s="47">
        <f t="shared" si="2263"/>
        <v>0</v>
      </c>
      <c r="CS316" s="47">
        <f t="shared" si="2263"/>
        <v>0</v>
      </c>
      <c r="CT316" s="47">
        <f t="shared" si="2263"/>
        <v>0</v>
      </c>
      <c r="CU316" s="47">
        <f t="shared" si="2263"/>
        <v>0</v>
      </c>
      <c r="CV316" s="47">
        <f t="shared" si="2263"/>
        <v>0</v>
      </c>
      <c r="CW316" s="47">
        <f t="shared" si="2263"/>
        <v>0</v>
      </c>
      <c r="CX316" s="47">
        <f t="shared" si="2263"/>
        <v>0</v>
      </c>
      <c r="CY316" s="47">
        <f t="shared" si="2263"/>
        <v>0</v>
      </c>
      <c r="CZ316" s="47">
        <f t="shared" si="2263"/>
        <v>0</v>
      </c>
      <c r="DA316" s="47">
        <f t="shared" si="2263"/>
        <v>0</v>
      </c>
      <c r="DB316" s="47">
        <f t="shared" si="2263"/>
        <v>0</v>
      </c>
      <c r="DE316" s="130"/>
      <c r="DF316" s="89" t="e">
        <v>#DIV/0!</v>
      </c>
      <c r="DG316" s="89">
        <v>0</v>
      </c>
    </row>
    <row r="317" spans="1:111" s="89" customFormat="1" x14ac:dyDescent="0.2">
      <c r="A317" s="89" t="s">
        <v>104</v>
      </c>
      <c r="C317" s="89" t="e">
        <f>C81/B81-1</f>
        <v>#DIV/0!</v>
      </c>
      <c r="D317" s="89" t="e">
        <f>D81/C81-1</f>
        <v>#DIV/0!</v>
      </c>
      <c r="F317" s="89" t="e">
        <f t="shared" ref="F317:AE317" si="2264">F81/E81-1</f>
        <v>#DIV/0!</v>
      </c>
      <c r="G317" s="89" t="e">
        <f t="shared" si="2264"/>
        <v>#DIV/0!</v>
      </c>
      <c r="H317" s="89" t="e">
        <f t="shared" si="2264"/>
        <v>#DIV/0!</v>
      </c>
      <c r="I317" s="89" t="e">
        <f t="shared" si="2264"/>
        <v>#DIV/0!</v>
      </c>
      <c r="J317" s="89" t="e">
        <f t="shared" si="2264"/>
        <v>#DIV/0!</v>
      </c>
      <c r="K317" s="89" t="e">
        <f t="shared" si="2264"/>
        <v>#DIV/0!</v>
      </c>
      <c r="L317" s="89" t="e">
        <f t="shared" si="2264"/>
        <v>#DIV/0!</v>
      </c>
      <c r="M317" s="89" t="e">
        <f t="shared" si="2264"/>
        <v>#DIV/0!</v>
      </c>
      <c r="N317" s="89" t="e">
        <f t="shared" si="2264"/>
        <v>#DIV/0!</v>
      </c>
      <c r="O317" s="89" t="e">
        <f t="shared" si="2264"/>
        <v>#DIV/0!</v>
      </c>
      <c r="P317" s="89">
        <f t="shared" si="2264"/>
        <v>-37464.465167042807</v>
      </c>
      <c r="Q317" s="89">
        <f t="shared" si="2264"/>
        <v>18.025676476397397</v>
      </c>
      <c r="R317" s="89">
        <f t="shared" si="2264"/>
        <v>2.9353140863932259E-2</v>
      </c>
      <c r="S317" s="89">
        <f t="shared" si="2264"/>
        <v>0.42505383013378117</v>
      </c>
      <c r="T317" s="89">
        <f t="shared" si="2264"/>
        <v>-2.256892226142182E-2</v>
      </c>
      <c r="U317" s="89">
        <f t="shared" si="2264"/>
        <v>0.54000934027941194</v>
      </c>
      <c r="V317" s="89">
        <f t="shared" si="2264"/>
        <v>-7.1346964874255181E-2</v>
      </c>
      <c r="W317" s="89">
        <f t="shared" si="2264"/>
        <v>6.4756123492542228E-2</v>
      </c>
      <c r="X317" s="89">
        <f t="shared" si="2264"/>
        <v>7.4043607367272113E-2</v>
      </c>
      <c r="Y317" s="89">
        <f t="shared" si="2264"/>
        <v>0.26420828712527245</v>
      </c>
      <c r="Z317" s="89">
        <f t="shared" si="2264"/>
        <v>0.23730914693934713</v>
      </c>
      <c r="AA317" s="89">
        <f t="shared" si="2264"/>
        <v>0.13051969003130259</v>
      </c>
      <c r="AB317" s="47">
        <f t="shared" si="2264"/>
        <v>0.32117166932654739</v>
      </c>
      <c r="AC317" s="47">
        <f t="shared" si="2264"/>
        <v>0.21865773190459348</v>
      </c>
      <c r="AD317" s="47">
        <f t="shared" si="2264"/>
        <v>0.16161955785598048</v>
      </c>
      <c r="AE317" s="47">
        <f t="shared" si="2264"/>
        <v>0.11177692527985816</v>
      </c>
      <c r="AL317" s="89" t="e">
        <f t="shared" ref="AL317:BQ317" si="2265">AL81/AK81-1</f>
        <v>#DIV/0!</v>
      </c>
      <c r="AM317" s="89" t="e">
        <f t="shared" si="2265"/>
        <v>#DIV/0!</v>
      </c>
      <c r="AN317" s="89" t="e">
        <f t="shared" si="2265"/>
        <v>#DIV/0!</v>
      </c>
      <c r="AO317" s="89" t="e">
        <f t="shared" si="2265"/>
        <v>#DIV/0!</v>
      </c>
      <c r="AP317" s="89" t="e">
        <f t="shared" si="2265"/>
        <v>#DIV/0!</v>
      </c>
      <c r="AQ317" s="89" t="e">
        <f t="shared" si="2265"/>
        <v>#DIV/0!</v>
      </c>
      <c r="AR317" s="89" t="e">
        <f t="shared" si="2265"/>
        <v>#DIV/0!</v>
      </c>
      <c r="AS317" s="89" t="e">
        <f t="shared" si="2265"/>
        <v>#DIV/0!</v>
      </c>
      <c r="AT317" s="89">
        <f t="shared" si="2265"/>
        <v>14.253611556982344</v>
      </c>
      <c r="AU317" s="89">
        <f t="shared" si="2265"/>
        <v>3.6288540460907077</v>
      </c>
      <c r="AV317" s="89">
        <f t="shared" si="2265"/>
        <v>0.19969082477039191</v>
      </c>
      <c r="AW317" s="89">
        <f t="shared" si="2265"/>
        <v>-0.10026150231183206</v>
      </c>
      <c r="AX317" s="89">
        <f t="shared" si="2265"/>
        <v>1.9649965249257662E-2</v>
      </c>
      <c r="AY317" s="89">
        <f t="shared" si="2265"/>
        <v>0.19459247325153894</v>
      </c>
      <c r="AZ317" s="89">
        <f t="shared" si="2265"/>
        <v>-0.18201780928503497</v>
      </c>
      <c r="BA317" s="89">
        <f t="shared" si="2265"/>
        <v>-3.5723344888813902E-3</v>
      </c>
      <c r="BB317" s="89">
        <f t="shared" si="2265"/>
        <v>-2.3589808863149542E-2</v>
      </c>
      <c r="BC317" s="89">
        <f t="shared" si="2265"/>
        <v>-1.7337649640428388E-2</v>
      </c>
      <c r="BD317" s="89">
        <f t="shared" si="2265"/>
        <v>-1.37522386079727E-2</v>
      </c>
      <c r="BE317" s="89">
        <f t="shared" si="2265"/>
        <v>2.2213778106575197</v>
      </c>
      <c r="BF317" s="89">
        <f t="shared" si="2265"/>
        <v>-0.65852215788887647</v>
      </c>
      <c r="BG317" s="89">
        <f t="shared" si="2265"/>
        <v>2.9203774277038352E-2</v>
      </c>
      <c r="BH317" s="89">
        <f t="shared" si="2265"/>
        <v>0.10274840600372248</v>
      </c>
      <c r="BI317" s="89">
        <f t="shared" si="2265"/>
        <v>0.60316747768939405</v>
      </c>
      <c r="BJ317" s="89">
        <f t="shared" si="2265"/>
        <v>-2.4103402701552645E-2</v>
      </c>
      <c r="BK317" s="89">
        <f t="shared" si="2265"/>
        <v>0.27019396304372756</v>
      </c>
      <c r="BL317" s="89">
        <f t="shared" si="2265"/>
        <v>-9.3167196761601345E-2</v>
      </c>
      <c r="BM317" s="89">
        <f t="shared" si="2265"/>
        <v>5.2002271798805566E-2</v>
      </c>
      <c r="BN317" s="89">
        <f t="shared" si="2265"/>
        <v>3.0242470164804303E-2</v>
      </c>
      <c r="BO317" s="89">
        <f t="shared" si="2265"/>
        <v>0.28220238478298842</v>
      </c>
      <c r="BP317" s="89">
        <f t="shared" si="2265"/>
        <v>-0.28599186916088892</v>
      </c>
      <c r="BQ317" s="89">
        <f t="shared" si="2265"/>
        <v>0.12016227832339177</v>
      </c>
      <c r="BR317" s="89">
        <f t="shared" ref="BR317:DB317" si="2266">BR81/BQ81-1</f>
        <v>-7.9158747803636076E-2</v>
      </c>
      <c r="BS317" s="89">
        <f t="shared" si="2266"/>
        <v>0.35358943904671047</v>
      </c>
      <c r="BT317" s="89">
        <f t="shared" si="2266"/>
        <v>-0.16877400422905975</v>
      </c>
      <c r="BU317" s="89">
        <f t="shared" si="2266"/>
        <v>-3.7465822171462992E-3</v>
      </c>
      <c r="BV317" s="89">
        <f t="shared" si="2266"/>
        <v>3.4532174154717543E-2</v>
      </c>
      <c r="BW317" s="89">
        <f t="shared" si="2266"/>
        <v>1.4087226629727612E-2</v>
      </c>
      <c r="BX317" s="89">
        <f t="shared" si="2266"/>
        <v>2.3743097696058868E-2</v>
      </c>
      <c r="BY317" s="89">
        <f t="shared" si="2266"/>
        <v>0.24547755557532236</v>
      </c>
      <c r="BZ317" s="89">
        <f t="shared" si="2266"/>
        <v>1.8381087801996099E-2</v>
      </c>
      <c r="CA317" s="89">
        <f t="shared" si="2266"/>
        <v>-0.19074518004692442</v>
      </c>
      <c r="CB317" s="89">
        <f t="shared" si="2266"/>
        <v>6.3688647285905731E-2</v>
      </c>
      <c r="CC317" s="89">
        <f t="shared" si="2266"/>
        <v>8.9250003703319258E-2</v>
      </c>
      <c r="CD317" s="89">
        <f t="shared" si="2266"/>
        <v>0.10232279823750279</v>
      </c>
      <c r="CE317" s="89">
        <f t="shared" si="2266"/>
        <v>1.8234307145676976E-2</v>
      </c>
      <c r="CF317" s="89">
        <f t="shared" si="2266"/>
        <v>3.9050573097147767E-2</v>
      </c>
      <c r="CG317" s="89">
        <f t="shared" si="2266"/>
        <v>-3.1717527432163273E-2</v>
      </c>
      <c r="CH317" s="89">
        <f t="shared" si="2266"/>
        <v>0.22834399123282445</v>
      </c>
      <c r="CI317" s="89">
        <f t="shared" si="2266"/>
        <v>-0.11238945861683602</v>
      </c>
      <c r="CJ317" s="89">
        <f t="shared" si="2266"/>
        <v>7.9930855088391928E-2</v>
      </c>
      <c r="CK317" s="89">
        <f t="shared" si="2266"/>
        <v>2.0445735443025193E-2</v>
      </c>
      <c r="CL317" s="89">
        <f t="shared" si="2266"/>
        <v>0.11623233436904901</v>
      </c>
      <c r="CM317" s="47">
        <f t="shared" si="2266"/>
        <v>0.11618430414805725</v>
      </c>
      <c r="CN317" s="47">
        <f t="shared" si="2266"/>
        <v>3.4433007544086625E-2</v>
      </c>
      <c r="CO317" s="47">
        <f t="shared" si="2266"/>
        <v>4.4160243655826159E-2</v>
      </c>
      <c r="CP317" s="47">
        <f t="shared" si="2266"/>
        <v>4.7011063816628562E-2</v>
      </c>
      <c r="CQ317" s="47">
        <f t="shared" si="2266"/>
        <v>9.1882373134887674E-2</v>
      </c>
      <c r="CR317" s="47">
        <f t="shared" si="2266"/>
        <v>1.4361898686467978E-2</v>
      </c>
      <c r="CS317" s="47">
        <f t="shared" si="2266"/>
        <v>3.8772975822712219E-2</v>
      </c>
      <c r="CT317" s="47">
        <f t="shared" si="2266"/>
        <v>6.4717833869859298E-2</v>
      </c>
      <c r="CU317" s="47">
        <f t="shared" si="2266"/>
        <v>2.5096984095015928E-2</v>
      </c>
      <c r="CV317" s="47">
        <f t="shared" si="2266"/>
        <v>1.873255641567706E-3</v>
      </c>
      <c r="CW317" s="47">
        <f t="shared" si="2266"/>
        <v>0.10519125558964193</v>
      </c>
      <c r="CX317" s="47">
        <f t="shared" si="2266"/>
        <v>1.4204716357536507E-2</v>
      </c>
      <c r="CY317" s="47">
        <f t="shared" si="2266"/>
        <v>1.8743069219857578E-2</v>
      </c>
      <c r="CZ317" s="47">
        <f t="shared" si="2266"/>
        <v>-7.9969064049911776E-4</v>
      </c>
      <c r="DA317" s="47">
        <f t="shared" si="2266"/>
        <v>3.38204694937565E-2</v>
      </c>
      <c r="DB317" s="47">
        <f t="shared" si="2266"/>
        <v>4.6073213496293786E-2</v>
      </c>
      <c r="DE317" s="130"/>
      <c r="DF317" s="89" t="e">
        <v>#DIV/0!</v>
      </c>
      <c r="DG317" s="89">
        <v>0.26130060550191248</v>
      </c>
    </row>
    <row r="318" spans="1:111" s="103" customFormat="1" x14ac:dyDescent="0.2">
      <c r="A318" s="147" t="s">
        <v>105</v>
      </c>
      <c r="C318" s="103" t="e">
        <f>IF(C316&gt;C317,"RF",0)</f>
        <v>#DIV/0!</v>
      </c>
      <c r="D318" s="103" t="e">
        <f t="shared" ref="D318:U318" si="2267">IF(D316&gt;D317,"RF",0)</f>
        <v>#DIV/0!</v>
      </c>
      <c r="F318" s="103" t="e">
        <f t="shared" si="2267"/>
        <v>#DIV/0!</v>
      </c>
      <c r="G318" s="103" t="e">
        <f t="shared" si="2267"/>
        <v>#DIV/0!</v>
      </c>
      <c r="H318" s="103" t="e">
        <f t="shared" si="2267"/>
        <v>#DIV/0!</v>
      </c>
      <c r="I318" s="103" t="e">
        <f t="shared" si="2267"/>
        <v>#DIV/0!</v>
      </c>
      <c r="J318" s="103" t="e">
        <f t="shared" si="2267"/>
        <v>#DIV/0!</v>
      </c>
      <c r="K318" s="103" t="e">
        <f t="shared" si="2267"/>
        <v>#DIV/0!</v>
      </c>
      <c r="L318" s="103" t="e">
        <f t="shared" si="2267"/>
        <v>#DIV/0!</v>
      </c>
      <c r="M318" s="103" t="e">
        <f t="shared" si="2267"/>
        <v>#DIV/0!</v>
      </c>
      <c r="N318" s="103" t="e">
        <f t="shared" si="2267"/>
        <v>#DIV/0!</v>
      </c>
      <c r="O318" s="103" t="e">
        <f t="shared" si="2267"/>
        <v>#DIV/0!</v>
      </c>
      <c r="P318" s="103" t="e">
        <f t="shared" si="2267"/>
        <v>#DIV/0!</v>
      </c>
      <c r="Q318" s="103">
        <f t="shared" si="2267"/>
        <v>0</v>
      </c>
      <c r="R318" s="103" t="str">
        <f t="shared" si="2267"/>
        <v>RF</v>
      </c>
      <c r="S318" s="103">
        <f t="shared" si="2267"/>
        <v>0</v>
      </c>
      <c r="T318" s="103" t="str">
        <f t="shared" si="2267"/>
        <v>RF</v>
      </c>
      <c r="U318" s="103">
        <f t="shared" si="2267"/>
        <v>0</v>
      </c>
      <c r="V318" s="103" t="str">
        <f>IF(V316&gt;V317,"RF",0)</f>
        <v>RF</v>
      </c>
      <c r="W318" s="103" t="str">
        <f t="shared" ref="W318:AE318" si="2268">IF(W316&gt;W317,"RF",0)</f>
        <v>RF</v>
      </c>
      <c r="X318" s="103">
        <f t="shared" si="2268"/>
        <v>0</v>
      </c>
      <c r="Y318" s="103">
        <f t="shared" si="2268"/>
        <v>0</v>
      </c>
      <c r="Z318" s="103">
        <f>IF(Z316&gt;Z317,"RF",0)</f>
        <v>0</v>
      </c>
      <c r="AA318" s="103" t="str">
        <f>IF(AA316&gt;AA317,"RF",0)</f>
        <v>RF</v>
      </c>
      <c r="AB318" s="73">
        <f t="shared" si="2268"/>
        <v>0</v>
      </c>
      <c r="AC318" s="73">
        <f t="shared" si="2268"/>
        <v>0</v>
      </c>
      <c r="AD318" s="73">
        <f t="shared" si="2268"/>
        <v>0</v>
      </c>
      <c r="AE318" s="73">
        <f t="shared" si="2268"/>
        <v>0</v>
      </c>
      <c r="AL318" s="103" t="e">
        <f t="shared" ref="AL318:CW318" si="2269">IF(AL316&gt;AL317,"RF",0)</f>
        <v>#DIV/0!</v>
      </c>
      <c r="AM318" s="103" t="e">
        <f t="shared" si="2269"/>
        <v>#DIV/0!</v>
      </c>
      <c r="AN318" s="103" t="e">
        <f t="shared" si="2269"/>
        <v>#DIV/0!</v>
      </c>
      <c r="AO318" s="103" t="e">
        <f t="shared" si="2269"/>
        <v>#DIV/0!</v>
      </c>
      <c r="AP318" s="103" t="e">
        <f t="shared" si="2269"/>
        <v>#DIV/0!</v>
      </c>
      <c r="AQ318" s="103" t="e">
        <f t="shared" si="2269"/>
        <v>#DIV/0!</v>
      </c>
      <c r="AR318" s="103" t="e">
        <f t="shared" si="2269"/>
        <v>#DIV/0!</v>
      </c>
      <c r="AS318" s="103" t="e">
        <f t="shared" si="2269"/>
        <v>#DIV/0!</v>
      </c>
      <c r="AT318" s="103" t="e">
        <f t="shared" si="2269"/>
        <v>#DIV/0!</v>
      </c>
      <c r="AU318" s="103">
        <f t="shared" si="2269"/>
        <v>0</v>
      </c>
      <c r="AV318" s="103">
        <f t="shared" si="2269"/>
        <v>0</v>
      </c>
      <c r="AW318" s="103" t="str">
        <f t="shared" si="2269"/>
        <v>RF</v>
      </c>
      <c r="AX318" s="103" t="str">
        <f t="shared" si="2269"/>
        <v>RF</v>
      </c>
      <c r="AY318" s="103">
        <f t="shared" si="2269"/>
        <v>0</v>
      </c>
      <c r="AZ318" s="103" t="str">
        <f t="shared" si="2269"/>
        <v>RF</v>
      </c>
      <c r="BA318" s="103" t="str">
        <f t="shared" si="2269"/>
        <v>RF</v>
      </c>
      <c r="BB318" s="103" t="str">
        <f t="shared" si="2269"/>
        <v>RF</v>
      </c>
      <c r="BC318" s="103" t="str">
        <f t="shared" si="2269"/>
        <v>RF</v>
      </c>
      <c r="BD318" s="103">
        <f t="shared" si="2269"/>
        <v>0</v>
      </c>
      <c r="BE318" s="103">
        <f t="shared" si="2269"/>
        <v>0</v>
      </c>
      <c r="BF318" s="103" t="str">
        <f t="shared" si="2269"/>
        <v>RF</v>
      </c>
      <c r="BG318" s="103">
        <f t="shared" si="2269"/>
        <v>0</v>
      </c>
      <c r="BH318" s="103" t="str">
        <f t="shared" si="2269"/>
        <v>RF</v>
      </c>
      <c r="BI318" s="103">
        <f t="shared" si="2269"/>
        <v>0</v>
      </c>
      <c r="BJ318" s="103">
        <f t="shared" si="2269"/>
        <v>0</v>
      </c>
      <c r="BK318" s="103">
        <f t="shared" si="2269"/>
        <v>0</v>
      </c>
      <c r="BL318" s="103" t="str">
        <f t="shared" si="2269"/>
        <v>RF</v>
      </c>
      <c r="BM318" s="103">
        <f t="shared" si="2269"/>
        <v>0</v>
      </c>
      <c r="BN318" s="103" t="str">
        <f t="shared" si="2269"/>
        <v>RF</v>
      </c>
      <c r="BO318" s="103">
        <f t="shared" si="2269"/>
        <v>0</v>
      </c>
      <c r="BP318" s="103" t="str">
        <f t="shared" si="2269"/>
        <v>RF</v>
      </c>
      <c r="BQ318" s="103">
        <f t="shared" si="2269"/>
        <v>0</v>
      </c>
      <c r="BR318" s="103" t="str">
        <f t="shared" si="2269"/>
        <v>RF</v>
      </c>
      <c r="BS318" s="103">
        <f t="shared" si="2269"/>
        <v>0</v>
      </c>
      <c r="BT318" s="103" t="str">
        <f t="shared" si="2269"/>
        <v>RF</v>
      </c>
      <c r="BU318" s="103" t="str">
        <f t="shared" si="2269"/>
        <v>RF</v>
      </c>
      <c r="BV318" s="103" t="str">
        <f t="shared" si="2269"/>
        <v>RF</v>
      </c>
      <c r="BW318" s="103">
        <f t="shared" si="2269"/>
        <v>0</v>
      </c>
      <c r="BX318" s="103" t="str">
        <f t="shared" si="2269"/>
        <v>RF</v>
      </c>
      <c r="BY318" s="103">
        <f t="shared" si="2269"/>
        <v>0</v>
      </c>
      <c r="BZ318" s="103" t="str">
        <f t="shared" si="2269"/>
        <v>RF</v>
      </c>
      <c r="CA318" s="103" t="str">
        <f t="shared" si="2269"/>
        <v>RF</v>
      </c>
      <c r="CB318" s="103">
        <f t="shared" si="2269"/>
        <v>0</v>
      </c>
      <c r="CC318" s="103">
        <f t="shared" si="2269"/>
        <v>0</v>
      </c>
      <c r="CD318" s="103">
        <f t="shared" si="2269"/>
        <v>0</v>
      </c>
      <c r="CE318" s="103">
        <f t="shared" si="2269"/>
        <v>0</v>
      </c>
      <c r="CF318" s="103" t="str">
        <f t="shared" si="2269"/>
        <v>RF</v>
      </c>
      <c r="CG318" s="103" t="str">
        <f t="shared" si="2269"/>
        <v>RF</v>
      </c>
      <c r="CH318" s="103">
        <f t="shared" si="2269"/>
        <v>0</v>
      </c>
      <c r="CI318" s="103" t="str">
        <f t="shared" si="2269"/>
        <v>RF</v>
      </c>
      <c r="CJ318" s="103" t="str">
        <f t="shared" si="2269"/>
        <v>RF</v>
      </c>
      <c r="CK318" s="103">
        <f t="shared" si="2269"/>
        <v>0</v>
      </c>
      <c r="CL318" s="103">
        <f t="shared" si="2269"/>
        <v>0</v>
      </c>
      <c r="CM318" s="73">
        <f t="shared" si="2269"/>
        <v>0</v>
      </c>
      <c r="CN318" s="73">
        <f t="shared" si="2269"/>
        <v>0</v>
      </c>
      <c r="CO318" s="73">
        <f t="shared" si="2269"/>
        <v>0</v>
      </c>
      <c r="CP318" s="73">
        <f t="shared" si="2269"/>
        <v>0</v>
      </c>
      <c r="CQ318" s="73">
        <f t="shared" si="2269"/>
        <v>0</v>
      </c>
      <c r="CR318" s="73">
        <f t="shared" si="2269"/>
        <v>0</v>
      </c>
      <c r="CS318" s="73">
        <f t="shared" si="2269"/>
        <v>0</v>
      </c>
      <c r="CT318" s="73">
        <f t="shared" si="2269"/>
        <v>0</v>
      </c>
      <c r="CU318" s="73">
        <f t="shared" si="2269"/>
        <v>0</v>
      </c>
      <c r="CV318" s="73">
        <f t="shared" si="2269"/>
        <v>0</v>
      </c>
      <c r="CW318" s="73">
        <f t="shared" si="2269"/>
        <v>0</v>
      </c>
      <c r="CX318" s="73">
        <f t="shared" ref="CX318:DB318" si="2270">IF(CX316&gt;CX317,"RF",0)</f>
        <v>0</v>
      </c>
      <c r="CY318" s="73">
        <f t="shared" si="2270"/>
        <v>0</v>
      </c>
      <c r="CZ318" s="73" t="str">
        <f t="shared" si="2270"/>
        <v>RF</v>
      </c>
      <c r="DA318" s="73">
        <f t="shared" si="2270"/>
        <v>0</v>
      </c>
      <c r="DB318" s="73">
        <f t="shared" si="2270"/>
        <v>0</v>
      </c>
      <c r="DE318" s="142"/>
      <c r="DF318" s="103" t="e">
        <v>#DIV/0!</v>
      </c>
      <c r="DG318" s="103">
        <v>0</v>
      </c>
    </row>
    <row r="319" spans="1:111" s="86" customFormat="1" x14ac:dyDescent="0.2">
      <c r="A319" s="86" t="s">
        <v>432</v>
      </c>
      <c r="B319" s="86" t="e">
        <f>B89/B59</f>
        <v>#DIV/0!</v>
      </c>
      <c r="C319" s="86" t="e">
        <f>C89/C59</f>
        <v>#DIV/0!</v>
      </c>
      <c r="D319" s="86" t="e">
        <f>D89/D59</f>
        <v>#DIV/0!</v>
      </c>
      <c r="F319" s="86" t="e">
        <f t="shared" ref="F319:AE319" si="2271">F89/F59</f>
        <v>#DIV/0!</v>
      </c>
      <c r="G319" s="86" t="e">
        <f t="shared" si="2271"/>
        <v>#DIV/0!</v>
      </c>
      <c r="H319" s="86" t="e">
        <f t="shared" si="2271"/>
        <v>#DIV/0!</v>
      </c>
      <c r="I319" s="86" t="e">
        <f t="shared" si="2271"/>
        <v>#DIV/0!</v>
      </c>
      <c r="J319" s="86" t="e">
        <f t="shared" si="2271"/>
        <v>#DIV/0!</v>
      </c>
      <c r="K319" s="86" t="e">
        <f t="shared" si="2271"/>
        <v>#DIV/0!</v>
      </c>
      <c r="L319" s="86" t="e">
        <f t="shared" si="2271"/>
        <v>#DIV/0!</v>
      </c>
      <c r="M319" s="86" t="e">
        <f t="shared" si="2271"/>
        <v>#DIV/0!</v>
      </c>
      <c r="N319" s="86" t="e">
        <f t="shared" si="2271"/>
        <v>#DIV/0!</v>
      </c>
      <c r="O319" s="86" t="e">
        <f t="shared" si="2271"/>
        <v>#DIV/0!</v>
      </c>
      <c r="P319" s="86">
        <f t="shared" si="2271"/>
        <v>0.53590956110536425</v>
      </c>
      <c r="Q319" s="86">
        <f t="shared" si="2271"/>
        <v>0.43572400671822153</v>
      </c>
      <c r="R319" s="86">
        <f t="shared" si="2271"/>
        <v>0.31436062746243537</v>
      </c>
      <c r="S319" s="86">
        <f t="shared" si="2271"/>
        <v>0.22452389161562486</v>
      </c>
      <c r="T319" s="86">
        <f t="shared" si="2271"/>
        <v>0.19040989945862336</v>
      </c>
      <c r="U319" s="86">
        <f t="shared" si="2271"/>
        <v>0.20107463586067226</v>
      </c>
      <c r="V319" s="86">
        <f t="shared" si="2271"/>
        <v>0.213270161278136</v>
      </c>
      <c r="W319" s="86">
        <f t="shared" si="2271"/>
        <v>0.21007735273843614</v>
      </c>
      <c r="X319" s="86">
        <f t="shared" si="2271"/>
        <v>0.20924761824517479</v>
      </c>
      <c r="Y319" s="86">
        <f t="shared" si="2271"/>
        <v>0.16658337026475009</v>
      </c>
      <c r="Z319" s="86">
        <f t="shared" si="2271"/>
        <v>0.13712911424999863</v>
      </c>
      <c r="AA319" s="86">
        <f t="shared" ref="AA319" si="2272">AA89/AA59</f>
        <v>0.13168392233878246</v>
      </c>
      <c r="AB319" s="87">
        <f t="shared" si="2271"/>
        <v>7.7427554474981911E-2</v>
      </c>
      <c r="AC319" s="87">
        <f t="shared" si="2271"/>
        <v>8.5845333880572403E-2</v>
      </c>
      <c r="AD319" s="87">
        <f t="shared" si="2271"/>
        <v>6.3688552390960371E-2</v>
      </c>
      <c r="AE319" s="87">
        <f t="shared" si="2271"/>
        <v>6.2795199560131118E-2</v>
      </c>
      <c r="AL319" s="86" t="e">
        <f t="shared" ref="AL319:BQ319" si="2273">AL89/AL59</f>
        <v>#DIV/0!</v>
      </c>
      <c r="AM319" s="86" t="e">
        <f t="shared" si="2273"/>
        <v>#DIV/0!</v>
      </c>
      <c r="AN319" s="86" t="e">
        <f t="shared" si="2273"/>
        <v>#DIV/0!</v>
      </c>
      <c r="AO319" s="86" t="e">
        <f t="shared" si="2273"/>
        <v>#DIV/0!</v>
      </c>
      <c r="AP319" s="86" t="e">
        <f t="shared" si="2273"/>
        <v>#DIV/0!</v>
      </c>
      <c r="AQ319" s="86" t="e">
        <f t="shared" si="2273"/>
        <v>#DIV/0!</v>
      </c>
      <c r="AR319" s="86" t="e">
        <f t="shared" si="2273"/>
        <v>#DIV/0!</v>
      </c>
      <c r="AS319" s="86">
        <f t="shared" si="2273"/>
        <v>5.2401746724890829E-3</v>
      </c>
      <c r="AT319" s="86">
        <f t="shared" si="2273"/>
        <v>0.58500161446561194</v>
      </c>
      <c r="AU319" s="86">
        <f t="shared" si="2273"/>
        <v>0.54905479013136826</v>
      </c>
      <c r="AV319" s="86">
        <f t="shared" si="2273"/>
        <v>0.41758826031475965</v>
      </c>
      <c r="AW319" s="86">
        <f t="shared" si="2273"/>
        <v>0.45177587844254513</v>
      </c>
      <c r="AX319" s="86">
        <f t="shared" si="2273"/>
        <v>0.35537203033912118</v>
      </c>
      <c r="AY319" s="86">
        <f t="shared" si="2273"/>
        <v>0.36728849227069194</v>
      </c>
      <c r="AZ319" s="86">
        <f t="shared" si="2273"/>
        <v>0.37256481617108539</v>
      </c>
      <c r="BA319" s="86">
        <f t="shared" si="2273"/>
        <v>0.28457804229176381</v>
      </c>
      <c r="BB319" s="86">
        <f t="shared" si="2273"/>
        <v>0.25162349332630418</v>
      </c>
      <c r="BC319" s="86">
        <f t="shared" si="2273"/>
        <v>0.34076715750723113</v>
      </c>
      <c r="BD319" s="86">
        <f t="shared" si="2273"/>
        <v>0.28968701347506309</v>
      </c>
      <c r="BE319" s="86">
        <f t="shared" si="2273"/>
        <v>0.13260676706083166</v>
      </c>
      <c r="BF319" s="86">
        <f t="shared" si="2273"/>
        <v>0.27936637281773957</v>
      </c>
      <c r="BG319" s="86">
        <f t="shared" si="2273"/>
        <v>0.34000322216851936</v>
      </c>
      <c r="BH319" s="86">
        <f t="shared" si="2273"/>
        <v>0.20534473620124055</v>
      </c>
      <c r="BI319" s="86">
        <f t="shared" si="2273"/>
        <v>0.16689086965239422</v>
      </c>
      <c r="BJ319" s="86">
        <f t="shared" si="2273"/>
        <v>0.17108612643190496</v>
      </c>
      <c r="BK319" s="86">
        <f t="shared" si="2273"/>
        <v>0.18612495101606674</v>
      </c>
      <c r="BL319" s="86">
        <f t="shared" si="2273"/>
        <v>0.19009794092696844</v>
      </c>
      <c r="BM319" s="86">
        <f t="shared" si="2273"/>
        <v>0.18574843745499581</v>
      </c>
      <c r="BN319" s="86">
        <f t="shared" si="2273"/>
        <v>0.21889512262469563</v>
      </c>
      <c r="BO319" s="86">
        <f t="shared" si="2273"/>
        <v>0.25800834658350058</v>
      </c>
      <c r="BP319" s="86">
        <f t="shared" si="2273"/>
        <v>0.24877677755670879</v>
      </c>
      <c r="BQ319" s="86">
        <f t="shared" si="2273"/>
        <v>0.17527011728827657</v>
      </c>
      <c r="BR319" s="86">
        <f t="shared" ref="BR319:DB319" si="2274">BR89/BR59</f>
        <v>0.18124337547357341</v>
      </c>
      <c r="BS319" s="86">
        <f t="shared" si="2274"/>
        <v>0.21710812291272771</v>
      </c>
      <c r="BT319" s="86">
        <f t="shared" si="2274"/>
        <v>0.21261961722488038</v>
      </c>
      <c r="BU319" s="86">
        <f t="shared" si="2274"/>
        <v>0.19240993234193085</v>
      </c>
      <c r="BV319" s="86">
        <f t="shared" si="2274"/>
        <v>0.21851058751550562</v>
      </c>
      <c r="BW319" s="86">
        <f t="shared" si="2274"/>
        <v>0.23627342043756466</v>
      </c>
      <c r="BX319" s="86">
        <f t="shared" si="2274"/>
        <v>0.21956462903047227</v>
      </c>
      <c r="BY319" s="86">
        <f t="shared" si="2274"/>
        <v>0.19626939212208241</v>
      </c>
      <c r="BZ319" s="86">
        <f t="shared" si="2274"/>
        <v>0.18777660632702539</v>
      </c>
      <c r="CA319" s="86">
        <f t="shared" si="2274"/>
        <v>0.16803633277018268</v>
      </c>
      <c r="CB319" s="86">
        <f t="shared" si="2274"/>
        <v>0.17442370034867863</v>
      </c>
      <c r="CC319" s="86">
        <f t="shared" si="2274"/>
        <v>0.16657571234765153</v>
      </c>
      <c r="CD319" s="86">
        <f t="shared" si="2274"/>
        <v>0.15934011068973941</v>
      </c>
      <c r="CE319" s="86">
        <f t="shared" si="2274"/>
        <v>0.15077111861003428</v>
      </c>
      <c r="CF319" s="86">
        <f t="shared" si="2274"/>
        <v>0.13146498051328495</v>
      </c>
      <c r="CG319" s="86">
        <f t="shared" si="2274"/>
        <v>0.13877940263384481</v>
      </c>
      <c r="CH319" s="86">
        <f t="shared" si="2274"/>
        <v>0.12960383272309706</v>
      </c>
      <c r="CI319" s="86">
        <f t="shared" si="2274"/>
        <v>0.13110328363111648</v>
      </c>
      <c r="CJ319" s="86">
        <f t="shared" si="2274"/>
        <v>0.13215319376030008</v>
      </c>
      <c r="CK319" s="86">
        <f t="shared" si="2274"/>
        <v>0.13566084417465993</v>
      </c>
      <c r="CL319" s="86">
        <f t="shared" si="2274"/>
        <v>0.12820440478445627</v>
      </c>
      <c r="CM319" s="87">
        <f t="shared" si="2274"/>
        <v>5.8368172603428754E-2</v>
      </c>
      <c r="CN319" s="87">
        <f t="shared" si="2274"/>
        <v>7.7555990570328068E-2</v>
      </c>
      <c r="CO319" s="87">
        <f t="shared" si="2274"/>
        <v>8.2419420342256203E-2</v>
      </c>
      <c r="CP319" s="87">
        <f t="shared" si="2274"/>
        <v>9.003185379447895E-2</v>
      </c>
      <c r="CQ319" s="87">
        <f t="shared" si="2274"/>
        <v>8.2484331160915692E-2</v>
      </c>
      <c r="CR319" s="87">
        <f t="shared" si="2274"/>
        <v>8.8562521811203068E-2</v>
      </c>
      <c r="CS319" s="87">
        <f t="shared" si="2274"/>
        <v>8.6820044537302687E-2</v>
      </c>
      <c r="CT319" s="87">
        <f t="shared" si="2274"/>
        <v>8.5502975507983692E-2</v>
      </c>
      <c r="CU319" s="87">
        <f t="shared" si="2274"/>
        <v>6.4096704729172296E-2</v>
      </c>
      <c r="CV319" s="87">
        <f t="shared" si="2274"/>
        <v>6.5709019295139101E-2</v>
      </c>
      <c r="CW319" s="87">
        <f t="shared" si="2274"/>
        <v>6.1839592913630739E-2</v>
      </c>
      <c r="CX319" s="87">
        <f t="shared" si="2274"/>
        <v>6.3291775002867437E-2</v>
      </c>
      <c r="CY319" s="87">
        <f t="shared" si="2274"/>
        <v>6.2474216458970555E-2</v>
      </c>
      <c r="CZ319" s="87">
        <f t="shared" si="2274"/>
        <v>6.4419286480488683E-2</v>
      </c>
      <c r="DA319" s="87">
        <f t="shared" si="2274"/>
        <v>6.2714087734788926E-2</v>
      </c>
      <c r="DB319" s="87">
        <f t="shared" si="2274"/>
        <v>6.167554721518273E-2</v>
      </c>
      <c r="DE319" s="141"/>
      <c r="DF319" s="86" t="e">
        <v>#DIV/0!</v>
      </c>
      <c r="DG319" s="86">
        <v>0.10917770760926149</v>
      </c>
    </row>
    <row r="320" spans="1:111" s="86" customFormat="1" x14ac:dyDescent="0.2">
      <c r="A320" s="86" t="s">
        <v>433</v>
      </c>
      <c r="B320" s="86" t="e">
        <f>B85/B59</f>
        <v>#DIV/0!</v>
      </c>
      <c r="C320" s="86" t="e">
        <f>C85/C59</f>
        <v>#DIV/0!</v>
      </c>
      <c r="D320" s="86" t="e">
        <f>D85/D59</f>
        <v>#DIV/0!</v>
      </c>
      <c r="F320" s="86" t="e">
        <f t="shared" ref="F320:AE320" si="2275">F85/F59</f>
        <v>#DIV/0!</v>
      </c>
      <c r="G320" s="86" t="e">
        <f t="shared" si="2275"/>
        <v>#DIV/0!</v>
      </c>
      <c r="H320" s="86" t="e">
        <f t="shared" si="2275"/>
        <v>#DIV/0!</v>
      </c>
      <c r="I320" s="86" t="e">
        <f t="shared" si="2275"/>
        <v>#DIV/0!</v>
      </c>
      <c r="J320" s="86" t="e">
        <f t="shared" si="2275"/>
        <v>#DIV/0!</v>
      </c>
      <c r="K320" s="86" t="e">
        <f t="shared" si="2275"/>
        <v>#DIV/0!</v>
      </c>
      <c r="L320" s="86" t="e">
        <f t="shared" si="2275"/>
        <v>#DIV/0!</v>
      </c>
      <c r="M320" s="86" t="e">
        <f t="shared" si="2275"/>
        <v>#DIV/0!</v>
      </c>
      <c r="N320" s="86" t="e">
        <f t="shared" si="2275"/>
        <v>#DIV/0!</v>
      </c>
      <c r="O320" s="86" t="e">
        <f t="shared" si="2275"/>
        <v>#DIV/0!</v>
      </c>
      <c r="P320" s="86">
        <f t="shared" si="2275"/>
        <v>0.27390276341066944</v>
      </c>
      <c r="Q320" s="86">
        <f t="shared" si="2275"/>
        <v>0.25473256835426328</v>
      </c>
      <c r="R320" s="86">
        <f t="shared" si="2275"/>
        <v>0.19795111468124393</v>
      </c>
      <c r="S320" s="86">
        <f t="shared" si="2275"/>
        <v>0.14689135196527806</v>
      </c>
      <c r="T320" s="86">
        <f t="shared" si="2275"/>
        <v>0.12075231505246084</v>
      </c>
      <c r="U320" s="86">
        <f t="shared" si="2275"/>
        <v>0.10284023419843798</v>
      </c>
      <c r="V320" s="86">
        <f t="shared" si="2275"/>
        <v>0.13387425161162284</v>
      </c>
      <c r="W320" s="86">
        <f t="shared" si="2275"/>
        <v>0.12677303704545939</v>
      </c>
      <c r="X320" s="86">
        <f t="shared" si="2275"/>
        <v>0.1209489103810206</v>
      </c>
      <c r="Y320" s="86">
        <f t="shared" si="2275"/>
        <v>0.10694535434891517</v>
      </c>
      <c r="Z320" s="86">
        <f t="shared" si="2275"/>
        <v>8.0192821249887983E-2</v>
      </c>
      <c r="AA320" s="86">
        <f t="shared" ref="AA320" si="2276">AA85/AA59</f>
        <v>7.1706098623207246E-2</v>
      </c>
      <c r="AB320" s="87">
        <f t="shared" si="2275"/>
        <v>8.4463386751320965E-2</v>
      </c>
      <c r="AC320" s="87">
        <f t="shared" si="2275"/>
        <v>9.6184291653097637E-2</v>
      </c>
      <c r="AD320" s="87">
        <f t="shared" si="2275"/>
        <v>0.1010886696114853</v>
      </c>
      <c r="AE320" s="87">
        <f t="shared" si="2275"/>
        <v>0.10066714090816536</v>
      </c>
      <c r="AL320" s="86" t="e">
        <f t="shared" ref="AL320:BQ320" si="2277">AL85/AL59</f>
        <v>#DIV/0!</v>
      </c>
      <c r="AM320" s="86" t="e">
        <f t="shared" si="2277"/>
        <v>#DIV/0!</v>
      </c>
      <c r="AN320" s="86" t="e">
        <f t="shared" si="2277"/>
        <v>#DIV/0!</v>
      </c>
      <c r="AO320" s="86" t="e">
        <f t="shared" si="2277"/>
        <v>#DIV/0!</v>
      </c>
      <c r="AP320" s="86" t="e">
        <f t="shared" si="2277"/>
        <v>#DIV/0!</v>
      </c>
      <c r="AQ320" s="86" t="e">
        <f t="shared" si="2277"/>
        <v>#DIV/0!</v>
      </c>
      <c r="AR320" s="86" t="e">
        <f t="shared" si="2277"/>
        <v>#DIV/0!</v>
      </c>
      <c r="AS320" s="86">
        <f t="shared" si="2277"/>
        <v>0</v>
      </c>
      <c r="AT320" s="86">
        <f t="shared" si="2277"/>
        <v>0.29924120116241526</v>
      </c>
      <c r="AU320" s="86">
        <f t="shared" si="2277"/>
        <v>0.29599487343800063</v>
      </c>
      <c r="AV320" s="86">
        <f t="shared" si="2277"/>
        <v>0.24920246703530416</v>
      </c>
      <c r="AW320" s="86">
        <f t="shared" si="2277"/>
        <v>0.26706552706552711</v>
      </c>
      <c r="AX320" s="86">
        <f t="shared" si="2277"/>
        <v>0.21917507678806497</v>
      </c>
      <c r="AY320" s="86">
        <f t="shared" si="2277"/>
        <v>0.22113574152307716</v>
      </c>
      <c r="AZ320" s="86">
        <f t="shared" si="2277"/>
        <v>0.20679654313754212</v>
      </c>
      <c r="BA320" s="86">
        <f t="shared" si="2277"/>
        <v>0.199775102163956</v>
      </c>
      <c r="BB320" s="86">
        <f t="shared" si="2277"/>
        <v>0.17089214253193069</v>
      </c>
      <c r="BC320" s="86">
        <f t="shared" si="2277"/>
        <v>0.23757559821193794</v>
      </c>
      <c r="BD320" s="86">
        <f t="shared" si="2277"/>
        <v>0.19593869114725937</v>
      </c>
      <c r="BE320" s="86">
        <f t="shared" si="2277"/>
        <v>8.1988568091724792E-2</v>
      </c>
      <c r="BF320" s="86">
        <f t="shared" si="2277"/>
        <v>0.17635874262291032</v>
      </c>
      <c r="BG320" s="86">
        <f t="shared" si="2277"/>
        <v>0.23531496697277265</v>
      </c>
      <c r="BH320" s="86">
        <f t="shared" si="2277"/>
        <v>0.13762230148838939</v>
      </c>
      <c r="BI320" s="86">
        <f t="shared" si="2277"/>
        <v>9.7570222927033767E-2</v>
      </c>
      <c r="BJ320" s="86">
        <f t="shared" si="2277"/>
        <v>0.10854586024293279</v>
      </c>
      <c r="BK320" s="86">
        <f t="shared" si="2277"/>
        <v>9.9804764037395743E-2</v>
      </c>
      <c r="BL320" s="86">
        <f t="shared" si="2277"/>
        <v>0.11233515847921646</v>
      </c>
      <c r="BM320" s="86">
        <f t="shared" si="2277"/>
        <v>0.10568420749445549</v>
      </c>
      <c r="BN320" s="86">
        <f t="shared" si="2277"/>
        <v>9.5357331124331646E-2</v>
      </c>
      <c r="BO320" s="86">
        <f t="shared" si="2277"/>
        <v>0.15443631949184755</v>
      </c>
      <c r="BP320" s="86">
        <f t="shared" si="2277"/>
        <v>0.14557622472973161</v>
      </c>
      <c r="BQ320" s="86">
        <f t="shared" si="2277"/>
        <v>0.12525510007624124</v>
      </c>
      <c r="BR320" s="86">
        <f t="shared" ref="BR320:DB320" si="2278">BR85/BR59</f>
        <v>0.11438012770436549</v>
      </c>
      <c r="BS320" s="86">
        <f t="shared" si="2278"/>
        <v>0.12090541233014683</v>
      </c>
      <c r="BT320" s="86">
        <f t="shared" si="2278"/>
        <v>0.13880319818685469</v>
      </c>
      <c r="BU320" s="86">
        <f t="shared" si="2278"/>
        <v>0.12458014218497786</v>
      </c>
      <c r="BV320" s="86">
        <f t="shared" si="2278"/>
        <v>0.12422303872956536</v>
      </c>
      <c r="BW320" s="86">
        <f t="shared" si="2278"/>
        <v>0.12260367574747436</v>
      </c>
      <c r="BX320" s="86">
        <f t="shared" si="2278"/>
        <v>0.1223565883843665</v>
      </c>
      <c r="BY320" s="86">
        <f t="shared" si="2278"/>
        <v>0.11554185319706058</v>
      </c>
      <c r="BZ320" s="86">
        <f t="shared" si="2278"/>
        <v>0.12376178648225253</v>
      </c>
      <c r="CA320" s="86">
        <f t="shared" si="2278"/>
        <v>0.11432595232961508</v>
      </c>
      <c r="CB320" s="86">
        <f t="shared" si="2278"/>
        <v>0.11760078609205007</v>
      </c>
      <c r="CC320" s="86">
        <f t="shared" si="2278"/>
        <v>0.10029960133516558</v>
      </c>
      <c r="CD320" s="86">
        <f t="shared" si="2278"/>
        <v>9.9325451204096152E-2</v>
      </c>
      <c r="CE320" s="86">
        <f t="shared" si="2278"/>
        <v>9.2562121761441282E-2</v>
      </c>
      <c r="CF320" s="86">
        <f t="shared" si="2278"/>
        <v>7.8281611333020681E-2</v>
      </c>
      <c r="CG320" s="86">
        <f t="shared" si="2278"/>
        <v>7.9306926277730325E-2</v>
      </c>
      <c r="CH320" s="86">
        <f t="shared" si="2278"/>
        <v>7.2420457504651287E-2</v>
      </c>
      <c r="CI320" s="86">
        <f t="shared" si="2278"/>
        <v>6.816262127380017E-2</v>
      </c>
      <c r="CJ320" s="86">
        <f t="shared" si="2278"/>
        <v>7.7232129997286167E-2</v>
      </c>
      <c r="CK320" s="86">
        <f t="shared" si="2278"/>
        <v>7.373191770745878E-2</v>
      </c>
      <c r="CL320" s="86">
        <f t="shared" si="2278"/>
        <v>6.8224046689156784E-2</v>
      </c>
      <c r="CM320" s="87">
        <f t="shared" si="2278"/>
        <v>7.4914591530627572E-2</v>
      </c>
      <c r="CN320" s="87">
        <f t="shared" si="2278"/>
        <v>8.4087436262786114E-2</v>
      </c>
      <c r="CO320" s="87">
        <f t="shared" si="2278"/>
        <v>8.750416103258632E-2</v>
      </c>
      <c r="CP320" s="87">
        <f t="shared" si="2278"/>
        <v>9.0661997292785818E-2</v>
      </c>
      <c r="CQ320" s="87">
        <f t="shared" si="2278"/>
        <v>8.9906664573000505E-2</v>
      </c>
      <c r="CR320" s="87">
        <f t="shared" si="2278"/>
        <v>9.6590418561199182E-2</v>
      </c>
      <c r="CS320" s="87">
        <f t="shared" si="2278"/>
        <v>9.8771123518810011E-2</v>
      </c>
      <c r="CT320" s="87">
        <f t="shared" si="2278"/>
        <v>9.9029066019369685E-2</v>
      </c>
      <c r="CU320" s="87">
        <f t="shared" si="2278"/>
        <v>0.1000614110924406</v>
      </c>
      <c r="CV320" s="87">
        <f t="shared" si="2278"/>
        <v>0.1041910113879795</v>
      </c>
      <c r="CW320" s="87">
        <f t="shared" si="2278"/>
        <v>9.9850907951828091E-2</v>
      </c>
      <c r="CX320" s="87">
        <f t="shared" si="2278"/>
        <v>0.10042430599793564</v>
      </c>
      <c r="CY320" s="87">
        <f t="shared" si="2278"/>
        <v>9.9587810202149032E-2</v>
      </c>
      <c r="CZ320" s="87">
        <f t="shared" si="2278"/>
        <v>0.10250467523913236</v>
      </c>
      <c r="DA320" s="87">
        <f t="shared" si="2278"/>
        <v>0.10132267079851946</v>
      </c>
      <c r="DB320" s="87">
        <f t="shared" si="2278"/>
        <v>9.9344866177089056E-2</v>
      </c>
      <c r="DE320" s="141"/>
      <c r="DF320" s="86" t="e">
        <v>#DIV/0!</v>
      </c>
      <c r="DG320" s="86">
        <v>0.13373970593888754</v>
      </c>
    </row>
    <row r="321" spans="28:109" s="85" customFormat="1" x14ac:dyDescent="0.2">
      <c r="AB321" s="58"/>
      <c r="AC321" s="58"/>
      <c r="AD321" s="58"/>
      <c r="AE321" s="58"/>
      <c r="CM321" s="72"/>
      <c r="CN321" s="72"/>
      <c r="CO321" s="72"/>
      <c r="CP321" s="72"/>
      <c r="CQ321" s="72"/>
      <c r="CR321" s="72"/>
      <c r="CS321" s="72"/>
      <c r="CT321" s="72"/>
      <c r="CU321" s="72"/>
      <c r="CV321" s="72"/>
      <c r="CW321" s="72"/>
      <c r="CX321" s="72"/>
      <c r="CY321" s="72"/>
      <c r="CZ321" s="72"/>
      <c r="DA321" s="72"/>
      <c r="DB321" s="72"/>
      <c r="DE321" s="143"/>
    </row>
  </sheetData>
  <sortState xmlns:xlrd2="http://schemas.microsoft.com/office/spreadsheetml/2017/richdata2" ref="A71:DE78">
    <sortCondition ref="A71:A78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271875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Adani Energy Solutions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11.45</v>
      </c>
      <c r="N6">
        <f>_xll.EQNXTDZ($A$1,$B6,N$1,$B$1)</f>
        <v>123.88</v>
      </c>
      <c r="O6">
        <f>_xll.EQNXTDZ($A$1,$B6,O$1,$B$1)</f>
        <v>468.15</v>
      </c>
      <c r="P6">
        <f>_xll.EQNXTDZ($A$1,$B6,P$1,$B$1)</f>
        <v>564.24</v>
      </c>
      <c r="Q6">
        <f>_xll.EQNXTDZ($A$1,$B6,Q$1,$B$1)</f>
        <v>526.5</v>
      </c>
      <c r="R6">
        <f>_xll.EQNXTDZ($A$1,$B6,R$1,$B$1)</f>
        <v>638.12</v>
      </c>
      <c r="S6">
        <f>_xll.EQNXTDZ($A$1,$B6,S$1,$B$1)</f>
        <v>632.01</v>
      </c>
      <c r="T6">
        <f>_xll.EQNXTDZ($A$1,$B6,T$1,$B$1)</f>
        <v>682.7</v>
      </c>
      <c r="U6">
        <f>_xll.EQNXTDZ($A$1,$B6,U$1,$B$1)</f>
        <v>729.22</v>
      </c>
      <c r="V6">
        <f>_xll.EQNXTDZ($A$1,$B6,V$1,$B$1)</f>
        <v>834.62</v>
      </c>
      <c r="W6">
        <f>_xll.EQNXTDZ($A$1,$B6,W$1,$B$1)</f>
        <v>608.48</v>
      </c>
      <c r="X6">
        <f>_xll.EQNXTDZ($A$1,$B6,X$1,$B$1)</f>
        <v>745.08</v>
      </c>
      <c r="Y6">
        <f>_xll.EQNXTDZ($A$1,$B6,Y$1,$B$1)</f>
        <v>1780.98</v>
      </c>
      <c r="Z6">
        <f>_xll.EQNXTDZ($A$1,$B6,Z$1,$B$1)</f>
        <v>809.94</v>
      </c>
      <c r="AA6">
        <f>_xll.EQNXTDZ($A$1,$B6,AA$1,$B$1)</f>
        <v>620.70000000000005</v>
      </c>
      <c r="AB6">
        <f>_xll.EQNXTDZ($A$1,$B6,AB$1,$B$1)</f>
        <v>1396.14</v>
      </c>
      <c r="AC6">
        <f>_xll.EQNXTDZ($A$1,$B6,AC$1,$B$1)</f>
        <v>2743.05</v>
      </c>
      <c r="AD6">
        <f>_xll.EQNXTDZ($A$1,$B6,AD$1,$B$1)</f>
        <v>2545.56</v>
      </c>
      <c r="AE6">
        <f>_xll.EQNXTDZ($A$1,$B6,AE$1,$B$1)</f>
        <v>2858.08</v>
      </c>
      <c r="AF6">
        <f>_xll.EQNXTDZ($A$1,$B6,AF$1,$B$1)</f>
        <v>2593.4</v>
      </c>
      <c r="AG6">
        <f>_xll.EQNXTDZ($A$1,$B6,AG$1,$B$1)</f>
        <v>2777.52</v>
      </c>
      <c r="AH6">
        <f>_xll.EQNXTDZ($A$1,$B6,AH$1,$B$1)</f>
        <v>3186.96</v>
      </c>
      <c r="AI6">
        <f>_xll.EQNXTDZ($A$1,$B6,AI$1,$B$1)</f>
        <v>2446.5100000000002</v>
      </c>
      <c r="AJ6">
        <f>_xll.EQNXTDZ($A$1,$B6,AJ$1,$B$1)</f>
        <v>2156.19</v>
      </c>
      <c r="AK6">
        <f>_xll.EQNXTDZ($A$1,$B6,AK$1,$B$1)</f>
        <v>2597.02</v>
      </c>
      <c r="AL6">
        <f>_xll.EQNXTDZ($A$1,$B6,AL$1,$B$1)</f>
        <v>2726.61</v>
      </c>
      <c r="AM6">
        <f>_xll.EQNXTDZ($A$1,$B6,AM$1,$B$1)</f>
        <v>2829.65</v>
      </c>
      <c r="AN6">
        <f>_xll.EQNXTDZ($A$1,$B6,AN$1,$B$1)</f>
        <v>2541.44</v>
      </c>
      <c r="AO6">
        <f>_xll.EQNXTDZ($A$1,$B6,AO$1,$B$1)</f>
        <v>2911.7</v>
      </c>
      <c r="AP6">
        <f>_xll.EQNXTDZ($A$1,$B6,AP$1,$B$1)</f>
        <v>2974.73</v>
      </c>
      <c r="AQ6">
        <f>_xll.EQNXTDZ($A$1,$B6,AQ$1,$B$1)</f>
        <v>3131.88</v>
      </c>
      <c r="AR6">
        <f>_xll.EQNXTDZ($A$1,$B6,AR$1,$B$1)</f>
        <v>3251.48</v>
      </c>
      <c r="AS6">
        <f>_xll.EQNXTDZ($A$1,$B6,AS$1,$B$1)</f>
        <v>3551.7</v>
      </c>
      <c r="AT6">
        <f>_xll.EQNXTDZ($A$1,$B6,AT$1,$B$1)</f>
        <v>3357.66</v>
      </c>
      <c r="AU6">
        <f>_xll.EQNXTDZ($A$1,$B6,AU$1,$B$1)</f>
        <v>3663.91</v>
      </c>
      <c r="AV6">
        <f>_xll.EQNXTDZ($A$1,$B6,AV$1,$B$1)</f>
        <v>3673.87</v>
      </c>
      <c r="AW6">
        <f>_xll.EQNXTDZ($A$1,$B6,AW$1,$B$1)</f>
        <v>4562.7299999999996</v>
      </c>
      <c r="AX6">
        <f>_xll.EQNXTDZ($A$1,$B6,AX$1,$B$1)</f>
        <v>4706.8500000000004</v>
      </c>
      <c r="AY6">
        <f>_xll.EQNXTDZ($A$1,$B6,AY$1,$B$1)</f>
        <v>5378.55</v>
      </c>
      <c r="AZ6">
        <f>_xll.EQNXTDZ($A$1,$B6,AZ$1,$B$1)</f>
        <v>6183.7</v>
      </c>
      <c r="BA6">
        <f>_xll.EQNXTDZ($A$1,$B6,BA$1,$B$1)</f>
        <v>5830.26</v>
      </c>
      <c r="BB6">
        <f>_xll.EQNXTDZ($A$1,$B6,BB$1,$B$1)</f>
        <v>6374.58</v>
      </c>
      <c r="BC6">
        <f>_xll.EQNXTDZ($A$1,$B6,BC$1,$B$1)</f>
        <v>6819.28</v>
      </c>
      <c r="BD6">
        <f>_xll.EQNXTDZ($A$1,$B6,BD$1,$B$1)</f>
        <v>6595.83</v>
      </c>
      <c r="BE6">
        <f>_xll.EQNXTDZ($A$1,$B6,BE$1,$B$1)</f>
        <v>6729.65</v>
      </c>
      <c r="BF6">
        <f>_xll.EQNXTDZ($A$1,$B6,BF$1,$B$1)</f>
        <v>7443.27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11.45</v>
      </c>
      <c r="N9">
        <f>_xll.EQNXTDZ($A$1,$B9,N$1,$B$1)</f>
        <v>123.88</v>
      </c>
      <c r="O9">
        <f>_xll.EQNXTDZ($A$1,$B9,O$1,$B$1)</f>
        <v>468.15</v>
      </c>
      <c r="P9">
        <f>_xll.EQNXTDZ($A$1,$B9,P$1,$B$1)</f>
        <v>564.24</v>
      </c>
      <c r="Q9">
        <f>_xll.EQNXTDZ($A$1,$B9,Q$1,$B$1)</f>
        <v>526.5</v>
      </c>
      <c r="R9">
        <f>_xll.EQNXTDZ($A$1,$B9,R$1,$B$1)</f>
        <v>638.12</v>
      </c>
      <c r="S9">
        <f>_xll.EQNXTDZ($A$1,$B9,S$1,$B$1)</f>
        <v>632.01</v>
      </c>
      <c r="T9">
        <f>_xll.EQNXTDZ($A$1,$B9,T$1,$B$1)</f>
        <v>682.7</v>
      </c>
      <c r="U9">
        <f>_xll.EQNXTDZ($A$1,$B9,U$1,$B$1)</f>
        <v>729.22</v>
      </c>
      <c r="V9">
        <f>_xll.EQNXTDZ($A$1,$B9,V$1,$B$1)</f>
        <v>834.62</v>
      </c>
      <c r="W9">
        <f>_xll.EQNXTDZ($A$1,$B9,W$1,$B$1)</f>
        <v>608.48</v>
      </c>
      <c r="X9">
        <f>_xll.EQNXTDZ($A$1,$B9,X$1,$B$1)</f>
        <v>745.08</v>
      </c>
      <c r="Y9">
        <f>_xll.EQNXTDZ($A$1,$B9,Y$1,$B$1)</f>
        <v>1780.98</v>
      </c>
      <c r="Z9">
        <f>_xll.EQNXTDZ($A$1,$B9,Z$1,$B$1)</f>
        <v>809.94</v>
      </c>
      <c r="AA9">
        <f>_xll.EQNXTDZ($A$1,$B9,AA$1,$B$1)</f>
        <v>620.70000000000005</v>
      </c>
      <c r="AB9">
        <f>_xll.EQNXTDZ($A$1,$B9,AB$1,$B$1)</f>
        <v>1396.14</v>
      </c>
      <c r="AC9">
        <f>_xll.EQNXTDZ($A$1,$B9,AC$1,$B$1)</f>
        <v>2743.05</v>
      </c>
      <c r="AD9">
        <f>_xll.EQNXTDZ($A$1,$B9,AD$1,$B$1)</f>
        <v>2545.56</v>
      </c>
      <c r="AE9">
        <f>_xll.EQNXTDZ($A$1,$B9,AE$1,$B$1)</f>
        <v>2858.08</v>
      </c>
      <c r="AF9">
        <f>_xll.EQNXTDZ($A$1,$B9,AF$1,$B$1)</f>
        <v>2593.4</v>
      </c>
      <c r="AG9">
        <f>_xll.EQNXTDZ($A$1,$B9,AG$1,$B$1)</f>
        <v>2777.52</v>
      </c>
      <c r="AH9">
        <f>_xll.EQNXTDZ($A$1,$B9,AH$1,$B$1)</f>
        <v>3186.96</v>
      </c>
      <c r="AI9">
        <f>_xll.EQNXTDZ($A$1,$B9,AI$1,$B$1)</f>
        <v>2446.5100000000002</v>
      </c>
      <c r="AJ9">
        <f>_xll.EQNXTDZ($A$1,$B9,AJ$1,$B$1)</f>
        <v>2156.19</v>
      </c>
      <c r="AK9">
        <f>_xll.EQNXTDZ($A$1,$B9,AK$1,$B$1)</f>
        <v>2597.02</v>
      </c>
      <c r="AL9">
        <f>_xll.EQNXTDZ($A$1,$B9,AL$1,$B$1)</f>
        <v>2726.61</v>
      </c>
      <c r="AM9">
        <f>_xll.EQNXTDZ($A$1,$B9,AM$1,$B$1)</f>
        <v>2829.65</v>
      </c>
      <c r="AN9">
        <f>_xll.EQNXTDZ($A$1,$B9,AN$1,$B$1)</f>
        <v>2541.44</v>
      </c>
      <c r="AO9">
        <f>_xll.EQNXTDZ($A$1,$B9,AO$1,$B$1)</f>
        <v>2911.7</v>
      </c>
      <c r="AP9">
        <f>_xll.EQNXTDZ($A$1,$B9,AP$1,$B$1)</f>
        <v>2974.73</v>
      </c>
      <c r="AQ9">
        <f>_xll.EQNXTDZ($A$1,$B9,AQ$1,$B$1)</f>
        <v>3131.88</v>
      </c>
      <c r="AR9">
        <f>_xll.EQNXTDZ($A$1,$B9,AR$1,$B$1)</f>
        <v>3251.48</v>
      </c>
      <c r="AS9">
        <f>_xll.EQNXTDZ($A$1,$B9,AS$1,$B$1)</f>
        <v>3551.7</v>
      </c>
      <c r="AT9">
        <f>_xll.EQNXTDZ($A$1,$B9,AT$1,$B$1)</f>
        <v>3357.66</v>
      </c>
      <c r="AU9">
        <f>_xll.EQNXTDZ($A$1,$B9,AU$1,$B$1)</f>
        <v>3663.91</v>
      </c>
      <c r="AV9">
        <f>_xll.EQNXTDZ($A$1,$B9,AV$1,$B$1)</f>
        <v>3673.87</v>
      </c>
      <c r="AW9">
        <f>_xll.EQNXTDZ($A$1,$B9,AW$1,$B$1)</f>
        <v>4562.7299999999996</v>
      </c>
      <c r="AX9">
        <f>_xll.EQNXTDZ($A$1,$B9,AX$1,$B$1)</f>
        <v>4706.8500000000004</v>
      </c>
      <c r="AY9">
        <f>_xll.EQNXTDZ($A$1,$B9,AY$1,$B$1)</f>
        <v>5378.55</v>
      </c>
      <c r="AZ9">
        <f>_xll.EQNXTDZ($A$1,$B9,AZ$1,$B$1)</f>
        <v>6183.7</v>
      </c>
      <c r="BA9">
        <f>_xll.EQNXTDZ($A$1,$B9,BA$1,$B$1)</f>
        <v>5830.26</v>
      </c>
      <c r="BB9">
        <f>_xll.EQNXTDZ($A$1,$B9,BB$1,$B$1)</f>
        <v>6374.58</v>
      </c>
      <c r="BC9">
        <f>_xll.EQNXTDZ($A$1,$B9,BC$1,$B$1)</f>
        <v>6819.28</v>
      </c>
      <c r="BD9">
        <f>_xll.EQNXTDZ($A$1,$B9,BD$1,$B$1)</f>
        <v>6595.83</v>
      </c>
      <c r="BE9">
        <f>_xll.EQNXTDZ($A$1,$B9,BE$1,$B$1)</f>
        <v>6729.65</v>
      </c>
      <c r="BF9">
        <f>_xll.EQNXTDZ($A$1,$B9,BF$1,$B$1)</f>
        <v>7443.27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747.65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1024.69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19.149999999999999</v>
      </c>
      <c r="R12">
        <f>_xll.EQNXTDZ($A$1,$B12,R$1,$B$1)</f>
        <v>129.36000000000001</v>
      </c>
      <c r="S12">
        <f>_xll.EQNXTDZ($A$1,$B12,S$1,$B$1)</f>
        <v>23.48</v>
      </c>
      <c r="T12">
        <f>_xll.EQNXTDZ($A$1,$B12,T$1,$B$1)</f>
        <v>184.3</v>
      </c>
      <c r="U12">
        <f>_xll.EQNXTDZ($A$1,$B12,U$1,$B$1)</f>
        <v>221.15</v>
      </c>
      <c r="V12">
        <f>_xll.EQNXTDZ($A$1,$B12,V$1,$B$1)</f>
        <v>326.47000000000003</v>
      </c>
      <c r="W12">
        <f>_xll.EQNXTDZ($A$1,$B12,W$1,$B$1)</f>
        <v>112.2</v>
      </c>
      <c r="X12">
        <f>_xll.EQNXTDZ($A$1,$B12,X$1,$B$1)</f>
        <v>239.28</v>
      </c>
      <c r="Y12">
        <f>_xll.EQNXTDZ($A$1,$B12,Y$1,$B$1)</f>
        <v>93.47</v>
      </c>
      <c r="Z12">
        <f>_xll.EQNXTDZ($A$1,$B12,Z$1,$B$1)</f>
        <v>222.37</v>
      </c>
      <c r="AA12">
        <f>_xll.EQNXTDZ($A$1,$B12,AA$1,$B$1)</f>
        <v>67.930000000000007</v>
      </c>
      <c r="AB12">
        <f>_xll.EQNXTDZ($A$1,$B12,AB$1,$B$1)</f>
        <v>262.37</v>
      </c>
      <c r="AC12">
        <f>_xll.EQNXTDZ($A$1,$B12,AC$1,$B$1)</f>
        <v>244.33</v>
      </c>
      <c r="AD12">
        <f>_xll.EQNXTDZ($A$1,$B12,AD$1,$B$1)</f>
        <v>264.31</v>
      </c>
      <c r="AE12">
        <f>_xll.EQNXTDZ($A$1,$B12,AE$1,$B$1)</f>
        <v>0.46</v>
      </c>
      <c r="AF12">
        <f>_xll.EQNXTDZ($A$1,$B12,AF$1,$B$1)</f>
        <v>5.45</v>
      </c>
      <c r="AG12">
        <f>_xll.EQNXTDZ($A$1,$B12,AG$1,$B$1)</f>
        <v>205.8</v>
      </c>
      <c r="AH12">
        <f>_xll.EQNXTDZ($A$1,$B12,AH$1,$B$1)</f>
        <v>712.5</v>
      </c>
      <c r="AI12">
        <f>_xll.EQNXTDZ($A$1,$B12,AI$1,$B$1)</f>
        <v>0.3</v>
      </c>
      <c r="AJ12">
        <f>_xll.EQNXTDZ($A$1,$B12,AJ$1,$B$1)</f>
        <v>0.56999999999999995</v>
      </c>
      <c r="AK12">
        <f>_xll.EQNXTDZ($A$1,$B12,AK$1,$B$1)</f>
        <v>304.83</v>
      </c>
      <c r="AL12">
        <f>_xll.EQNXTDZ($A$1,$B12,AL$1,$B$1)</f>
        <v>450.19</v>
      </c>
      <c r="AM12">
        <f>_xll.EQNXTDZ($A$1,$B12,AM$1,$B$1)</f>
        <v>42.66</v>
      </c>
      <c r="AN12">
        <f>_xll.EQNXTDZ($A$1,$B12,AN$1,$B$1)</f>
        <v>62.04</v>
      </c>
      <c r="AO12">
        <f>_xll.EQNXTDZ($A$1,$B12,AO$1,$B$1)</f>
        <v>298.39999999999998</v>
      </c>
      <c r="AP12">
        <f>_xll.EQNXTDZ($A$1,$B12,AP$1,$B$1)</f>
        <v>418.13</v>
      </c>
      <c r="AQ12">
        <f>_xll.EQNXTDZ($A$1,$B12,AQ$1,$B$1)</f>
        <v>83.17</v>
      </c>
      <c r="AR12">
        <f>_xll.EQNXTDZ($A$1,$B12,AR$1,$B$1)</f>
        <v>219.39</v>
      </c>
      <c r="AS12">
        <f>_xll.EQNXTDZ($A$1,$B12,AS$1,$B$1)</f>
        <v>274.33999999999997</v>
      </c>
      <c r="AT12">
        <f>_xll.EQNXTDZ($A$1,$B12,AT$1,$B$1)</f>
        <v>178.23</v>
      </c>
      <c r="AU12">
        <f>_xll.EQNXTDZ($A$1,$B12,AU$1,$B$1)</f>
        <v>0.01</v>
      </c>
      <c r="AV12">
        <f>_xll.EQNXTDZ($A$1,$B12,AV$1,$B$1)</f>
        <v>176.77</v>
      </c>
      <c r="AW12">
        <f>_xll.EQNXTDZ($A$1,$B12,AW$1,$B$1)</f>
        <v>737.46</v>
      </c>
      <c r="AX12">
        <f>_xll.EQNXTDZ($A$1,$B12,AX$1,$B$1)</f>
        <v>114.71</v>
      </c>
      <c r="AY12">
        <f>_xll.EQNXTDZ($A$1,$B12,AY$1,$B$1)</f>
        <v>165.87</v>
      </c>
      <c r="AZ12">
        <f>_xll.EQNXTDZ($A$1,$B12,AZ$1,$B$1)</f>
        <v>490.2</v>
      </c>
      <c r="BA12">
        <f>_xll.EQNXTDZ($A$1,$B12,BA$1,$B$1)</f>
        <v>343.77</v>
      </c>
      <c r="BB12">
        <f>_xll.EQNXTDZ($A$1,$B12,BB$1,$B$1)</f>
        <v>365.9</v>
      </c>
      <c r="BC12">
        <f>_xll.EQNXTDZ($A$1,$B12,BC$1,$B$1)</f>
        <v>192.04</v>
      </c>
      <c r="BD12">
        <f>_xll.EQNXTDZ($A$1,$B12,BD$1,$B$1)</f>
        <v>189.47</v>
      </c>
      <c r="BE12">
        <f>_xll.EQNXTDZ($A$1,$B12,BE$1,$B$1)</f>
        <v>230.69</v>
      </c>
      <c r="BF12">
        <f>_xll.EQNXTDZ($A$1,$B12,BF$1,$B$1)</f>
        <v>391.94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0.45</v>
      </c>
      <c r="N14">
        <f>_xll.EQNXTDZ($A$1,$B14,N$1,$B$1)</f>
        <v>17.41</v>
      </c>
      <c r="O14">
        <f>_xll.EQNXTDZ($A$1,$B14,O$1,$B$1)</f>
        <v>19.73</v>
      </c>
      <c r="P14">
        <f>_xll.EQNXTDZ($A$1,$B14,P$1,$B$1)</f>
        <v>27.09</v>
      </c>
      <c r="Q14">
        <f>_xll.EQNXTDZ($A$1,$B14,Q$1,$B$1)</f>
        <v>24.5</v>
      </c>
      <c r="R14">
        <f>_xll.EQNXTDZ($A$1,$B14,R$1,$B$1)</f>
        <v>19.920000000000002</v>
      </c>
      <c r="S14">
        <f>_xll.EQNXTDZ($A$1,$B14,S$1,$B$1)</f>
        <v>19.649999999999999</v>
      </c>
      <c r="T14">
        <f>_xll.EQNXTDZ($A$1,$B14,T$1,$B$1)</f>
        <v>13.43</v>
      </c>
      <c r="U14">
        <f>_xll.EQNXTDZ($A$1,$B14,U$1,$B$1)</f>
        <v>24.76</v>
      </c>
      <c r="V14">
        <f>_xll.EQNXTDZ($A$1,$B14,V$1,$B$1)</f>
        <v>36.31</v>
      </c>
      <c r="W14">
        <f>_xll.EQNXTDZ($A$1,$B14,W$1,$B$1)</f>
        <v>29.49</v>
      </c>
      <c r="X14">
        <f>_xll.EQNXTDZ($A$1,$B14,X$1,$B$1)</f>
        <v>50.92</v>
      </c>
      <c r="Y14">
        <f>_xll.EQNXTDZ($A$1,$B14,Y$1,$B$1)</f>
        <v>241.76</v>
      </c>
      <c r="Z14">
        <f>_xll.EQNXTDZ($A$1,$B14,Z$1,$B$1)</f>
        <v>86.73</v>
      </c>
      <c r="AA14">
        <f>_xll.EQNXTDZ($A$1,$B14,AA$1,$B$1)</f>
        <v>33.21</v>
      </c>
      <c r="AB14">
        <f>_xll.EQNXTDZ($A$1,$B14,AB$1,$B$1)</f>
        <v>127.18</v>
      </c>
      <c r="AC14">
        <f>_xll.EQNXTDZ($A$1,$B14,AC$1,$B$1)</f>
        <v>312.64</v>
      </c>
      <c r="AD14">
        <f>_xll.EQNXTDZ($A$1,$B14,AD$1,$B$1)</f>
        <v>353.21</v>
      </c>
      <c r="AE14">
        <f>_xll.EQNXTDZ($A$1,$B14,AE$1,$B$1)</f>
        <v>293.17</v>
      </c>
      <c r="AF14">
        <f>_xll.EQNXTDZ($A$1,$B14,AF$1,$B$1)</f>
        <v>322.02</v>
      </c>
      <c r="AG14">
        <f>_xll.EQNXTDZ($A$1,$B14,AG$1,$B$1)</f>
        <v>325.44</v>
      </c>
      <c r="AH14">
        <f>_xll.EQNXTDZ($A$1,$B14,AH$1,$B$1)</f>
        <v>393.89</v>
      </c>
      <c r="AI14">
        <f>_xll.EQNXTDZ($A$1,$B14,AI$1,$B$1)</f>
        <v>291.52</v>
      </c>
      <c r="AJ14">
        <f>_xll.EQNXTDZ($A$1,$B14,AJ$1,$B$1)</f>
        <v>355.09</v>
      </c>
      <c r="AK14">
        <f>_xll.EQNXTDZ($A$1,$B14,AK$1,$B$1)</f>
        <v>341.3</v>
      </c>
      <c r="AL14">
        <f>_xll.EQNXTDZ($A$1,$B14,AL$1,$B$1)</f>
        <v>414.34</v>
      </c>
      <c r="AM14">
        <f>_xll.EQNXTDZ($A$1,$B14,AM$1,$B$1)</f>
        <v>332.63</v>
      </c>
      <c r="AN14">
        <f>_xll.EQNXTDZ($A$1,$B14,AN$1,$B$1)</f>
        <v>324.92</v>
      </c>
      <c r="AO14">
        <f>_xll.EQNXTDZ($A$1,$B14,AO$1,$B$1)</f>
        <v>375.53</v>
      </c>
      <c r="AP14">
        <f>_xll.EQNXTDZ($A$1,$B14,AP$1,$B$1)</f>
        <v>467.1</v>
      </c>
      <c r="AQ14">
        <f>_xll.EQNXTDZ($A$1,$B14,AQ$1,$B$1)</f>
        <v>385.04</v>
      </c>
      <c r="AR14">
        <f>_xll.EQNXTDZ($A$1,$B14,AR$1,$B$1)</f>
        <v>397.4</v>
      </c>
      <c r="AS14">
        <f>_xll.EQNXTDZ($A$1,$B14,AS$1,$B$1)</f>
        <v>390.68</v>
      </c>
      <c r="AT14">
        <f>_xll.EQNXTDZ($A$1,$B14,AT$1,$B$1)</f>
        <v>636.04999999999995</v>
      </c>
      <c r="AU14">
        <f>_xll.EQNXTDZ($A$1,$B14,AU$1,$B$1)</f>
        <v>387.64</v>
      </c>
      <c r="AV14">
        <f>_xll.EQNXTDZ($A$1,$B14,AV$1,$B$1)</f>
        <v>458.47</v>
      </c>
      <c r="AW14">
        <f>_xll.EQNXTDZ($A$1,$B14,AW$1,$B$1)</f>
        <v>570.91999999999996</v>
      </c>
      <c r="AX14">
        <f>_xll.EQNXTDZ($A$1,$B14,AX$1,$B$1)</f>
        <v>1579.08</v>
      </c>
      <c r="AY14">
        <f>_xll.EQNXTDZ($A$1,$B14,AY$1,$B$1)</f>
        <v>1054.1099999999999</v>
      </c>
      <c r="AZ14">
        <f>_xll.EQNXTDZ($A$1,$B14,AZ$1,$B$1)</f>
        <v>1852.7</v>
      </c>
      <c r="BA14">
        <f>_xll.EQNXTDZ($A$1,$B14,BA$1,$B$1)</f>
        <v>1655.59</v>
      </c>
      <c r="BB14">
        <f>_xll.EQNXTDZ($A$1,$B14,BB$1,$B$1)</f>
        <v>2191.06</v>
      </c>
      <c r="BC14">
        <f>_xll.EQNXTDZ($A$1,$B14,BC$1,$B$1)</f>
        <v>2357.7600000000002</v>
      </c>
      <c r="BD14">
        <f>_xll.EQNXTDZ($A$1,$B14,BD$1,$B$1)</f>
        <v>2280.52</v>
      </c>
      <c r="BE14">
        <f>_xll.EQNXTDZ($A$1,$B14,BE$1,$B$1)</f>
        <v>2337.77</v>
      </c>
      <c r="BF14">
        <f>_xll.EQNXTDZ($A$1,$B14,BF$1,$B$1)</f>
        <v>3082.92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345.8</v>
      </c>
      <c r="AC15">
        <f>_xll.EQNXTDZ($A$1,$B15,AC$1,$B$1)</f>
        <v>1129.99</v>
      </c>
      <c r="AD15">
        <f>_xll.EQNXTDZ($A$1,$B15,AD$1,$B$1)</f>
        <v>815.32</v>
      </c>
      <c r="AE15">
        <f>_xll.EQNXTDZ($A$1,$B15,AE$1,$B$1)</f>
        <v>1107.21</v>
      </c>
      <c r="AF15">
        <f>_xll.EQNXTDZ($A$1,$B15,AF$1,$B$1)</f>
        <v>939.68</v>
      </c>
      <c r="AG15">
        <f>_xll.EQNXTDZ($A$1,$B15,AG$1,$B$1)</f>
        <v>901.26</v>
      </c>
      <c r="AH15">
        <f>_xll.EQNXTDZ($A$1,$B15,AH$1,$B$1)</f>
        <v>749.21</v>
      </c>
      <c r="AI15">
        <f>_xll.EQNXTDZ($A$1,$B15,AI$1,$B$1)</f>
        <v>775.77</v>
      </c>
      <c r="AJ15">
        <f>_xll.EQNXTDZ($A$1,$B15,AJ$1,$B$1)</f>
        <v>584.54999999999995</v>
      </c>
      <c r="AK15">
        <f>_xll.EQNXTDZ($A$1,$B15,AK$1,$B$1)</f>
        <v>727.89</v>
      </c>
      <c r="AL15">
        <f>_xll.EQNXTDZ($A$1,$B15,AL$1,$B$1)</f>
        <v>798.86</v>
      </c>
      <c r="AM15">
        <f>_xll.EQNXTDZ($A$1,$B15,AM$1,$B$1)</f>
        <v>819.12</v>
      </c>
      <c r="AN15">
        <f>_xll.EQNXTDZ($A$1,$B15,AN$1,$B$1)</f>
        <v>955.59</v>
      </c>
      <c r="AO15">
        <f>_xll.EQNXTDZ($A$1,$B15,AO$1,$B$1)</f>
        <v>1110.19</v>
      </c>
      <c r="AP15">
        <f>_xll.EQNXTDZ($A$1,$B15,AP$1,$B$1)</f>
        <v>959.97</v>
      </c>
      <c r="AQ15">
        <f>_xll.EQNXTDZ($A$1,$B15,AQ$1,$B$1)</f>
        <v>1766.96</v>
      </c>
      <c r="AR15">
        <f>_xll.EQNXTDZ($A$1,$B15,AR$1,$B$1)</f>
        <v>1239.3399999999999</v>
      </c>
      <c r="AS15">
        <f>_xll.EQNXTDZ($A$1,$B15,AS$1,$B$1)</f>
        <v>1182.77</v>
      </c>
      <c r="AT15">
        <f>_xll.EQNXTDZ($A$1,$B15,AT$1,$B$1)</f>
        <v>287.44</v>
      </c>
      <c r="AU15">
        <f>_xll.EQNXTDZ($A$1,$B15,AU$1,$B$1)</f>
        <v>1459.69</v>
      </c>
      <c r="AV15">
        <f>_xll.EQNXTDZ($A$1,$B15,AV$1,$B$1)</f>
        <v>1264.06</v>
      </c>
      <c r="AW15">
        <f>_xll.EQNXTDZ($A$1,$B15,AW$1,$B$1)</f>
        <v>1467.54</v>
      </c>
      <c r="AX15">
        <f>_xll.EQNXTDZ($A$1,$B15,AX$1,$B$1)</f>
        <v>243.41</v>
      </c>
      <c r="AY15">
        <f>_xll.EQNXTDZ($A$1,$B15,AY$1,$B$1)</f>
        <v>1638.07</v>
      </c>
      <c r="AZ15">
        <f>_xll.EQNXTDZ($A$1,$B15,AZ$1,$B$1)</f>
        <v>1761.03</v>
      </c>
      <c r="BA15">
        <f>_xll.EQNXTDZ($A$1,$B15,BA$1,$B$1)</f>
        <v>1475.68</v>
      </c>
      <c r="BB15">
        <f>_xll.EQNXTDZ($A$1,$B15,BB$1,$B$1)</f>
        <v>1332.9</v>
      </c>
      <c r="BC15">
        <f>_xll.EQNXTDZ($A$1,$B15,BC$1,$B$1)</f>
        <v>1723.67</v>
      </c>
      <c r="BD15">
        <f>_xll.EQNXTDZ($A$1,$B15,BD$1,$B$1)</f>
        <v>1600.51</v>
      </c>
      <c r="BE15">
        <f>_xll.EQNXTDZ($A$1,$B15,BE$1,$B$1)</f>
        <v>1507.94</v>
      </c>
      <c r="BF15">
        <f>_xll.EQNXTDZ($A$1,$B15,BF$1,$B$1)</f>
        <v>1515.76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4.7699999999999996</v>
      </c>
      <c r="N16">
        <f>_xll.EQNXTDZ($A$1,$B16,N$1,$B$1)</f>
        <v>11.44</v>
      </c>
      <c r="O16">
        <f>_xll.EQNXTDZ($A$1,$B16,O$1,$B$1)</f>
        <v>8.5399999999999991</v>
      </c>
      <c r="P16">
        <f>_xll.EQNXTDZ($A$1,$B16,P$1,$B$1)</f>
        <v>9.43</v>
      </c>
      <c r="Q16">
        <f>_xll.EQNXTDZ($A$1,$B16,Q$1,$B$1)</f>
        <v>8.0399999999999991</v>
      </c>
      <c r="R16">
        <f>_xll.EQNXTDZ($A$1,$B16,R$1,$B$1)</f>
        <v>4.7</v>
      </c>
      <c r="S16">
        <f>_xll.EQNXTDZ($A$1,$B16,S$1,$B$1)</f>
        <v>10.53</v>
      </c>
      <c r="T16">
        <f>_xll.EQNXTDZ($A$1,$B16,T$1,$B$1)</f>
        <v>11.89</v>
      </c>
      <c r="U16">
        <f>_xll.EQNXTDZ($A$1,$B16,U$1,$B$1)</f>
        <v>11.92</v>
      </c>
      <c r="V16">
        <f>_xll.EQNXTDZ($A$1,$B16,V$1,$B$1)</f>
        <v>11.57</v>
      </c>
      <c r="W16">
        <f>_xll.EQNXTDZ($A$1,$B16,W$1,$B$1)</f>
        <v>14.5</v>
      </c>
      <c r="X16">
        <f>_xll.EQNXTDZ($A$1,$B16,X$1,$B$1)</f>
        <v>8.81</v>
      </c>
      <c r="Y16">
        <f>_xll.EQNXTDZ($A$1,$B16,Y$1,$B$1)</f>
        <v>8.7899999999999991</v>
      </c>
      <c r="Z16">
        <f>_xll.EQNXTDZ($A$1,$B16,Z$1,$B$1)</f>
        <v>10.15</v>
      </c>
      <c r="AA16">
        <f>_xll.EQNXTDZ($A$1,$B16,AA$1,$B$1)</f>
        <v>14.54</v>
      </c>
      <c r="AB16">
        <f>_xll.EQNXTDZ($A$1,$B16,AB$1,$B$1)</f>
        <v>86.69</v>
      </c>
      <c r="AC16">
        <f>_xll.EQNXTDZ($A$1,$B16,AC$1,$B$1)</f>
        <v>244.28</v>
      </c>
      <c r="AD16">
        <f>_xll.EQNXTDZ($A$1,$B16,AD$1,$B$1)</f>
        <v>241.42</v>
      </c>
      <c r="AE16">
        <f>_xll.EQNXTDZ($A$1,$B16,AE$1,$B$1)</f>
        <v>262.64999999999998</v>
      </c>
      <c r="AF16">
        <f>_xll.EQNXTDZ($A$1,$B16,AF$1,$B$1)</f>
        <v>249.03</v>
      </c>
      <c r="AG16">
        <f>_xll.EQNXTDZ($A$1,$B16,AG$1,$B$1)</f>
        <v>235.79</v>
      </c>
      <c r="AH16">
        <f>_xll.EQNXTDZ($A$1,$B16,AH$1,$B$1)</f>
        <v>225.77</v>
      </c>
      <c r="AI16">
        <f>_xll.EQNXTDZ($A$1,$B16,AI$1,$B$1)</f>
        <v>222.53</v>
      </c>
      <c r="AJ16">
        <f>_xll.EQNXTDZ($A$1,$B16,AJ$1,$B$1)</f>
        <v>253.62</v>
      </c>
      <c r="AK16">
        <f>_xll.EQNXTDZ($A$1,$B16,AK$1,$B$1)</f>
        <v>218.82</v>
      </c>
      <c r="AL16">
        <f>_xll.EQNXTDZ($A$1,$B16,AL$1,$B$1)</f>
        <v>235.79</v>
      </c>
      <c r="AM16">
        <f>_xll.EQNXTDZ($A$1,$B16,AM$1,$B$1)</f>
        <v>229.27</v>
      </c>
      <c r="AN16">
        <f>_xll.EQNXTDZ($A$1,$B16,AN$1,$B$1)</f>
        <v>244.88</v>
      </c>
      <c r="AO16">
        <f>_xll.EQNXTDZ($A$1,$B16,AO$1,$B$1)</f>
        <v>226.7</v>
      </c>
      <c r="AP16">
        <f>_xll.EQNXTDZ($A$1,$B16,AP$1,$B$1)</f>
        <v>184.22</v>
      </c>
      <c r="AQ16">
        <f>_xll.EQNXTDZ($A$1,$B16,AQ$1,$B$1)</f>
        <v>223.46</v>
      </c>
      <c r="AR16">
        <f>_xll.EQNXTDZ($A$1,$B16,AR$1,$B$1)</f>
        <v>231.73</v>
      </c>
      <c r="AS16">
        <f>_xll.EQNXTDZ($A$1,$B16,AS$1,$B$1)</f>
        <v>226.37</v>
      </c>
      <c r="AT16">
        <f>_xll.EQNXTDZ($A$1,$B16,AT$1,$B$1)</f>
        <v>305.08999999999997</v>
      </c>
      <c r="AU16">
        <f>_xll.EQNXTDZ($A$1,$B16,AU$1,$B$1)</f>
        <v>242.8</v>
      </c>
      <c r="AV16">
        <f>_xll.EQNXTDZ($A$1,$B16,AV$1,$B$1)</f>
        <v>270</v>
      </c>
      <c r="AW16">
        <f>_xll.EQNXTDZ($A$1,$B16,AW$1,$B$1)</f>
        <v>259.45999999999998</v>
      </c>
      <c r="AX16">
        <f>_xll.EQNXTDZ($A$1,$B16,AX$1,$B$1)</f>
        <v>179.44</v>
      </c>
      <c r="AY16">
        <f>_xll.EQNXTDZ($A$1,$B16,AY$1,$B$1)</f>
        <v>276.17</v>
      </c>
      <c r="AZ16">
        <f>_xll.EQNXTDZ($A$1,$B16,AZ$1,$B$1)</f>
        <v>292.94</v>
      </c>
      <c r="BA16">
        <f>_xll.EQNXTDZ($A$1,$B16,BA$1,$B$1)</f>
        <v>229.91</v>
      </c>
      <c r="BB16">
        <f>_xll.EQNXTDZ($A$1,$B16,BB$1,$B$1)</f>
        <v>233.92</v>
      </c>
      <c r="BC16">
        <f>_xll.EQNXTDZ($A$1,$B16,BC$1,$B$1)</f>
        <v>231.23</v>
      </c>
      <c r="BD16">
        <f>_xll.EQNXTDZ($A$1,$B16,BD$1,$B$1)</f>
        <v>236.26</v>
      </c>
      <c r="BE16">
        <f>_xll.EQNXTDZ($A$1,$B16,BE$1,$B$1)</f>
        <v>317.51</v>
      </c>
      <c r="BF16">
        <f>_xll.EQNXTDZ($A$1,$B16,BF$1,$B$1)</f>
        <v>307.64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17.190000000000001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-81.010000000000005</v>
      </c>
      <c r="AD21">
        <f>_xll.EQNXTDZ($A$1,$B21,AD$1,$B$1)</f>
        <v>0</v>
      </c>
      <c r="AE21">
        <f>_xll.EQNXTDZ($A$1,$B21,AE$1,$B$1)</f>
        <v>87.87</v>
      </c>
      <c r="AF21">
        <f>_xll.EQNXTDZ($A$1,$B21,AF$1,$B$1)</f>
        <v>73.61</v>
      </c>
      <c r="AG21">
        <f>_xll.EQNXTDZ($A$1,$B21,AG$1,$B$1)</f>
        <v>53.43</v>
      </c>
      <c r="AH21">
        <f>_xll.EQNXTDZ($A$1,$B21,AH$1,$B$1)</f>
        <v>17.86</v>
      </c>
      <c r="AI21">
        <f>_xll.EQNXTDZ($A$1,$B21,AI$1,$B$1)</f>
        <v>-238.3</v>
      </c>
      <c r="AJ21">
        <f>_xll.EQNXTDZ($A$1,$B21,AJ$1,$B$1)</f>
        <v>-33.46</v>
      </c>
      <c r="AK21">
        <f>_xll.EQNXTDZ($A$1,$B21,AK$1,$B$1)</f>
        <v>-111.3</v>
      </c>
      <c r="AL21">
        <f>_xll.EQNXTDZ($A$1,$B21,AL$1,$B$1)</f>
        <v>-199.75</v>
      </c>
      <c r="AM21">
        <f>_xll.EQNXTDZ($A$1,$B21,AM$1,$B$1)</f>
        <v>15.59</v>
      </c>
      <c r="AN21">
        <f>_xll.EQNXTDZ($A$1,$B21,AN$1,$B$1)</f>
        <v>-201.71</v>
      </c>
      <c r="AO21">
        <f>_xll.EQNXTDZ($A$1,$B21,AO$1,$B$1)</f>
        <v>-250.51</v>
      </c>
      <c r="AP21">
        <f>_xll.EQNXTDZ($A$1,$B21,AP$1,$B$1)</f>
        <v>-245.84</v>
      </c>
      <c r="AQ21">
        <f>_xll.EQNXTDZ($A$1,$B21,AQ$1,$B$1)</f>
        <v>-534.67999999999995</v>
      </c>
      <c r="AR21">
        <f>_xll.EQNXTDZ($A$1,$B21,AR$1,$B$1)</f>
        <v>-72.989999999999995</v>
      </c>
      <c r="AS21">
        <f>_xll.EQNXTDZ($A$1,$B21,AS$1,$B$1)</f>
        <v>-62.63</v>
      </c>
      <c r="AT21">
        <f>_xll.EQNXTDZ($A$1,$B21,AT$1,$B$1)</f>
        <v>-365.28</v>
      </c>
      <c r="AU21">
        <f>_xll.EQNXTDZ($A$1,$B21,AU$1,$B$1)</f>
        <v>304.47000000000003</v>
      </c>
      <c r="AV21">
        <f>_xll.EQNXTDZ($A$1,$B21,AV$1,$B$1)</f>
        <v>154.43</v>
      </c>
      <c r="AW21">
        <f>_xll.EQNXTDZ($A$1,$B21,AW$1,$B$1)</f>
        <v>56.71</v>
      </c>
      <c r="AX21">
        <f>_xll.EQNXTDZ($A$1,$B21,AX$1,$B$1)</f>
        <v>-55.6</v>
      </c>
      <c r="AY21">
        <f>_xll.EQNXTDZ($A$1,$B21,AY$1,$B$1)</f>
        <v>593.65</v>
      </c>
      <c r="AZ21">
        <f>_xll.EQNXTDZ($A$1,$B21,AZ$1,$B$1)</f>
        <v>71.69</v>
      </c>
      <c r="BA21">
        <f>_xll.EQNXTDZ($A$1,$B21,BA$1,$B$1)</f>
        <v>464.57</v>
      </c>
      <c r="BB21">
        <f>_xll.EQNXTDZ($A$1,$B21,BB$1,$B$1)</f>
        <v>210.84</v>
      </c>
      <c r="BC21">
        <f>_xll.EQNXTDZ($A$1,$B21,BC$1,$B$1)</f>
        <v>503.89</v>
      </c>
      <c r="BD21">
        <f>_xll.EQNXTDZ($A$1,$B21,BD$1,$B$1)</f>
        <v>333.65</v>
      </c>
      <c r="BE21">
        <f>_xll.EQNXTDZ($A$1,$B21,BE$1,$B$1)</f>
        <v>340.34</v>
      </c>
      <c r="BF21">
        <f>_xll.EQNXTDZ($A$1,$B21,BF$1,$B$1)</f>
        <v>-82.32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6.23</v>
      </c>
      <c r="N22">
        <f>_xll.EQNXTDZ($A$1,$B22,N$1,$B$1)</f>
        <v>95.03</v>
      </c>
      <c r="O22">
        <f>_xll.EQNXTDZ($A$1,$B22,O$1,$B$1)</f>
        <v>439.88</v>
      </c>
      <c r="P22">
        <f>_xll.EQNXTDZ($A$1,$B22,P$1,$B$1)</f>
        <v>527.72</v>
      </c>
      <c r="Q22">
        <f>_xll.EQNXTDZ($A$1,$B22,Q$1,$B$1)</f>
        <v>474.81</v>
      </c>
      <c r="R22">
        <f>_xll.EQNXTDZ($A$1,$B22,R$1,$B$1)</f>
        <v>484.14</v>
      </c>
      <c r="S22">
        <f>_xll.EQNXTDZ($A$1,$B22,S$1,$B$1)</f>
        <v>578.35</v>
      </c>
      <c r="T22">
        <f>_xll.EQNXTDZ($A$1,$B22,T$1,$B$1)</f>
        <v>473.08</v>
      </c>
      <c r="U22">
        <f>_xll.EQNXTDZ($A$1,$B22,U$1,$B$1)</f>
        <v>471.39</v>
      </c>
      <c r="V22">
        <f>_xll.EQNXTDZ($A$1,$B22,V$1,$B$1)</f>
        <v>460.27</v>
      </c>
      <c r="W22">
        <f>_xll.EQNXTDZ($A$1,$B22,W$1,$B$1)</f>
        <v>452.29</v>
      </c>
      <c r="X22">
        <f>_xll.EQNXTDZ($A$1,$B22,X$1,$B$1)</f>
        <v>446.07</v>
      </c>
      <c r="Y22">
        <f>_xll.EQNXTDZ($A$1,$B22,Y$1,$B$1)</f>
        <v>1436.96</v>
      </c>
      <c r="Z22">
        <f>_xll.EQNXTDZ($A$1,$B22,Z$1,$B$1)</f>
        <v>490.69</v>
      </c>
      <c r="AA22">
        <f>_xll.EQNXTDZ($A$1,$B22,AA$1,$B$1)</f>
        <v>505.02</v>
      </c>
      <c r="AB22">
        <f>_xll.EQNXTDZ($A$1,$B22,AB$1,$B$1)</f>
        <v>556.91</v>
      </c>
      <c r="AC22">
        <f>_xll.EQNXTDZ($A$1,$B22,AC$1,$B$1)</f>
        <v>892.82</v>
      </c>
      <c r="AD22">
        <f>_xll.EQNXTDZ($A$1,$B22,AD$1,$B$1)</f>
        <v>871.3</v>
      </c>
      <c r="AE22">
        <f>_xll.EQNXTDZ($A$1,$B22,AE$1,$B$1)</f>
        <v>1106.72</v>
      </c>
      <c r="AF22">
        <f>_xll.EQNXTDZ($A$1,$B22,AF$1,$B$1)</f>
        <v>1003.61</v>
      </c>
      <c r="AG22">
        <f>_xll.EQNXTDZ($A$1,$B22,AG$1,$B$1)</f>
        <v>1055.8</v>
      </c>
      <c r="AH22">
        <f>_xll.EQNXTDZ($A$1,$B22,AH$1,$B$1)</f>
        <v>1087.73</v>
      </c>
      <c r="AI22">
        <f>_xll.EQNXTDZ($A$1,$B22,AI$1,$B$1)</f>
        <v>1394.69</v>
      </c>
      <c r="AJ22">
        <f>_xll.EQNXTDZ($A$1,$B22,AJ$1,$B$1)</f>
        <v>995.82</v>
      </c>
      <c r="AK22">
        <f>_xll.EQNXTDZ($A$1,$B22,AK$1,$B$1)</f>
        <v>1115.48</v>
      </c>
      <c r="AL22">
        <f>_xll.EQNXTDZ($A$1,$B22,AL$1,$B$1)</f>
        <v>1027.18</v>
      </c>
      <c r="AM22">
        <f>_xll.EQNXTDZ($A$1,$B22,AM$1,$B$1)</f>
        <v>1390.38</v>
      </c>
      <c r="AN22">
        <f>_xll.EQNXTDZ($A$1,$B22,AN$1,$B$1)</f>
        <v>1155.72</v>
      </c>
      <c r="AO22">
        <f>_xll.EQNXTDZ($A$1,$B22,AO$1,$B$1)</f>
        <v>1151.3900000000001</v>
      </c>
      <c r="AP22">
        <f>_xll.EQNXTDZ($A$1,$B22,AP$1,$B$1)</f>
        <v>1191.1500000000001</v>
      </c>
      <c r="AQ22">
        <f>_xll.EQNXTDZ($A$1,$B22,AQ$1,$B$1)</f>
        <v>1207.93</v>
      </c>
      <c r="AR22">
        <f>_xll.EQNXTDZ($A$1,$B22,AR$1,$B$1)</f>
        <v>1236.6099999999999</v>
      </c>
      <c r="AS22">
        <f>_xll.EQNXTDZ($A$1,$B22,AS$1,$B$1)</f>
        <v>1540.17</v>
      </c>
      <c r="AT22">
        <f>_xll.EQNXTDZ($A$1,$B22,AT$1,$B$1)</f>
        <v>1568.48</v>
      </c>
      <c r="AU22">
        <f>_xll.EQNXTDZ($A$1,$B22,AU$1,$B$1)</f>
        <v>1269.3</v>
      </c>
      <c r="AV22">
        <f>_xll.EQNXTDZ($A$1,$B22,AV$1,$B$1)</f>
        <v>1350.14</v>
      </c>
      <c r="AW22">
        <f>_xll.EQNXTDZ($A$1,$B22,AW$1,$B$1)</f>
        <v>1470.64</v>
      </c>
      <c r="AX22">
        <f>_xll.EQNXTDZ($A$1,$B22,AX$1,$B$1)</f>
        <v>1621.12</v>
      </c>
      <c r="AY22">
        <f>_xll.EQNXTDZ($A$1,$B22,AY$1,$B$1)</f>
        <v>1650.68</v>
      </c>
      <c r="AZ22">
        <f>_xll.EQNXTDZ($A$1,$B22,AZ$1,$B$1)</f>
        <v>1715.14</v>
      </c>
      <c r="BA22">
        <f>_xll.EQNXTDZ($A$1,$B22,BA$1,$B$1)</f>
        <v>1660.74</v>
      </c>
      <c r="BB22">
        <f>_xll.EQNXTDZ($A$1,$B22,BB$1,$B$1)</f>
        <v>2039.96</v>
      </c>
      <c r="BC22">
        <f>_xll.EQNXTDZ($A$1,$B22,BC$1,$B$1)</f>
        <v>1810.69</v>
      </c>
      <c r="BD22">
        <f>_xll.EQNXTDZ($A$1,$B22,BD$1,$B$1)</f>
        <v>1955.42</v>
      </c>
      <c r="BE22">
        <f>_xll.EQNXTDZ($A$1,$B22,BE$1,$B$1)</f>
        <v>1995.4</v>
      </c>
      <c r="BF22">
        <f>_xll.EQNXTDZ($A$1,$B22,BF$1,$B$1)</f>
        <v>2227.33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3.29</v>
      </c>
      <c r="O23">
        <f>_xll.EQNXTDZ($A$1,$B23,O$1,$B$1)</f>
        <v>1.3</v>
      </c>
      <c r="P23">
        <f>_xll.EQNXTDZ($A$1,$B23,P$1,$B$1)</f>
        <v>57.07</v>
      </c>
      <c r="Q23">
        <f>_xll.EQNXTDZ($A$1,$B23,Q$1,$B$1)</f>
        <v>2.78</v>
      </c>
      <c r="R23">
        <f>_xll.EQNXTDZ($A$1,$B23,R$1,$B$1)</f>
        <v>9.23</v>
      </c>
      <c r="S23">
        <f>_xll.EQNXTDZ($A$1,$B23,S$1,$B$1)</f>
        <v>5.3</v>
      </c>
      <c r="T23">
        <f>_xll.EQNXTDZ($A$1,$B23,T$1,$B$1)</f>
        <v>5.74</v>
      </c>
      <c r="U23">
        <f>_xll.EQNXTDZ($A$1,$B23,U$1,$B$1)</f>
        <v>5.21</v>
      </c>
      <c r="V23">
        <f>_xll.EQNXTDZ($A$1,$B23,V$1,$B$1)</f>
        <v>5.85</v>
      </c>
      <c r="W23">
        <f>_xll.EQNXTDZ($A$1,$B23,W$1,$B$1)</f>
        <v>10.26</v>
      </c>
      <c r="X23">
        <f>_xll.EQNXTDZ($A$1,$B23,X$1,$B$1)</f>
        <v>6.83</v>
      </c>
      <c r="Y23">
        <f>_xll.EQNXTDZ($A$1,$B23,Y$1,$B$1)</f>
        <v>25.52</v>
      </c>
      <c r="Z23">
        <f>_xll.EQNXTDZ($A$1,$B23,Z$1,$B$1)</f>
        <v>68.099999999999994</v>
      </c>
      <c r="AA23">
        <f>_xll.EQNXTDZ($A$1,$B23,AA$1,$B$1)</f>
        <v>74.28</v>
      </c>
      <c r="AB23">
        <f>_xll.EQNXTDZ($A$1,$B23,AB$1,$B$1)</f>
        <v>66.42</v>
      </c>
      <c r="AC23">
        <f>_xll.EQNXTDZ($A$1,$B23,AC$1,$B$1)</f>
        <v>91.05</v>
      </c>
      <c r="AD23">
        <f>_xll.EQNXTDZ($A$1,$B23,AD$1,$B$1)</f>
        <v>55.62</v>
      </c>
      <c r="AE23">
        <f>_xll.EQNXTDZ($A$1,$B23,AE$1,$B$1)</f>
        <v>31.66</v>
      </c>
      <c r="AF23">
        <f>_xll.EQNXTDZ($A$1,$B23,AF$1,$B$1)</f>
        <v>44.92</v>
      </c>
      <c r="AG23">
        <f>_xll.EQNXTDZ($A$1,$B23,AG$1,$B$1)</f>
        <v>58.2</v>
      </c>
      <c r="AH23">
        <f>_xll.EQNXTDZ($A$1,$B23,AH$1,$B$1)</f>
        <v>130.55000000000001</v>
      </c>
      <c r="AI23">
        <f>_xll.EQNXTDZ($A$1,$B23,AI$1,$B$1)</f>
        <v>96.33</v>
      </c>
      <c r="AJ23">
        <f>_xll.EQNXTDZ($A$1,$B23,AJ$1,$B$1)</f>
        <v>150.26</v>
      </c>
      <c r="AK23">
        <f>_xll.EQNXTDZ($A$1,$B23,AK$1,$B$1)</f>
        <v>137.02000000000001</v>
      </c>
      <c r="AL23">
        <f>_xll.EQNXTDZ($A$1,$B23,AL$1,$B$1)</f>
        <v>148.99</v>
      </c>
      <c r="AM23">
        <f>_xll.EQNXTDZ($A$1,$B23,AM$1,$B$1)</f>
        <v>106.07</v>
      </c>
      <c r="AN23">
        <f>_xll.EQNXTDZ($A$1,$B23,AN$1,$B$1)</f>
        <v>133.76</v>
      </c>
      <c r="AO23">
        <f>_xll.EQNXTDZ($A$1,$B23,AO$1,$B$1)</f>
        <v>173.5</v>
      </c>
      <c r="AP23">
        <f>_xll.EQNXTDZ($A$1,$B23,AP$1,$B$1)</f>
        <v>190.62</v>
      </c>
      <c r="AQ23">
        <f>_xll.EQNXTDZ($A$1,$B23,AQ$1,$B$1)</f>
        <v>117.86</v>
      </c>
      <c r="AR23">
        <f>_xll.EQNXTDZ($A$1,$B23,AR$1,$B$1)</f>
        <v>125.09</v>
      </c>
      <c r="AS23">
        <f>_xll.EQNXTDZ($A$1,$B23,AS$1,$B$1)</f>
        <v>167.61</v>
      </c>
      <c r="AT23">
        <f>_xll.EQNXTDZ($A$1,$B23,AT$1,$B$1)</f>
        <v>137.18</v>
      </c>
      <c r="AU23">
        <f>_xll.EQNXTDZ($A$1,$B23,AU$1,$B$1)</f>
        <v>108.34</v>
      </c>
      <c r="AV23">
        <f>_xll.EQNXTDZ($A$1,$B23,AV$1,$B$1)</f>
        <v>92.59</v>
      </c>
      <c r="AW23">
        <f>_xll.EQNXTDZ($A$1,$B23,AW$1,$B$1)</f>
        <v>261.69</v>
      </c>
      <c r="AX23">
        <f>_xll.EQNXTDZ($A$1,$B23,AX$1,$B$1)</f>
        <v>148.33000000000001</v>
      </c>
      <c r="AY23">
        <f>_xll.EQNXTDZ($A$1,$B23,AY$1,$B$1)</f>
        <v>111.42</v>
      </c>
      <c r="AZ23">
        <f>_xll.EQNXTDZ($A$1,$B23,AZ$1,$B$1)</f>
        <v>176.1</v>
      </c>
      <c r="BA23">
        <f>_xll.EQNXTDZ($A$1,$B23,BA$1,$B$1)</f>
        <v>170.13</v>
      </c>
      <c r="BB23">
        <f>_xll.EQNXTDZ($A$1,$B23,BB$1,$B$1)</f>
        <v>221.81</v>
      </c>
      <c r="BC23">
        <f>_xll.EQNXTDZ($A$1,$B23,BC$1,$B$1)</f>
        <v>206.21</v>
      </c>
      <c r="BD23">
        <f>_xll.EQNXTDZ($A$1,$B23,BD$1,$B$1)</f>
        <v>171.32</v>
      </c>
      <c r="BE23">
        <f>_xll.EQNXTDZ($A$1,$B23,BE$1,$B$1)</f>
        <v>214.79</v>
      </c>
      <c r="BF23">
        <f>_xll.EQNXTDZ($A$1,$B23,BF$1,$B$1)</f>
        <v>144.81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6.23</v>
      </c>
      <c r="N24">
        <f>_xll.EQNXTDZ($A$1,$B24,N$1,$B$1)</f>
        <v>98.32</v>
      </c>
      <c r="O24">
        <f>_xll.EQNXTDZ($A$1,$B24,O$1,$B$1)</f>
        <v>441.18</v>
      </c>
      <c r="P24">
        <f>_xll.EQNXTDZ($A$1,$B24,P$1,$B$1)</f>
        <v>584.79</v>
      </c>
      <c r="Q24">
        <f>_xll.EQNXTDZ($A$1,$B24,Q$1,$B$1)</f>
        <v>477.59</v>
      </c>
      <c r="R24">
        <f>_xll.EQNXTDZ($A$1,$B24,R$1,$B$1)</f>
        <v>493.37</v>
      </c>
      <c r="S24">
        <f>_xll.EQNXTDZ($A$1,$B24,S$1,$B$1)</f>
        <v>583.65</v>
      </c>
      <c r="T24">
        <f>_xll.EQNXTDZ($A$1,$B24,T$1,$B$1)</f>
        <v>478.82</v>
      </c>
      <c r="U24">
        <f>_xll.EQNXTDZ($A$1,$B24,U$1,$B$1)</f>
        <v>476.6</v>
      </c>
      <c r="V24">
        <f>_xll.EQNXTDZ($A$1,$B24,V$1,$B$1)</f>
        <v>466.12</v>
      </c>
      <c r="W24">
        <f>_xll.EQNXTDZ($A$1,$B24,W$1,$B$1)</f>
        <v>462.55</v>
      </c>
      <c r="X24">
        <f>_xll.EQNXTDZ($A$1,$B24,X$1,$B$1)</f>
        <v>452.9</v>
      </c>
      <c r="Y24">
        <f>_xll.EQNXTDZ($A$1,$B24,Y$1,$B$1)</f>
        <v>1462.48</v>
      </c>
      <c r="Z24">
        <f>_xll.EQNXTDZ($A$1,$B24,Z$1,$B$1)</f>
        <v>558.79</v>
      </c>
      <c r="AA24">
        <f>_xll.EQNXTDZ($A$1,$B24,AA$1,$B$1)</f>
        <v>579.29999999999995</v>
      </c>
      <c r="AB24">
        <f>_xll.EQNXTDZ($A$1,$B24,AB$1,$B$1)</f>
        <v>623.33000000000004</v>
      </c>
      <c r="AC24">
        <f>_xll.EQNXTDZ($A$1,$B24,AC$1,$B$1)</f>
        <v>983.87</v>
      </c>
      <c r="AD24">
        <f>_xll.EQNXTDZ($A$1,$B24,AD$1,$B$1)</f>
        <v>926.92</v>
      </c>
      <c r="AE24">
        <f>_xll.EQNXTDZ($A$1,$B24,AE$1,$B$1)</f>
        <v>1138.3800000000001</v>
      </c>
      <c r="AF24">
        <f>_xll.EQNXTDZ($A$1,$B24,AF$1,$B$1)</f>
        <v>1048.53</v>
      </c>
      <c r="AG24">
        <f>_xll.EQNXTDZ($A$1,$B24,AG$1,$B$1)</f>
        <v>1114</v>
      </c>
      <c r="AH24">
        <f>_xll.EQNXTDZ($A$1,$B24,AH$1,$B$1)</f>
        <v>1218.28</v>
      </c>
      <c r="AI24">
        <f>_xll.EQNXTDZ($A$1,$B24,AI$1,$B$1)</f>
        <v>1491.02</v>
      </c>
      <c r="AJ24">
        <f>_xll.EQNXTDZ($A$1,$B24,AJ$1,$B$1)</f>
        <v>1146.08</v>
      </c>
      <c r="AK24">
        <f>_xll.EQNXTDZ($A$1,$B24,AK$1,$B$1)</f>
        <v>1252.5</v>
      </c>
      <c r="AL24">
        <f>_xll.EQNXTDZ($A$1,$B24,AL$1,$B$1)</f>
        <v>1176.17</v>
      </c>
      <c r="AM24">
        <f>_xll.EQNXTDZ($A$1,$B24,AM$1,$B$1)</f>
        <v>1496.45</v>
      </c>
      <c r="AN24">
        <f>_xll.EQNXTDZ($A$1,$B24,AN$1,$B$1)</f>
        <v>1289.48</v>
      </c>
      <c r="AO24">
        <f>_xll.EQNXTDZ($A$1,$B24,AO$1,$B$1)</f>
        <v>1324.89</v>
      </c>
      <c r="AP24">
        <f>_xll.EQNXTDZ($A$1,$B24,AP$1,$B$1)</f>
        <v>1381.77</v>
      </c>
      <c r="AQ24">
        <f>_xll.EQNXTDZ($A$1,$B24,AQ$1,$B$1)</f>
        <v>1325.79</v>
      </c>
      <c r="AR24">
        <f>_xll.EQNXTDZ($A$1,$B24,AR$1,$B$1)</f>
        <v>1361.7</v>
      </c>
      <c r="AS24">
        <f>_xll.EQNXTDZ($A$1,$B24,AS$1,$B$1)</f>
        <v>1707.78</v>
      </c>
      <c r="AT24">
        <f>_xll.EQNXTDZ($A$1,$B24,AT$1,$B$1)</f>
        <v>1705.66</v>
      </c>
      <c r="AU24">
        <f>_xll.EQNXTDZ($A$1,$B24,AU$1,$B$1)</f>
        <v>1377.64</v>
      </c>
      <c r="AV24">
        <f>_xll.EQNXTDZ($A$1,$B24,AV$1,$B$1)</f>
        <v>1442.73</v>
      </c>
      <c r="AW24">
        <f>_xll.EQNXTDZ($A$1,$B24,AW$1,$B$1)</f>
        <v>1732.33</v>
      </c>
      <c r="AX24">
        <f>_xll.EQNXTDZ($A$1,$B24,AX$1,$B$1)</f>
        <v>1769.45</v>
      </c>
      <c r="AY24">
        <f>_xll.EQNXTDZ($A$1,$B24,AY$1,$B$1)</f>
        <v>1762.1</v>
      </c>
      <c r="AZ24">
        <f>_xll.EQNXTDZ($A$1,$B24,AZ$1,$B$1)</f>
        <v>1891.24</v>
      </c>
      <c r="BA24">
        <f>_xll.EQNXTDZ($A$1,$B24,BA$1,$B$1)</f>
        <v>1830.87</v>
      </c>
      <c r="BB24">
        <f>_xll.EQNXTDZ($A$1,$B24,BB$1,$B$1)</f>
        <v>2261.77</v>
      </c>
      <c r="BC24">
        <f>_xll.EQNXTDZ($A$1,$B24,BC$1,$B$1)</f>
        <v>2016.9</v>
      </c>
      <c r="BD24">
        <f>_xll.EQNXTDZ($A$1,$B24,BD$1,$B$1)</f>
        <v>2126.7399999999998</v>
      </c>
      <c r="BE24">
        <f>_xll.EQNXTDZ($A$1,$B24,BE$1,$B$1)</f>
        <v>2210.19</v>
      </c>
      <c r="BF24">
        <f>_xll.EQNXTDZ($A$1,$B24,BF$1,$B$1)</f>
        <v>2372.14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0.06</v>
      </c>
      <c r="N25">
        <f>_xll.EQNXTDZ($A$1,$B25,N$1,$B$1)</f>
        <v>72.47</v>
      </c>
      <c r="O25">
        <f>_xll.EQNXTDZ($A$1,$B25,O$1,$B$1)</f>
        <v>257.04000000000002</v>
      </c>
      <c r="P25">
        <f>_xll.EQNXTDZ($A$1,$B25,P$1,$B$1)</f>
        <v>235.62</v>
      </c>
      <c r="Q25">
        <f>_xll.EQNXTDZ($A$1,$B25,Q$1,$B$1)</f>
        <v>237.86</v>
      </c>
      <c r="R25">
        <f>_xll.EQNXTDZ($A$1,$B25,R$1,$B$1)</f>
        <v>226.77</v>
      </c>
      <c r="S25">
        <f>_xll.EQNXTDZ($A$1,$B25,S$1,$B$1)</f>
        <v>232.13</v>
      </c>
      <c r="T25">
        <f>_xll.EQNXTDZ($A$1,$B25,T$1,$B$1)</f>
        <v>254.35</v>
      </c>
      <c r="U25">
        <f>_xll.EQNXTDZ($A$1,$B25,U$1,$B$1)</f>
        <v>207.52</v>
      </c>
      <c r="V25">
        <f>_xll.EQNXTDZ($A$1,$B25,V$1,$B$1)</f>
        <v>210.01</v>
      </c>
      <c r="W25">
        <f>_xll.EQNXTDZ($A$1,$B25,W$1,$B$1)</f>
        <v>207.35</v>
      </c>
      <c r="X25">
        <f>_xll.EQNXTDZ($A$1,$B25,X$1,$B$1)</f>
        <v>215.84</v>
      </c>
      <c r="Y25">
        <f>_xll.EQNXTDZ($A$1,$B25,Y$1,$B$1)</f>
        <v>236.17</v>
      </c>
      <c r="Z25">
        <f>_xll.EQNXTDZ($A$1,$B25,Z$1,$B$1)</f>
        <v>226.27</v>
      </c>
      <c r="AA25">
        <f>_xll.EQNXTDZ($A$1,$B25,AA$1,$B$1)</f>
        <v>211.04</v>
      </c>
      <c r="AB25">
        <f>_xll.EQNXTDZ($A$1,$B25,AB$1,$B$1)</f>
        <v>286.69</v>
      </c>
      <c r="AC25">
        <f>_xll.EQNXTDZ($A$1,$B25,AC$1,$B$1)</f>
        <v>457.79</v>
      </c>
      <c r="AD25">
        <f>_xll.EQNXTDZ($A$1,$B25,AD$1,$B$1)</f>
        <v>435.51</v>
      </c>
      <c r="AE25">
        <f>_xll.EQNXTDZ($A$1,$B25,AE$1,$B$1)</f>
        <v>531.96</v>
      </c>
      <c r="AF25">
        <f>_xll.EQNXTDZ($A$1,$B25,AF$1,$B$1)</f>
        <v>493</v>
      </c>
      <c r="AG25">
        <f>_xll.EQNXTDZ($A$1,$B25,AG$1,$B$1)</f>
        <v>515.91999999999996</v>
      </c>
      <c r="AH25">
        <f>_xll.EQNXTDZ($A$1,$B25,AH$1,$B$1)</f>
        <v>697.61</v>
      </c>
      <c r="AI25">
        <f>_xll.EQNXTDZ($A$1,$B25,AI$1,$B$1)</f>
        <v>631.22</v>
      </c>
      <c r="AJ25">
        <f>_xll.EQNXTDZ($A$1,$B25,AJ$1,$B$1)</f>
        <v>536.41</v>
      </c>
      <c r="AK25">
        <f>_xll.EQNXTDZ($A$1,$B25,AK$1,$B$1)</f>
        <v>455.18</v>
      </c>
      <c r="AL25">
        <f>_xll.EQNXTDZ($A$1,$B25,AL$1,$B$1)</f>
        <v>494.18</v>
      </c>
      <c r="AM25">
        <f>_xll.EQNXTDZ($A$1,$B25,AM$1,$B$1)</f>
        <v>614.34</v>
      </c>
      <c r="AN25">
        <f>_xll.EQNXTDZ($A$1,$B25,AN$1,$B$1)</f>
        <v>540.36</v>
      </c>
      <c r="AO25">
        <f>_xll.EQNXTDZ($A$1,$B25,AO$1,$B$1)</f>
        <v>560.24</v>
      </c>
      <c r="AP25">
        <f>_xll.EQNXTDZ($A$1,$B25,AP$1,$B$1)</f>
        <v>650.01</v>
      </c>
      <c r="AQ25">
        <f>_xll.EQNXTDZ($A$1,$B25,AQ$1,$B$1)</f>
        <v>739.98</v>
      </c>
      <c r="AR25">
        <f>_xll.EQNXTDZ($A$1,$B25,AR$1,$B$1)</f>
        <v>713.91</v>
      </c>
      <c r="AS25">
        <f>_xll.EQNXTDZ($A$1,$B25,AS$1,$B$1)</f>
        <v>697.09</v>
      </c>
      <c r="AT25">
        <f>_xll.EQNXTDZ($A$1,$B25,AT$1,$B$1)</f>
        <v>630.49</v>
      </c>
      <c r="AU25">
        <f>_xll.EQNXTDZ($A$1,$B25,AU$1,$B$1)</f>
        <v>615.66999999999996</v>
      </c>
      <c r="AV25">
        <f>_xll.EQNXTDZ($A$1,$B25,AV$1,$B$1)</f>
        <v>640.80999999999995</v>
      </c>
      <c r="AW25">
        <f>_xll.EQNXTDZ($A$1,$B25,AW$1,$B$1)</f>
        <v>760.04</v>
      </c>
      <c r="AX25">
        <f>_xll.EQNXTDZ($A$1,$B25,AX$1,$B$1)</f>
        <v>749.99</v>
      </c>
      <c r="AY25">
        <f>_xll.EQNXTDZ($A$1,$B25,AY$1,$B$1)</f>
        <v>810.93</v>
      </c>
      <c r="AZ25">
        <f>_xll.EQNXTDZ($A$1,$B25,AZ$1,$B$1)</f>
        <v>812.94</v>
      </c>
      <c r="BA25">
        <f>_xll.EQNXTDZ($A$1,$B25,BA$1,$B$1)</f>
        <v>809.12</v>
      </c>
      <c r="BB25">
        <f>_xll.EQNXTDZ($A$1,$B25,BB$1,$B$1)</f>
        <v>826.17</v>
      </c>
      <c r="BC25">
        <f>_xll.EQNXTDZ($A$1,$B25,BC$1,$B$1)</f>
        <v>894.03</v>
      </c>
      <c r="BD25">
        <f>_xll.EQNXTDZ($A$1,$B25,BD$1,$B$1)</f>
        <v>871.66</v>
      </c>
      <c r="BE25">
        <f>_xll.EQNXTDZ($A$1,$B25,BE$1,$B$1)</f>
        <v>912.95</v>
      </c>
      <c r="BF25">
        <f>_xll.EQNXTDZ($A$1,$B25,BF$1,$B$1)</f>
        <v>954.26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-1506.02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6.17</v>
      </c>
      <c r="N27">
        <f>_xll.EQNXTDZ($A$1,$B27,N$1,$B$1)</f>
        <v>25.85</v>
      </c>
      <c r="O27">
        <f>_xll.EQNXTDZ($A$1,$B27,O$1,$B$1)</f>
        <v>184.14</v>
      </c>
      <c r="P27">
        <f>_xll.EQNXTDZ($A$1,$B27,P$1,$B$1)</f>
        <v>349.17</v>
      </c>
      <c r="Q27">
        <f>_xll.EQNXTDZ($A$1,$B27,Q$1,$B$1)</f>
        <v>239.73</v>
      </c>
      <c r="R27">
        <f>_xll.EQNXTDZ($A$1,$B27,R$1,$B$1)</f>
        <v>266.60000000000002</v>
      </c>
      <c r="S27">
        <f>_xll.EQNXTDZ($A$1,$B27,S$1,$B$1)</f>
        <v>351.52</v>
      </c>
      <c r="T27">
        <f>_xll.EQNXTDZ($A$1,$B27,T$1,$B$1)</f>
        <v>224.47</v>
      </c>
      <c r="U27">
        <f>_xll.EQNXTDZ($A$1,$B27,U$1,$B$1)</f>
        <v>269.08</v>
      </c>
      <c r="V27">
        <f>_xll.EQNXTDZ($A$1,$B27,V$1,$B$1)</f>
        <v>256.11</v>
      </c>
      <c r="W27">
        <f>_xll.EQNXTDZ($A$1,$B27,W$1,$B$1)</f>
        <v>255.2</v>
      </c>
      <c r="X27">
        <f>_xll.EQNXTDZ($A$1,$B27,X$1,$B$1)</f>
        <v>237.06</v>
      </c>
      <c r="Y27">
        <f>_xll.EQNXTDZ($A$1,$B27,Y$1,$B$1)</f>
        <v>1226.31</v>
      </c>
      <c r="Z27">
        <f>_xll.EQNXTDZ($A$1,$B27,Z$1,$B$1)</f>
        <v>332.52</v>
      </c>
      <c r="AA27">
        <f>_xll.EQNXTDZ($A$1,$B27,AA$1,$B$1)</f>
        <v>368.26</v>
      </c>
      <c r="AB27">
        <f>_xll.EQNXTDZ($A$1,$B27,AB$1,$B$1)</f>
        <v>336.64</v>
      </c>
      <c r="AC27">
        <f>_xll.EQNXTDZ($A$1,$B27,AC$1,$B$1)</f>
        <v>526.08000000000004</v>
      </c>
      <c r="AD27">
        <f>_xll.EQNXTDZ($A$1,$B27,AD$1,$B$1)</f>
        <v>491.41</v>
      </c>
      <c r="AE27">
        <f>_xll.EQNXTDZ($A$1,$B27,AE$1,$B$1)</f>
        <v>606.41999999999996</v>
      </c>
      <c r="AF27">
        <f>_xll.EQNXTDZ($A$1,$B27,AF$1,$B$1)</f>
        <v>555.53</v>
      </c>
      <c r="AG27">
        <f>_xll.EQNXTDZ($A$1,$B27,AG$1,$B$1)</f>
        <v>598.08000000000004</v>
      </c>
      <c r="AH27">
        <f>_xll.EQNXTDZ($A$1,$B27,AH$1,$B$1)</f>
        <v>520.66999999999996</v>
      </c>
      <c r="AI27">
        <f>_xll.EQNXTDZ($A$1,$B27,AI$1,$B$1)</f>
        <v>859.8</v>
      </c>
      <c r="AJ27">
        <f>_xll.EQNXTDZ($A$1,$B27,AJ$1,$B$1)</f>
        <v>609.66999999999996</v>
      </c>
      <c r="AK27">
        <f>_xll.EQNXTDZ($A$1,$B27,AK$1,$B$1)</f>
        <v>797.32</v>
      </c>
      <c r="AL27">
        <f>_xll.EQNXTDZ($A$1,$B27,AL$1,$B$1)</f>
        <v>681.99</v>
      </c>
      <c r="AM27">
        <f>_xll.EQNXTDZ($A$1,$B27,AM$1,$B$1)</f>
        <v>882.11</v>
      </c>
      <c r="AN27">
        <f>_xll.EQNXTDZ($A$1,$B27,AN$1,$B$1)</f>
        <v>749.12</v>
      </c>
      <c r="AO27">
        <f>_xll.EQNXTDZ($A$1,$B27,AO$1,$B$1)</f>
        <v>764.65</v>
      </c>
      <c r="AP27">
        <f>_xll.EQNXTDZ($A$1,$B27,AP$1,$B$1)</f>
        <v>731.76</v>
      </c>
      <c r="AQ27">
        <f>_xll.EQNXTDZ($A$1,$B27,AQ$1,$B$1)</f>
        <v>585.80999999999995</v>
      </c>
      <c r="AR27">
        <f>_xll.EQNXTDZ($A$1,$B27,AR$1,$B$1)</f>
        <v>647.79</v>
      </c>
      <c r="AS27">
        <f>_xll.EQNXTDZ($A$1,$B27,AS$1,$B$1)</f>
        <v>1010.69</v>
      </c>
      <c r="AT27">
        <f>_xll.EQNXTDZ($A$1,$B27,AT$1,$B$1)</f>
        <v>1075.17</v>
      </c>
      <c r="AU27">
        <f>_xll.EQNXTDZ($A$1,$B27,AU$1,$B$1)</f>
        <v>761.97</v>
      </c>
      <c r="AV27">
        <f>_xll.EQNXTDZ($A$1,$B27,AV$1,$B$1)</f>
        <v>801.92</v>
      </c>
      <c r="AW27">
        <f>_xll.EQNXTDZ($A$1,$B27,AW$1,$B$1)</f>
        <v>972.29</v>
      </c>
      <c r="AX27">
        <f>_xll.EQNXTDZ($A$1,$B27,AX$1,$B$1)</f>
        <v>1019.46</v>
      </c>
      <c r="AY27">
        <f>_xll.EQNXTDZ($A$1,$B27,AY$1,$B$1)</f>
        <v>-554.85</v>
      </c>
      <c r="AZ27">
        <f>_xll.EQNXTDZ($A$1,$B27,AZ$1,$B$1)</f>
        <v>1078.3</v>
      </c>
      <c r="BA27">
        <f>_xll.EQNXTDZ($A$1,$B27,BA$1,$B$1)</f>
        <v>1021.75</v>
      </c>
      <c r="BB27">
        <f>_xll.EQNXTDZ($A$1,$B27,BB$1,$B$1)</f>
        <v>1435.6</v>
      </c>
      <c r="BC27">
        <f>_xll.EQNXTDZ($A$1,$B27,BC$1,$B$1)</f>
        <v>1122.8699999999999</v>
      </c>
      <c r="BD27">
        <f>_xll.EQNXTDZ($A$1,$B27,BD$1,$B$1)</f>
        <v>1255.08</v>
      </c>
      <c r="BE27">
        <f>_xll.EQNXTDZ($A$1,$B27,BE$1,$B$1)</f>
        <v>1297.24</v>
      </c>
      <c r="BF27">
        <f>_xll.EQNXTDZ($A$1,$B27,BF$1,$B$1)</f>
        <v>1417.88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37.07</v>
      </c>
      <c r="O28">
        <f>_xll.EQNXTDZ($A$1,$B28,O$1,$B$1)</f>
        <v>138.57</v>
      </c>
      <c r="P28">
        <f>_xll.EQNXTDZ($A$1,$B28,P$1,$B$1)</f>
        <v>140.61000000000001</v>
      </c>
      <c r="Q28">
        <f>_xll.EQNXTDZ($A$1,$B28,Q$1,$B$1)</f>
        <v>140.61000000000001</v>
      </c>
      <c r="R28">
        <f>_xll.EQNXTDZ($A$1,$B28,R$1,$B$1)</f>
        <v>139.86000000000001</v>
      </c>
      <c r="S28">
        <f>_xll.EQNXTDZ($A$1,$B28,S$1,$B$1)</f>
        <v>139.76</v>
      </c>
      <c r="T28">
        <f>_xll.EQNXTDZ($A$1,$B28,T$1,$B$1)</f>
        <v>141.18</v>
      </c>
      <c r="U28">
        <f>_xll.EQNXTDZ($A$1,$B28,U$1,$B$1)</f>
        <v>145.68</v>
      </c>
      <c r="V28">
        <f>_xll.EQNXTDZ($A$1,$B28,V$1,$B$1)</f>
        <v>142.63</v>
      </c>
      <c r="W28">
        <f>_xll.EQNXTDZ($A$1,$B28,W$1,$B$1)</f>
        <v>144.56</v>
      </c>
      <c r="X28">
        <f>_xll.EQNXTDZ($A$1,$B28,X$1,$B$1)</f>
        <v>145.99</v>
      </c>
      <c r="Y28">
        <f>_xll.EQNXTDZ($A$1,$B28,Y$1,$B$1)</f>
        <v>146.02000000000001</v>
      </c>
      <c r="Z28">
        <f>_xll.EQNXTDZ($A$1,$B28,Z$1,$B$1)</f>
        <v>142.84</v>
      </c>
      <c r="AA28">
        <f>_xll.EQNXTDZ($A$1,$B28,AA$1,$B$1)</f>
        <v>146.06</v>
      </c>
      <c r="AB28">
        <f>_xll.EQNXTDZ($A$1,$B28,AB$1,$B$1)</f>
        <v>192.14</v>
      </c>
      <c r="AC28">
        <f>_xll.EQNXTDZ($A$1,$B28,AC$1,$B$1)</f>
        <v>267.64</v>
      </c>
      <c r="AD28">
        <f>_xll.EQNXTDZ($A$1,$B28,AD$1,$B$1)</f>
        <v>276.31</v>
      </c>
      <c r="AE28">
        <f>_xll.EQNXTDZ($A$1,$B28,AE$1,$B$1)</f>
        <v>285.25</v>
      </c>
      <c r="AF28">
        <f>_xll.EQNXTDZ($A$1,$B28,AF$1,$B$1)</f>
        <v>291.33</v>
      </c>
      <c r="AG28">
        <f>_xll.EQNXTDZ($A$1,$B28,AG$1,$B$1)</f>
        <v>293.54000000000002</v>
      </c>
      <c r="AH28">
        <f>_xll.EQNXTDZ($A$1,$B28,AH$1,$B$1)</f>
        <v>303.89999999999998</v>
      </c>
      <c r="AI28">
        <f>_xll.EQNXTDZ($A$1,$B28,AI$1,$B$1)</f>
        <v>377.83</v>
      </c>
      <c r="AJ28">
        <f>_xll.EQNXTDZ($A$1,$B28,AJ$1,$B$1)</f>
        <v>313.89</v>
      </c>
      <c r="AK28">
        <f>_xll.EQNXTDZ($A$1,$B28,AK$1,$B$1)</f>
        <v>325.29000000000002</v>
      </c>
      <c r="AL28">
        <f>_xll.EQNXTDZ($A$1,$B28,AL$1,$B$1)</f>
        <v>311.87</v>
      </c>
      <c r="AM28">
        <f>_xll.EQNXTDZ($A$1,$B28,AM$1,$B$1)</f>
        <v>342.12</v>
      </c>
      <c r="AN28">
        <f>_xll.EQNXTDZ($A$1,$B28,AN$1,$B$1)</f>
        <v>352.76</v>
      </c>
      <c r="AO28">
        <f>_xll.EQNXTDZ($A$1,$B28,AO$1,$B$1)</f>
        <v>362.74</v>
      </c>
      <c r="AP28">
        <f>_xll.EQNXTDZ($A$1,$B28,AP$1,$B$1)</f>
        <v>369.53</v>
      </c>
      <c r="AQ28">
        <f>_xll.EQNXTDZ($A$1,$B28,AQ$1,$B$1)</f>
        <v>383.98</v>
      </c>
      <c r="AR28">
        <f>_xll.EQNXTDZ($A$1,$B28,AR$1,$B$1)</f>
        <v>397.84</v>
      </c>
      <c r="AS28">
        <f>_xll.EQNXTDZ($A$1,$B28,AS$1,$B$1)</f>
        <v>410.37</v>
      </c>
      <c r="AT28">
        <f>_xll.EQNXTDZ($A$1,$B28,AT$1,$B$1)</f>
        <v>415.55</v>
      </c>
      <c r="AU28">
        <f>_xll.EQNXTDZ($A$1,$B28,AU$1,$B$1)</f>
        <v>418.88</v>
      </c>
      <c r="AV28">
        <f>_xll.EQNXTDZ($A$1,$B28,AV$1,$B$1)</f>
        <v>432.05</v>
      </c>
      <c r="AW28">
        <f>_xll.EQNXTDZ($A$1,$B28,AW$1,$B$1)</f>
        <v>457.64</v>
      </c>
      <c r="AX28">
        <f>_xll.EQNXTDZ($A$1,$B28,AX$1,$B$1)</f>
        <v>467.51</v>
      </c>
      <c r="AY28">
        <f>_xll.EQNXTDZ($A$1,$B28,AY$1,$B$1)</f>
        <v>497.85</v>
      </c>
      <c r="AZ28">
        <f>_xll.EQNXTDZ($A$1,$B28,AZ$1,$B$1)</f>
        <v>484.07</v>
      </c>
      <c r="BA28">
        <f>_xll.EQNXTDZ($A$1,$B28,BA$1,$B$1)</f>
        <v>462.38</v>
      </c>
      <c r="BB28">
        <f>_xll.EQNXTDZ($A$1,$B28,BB$1,$B$1)</f>
        <v>461.65</v>
      </c>
      <c r="BC28">
        <f>_xll.EQNXTDZ($A$1,$B28,BC$1,$B$1)</f>
        <v>464.82</v>
      </c>
      <c r="BD28">
        <f>_xll.EQNXTDZ($A$1,$B28,BD$1,$B$1)</f>
        <v>509.41</v>
      </c>
      <c r="BE28">
        <f>_xll.EQNXTDZ($A$1,$B28,BE$1,$B$1)</f>
        <v>496.19</v>
      </c>
      <c r="BF28">
        <f>_xll.EQNXTDZ($A$1,$B28,BF$1,$B$1)</f>
        <v>507.81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1.7</v>
      </c>
      <c r="O29">
        <f>_xll.EQNXTDZ($A$1,$B29,O$1,$B$1)</f>
        <v>14.68</v>
      </c>
      <c r="P29">
        <f>_xll.EQNXTDZ($A$1,$B29,P$1,$B$1)</f>
        <v>46.36</v>
      </c>
      <c r="Q29">
        <f>_xll.EQNXTDZ($A$1,$B29,Q$1,$B$1)</f>
        <v>24.34</v>
      </c>
      <c r="R29">
        <f>_xll.EQNXTDZ($A$1,$B29,R$1,$B$1)</f>
        <v>26.66</v>
      </c>
      <c r="S29">
        <f>_xll.EQNXTDZ($A$1,$B29,S$1,$B$1)</f>
        <v>89.05</v>
      </c>
      <c r="T29">
        <f>_xll.EQNXTDZ($A$1,$B29,T$1,$B$1)</f>
        <v>-16.25</v>
      </c>
      <c r="U29">
        <f>_xll.EQNXTDZ($A$1,$B29,U$1,$B$1)</f>
        <v>24.12</v>
      </c>
      <c r="V29">
        <f>_xll.EQNXTDZ($A$1,$B29,V$1,$B$1)</f>
        <v>18.579999999999998</v>
      </c>
      <c r="W29">
        <f>_xll.EQNXTDZ($A$1,$B29,W$1,$B$1)</f>
        <v>26.54</v>
      </c>
      <c r="X29">
        <f>_xll.EQNXTDZ($A$1,$B29,X$1,$B$1)</f>
        <v>24.38</v>
      </c>
      <c r="Y29">
        <f>_xll.EQNXTDZ($A$1,$B29,Y$1,$B$1)</f>
        <v>238.41</v>
      </c>
      <c r="Z29">
        <f>_xll.EQNXTDZ($A$1,$B29,Z$1,$B$1)</f>
        <v>39.409999999999997</v>
      </c>
      <c r="AA29">
        <f>_xll.EQNXTDZ($A$1,$B29,AA$1,$B$1)</f>
        <v>52.86</v>
      </c>
      <c r="AB29">
        <f>_xll.EQNXTDZ($A$1,$B29,AB$1,$B$1)</f>
        <v>89.75</v>
      </c>
      <c r="AC29">
        <f>_xll.EQNXTDZ($A$1,$B29,AC$1,$B$1)</f>
        <v>112.72</v>
      </c>
      <c r="AD29">
        <f>_xll.EQNXTDZ($A$1,$B29,AD$1,$B$1)</f>
        <v>73.7</v>
      </c>
      <c r="AE29">
        <f>_xll.EQNXTDZ($A$1,$B29,AE$1,$B$1)</f>
        <v>136.69</v>
      </c>
      <c r="AF29">
        <f>_xll.EQNXTDZ($A$1,$B29,AF$1,$B$1)</f>
        <v>62.82</v>
      </c>
      <c r="AG29">
        <f>_xll.EQNXTDZ($A$1,$B29,AG$1,$B$1)</f>
        <v>131.1</v>
      </c>
      <c r="AH29">
        <f>_xll.EQNXTDZ($A$1,$B29,AH$1,$B$1)</f>
        <v>212.27</v>
      </c>
      <c r="AI29">
        <f>_xll.EQNXTDZ($A$1,$B29,AI$1,$B$1)</f>
        <v>149.04</v>
      </c>
      <c r="AJ29">
        <f>_xll.EQNXTDZ($A$1,$B29,AJ$1,$B$1)</f>
        <v>105.35</v>
      </c>
      <c r="AK29">
        <f>_xll.EQNXTDZ($A$1,$B29,AK$1,$B$1)</f>
        <v>31.55</v>
      </c>
      <c r="AL29">
        <f>_xll.EQNXTDZ($A$1,$B29,AL$1,$B$1)</f>
        <v>138.29</v>
      </c>
      <c r="AM29">
        <f>_xll.EQNXTDZ($A$1,$B29,AM$1,$B$1)</f>
        <v>97.3</v>
      </c>
      <c r="AN29">
        <f>_xll.EQNXTDZ($A$1,$B29,AN$1,$B$1)</f>
        <v>98</v>
      </c>
      <c r="AO29">
        <f>_xll.EQNXTDZ($A$1,$B29,AO$1,$B$1)</f>
        <v>118.16</v>
      </c>
      <c r="AP29">
        <f>_xll.EQNXTDZ($A$1,$B29,AP$1,$B$1)</f>
        <v>122.6</v>
      </c>
      <c r="AQ29">
        <f>_xll.EQNXTDZ($A$1,$B29,AQ$1,$B$1)</f>
        <v>34.26</v>
      </c>
      <c r="AR29">
        <f>_xll.EQNXTDZ($A$1,$B29,AR$1,$B$1)</f>
        <v>55.19</v>
      </c>
      <c r="AS29">
        <f>_xll.EQNXTDZ($A$1,$B29,AS$1,$B$1)</f>
        <v>122.17</v>
      </c>
      <c r="AT29">
        <f>_xll.EQNXTDZ($A$1,$B29,AT$1,$B$1)</f>
        <v>223.71</v>
      </c>
      <c r="AU29">
        <f>_xll.EQNXTDZ($A$1,$B29,AU$1,$B$1)</f>
        <v>160.46</v>
      </c>
      <c r="AV29">
        <f>_xll.EQNXTDZ($A$1,$B29,AV$1,$B$1)</f>
        <v>84.9</v>
      </c>
      <c r="AW29">
        <f>_xll.EQNXTDZ($A$1,$B29,AW$1,$B$1)</f>
        <v>166.18</v>
      </c>
      <c r="AX29">
        <f>_xll.EQNXTDZ($A$1,$B29,AX$1,$B$1)</f>
        <v>168.59</v>
      </c>
      <c r="AY29">
        <f>_xll.EQNXTDZ($A$1,$B29,AY$1,$B$1)</f>
        <v>136.57</v>
      </c>
      <c r="AZ29">
        <f>_xll.EQNXTDZ($A$1,$B29,AZ$1,$B$1)</f>
        <v>-178.92</v>
      </c>
      <c r="BA29">
        <f>_xll.EQNXTDZ($A$1,$B29,BA$1,$B$1)</f>
        <v>-66.069999999999993</v>
      </c>
      <c r="BB29">
        <f>_xll.EQNXTDZ($A$1,$B29,BB$1,$B$1)</f>
        <v>287.41000000000003</v>
      </c>
      <c r="BC29">
        <f>_xll.EQNXTDZ($A$1,$B29,BC$1,$B$1)</f>
        <v>117.12</v>
      </c>
      <c r="BD29">
        <f>_xll.EQNXTDZ($A$1,$B29,BD$1,$B$1)</f>
        <v>187.44</v>
      </c>
      <c r="BE29">
        <f>_xll.EQNXTDZ($A$1,$B29,BE$1,$B$1)</f>
        <v>226.17</v>
      </c>
      <c r="BF29">
        <f>_xll.EQNXTDZ($A$1,$B29,BF$1,$B$1)</f>
        <v>240.98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6.17</v>
      </c>
      <c r="N30">
        <f>_xll.EQNXTDZ($A$1,$B30,N$1,$B$1)</f>
        <v>-12.92</v>
      </c>
      <c r="O30">
        <f>_xll.EQNXTDZ($A$1,$B30,O$1,$B$1)</f>
        <v>30.89</v>
      </c>
      <c r="P30">
        <f>_xll.EQNXTDZ($A$1,$B30,P$1,$B$1)</f>
        <v>162.19999999999999</v>
      </c>
      <c r="Q30">
        <f>_xll.EQNXTDZ($A$1,$B30,Q$1,$B$1)</f>
        <v>74.78</v>
      </c>
      <c r="R30">
        <f>_xll.EQNXTDZ($A$1,$B30,R$1,$B$1)</f>
        <v>100.08</v>
      </c>
      <c r="S30">
        <f>_xll.EQNXTDZ($A$1,$B30,S$1,$B$1)</f>
        <v>122.71</v>
      </c>
      <c r="T30">
        <f>_xll.EQNXTDZ($A$1,$B30,T$1,$B$1)</f>
        <v>99.54</v>
      </c>
      <c r="U30">
        <f>_xll.EQNXTDZ($A$1,$B30,U$1,$B$1)</f>
        <v>99.28</v>
      </c>
      <c r="V30">
        <f>_xll.EQNXTDZ($A$1,$B30,V$1,$B$1)</f>
        <v>94.9</v>
      </c>
      <c r="W30">
        <f>_xll.EQNXTDZ($A$1,$B30,W$1,$B$1)</f>
        <v>84.1</v>
      </c>
      <c r="X30">
        <f>_xll.EQNXTDZ($A$1,$B30,X$1,$B$1)</f>
        <v>66.69</v>
      </c>
      <c r="Y30">
        <f>_xll.EQNXTDZ($A$1,$B30,Y$1,$B$1)</f>
        <v>841.88</v>
      </c>
      <c r="Z30">
        <f>_xll.EQNXTDZ($A$1,$B30,Z$1,$B$1)</f>
        <v>150.27000000000001</v>
      </c>
      <c r="AA30">
        <f>_xll.EQNXTDZ($A$1,$B30,AA$1,$B$1)</f>
        <v>169.34</v>
      </c>
      <c r="AB30">
        <f>_xll.EQNXTDZ($A$1,$B30,AB$1,$B$1)</f>
        <v>54.750000000000099</v>
      </c>
      <c r="AC30">
        <f>_xll.EQNXTDZ($A$1,$B30,AC$1,$B$1)</f>
        <v>145.72</v>
      </c>
      <c r="AD30">
        <f>_xll.EQNXTDZ($A$1,$B30,AD$1,$B$1)</f>
        <v>141.4</v>
      </c>
      <c r="AE30">
        <f>_xll.EQNXTDZ($A$1,$B30,AE$1,$B$1)</f>
        <v>184.48</v>
      </c>
      <c r="AF30">
        <f>_xll.EQNXTDZ($A$1,$B30,AF$1,$B$1)</f>
        <v>201.38</v>
      </c>
      <c r="AG30">
        <f>_xll.EQNXTDZ($A$1,$B30,AG$1,$B$1)</f>
        <v>173.44</v>
      </c>
      <c r="AH30">
        <f>_xll.EQNXTDZ($A$1,$B30,AH$1,$B$1)</f>
        <v>4.4999999999995497</v>
      </c>
      <c r="AI30">
        <f>_xll.EQNXTDZ($A$1,$B30,AI$1,$B$1)</f>
        <v>332.93</v>
      </c>
      <c r="AJ30">
        <f>_xll.EQNXTDZ($A$1,$B30,AJ$1,$B$1)</f>
        <v>190.43</v>
      </c>
      <c r="AK30">
        <f>_xll.EQNXTDZ($A$1,$B30,AK$1,$B$1)</f>
        <v>440.48</v>
      </c>
      <c r="AL30">
        <f>_xll.EQNXTDZ($A$1,$B30,AL$1,$B$1)</f>
        <v>231.83</v>
      </c>
      <c r="AM30">
        <f>_xll.EQNXTDZ($A$1,$B30,AM$1,$B$1)</f>
        <v>442.69</v>
      </c>
      <c r="AN30">
        <f>_xll.EQNXTDZ($A$1,$B30,AN$1,$B$1)</f>
        <v>298.36</v>
      </c>
      <c r="AO30">
        <f>_xll.EQNXTDZ($A$1,$B30,AO$1,$B$1)</f>
        <v>283.75</v>
      </c>
      <c r="AP30">
        <f>_xll.EQNXTDZ($A$1,$B30,AP$1,$B$1)</f>
        <v>239.63</v>
      </c>
      <c r="AQ30">
        <f>_xll.EQNXTDZ($A$1,$B30,AQ$1,$B$1)</f>
        <v>167.57</v>
      </c>
      <c r="AR30">
        <f>_xll.EQNXTDZ($A$1,$B30,AR$1,$B$1)</f>
        <v>194.76</v>
      </c>
      <c r="AS30">
        <f>_xll.EQNXTDZ($A$1,$B30,AS$1,$B$1)</f>
        <v>478.15</v>
      </c>
      <c r="AT30">
        <f>_xll.EQNXTDZ($A$1,$B30,AT$1,$B$1)</f>
        <v>435.91</v>
      </c>
      <c r="AU30">
        <f>_xll.EQNXTDZ($A$1,$B30,AU$1,$B$1)</f>
        <v>182.63</v>
      </c>
      <c r="AV30">
        <f>_xll.EQNXTDZ($A$1,$B30,AV$1,$B$1)</f>
        <v>284.97000000000003</v>
      </c>
      <c r="AW30">
        <f>_xll.EQNXTDZ($A$1,$B30,AW$1,$B$1)</f>
        <v>348.47</v>
      </c>
      <c r="AX30">
        <f>_xll.EQNXTDZ($A$1,$B30,AX$1,$B$1)</f>
        <v>383.36000000000098</v>
      </c>
      <c r="AY30">
        <f>_xll.EQNXTDZ($A$1,$B30,AY$1,$B$1)</f>
        <v>-1189.27</v>
      </c>
      <c r="AZ30">
        <f>_xll.EQNXTDZ($A$1,$B30,AZ$1,$B$1)</f>
        <v>773.14999999999895</v>
      </c>
      <c r="BA30">
        <f>_xll.EQNXTDZ($A$1,$B30,BA$1,$B$1)</f>
        <v>625.44000000000005</v>
      </c>
      <c r="BB30">
        <f>_xll.EQNXTDZ($A$1,$B30,BB$1,$B$1)</f>
        <v>686.54</v>
      </c>
      <c r="BC30">
        <f>_xll.EQNXTDZ($A$1,$B30,BC$1,$B$1)</f>
        <v>540.92999999999904</v>
      </c>
      <c r="BD30">
        <f>_xll.EQNXTDZ($A$1,$B30,BD$1,$B$1)</f>
        <v>558.23</v>
      </c>
      <c r="BE30">
        <f>_xll.EQNXTDZ($A$1,$B30,BE$1,$B$1)</f>
        <v>574.87999999999897</v>
      </c>
      <c r="BF30">
        <f>_xll.EQNXTDZ($A$1,$B30,BF$1,$B$1)</f>
        <v>669.08999999999901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34.75</v>
      </c>
      <c r="AC33">
        <f>_xll.EQNXTDZ($A$1,$B33,AC$1,$B$1)</f>
        <v>7.94</v>
      </c>
      <c r="AD33">
        <f>_xll.EQNXTDZ($A$1,$B33,AD$1,$B$1)</f>
        <v>5.3</v>
      </c>
      <c r="AE33">
        <f>_xll.EQNXTDZ($A$1,$B33,AE$1,$B$1)</f>
        <v>28.94</v>
      </c>
      <c r="AF33">
        <f>_xll.EQNXTDZ($A$1,$B33,AF$1,$B$1)</f>
        <v>29.05</v>
      </c>
      <c r="AG33">
        <f>_xll.EQNXTDZ($A$1,$B33,AG$1,$B$1)</f>
        <v>30.23</v>
      </c>
      <c r="AH33">
        <f>_xll.EQNXTDZ($A$1,$B33,AH$1,$B$1)</f>
        <v>54.47</v>
      </c>
      <c r="AI33">
        <f>_xll.EQNXTDZ($A$1,$B33,AI$1,$B$1)</f>
        <v>22.47</v>
      </c>
      <c r="AJ33">
        <f>_xll.EQNXTDZ($A$1,$B33,AJ$1,$B$1)</f>
        <v>23.7</v>
      </c>
      <c r="AK33">
        <f>_xll.EQNXTDZ($A$1,$B33,AK$1,$B$1)</f>
        <v>23.01</v>
      </c>
      <c r="AL33">
        <f>_xll.EQNXTDZ($A$1,$B33,AL$1,$B$1)</f>
        <v>24.72</v>
      </c>
      <c r="AM33">
        <f>_xll.EQNXTDZ($A$1,$B33,AM$1,$B$1)</f>
        <v>-9.4499999999999993</v>
      </c>
      <c r="AN33">
        <f>_xll.EQNXTDZ($A$1,$B33,AN$1,$B$1)</f>
        <v>-9.52</v>
      </c>
      <c r="AO33">
        <f>_xll.EQNXTDZ($A$1,$B33,AO$1,$B$1)</f>
        <v>-7.08</v>
      </c>
      <c r="AP33">
        <f>_xll.EQNXTDZ($A$1,$B33,AP$1,$B$1)</f>
        <v>-2.63</v>
      </c>
      <c r="AQ33">
        <f>_xll.EQNXTDZ($A$1,$B33,AQ$1,$B$1)</f>
        <v>0.89</v>
      </c>
      <c r="AR33">
        <f>_xll.EQNXTDZ($A$1,$B33,AR$1,$B$1)</f>
        <v>-0.28999999999999998</v>
      </c>
      <c r="AS33">
        <f>_xll.EQNXTDZ($A$1,$B33,AS$1,$B$1)</f>
        <v>-0.08</v>
      </c>
      <c r="AT33">
        <f>_xll.EQNXTDZ($A$1,$B33,AT$1,$B$1)</f>
        <v>3.69</v>
      </c>
      <c r="AU33">
        <f>_xll.EQNXTDZ($A$1,$B33,AU$1,$B$1)</f>
        <v>-0.65</v>
      </c>
      <c r="AV33">
        <f>_xll.EQNXTDZ($A$1,$B33,AV$1,$B$1)</f>
        <v>-0.88</v>
      </c>
      <c r="AW33">
        <f>_xll.EQNXTDZ($A$1,$B33,AW$1,$B$1)</f>
        <v>-0.22</v>
      </c>
      <c r="AX33">
        <f>_xll.EQNXTDZ($A$1,$B33,AX$1,$B$1)</f>
        <v>-2.0699999999999998</v>
      </c>
      <c r="AY33">
        <f>_xll.EQNXTDZ($A$1,$B33,AY$1,$B$1)</f>
        <v>-1.39</v>
      </c>
      <c r="AZ33">
        <f>_xll.EQNXTDZ($A$1,$B33,AZ$1,$B$1)</f>
        <v>0.24</v>
      </c>
      <c r="BA33">
        <f>_xll.EQNXTDZ($A$1,$B33,BA$1,$B$1)</f>
        <v>-0.14000000000000001</v>
      </c>
      <c r="BB33">
        <f>_xll.EQNXTDZ($A$1,$B33,BB$1,$B$1)</f>
        <v>27.12</v>
      </c>
      <c r="BC33">
        <f>_xll.EQNXTDZ($A$1,$B33,BC$1,$B$1)</f>
        <v>-1.99</v>
      </c>
      <c r="BD33">
        <f>_xll.EQNXTDZ($A$1,$B33,BD$1,$B$1)</f>
        <v>-1.1299999999999999</v>
      </c>
      <c r="BE33">
        <f>_xll.EQNXTDZ($A$1,$B33,BE$1,$B$1)</f>
        <v>-0.82</v>
      </c>
      <c r="BF33">
        <f>_xll.EQNXTDZ($A$1,$B33,BF$1,$B$1)</f>
        <v>53.56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35.33</v>
      </c>
      <c r="AI34">
        <f>_xll.EQNXTDZ($A$1,$B34,AI$1,$B$1)</f>
        <v>28.15</v>
      </c>
      <c r="AJ34">
        <f>_xll.EQNXTDZ($A$1,$B34,AJ$1,$B$1)</f>
        <v>-7.37</v>
      </c>
      <c r="AK34">
        <f>_xll.EQNXTDZ($A$1,$B34,AK$1,$B$1)</f>
        <v>-68.180000000000007</v>
      </c>
      <c r="AL34">
        <f>_xll.EQNXTDZ($A$1,$B34,AL$1,$B$1)</f>
        <v>-18.13</v>
      </c>
      <c r="AM34">
        <f>_xll.EQNXTDZ($A$1,$B34,AM$1,$B$1)</f>
        <v>2.1800000000000002</v>
      </c>
      <c r="AN34">
        <f>_xll.EQNXTDZ($A$1,$B34,AN$1,$B$1)</f>
        <v>-16.27</v>
      </c>
      <c r="AO34">
        <f>_xll.EQNXTDZ($A$1,$B34,AO$1,$B$1)</f>
        <v>-9.64</v>
      </c>
      <c r="AP34">
        <f>_xll.EQNXTDZ($A$1,$B34,AP$1,$B$1)</f>
        <v>-7.41</v>
      </c>
      <c r="AQ34">
        <f>_xll.EQNXTDZ($A$1,$B34,AQ$1,$B$1)</f>
        <v>17.53</v>
      </c>
      <c r="AR34">
        <f>_xll.EQNXTDZ($A$1,$B34,AR$1,$B$1)</f>
        <v>11.7</v>
      </c>
      <c r="AS34">
        <f>_xll.EQNXTDZ($A$1,$B34,AS$1,$B$1)</f>
        <v>-3.35</v>
      </c>
      <c r="AT34">
        <f>_xll.EQNXTDZ($A$1,$B34,AT$1,$B$1)</f>
        <v>-50.15</v>
      </c>
      <c r="AU34">
        <f>_xll.EQNXTDZ($A$1,$B34,AU$1,$B$1)</f>
        <v>-6.92</v>
      </c>
      <c r="AV34">
        <f>_xll.EQNXTDZ($A$1,$B34,AV$1,$B$1)</f>
        <v>-8.2100000000000009</v>
      </c>
      <c r="AW34">
        <f>_xll.EQNXTDZ($A$1,$B34,AW$1,$B$1)</f>
        <v>-23.35</v>
      </c>
      <c r="AX34">
        <f>_xll.EQNXTDZ($A$1,$B34,AX$1,$B$1)</f>
        <v>-19.850000000000001</v>
      </c>
      <c r="AY34">
        <f>_xll.EQNXTDZ($A$1,$B34,AY$1,$B$1)</f>
        <v>366.74</v>
      </c>
      <c r="AZ34">
        <f>_xll.EQNXTDZ($A$1,$B34,AZ$1,$B$1)</f>
        <v>-98.43</v>
      </c>
      <c r="BA34">
        <f>_xll.EQNXTDZ($A$1,$B34,BA$1,$B$1)</f>
        <v>-63.52</v>
      </c>
      <c r="BB34">
        <f>_xll.EQNXTDZ($A$1,$B34,BB$1,$B$1)</f>
        <v>-66.510000000000005</v>
      </c>
      <c r="BC34">
        <f>_xll.EQNXTDZ($A$1,$B34,BC$1,$B$1)</f>
        <v>-26.46</v>
      </c>
      <c r="BD34">
        <f>_xll.EQNXTDZ($A$1,$B34,BD$1,$B$1)</f>
        <v>-23.13</v>
      </c>
      <c r="BE34">
        <f>_xll.EQNXTDZ($A$1,$B34,BE$1,$B$1)</f>
        <v>-21.75</v>
      </c>
      <c r="BF34">
        <f>_xll.EQNXTDZ($A$1,$B34,BF$1,$B$1)</f>
        <v>-38.869999999999997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6.17</v>
      </c>
      <c r="N38">
        <f>_xll.EQNXTDZ($A$1,$B38,N$1,$B$1)</f>
        <v>-12.92</v>
      </c>
      <c r="O38">
        <f>_xll.EQNXTDZ($A$1,$B38,O$1,$B$1)</f>
        <v>30.89</v>
      </c>
      <c r="P38">
        <f>_xll.EQNXTDZ($A$1,$B38,P$1,$B$1)</f>
        <v>162.19999999999999</v>
      </c>
      <c r="Q38">
        <f>_xll.EQNXTDZ($A$1,$B38,Q$1,$B$1)</f>
        <v>74.78</v>
      </c>
      <c r="R38">
        <f>_xll.EQNXTDZ($A$1,$B38,R$1,$B$1)</f>
        <v>100.08</v>
      </c>
      <c r="S38">
        <f>_xll.EQNXTDZ($A$1,$B38,S$1,$B$1)</f>
        <v>122.71</v>
      </c>
      <c r="T38">
        <f>_xll.EQNXTDZ($A$1,$B38,T$1,$B$1)</f>
        <v>99.54</v>
      </c>
      <c r="U38">
        <f>_xll.EQNXTDZ($A$1,$B38,U$1,$B$1)</f>
        <v>99.28</v>
      </c>
      <c r="V38">
        <f>_xll.EQNXTDZ($A$1,$B38,V$1,$B$1)</f>
        <v>94.9</v>
      </c>
      <c r="W38">
        <f>_xll.EQNXTDZ($A$1,$B38,W$1,$B$1)</f>
        <v>84.1</v>
      </c>
      <c r="X38">
        <f>_xll.EQNXTDZ($A$1,$B38,X$1,$B$1)</f>
        <v>66.69</v>
      </c>
      <c r="Y38">
        <f>_xll.EQNXTDZ($A$1,$B38,Y$1,$B$1)</f>
        <v>841.88</v>
      </c>
      <c r="Z38">
        <f>_xll.EQNXTDZ($A$1,$B38,Z$1,$B$1)</f>
        <v>150.27000000000001</v>
      </c>
      <c r="AA38">
        <f>_xll.EQNXTDZ($A$1,$B38,AA$1,$B$1)</f>
        <v>169.34</v>
      </c>
      <c r="AB38">
        <f>_xll.EQNXTDZ($A$1,$B38,AB$1,$B$1)</f>
        <v>89.5</v>
      </c>
      <c r="AC38">
        <f>_xll.EQNXTDZ($A$1,$B38,AC$1,$B$1)</f>
        <v>153.66999999999999</v>
      </c>
      <c r="AD38">
        <f>_xll.EQNXTDZ($A$1,$B38,AD$1,$B$1)</f>
        <v>146.69999999999999</v>
      </c>
      <c r="AE38">
        <f>_xll.EQNXTDZ($A$1,$B38,AE$1,$B$1)</f>
        <v>213.42</v>
      </c>
      <c r="AF38">
        <f>_xll.EQNXTDZ($A$1,$B38,AF$1,$B$1)</f>
        <v>230.43</v>
      </c>
      <c r="AG38">
        <f>_xll.EQNXTDZ($A$1,$B38,AG$1,$B$1)</f>
        <v>203.67</v>
      </c>
      <c r="AH38">
        <f>_xll.EQNXTDZ($A$1,$B38,AH$1,$B$1)</f>
        <v>94.3</v>
      </c>
      <c r="AI38">
        <f>_xll.EQNXTDZ($A$1,$B38,AI$1,$B$1)</f>
        <v>383.55</v>
      </c>
      <c r="AJ38">
        <f>_xll.EQNXTDZ($A$1,$B38,AJ$1,$B$1)</f>
        <v>206.76</v>
      </c>
      <c r="AK38">
        <f>_xll.EQNXTDZ($A$1,$B38,AK$1,$B$1)</f>
        <v>395.31</v>
      </c>
      <c r="AL38">
        <f>_xll.EQNXTDZ($A$1,$B38,AL$1,$B$1)</f>
        <v>238.42</v>
      </c>
      <c r="AM38">
        <f>_xll.EQNXTDZ($A$1,$B38,AM$1,$B$1)</f>
        <v>435.42</v>
      </c>
      <c r="AN38">
        <f>_xll.EQNXTDZ($A$1,$B38,AN$1,$B$1)</f>
        <v>272.57</v>
      </c>
      <c r="AO38">
        <f>_xll.EQNXTDZ($A$1,$B38,AO$1,$B$1)</f>
        <v>267.02999999999997</v>
      </c>
      <c r="AP38">
        <f>_xll.EQNXTDZ($A$1,$B38,AP$1,$B$1)</f>
        <v>229.59</v>
      </c>
      <c r="AQ38">
        <f>_xll.EQNXTDZ($A$1,$B38,AQ$1,$B$1)</f>
        <v>185.99</v>
      </c>
      <c r="AR38">
        <f>_xll.EQNXTDZ($A$1,$B38,AR$1,$B$1)</f>
        <v>206.17</v>
      </c>
      <c r="AS38">
        <f>_xll.EQNXTDZ($A$1,$B38,AS$1,$B$1)</f>
        <v>474.72</v>
      </c>
      <c r="AT38">
        <f>_xll.EQNXTDZ($A$1,$B38,AT$1,$B$1)</f>
        <v>389.45</v>
      </c>
      <c r="AU38">
        <f>_xll.EQNXTDZ($A$1,$B38,AU$1,$B$1)</f>
        <v>175.06</v>
      </c>
      <c r="AV38">
        <f>_xll.EQNXTDZ($A$1,$B38,AV$1,$B$1)</f>
        <v>275.88</v>
      </c>
      <c r="AW38">
        <f>_xll.EQNXTDZ($A$1,$B38,AW$1,$B$1)</f>
        <v>324.89999999999998</v>
      </c>
      <c r="AX38">
        <f>_xll.EQNXTDZ($A$1,$B38,AX$1,$B$1)</f>
        <v>361.44</v>
      </c>
      <c r="AY38">
        <f>_xll.EQNXTDZ($A$1,$B38,AY$1,$B$1)</f>
        <v>-823.92</v>
      </c>
      <c r="AZ38">
        <f>_xll.EQNXTDZ($A$1,$B38,AZ$1,$B$1)</f>
        <v>674.96</v>
      </c>
      <c r="BA38">
        <f>_xll.EQNXTDZ($A$1,$B38,BA$1,$B$1)</f>
        <v>561.78</v>
      </c>
      <c r="BB38">
        <f>_xll.EQNXTDZ($A$1,$B38,BB$1,$B$1)</f>
        <v>647.15</v>
      </c>
      <c r="BC38">
        <f>_xll.EQNXTDZ($A$1,$B38,BC$1,$B$1)</f>
        <v>512.48</v>
      </c>
      <c r="BD38">
        <f>_xll.EQNXTDZ($A$1,$B38,BD$1,$B$1)</f>
        <v>533.97</v>
      </c>
      <c r="BE38">
        <f>_xll.EQNXTDZ($A$1,$B38,BE$1,$B$1)</f>
        <v>552.30999999999995</v>
      </c>
      <c r="BF38">
        <f>_xll.EQNXTDZ($A$1,$B38,BF$1,$B$1)</f>
        <v>683.78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7.0000000000000007E-2</v>
      </c>
      <c r="P40">
        <f>_xll.EQNXTDZ($A$1,$B40,P$1,$B$1)</f>
        <v>7.0000000000000007E-2</v>
      </c>
      <c r="Q40">
        <f>_xll.EQNXTDZ($A$1,$B40,Q$1,$B$1)</f>
        <v>0.06</v>
      </c>
      <c r="R40">
        <f>_xll.EQNXTDZ($A$1,$B40,R$1,$B$1)</f>
        <v>2.97</v>
      </c>
      <c r="S40">
        <f>_xll.EQNXTDZ($A$1,$B40,S$1,$B$1)</f>
        <v>0.79</v>
      </c>
      <c r="T40">
        <f>_xll.EQNXTDZ($A$1,$B40,T$1,$B$1)</f>
        <v>-67.13</v>
      </c>
      <c r="U40">
        <f>_xll.EQNXTDZ($A$1,$B40,U$1,$B$1)</f>
        <v>-147.61000000000001</v>
      </c>
      <c r="V40">
        <f>_xll.EQNXTDZ($A$1,$B40,V$1,$B$1)</f>
        <v>56.87</v>
      </c>
      <c r="W40">
        <f>_xll.EQNXTDZ($A$1,$B40,W$1,$B$1)</f>
        <v>-45.7</v>
      </c>
      <c r="X40">
        <f>_xll.EQNXTDZ($A$1,$B40,X$1,$B$1)</f>
        <v>-57.26</v>
      </c>
      <c r="Y40">
        <f>_xll.EQNXTDZ($A$1,$B40,Y$1,$B$1)</f>
        <v>94.17</v>
      </c>
      <c r="Z40">
        <f>_xll.EQNXTDZ($A$1,$B40,Z$1,$B$1)</f>
        <v>-16.809999999999999</v>
      </c>
      <c r="AA40">
        <f>_xll.EQNXTDZ($A$1,$B40,AA$1,$B$1)</f>
        <v>57.58</v>
      </c>
      <c r="AB40">
        <f>_xll.EQNXTDZ($A$1,$B40,AB$1,$B$1)</f>
        <v>-29.64</v>
      </c>
      <c r="AC40">
        <f>_xll.EQNXTDZ($A$1,$B40,AC$1,$B$1)</f>
        <v>11.61</v>
      </c>
      <c r="AD40">
        <f>_xll.EQNXTDZ($A$1,$B40,AD$1,$B$1)</f>
        <v>-31.78</v>
      </c>
      <c r="AE40">
        <f>_xll.EQNXTDZ($A$1,$B40,AE$1,$B$1)</f>
        <v>86.6</v>
      </c>
      <c r="AF40">
        <f>_xll.EQNXTDZ($A$1,$B40,AF$1,$B$1)</f>
        <v>-2.73</v>
      </c>
      <c r="AG40">
        <f>_xll.EQNXTDZ($A$1,$B40,AG$1,$B$1)</f>
        <v>25.33</v>
      </c>
      <c r="AH40">
        <f>_xll.EQNXTDZ($A$1,$B40,AH$1,$B$1)</f>
        <v>11.13</v>
      </c>
      <c r="AI40">
        <f>_xll.EQNXTDZ($A$1,$B40,AI$1,$B$1)</f>
        <v>-123.92</v>
      </c>
      <c r="AJ40">
        <f>_xll.EQNXTDZ($A$1,$B40,AJ$1,$B$1)</f>
        <v>93.47</v>
      </c>
      <c r="AK40">
        <f>_xll.EQNXTDZ($A$1,$B40,AK$1,$B$1)</f>
        <v>-85.8</v>
      </c>
      <c r="AL40">
        <f>_xll.EQNXTDZ($A$1,$B40,AL$1,$B$1)</f>
        <v>-30.15</v>
      </c>
      <c r="AM40">
        <f>_xll.EQNXTDZ($A$1,$B40,AM$1,$B$1)</f>
        <v>48.75</v>
      </c>
      <c r="AN40">
        <f>_xll.EQNXTDZ($A$1,$B40,AN$1,$B$1)</f>
        <v>-31.2</v>
      </c>
      <c r="AO40">
        <f>_xll.EQNXTDZ($A$1,$B40,AO$1,$B$1)</f>
        <v>-134.77000000000001</v>
      </c>
      <c r="AP40">
        <f>_xll.EQNXTDZ($A$1,$B40,AP$1,$B$1)</f>
        <v>-134.53</v>
      </c>
      <c r="AQ40">
        <f>_xll.EQNXTDZ($A$1,$B40,AQ$1,$B$1)</f>
        <v>-235.46</v>
      </c>
      <c r="AR40">
        <f>_xll.EQNXTDZ($A$1,$B40,AR$1,$B$1)</f>
        <v>-187.42</v>
      </c>
      <c r="AS40">
        <f>_xll.EQNXTDZ($A$1,$B40,AS$1,$B$1)</f>
        <v>-118.64</v>
      </c>
      <c r="AT40">
        <f>_xll.EQNXTDZ($A$1,$B40,AT$1,$B$1)</f>
        <v>262.8</v>
      </c>
      <c r="AU40">
        <f>_xll.EQNXTDZ($A$1,$B40,AU$1,$B$1)</f>
        <v>-371.05</v>
      </c>
      <c r="AV40">
        <f>_xll.EQNXTDZ($A$1,$B40,AV$1,$B$1)</f>
        <v>31.49</v>
      </c>
      <c r="AW40">
        <f>_xll.EQNXTDZ($A$1,$B40,AW$1,$B$1)</f>
        <v>197.38</v>
      </c>
      <c r="AX40">
        <f>_xll.EQNXTDZ($A$1,$B40,AX$1,$B$1)</f>
        <v>-140.29</v>
      </c>
      <c r="AY40">
        <f>_xll.EQNXTDZ($A$1,$B40,AY$1,$B$1)</f>
        <v>72.58</v>
      </c>
      <c r="AZ40">
        <f>_xll.EQNXTDZ($A$1,$B40,AZ$1,$B$1)</f>
        <v>279.2</v>
      </c>
      <c r="BA40">
        <f>_xll.EQNXTDZ($A$1,$B40,BA$1,$B$1)</f>
        <v>-86.15</v>
      </c>
      <c r="BB40">
        <f>_xll.EQNXTDZ($A$1,$B40,BB$1,$B$1)</f>
        <v>-79.47</v>
      </c>
      <c r="BC40">
        <f>_xll.EQNXTDZ($A$1,$B40,BC$1,$B$1)</f>
        <v>60.59</v>
      </c>
      <c r="BD40">
        <f>_xll.EQNXTDZ($A$1,$B40,BD$1,$B$1)</f>
        <v>232.92</v>
      </c>
      <c r="BE40">
        <f>_xll.EQNXTDZ($A$1,$B40,BE$1,$B$1)</f>
        <v>172.17</v>
      </c>
      <c r="BF40">
        <f>_xll.EQNXTDZ($A$1,$B40,BF$1,$B$1)</f>
        <v>655.95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30.96</v>
      </c>
      <c r="P41">
        <f>_xll.EQNXTDZ($A$1,$B41,P$1,$B$1)</f>
        <v>162.27000000000001</v>
      </c>
      <c r="Q41">
        <f>_xll.EQNXTDZ($A$1,$B41,Q$1,$B$1)</f>
        <v>74.84</v>
      </c>
      <c r="R41">
        <f>_xll.EQNXTDZ($A$1,$B41,R$1,$B$1)</f>
        <v>103.05</v>
      </c>
      <c r="S41">
        <f>_xll.EQNXTDZ($A$1,$B41,S$1,$B$1)</f>
        <v>123.5</v>
      </c>
      <c r="T41">
        <f>_xll.EQNXTDZ($A$1,$B41,T$1,$B$1)</f>
        <v>32.409999999999997</v>
      </c>
      <c r="U41">
        <f>_xll.EQNXTDZ($A$1,$B41,U$1,$B$1)</f>
        <v>-48.33</v>
      </c>
      <c r="V41">
        <f>_xll.EQNXTDZ($A$1,$B41,V$1,$B$1)</f>
        <v>151.77000000000001</v>
      </c>
      <c r="W41">
        <f>_xll.EQNXTDZ($A$1,$B41,W$1,$B$1)</f>
        <v>38.4</v>
      </c>
      <c r="X41">
        <f>_xll.EQNXTDZ($A$1,$B41,X$1,$B$1)</f>
        <v>9.43</v>
      </c>
      <c r="Y41">
        <f>_xll.EQNXTDZ($A$1,$B41,Y$1,$B$1)</f>
        <v>936.05</v>
      </c>
      <c r="Z41">
        <f>_xll.EQNXTDZ($A$1,$B41,Z$1,$B$1)</f>
        <v>133.46</v>
      </c>
      <c r="AA41">
        <f>_xll.EQNXTDZ($A$1,$B41,AA$1,$B$1)</f>
        <v>226.92</v>
      </c>
      <c r="AB41">
        <f>_xll.EQNXTDZ($A$1,$B41,AB$1,$B$1)</f>
        <v>59.86</v>
      </c>
      <c r="AC41">
        <f>_xll.EQNXTDZ($A$1,$B41,AC$1,$B$1)</f>
        <v>165.28</v>
      </c>
      <c r="AD41">
        <f>_xll.EQNXTDZ($A$1,$B41,AD$1,$B$1)</f>
        <v>114.92</v>
      </c>
      <c r="AE41">
        <f>_xll.EQNXTDZ($A$1,$B41,AE$1,$B$1)</f>
        <v>300.02</v>
      </c>
      <c r="AF41">
        <f>_xll.EQNXTDZ($A$1,$B41,AF$1,$B$1)</f>
        <v>227.7</v>
      </c>
      <c r="AG41">
        <f>_xll.EQNXTDZ($A$1,$B41,AG$1,$B$1)</f>
        <v>229</v>
      </c>
      <c r="AH41">
        <f>_xll.EQNXTDZ($A$1,$B41,AH$1,$B$1)</f>
        <v>113.03</v>
      </c>
      <c r="AI41">
        <f>_xll.EQNXTDZ($A$1,$B41,AI$1,$B$1)</f>
        <v>285.52</v>
      </c>
      <c r="AJ41">
        <f>_xll.EQNXTDZ($A$1,$B41,AJ$1,$B$1)</f>
        <v>278.75</v>
      </c>
      <c r="AK41">
        <f>_xll.EQNXTDZ($A$1,$B41,AK$1,$B$1)</f>
        <v>332.69</v>
      </c>
      <c r="AL41">
        <f>_xll.EQNXTDZ($A$1,$B41,AL$1,$B$1)</f>
        <v>199.05</v>
      </c>
      <c r="AM41">
        <f>_xll.EQNXTDZ($A$1,$B41,AM$1,$B$1)</f>
        <v>476.42</v>
      </c>
      <c r="AN41">
        <f>_xll.EQNXTDZ($A$1,$B41,AN$1,$B$1)</f>
        <v>250.1</v>
      </c>
      <c r="AO41">
        <f>_xll.EQNXTDZ($A$1,$B41,AO$1,$B$1)</f>
        <v>149.63999999999999</v>
      </c>
      <c r="AP41">
        <f>_xll.EQNXTDZ($A$1,$B41,AP$1,$B$1)</f>
        <v>111.26</v>
      </c>
      <c r="AQ41">
        <f>_xll.EQNXTDZ($A$1,$B41,AQ$1,$B$1)</f>
        <v>-24.05</v>
      </c>
      <c r="AR41">
        <f>_xll.EQNXTDZ($A$1,$B41,AR$1,$B$1)</f>
        <v>28.3</v>
      </c>
      <c r="AS41">
        <f>_xll.EQNXTDZ($A$1,$B41,AS$1,$B$1)</f>
        <v>365.91</v>
      </c>
      <c r="AT41">
        <f>_xll.EQNXTDZ($A$1,$B41,AT$1,$B$1)</f>
        <v>620.26</v>
      </c>
      <c r="AU41">
        <f>_xll.EQNXTDZ($A$1,$B41,AU$1,$B$1)</f>
        <v>-155.88</v>
      </c>
      <c r="AV41">
        <f>_xll.EQNXTDZ($A$1,$B41,AV$1,$B$1)</f>
        <v>303.37</v>
      </c>
      <c r="AW41">
        <f>_xll.EQNXTDZ($A$1,$B41,AW$1,$B$1)</f>
        <v>505.71</v>
      </c>
      <c r="AX41">
        <f>_xll.EQNXTDZ($A$1,$B41,AX$1,$B$1)</f>
        <v>237.43</v>
      </c>
      <c r="AY41">
        <f>_xll.EQNXTDZ($A$1,$B41,AY$1,$B$1)</f>
        <v>-759.28</v>
      </c>
      <c r="AZ41">
        <f>_xll.EQNXTDZ($A$1,$B41,AZ$1,$B$1)</f>
        <v>917.99</v>
      </c>
      <c r="BA41">
        <f>_xll.EQNXTDZ($A$1,$B41,BA$1,$B$1)</f>
        <v>494.12</v>
      </c>
      <c r="BB41">
        <f>_xll.EQNXTDZ($A$1,$B41,BB$1,$B$1)</f>
        <v>571.54999999999995</v>
      </c>
      <c r="BC41">
        <f>_xll.EQNXTDZ($A$1,$B41,BC$1,$B$1)</f>
        <v>561.21</v>
      </c>
      <c r="BD41">
        <f>_xll.EQNXTDZ($A$1,$B41,BD$1,$B$1)</f>
        <v>753</v>
      </c>
      <c r="BE41">
        <f>_xll.EQNXTDZ($A$1,$B41,BE$1,$B$1)</f>
        <v>726.34</v>
      </c>
      <c r="BF41">
        <f>_xll.EQNXTDZ($A$1,$B41,BF$1,$B$1)</f>
        <v>1316.12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6.17</v>
      </c>
      <c r="N42">
        <f>_xll.EQNXTDZ($A$1,$B42,N$1,$B$1)</f>
        <v>-12.92</v>
      </c>
      <c r="O42">
        <f>_xll.EQNXTDZ($A$1,$B42,O$1,$B$1)</f>
        <v>30.89</v>
      </c>
      <c r="P42">
        <f>_xll.EQNXTDZ($A$1,$B42,P$1,$B$1)</f>
        <v>162.19999999999999</v>
      </c>
      <c r="Q42">
        <f>_xll.EQNXTDZ($A$1,$B42,Q$1,$B$1)</f>
        <v>74.78</v>
      </c>
      <c r="R42">
        <f>_xll.EQNXTDZ($A$1,$B42,R$1,$B$1)</f>
        <v>100.08</v>
      </c>
      <c r="S42">
        <f>_xll.EQNXTDZ($A$1,$B42,S$1,$B$1)</f>
        <v>122.71</v>
      </c>
      <c r="T42">
        <f>_xll.EQNXTDZ($A$1,$B42,T$1,$B$1)</f>
        <v>99.54</v>
      </c>
      <c r="U42">
        <f>_xll.EQNXTDZ($A$1,$B42,U$1,$B$1)</f>
        <v>99.28</v>
      </c>
      <c r="V42">
        <f>_xll.EQNXTDZ($A$1,$B42,V$1,$B$1)</f>
        <v>94.9</v>
      </c>
      <c r="W42">
        <f>_xll.EQNXTDZ($A$1,$B42,W$1,$B$1)</f>
        <v>84.1</v>
      </c>
      <c r="X42">
        <f>_xll.EQNXTDZ($A$1,$B42,X$1,$B$1)</f>
        <v>66.69</v>
      </c>
      <c r="Y42">
        <f>_xll.EQNXTDZ($A$1,$B42,Y$1,$B$1)</f>
        <v>841.88</v>
      </c>
      <c r="Z42">
        <f>_xll.EQNXTDZ($A$1,$B42,Z$1,$B$1)</f>
        <v>150.27000000000001</v>
      </c>
      <c r="AA42">
        <f>_xll.EQNXTDZ($A$1,$B42,AA$1,$B$1)</f>
        <v>169.34</v>
      </c>
      <c r="AB42">
        <f>_xll.EQNXTDZ($A$1,$B42,AB$1,$B$1)</f>
        <v>89.5</v>
      </c>
      <c r="AC42">
        <f>_xll.EQNXTDZ($A$1,$B42,AC$1,$B$1)</f>
        <v>153.66999999999999</v>
      </c>
      <c r="AD42">
        <f>_xll.EQNXTDZ($A$1,$B42,AD$1,$B$1)</f>
        <v>146.69999999999999</v>
      </c>
      <c r="AE42">
        <f>_xll.EQNXTDZ($A$1,$B42,AE$1,$B$1)</f>
        <v>213.42</v>
      </c>
      <c r="AF42">
        <f>_xll.EQNXTDZ($A$1,$B42,AF$1,$B$1)</f>
        <v>230.43</v>
      </c>
      <c r="AG42">
        <f>_xll.EQNXTDZ($A$1,$B42,AG$1,$B$1)</f>
        <v>203.67</v>
      </c>
      <c r="AH42">
        <f>_xll.EQNXTDZ($A$1,$B42,AH$1,$B$1)</f>
        <v>94.3</v>
      </c>
      <c r="AI42">
        <f>_xll.EQNXTDZ($A$1,$B42,AI$1,$B$1)</f>
        <v>383.55</v>
      </c>
      <c r="AJ42">
        <f>_xll.EQNXTDZ($A$1,$B42,AJ$1,$B$1)</f>
        <v>206.76</v>
      </c>
      <c r="AK42">
        <f>_xll.EQNXTDZ($A$1,$B42,AK$1,$B$1)</f>
        <v>395.31</v>
      </c>
      <c r="AL42">
        <f>_xll.EQNXTDZ($A$1,$B42,AL$1,$B$1)</f>
        <v>238.42</v>
      </c>
      <c r="AM42">
        <f>_xll.EQNXTDZ($A$1,$B42,AM$1,$B$1)</f>
        <v>435.42</v>
      </c>
      <c r="AN42">
        <f>_xll.EQNXTDZ($A$1,$B42,AN$1,$B$1)</f>
        <v>272.57</v>
      </c>
      <c r="AO42">
        <f>_xll.EQNXTDZ($A$1,$B42,AO$1,$B$1)</f>
        <v>267.02999999999997</v>
      </c>
      <c r="AP42">
        <f>_xll.EQNXTDZ($A$1,$B42,AP$1,$B$1)</f>
        <v>229.59</v>
      </c>
      <c r="AQ42">
        <f>_xll.EQNXTDZ($A$1,$B42,AQ$1,$B$1)</f>
        <v>185.99</v>
      </c>
      <c r="AR42">
        <f>_xll.EQNXTDZ($A$1,$B42,AR$1,$B$1)</f>
        <v>206.17</v>
      </c>
      <c r="AS42">
        <f>_xll.EQNXTDZ($A$1,$B42,AS$1,$B$1)</f>
        <v>474.72</v>
      </c>
      <c r="AT42">
        <f>_xll.EQNXTDZ($A$1,$B42,AT$1,$B$1)</f>
        <v>389.45</v>
      </c>
      <c r="AU42">
        <f>_xll.EQNXTDZ($A$1,$B42,AU$1,$B$1)</f>
        <v>175.06</v>
      </c>
      <c r="AV42">
        <f>_xll.EQNXTDZ($A$1,$B42,AV$1,$B$1)</f>
        <v>275.88</v>
      </c>
      <c r="AW42">
        <f>_xll.EQNXTDZ($A$1,$B42,AW$1,$B$1)</f>
        <v>324.89999999999998</v>
      </c>
      <c r="AX42">
        <f>_xll.EQNXTDZ($A$1,$B42,AX$1,$B$1)</f>
        <v>361.44</v>
      </c>
      <c r="AY42">
        <f>_xll.EQNXTDZ($A$1,$B42,AY$1,$B$1)</f>
        <v>-823.92</v>
      </c>
      <c r="AZ42">
        <f>_xll.EQNXTDZ($A$1,$B42,AZ$1,$B$1)</f>
        <v>674.96</v>
      </c>
      <c r="BA42">
        <f>_xll.EQNXTDZ($A$1,$B42,BA$1,$B$1)</f>
        <v>561.78</v>
      </c>
      <c r="BB42">
        <f>_xll.EQNXTDZ($A$1,$B42,BB$1,$B$1)</f>
        <v>647.15</v>
      </c>
      <c r="BC42">
        <f>_xll.EQNXTDZ($A$1,$B42,BC$1,$B$1)</f>
        <v>512.48</v>
      </c>
      <c r="BD42">
        <f>_xll.EQNXTDZ($A$1,$B42,BD$1,$B$1)</f>
        <v>533.97</v>
      </c>
      <c r="BE42">
        <f>_xll.EQNXTDZ($A$1,$B42,BE$1,$B$1)</f>
        <v>552.30999999999995</v>
      </c>
      <c r="BF42">
        <f>_xll.EQNXTDZ($A$1,$B42,BF$1,$B$1)</f>
        <v>683.78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1234</v>
      </c>
      <c r="N45">
        <f>_xll.EQNXTDZ($A$1,$B45,N$1,$B$1)</f>
        <v>1090</v>
      </c>
      <c r="O45">
        <f>_xll.EQNXTDZ($A$1,$B45,O$1,$B$1)</f>
        <v>1099.81</v>
      </c>
      <c r="P45">
        <f>_xll.EQNXTDZ($A$1,$B45,P$1,$B$1)</f>
        <v>1099.81</v>
      </c>
      <c r="Q45">
        <f>_xll.EQNXTDZ($A$1,$B45,Q$1,$B$1)</f>
        <v>1099.81</v>
      </c>
      <c r="R45">
        <f>_xll.EQNXTDZ($A$1,$B45,R$1,$B$1)</f>
        <v>1099.81</v>
      </c>
      <c r="S45">
        <f>_xll.EQNXTDZ($A$1,$B45,S$1,$B$1)</f>
        <v>1099.81</v>
      </c>
      <c r="T45">
        <f>_xll.EQNXTDZ($A$1,$B45,T$1,$B$1)</f>
        <v>1099.81</v>
      </c>
      <c r="U45">
        <f>_xll.EQNXTDZ($A$1,$B45,U$1,$B$1)</f>
        <v>1099.81</v>
      </c>
      <c r="V45">
        <f>_xll.EQNXTDZ($A$1,$B45,V$1,$B$1)</f>
        <v>1099.81</v>
      </c>
      <c r="W45">
        <f>_xll.EQNXTDZ($A$1,$B45,W$1,$B$1)</f>
        <v>1099.81</v>
      </c>
      <c r="X45">
        <f>_xll.EQNXTDZ($A$1,$B45,X$1,$B$1)</f>
        <v>1099.81</v>
      </c>
      <c r="Y45">
        <f>_xll.EQNXTDZ($A$1,$B45,Y$1,$B$1)</f>
        <v>1099.81</v>
      </c>
      <c r="Z45">
        <f>_xll.EQNXTDZ($A$1,$B45,Z$1,$B$1)</f>
        <v>1099.81</v>
      </c>
      <c r="AA45">
        <f>_xll.EQNXTDZ($A$1,$B45,AA$1,$B$1)</f>
        <v>1099.81</v>
      </c>
      <c r="AB45">
        <f>_xll.EQNXTDZ($A$1,$B45,AB$1,$B$1)</f>
        <v>1099.81</v>
      </c>
      <c r="AC45">
        <f>_xll.EQNXTDZ($A$1,$B45,AC$1,$B$1)</f>
        <v>1099.81</v>
      </c>
      <c r="AD45">
        <f>_xll.EQNXTDZ($A$1,$B45,AD$1,$B$1)</f>
        <v>1099.81</v>
      </c>
      <c r="AE45">
        <f>_xll.EQNXTDZ($A$1,$B45,AE$1,$B$1)</f>
        <v>1099.81</v>
      </c>
      <c r="AF45">
        <f>_xll.EQNXTDZ($A$1,$B45,AF$1,$B$1)</f>
        <v>1099.81</v>
      </c>
      <c r="AG45">
        <f>_xll.EQNXTDZ($A$1,$B45,AG$1,$B$1)</f>
        <v>1099.81</v>
      </c>
      <c r="AH45">
        <f>_xll.EQNXTDZ($A$1,$B45,AH$1,$B$1)</f>
        <v>1099.81</v>
      </c>
      <c r="AI45">
        <f>_xll.EQNXTDZ($A$1,$B45,AI$1,$B$1)</f>
        <v>1099.81</v>
      </c>
      <c r="AJ45">
        <f>_xll.EQNXTDZ($A$1,$B45,AJ$1,$B$1)</f>
        <v>1099.81</v>
      </c>
      <c r="AK45">
        <f>_xll.EQNXTDZ($A$1,$B45,AK$1,$B$1)</f>
        <v>1099.81</v>
      </c>
      <c r="AL45">
        <f>_xll.EQNXTDZ($A$1,$B45,AL$1,$B$1)</f>
        <v>1099.81</v>
      </c>
      <c r="AM45">
        <f>_xll.EQNXTDZ($A$1,$B45,AM$1,$B$1)</f>
        <v>1099.81</v>
      </c>
      <c r="AN45">
        <f>_xll.EQNXTDZ($A$1,$B45,AN$1,$B$1)</f>
        <v>1099.81</v>
      </c>
      <c r="AO45">
        <f>_xll.EQNXTDZ($A$1,$B45,AO$1,$B$1)</f>
        <v>1099.81</v>
      </c>
      <c r="AP45">
        <f>_xll.EQNXTDZ($A$1,$B45,AP$1,$B$1)</f>
        <v>1099.81</v>
      </c>
      <c r="AQ45">
        <f>_xll.EQNXTDZ($A$1,$B45,AQ$1,$B$1)</f>
        <v>1115.49</v>
      </c>
      <c r="AR45">
        <f>_xll.EQNXTDZ($A$1,$B45,AR$1,$B$1)</f>
        <v>1115.49</v>
      </c>
      <c r="AS45">
        <f>_xll.EQNXTDZ($A$1,$B45,AS$1,$B$1)</f>
        <v>1115.49</v>
      </c>
      <c r="AT45">
        <f>_xll.EQNXTDZ($A$1,$B45,AT$1,$B$1)</f>
        <v>1115.49</v>
      </c>
      <c r="AU45">
        <f>_xll.EQNXTDZ($A$1,$B45,AU$1,$B$1)</f>
        <v>1115.49</v>
      </c>
      <c r="AV45">
        <f>_xll.EQNXTDZ($A$1,$B45,AV$1,$B$1)</f>
        <v>1115.49</v>
      </c>
      <c r="AW45">
        <f>_xll.EQNXTDZ($A$1,$B45,AW$1,$B$1)</f>
        <v>1115.49</v>
      </c>
      <c r="AX45">
        <f>_xll.EQNXTDZ($A$1,$B45,AX$1,$B$1)</f>
        <v>1115.49</v>
      </c>
      <c r="AY45">
        <f>_xll.EQNXTDZ($A$1,$B45,AY$1,$B$1)</f>
        <v>1115.49</v>
      </c>
      <c r="AZ45">
        <f>_xll.EQNXTDZ($A$1,$B45,AZ$1,$B$1)</f>
        <v>1201.28</v>
      </c>
      <c r="BA45">
        <f>_xll.EQNXTDZ($A$1,$B45,BA$1,$B$1)</f>
        <v>1201.28</v>
      </c>
      <c r="BB45">
        <f>_xll.EQNXTDZ($A$1,$B45,BB$1,$B$1)</f>
        <v>1201.28</v>
      </c>
      <c r="BC45">
        <f>_xll.EQNXTDZ($A$1,$B45,BC$1,$B$1)</f>
        <v>1201.28</v>
      </c>
      <c r="BD45">
        <f>_xll.EQNXTDZ($A$1,$B45,BD$1,$B$1)</f>
        <v>1201.28</v>
      </c>
      <c r="BE45">
        <f>_xll.EQNXTDZ($A$1,$B45,BE$1,$B$1)</f>
        <v>1201.28</v>
      </c>
      <c r="BF45">
        <f>_xll.EQNXTDZ($A$1,$B45,BF$1,$B$1)</f>
        <v>1201.28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26.85</v>
      </c>
      <c r="Q48" s="55">
        <f>_xll.EQNXTDZ($A$1,$B48,Q$5)</f>
        <v>36.85</v>
      </c>
      <c r="R48" s="55">
        <f>_xll.EQNXTDZ($A$1,$B48,R$5)</f>
        <v>34.299999999999997</v>
      </c>
      <c r="S48" s="55">
        <f>_xll.EQNXTDZ($A$1,$B48,S$5)</f>
        <v>38.549999999999997</v>
      </c>
      <c r="T48" s="55">
        <f>_xll.EQNXTDZ($A$1,$B48,T$5)</f>
        <v>38.1</v>
      </c>
      <c r="U48" s="55">
        <f>_xll.EQNXTDZ($A$1,$B48,U$5)</f>
        <v>56.5</v>
      </c>
      <c r="V48" s="55">
        <f>_xll.EQNXTDZ($A$1,$B48,V$5)</f>
        <v>64.349999999999994</v>
      </c>
      <c r="W48" s="55">
        <f>_xll.EQNXTDZ($A$1,$B48,W$5)</f>
        <v>123.9</v>
      </c>
      <c r="X48" s="55">
        <f>_xll.EQNXTDZ($A$1,$B48,X$5)</f>
        <v>152.44999999999999</v>
      </c>
      <c r="Y48" s="55">
        <f>_xll.EQNXTDZ($A$1,$B48,Y$5)</f>
        <v>223.5</v>
      </c>
      <c r="Z48" s="55">
        <f>_xll.EQNXTDZ($A$1,$B48,Z$5)</f>
        <v>191.25</v>
      </c>
      <c r="AA48" s="55">
        <f>_xll.EQNXTDZ($A$1,$B48,AA$5)</f>
        <v>155.94999999999999</v>
      </c>
      <c r="AB48" s="55">
        <f>_xll.EQNXTDZ($A$1,$B48,AB$5)</f>
        <v>160.25</v>
      </c>
      <c r="AC48" s="55">
        <f>_xll.EQNXTDZ($A$1,$B48,AC$5)</f>
        <v>198.9</v>
      </c>
      <c r="AD48" s="55">
        <f>_xll.EQNXTDZ($A$1,$B48,AD$5)</f>
        <v>217.9</v>
      </c>
      <c r="AE48" s="55">
        <f>_xll.EQNXTDZ($A$1,$B48,AE$5)</f>
        <v>224.35</v>
      </c>
      <c r="AF48" s="55">
        <f>_xll.EQNXTDZ($A$1,$B48,AF$5)</f>
        <v>228.6</v>
      </c>
      <c r="AG48" s="55">
        <f>_xll.EQNXTDZ($A$1,$B48,AG$5)</f>
        <v>331.9</v>
      </c>
      <c r="AH48" s="55">
        <f>_xll.EQNXTDZ($A$1,$B48,AH$5)</f>
        <v>188.75</v>
      </c>
      <c r="AI48" s="55">
        <f>_xll.EQNXTDZ($A$1,$B48,AI$5)</f>
        <v>259.7</v>
      </c>
      <c r="AJ48" s="55">
        <f>_xll.EQNXTDZ($A$1,$B48,AJ$5)</f>
        <v>242.3</v>
      </c>
      <c r="AK48" s="55">
        <f>_xll.EQNXTDZ($A$1,$B48,AK$5)</f>
        <v>437.7</v>
      </c>
      <c r="AL48" s="55">
        <f>_xll.EQNXTDZ($A$1,$B48,AL$5)</f>
        <v>908.35</v>
      </c>
      <c r="AM48" s="55">
        <f>_xll.EQNXTDZ($A$1,$B48,AM$5)</f>
        <v>1062.95</v>
      </c>
      <c r="AN48" s="55">
        <f>_xll.EQNXTDZ($A$1,$B48,AN$5)</f>
        <v>1552.35</v>
      </c>
      <c r="AO48" s="55">
        <f>_xll.EQNXTDZ($A$1,$B48,AO$5)</f>
        <v>1732.85</v>
      </c>
      <c r="AP48" s="55">
        <f>_xll.EQNXTDZ($A$1,$B48,AP$5)</f>
        <v>2372.3000000000002</v>
      </c>
      <c r="AQ48" s="55">
        <f>_xll.EQNXTDZ($A$1,$B48,AQ$5)</f>
        <v>2473.75</v>
      </c>
      <c r="AR48" s="55">
        <f>_xll.EQNXTDZ($A$1,$B48,AR$5)</f>
        <v>3290.7</v>
      </c>
      <c r="AS48" s="55">
        <f>_xll.EQNXTDZ($A$1,$B48,AS$5)</f>
        <v>2591.5500000000002</v>
      </c>
      <c r="AT48" s="55">
        <f>_xll.EQNXTDZ($A$1,$B48,AT$5)</f>
        <v>997.9</v>
      </c>
      <c r="AU48" s="55">
        <f>_xll.EQNXTDZ($A$1,$B48,AU$5)</f>
        <v>767.5</v>
      </c>
      <c r="AV48" s="55">
        <f>_xll.EQNXTDZ($A$1,$B48,AV$5)</f>
        <v>809</v>
      </c>
      <c r="AW48" s="55">
        <f>_xll.EQNXTDZ($A$1,$B48,AW$5)</f>
        <v>1046</v>
      </c>
      <c r="AX48" s="55">
        <f>_xll.EQNXTDZ($A$1,$B48,AX$5)</f>
        <v>1025.8</v>
      </c>
      <c r="AY48" s="55">
        <f>_xll.EQNXTDZ($A$1,$B48,AY$5)</f>
        <v>997.95</v>
      </c>
      <c r="AZ48" s="55">
        <f>_xll.EQNXTDZ($A$1,$B48,AZ$5)</f>
        <v>1009.65</v>
      </c>
      <c r="BA48" s="55">
        <f>_xll.EQNXTDZ($A$1,$B48,BA$5)</f>
        <v>806.4</v>
      </c>
      <c r="BB48" s="55">
        <f>_xll.EQNXTDZ($A$1,$B48,BB$5)</f>
        <v>871.5</v>
      </c>
      <c r="BC48" s="55">
        <f>_xll.EQNXTDZ($A$1,$B48,BC$5)</f>
        <v>881.8</v>
      </c>
      <c r="BD48" s="55">
        <f>_xll.EQNXTDZ($A$1,$B48,BD$5)</f>
        <v>871.6</v>
      </c>
      <c r="BE48" s="55">
        <f>_xll.EQNXTDZ($A$1,$B48,BE$5)</f>
        <v>1029.25</v>
      </c>
      <c r="BF48" s="55">
        <f>_xll.EQNXTDZ($A$1,$B48,BF$5)</f>
        <v>934.2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75</v>
      </c>
      <c r="Q49" s="55">
        <f>_xll.EQNXTDZ($A$1,$B49,Q$5)</f>
        <v>75</v>
      </c>
      <c r="R49" s="55">
        <f>_xll.EQNXTDZ($A$1,$B49,R$5)</f>
        <v>75</v>
      </c>
      <c r="S49" s="55">
        <f>_xll.EQNXTDZ($A$1,$B49,S$5)</f>
        <v>75</v>
      </c>
      <c r="T49" s="55">
        <f>_xll.EQNXTDZ($A$1,$B49,T$5)</f>
        <v>75</v>
      </c>
      <c r="U49" s="55">
        <f>_xll.EQNXTDZ($A$1,$B49,U$5)</f>
        <v>75</v>
      </c>
      <c r="V49" s="55">
        <f>_xll.EQNXTDZ($A$1,$B49,V$5)</f>
        <v>74.92</v>
      </c>
      <c r="W49" s="55">
        <f>_xll.EQNXTDZ($A$1,$B49,W$5)</f>
        <v>74.92</v>
      </c>
      <c r="X49" s="55">
        <f>_xll.EQNXTDZ($A$1,$B49,X$5)</f>
        <v>74.92</v>
      </c>
      <c r="Y49" s="55">
        <f>_xll.EQNXTDZ($A$1,$B49,Y$5)</f>
        <v>74.92</v>
      </c>
      <c r="Z49" s="55">
        <f>_xll.EQNXTDZ($A$1,$B49,Z$5)</f>
        <v>74.92</v>
      </c>
      <c r="AA49" s="55">
        <f>_xll.EQNXTDZ($A$1,$B49,AA$5)</f>
        <v>74.92</v>
      </c>
      <c r="AB49" s="55">
        <f>_xll.EQNXTDZ($A$1,$B49,AB$5)</f>
        <v>74.92</v>
      </c>
      <c r="AC49" s="55">
        <f>_xll.EQNXTDZ($A$1,$B49,AC$5)</f>
        <v>74.92</v>
      </c>
      <c r="AD49" s="55">
        <f>_xll.EQNXTDZ($A$1,$B49,AD$5)</f>
        <v>74.92</v>
      </c>
      <c r="AE49" s="55">
        <f>_xll.EQNXTDZ($A$1,$B49,AE$5)</f>
        <v>74.92</v>
      </c>
      <c r="AF49" s="55">
        <f>_xll.EQNXTDZ($A$1,$B49,AF$5)</f>
        <v>74.92</v>
      </c>
      <c r="AG49" s="55">
        <f>_xll.EQNXTDZ($A$1,$B49,AG$5)</f>
        <v>74.92</v>
      </c>
      <c r="AH49" s="55">
        <f>_xll.EQNXTDZ($A$1,$B49,AH$5)</f>
        <v>74.92</v>
      </c>
      <c r="AI49" s="55">
        <f>_xll.EQNXTDZ($A$1,$B49,AI$5)</f>
        <v>74.92</v>
      </c>
      <c r="AJ49" s="55">
        <f>_xll.EQNXTDZ($A$1,$B49,AJ$5)</f>
        <v>74.92</v>
      </c>
      <c r="AK49" s="55">
        <f>_xll.EQNXTDZ($A$1,$B49,AK$5)</f>
        <v>74.92</v>
      </c>
      <c r="AL49" s="55">
        <f>_xll.EQNXTDZ($A$1,$B49,AL$5)</f>
        <v>74.92</v>
      </c>
      <c r="AM49" s="55">
        <f>_xll.EQNXTDZ($A$1,$B49,AM$5)</f>
        <v>74.92</v>
      </c>
      <c r="AN49" s="55">
        <f>_xll.EQNXTDZ($A$1,$B49,AN$5)</f>
        <v>74.92</v>
      </c>
      <c r="AO49" s="55">
        <f>_xll.EQNXTDZ($A$1,$B49,AO$5)</f>
        <v>74.92</v>
      </c>
      <c r="AP49" s="55">
        <f>_xll.EQNXTDZ($A$1,$B49,AP$5)</f>
        <v>74.92</v>
      </c>
      <c r="AQ49" s="55">
        <f>_xll.EQNXTDZ($A$1,$B49,AQ$5)</f>
        <v>73.87</v>
      </c>
      <c r="AR49" s="55">
        <f>_xll.EQNXTDZ($A$1,$B49,AR$5)</f>
        <v>73.87</v>
      </c>
      <c r="AS49" s="55">
        <f>_xll.EQNXTDZ($A$1,$B49,AS$5)</f>
        <v>74.19</v>
      </c>
      <c r="AT49" s="55">
        <f>_xll.EQNXTDZ($A$1,$B49,AT$5)</f>
        <v>71.650000000000006</v>
      </c>
      <c r="AU49" s="55">
        <f>_xll.EQNXTDZ($A$1,$B49,AU$5)</f>
        <v>68.28</v>
      </c>
      <c r="AV49" s="55">
        <f>_xll.EQNXTDZ($A$1,$B49,AV$5)</f>
        <v>73.22</v>
      </c>
      <c r="AW49" s="55">
        <f>_xll.EQNXTDZ($A$1,$B49,AW$5)</f>
        <v>73.22</v>
      </c>
      <c r="AX49" s="55">
        <f>_xll.EQNXTDZ($A$1,$B49,AX$5)</f>
        <v>73.22</v>
      </c>
      <c r="AY49" s="55">
        <f>_xll.EQNXTDZ($A$1,$B49,AY$5)</f>
        <v>74.94</v>
      </c>
      <c r="AZ49" s="55">
        <f>_xll.EQNXTDZ($A$1,$B49,AZ$5)</f>
        <v>69.94</v>
      </c>
      <c r="BA49" s="55">
        <f>_xll.EQNXTDZ($A$1,$B49,BA$5)</f>
        <v>69.94</v>
      </c>
      <c r="BB49" s="55">
        <f>_xll.EQNXTDZ($A$1,$B49,BB$5)</f>
        <v>69.94</v>
      </c>
      <c r="BC49" s="55">
        <f>_xll.EQNXTDZ($A$1,$B49,BC$5)</f>
        <v>71.19</v>
      </c>
      <c r="BD49" s="55">
        <f>_xll.EQNXTDZ($A$1,$B49,BD$5)</f>
        <v>71.19</v>
      </c>
      <c r="BE49" s="55">
        <f>_xll.EQNXTDZ($A$1,$B49,BE$5)</f>
        <v>71.19</v>
      </c>
      <c r="BF49" s="55">
        <f>_xll.EQNXTDZ($A$1,$B49,BF$5)</f>
        <v>72.73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13.41</v>
      </c>
      <c r="R50" s="55">
        <f>_xll.EQNXTDZ($A$1,$B50,R$5)</f>
        <v>22.69</v>
      </c>
      <c r="S50" s="55">
        <f>_xll.EQNXTDZ($A$1,$B50,S$5)</f>
        <v>25.33</v>
      </c>
      <c r="T50" s="55">
        <f>_xll.EQNXTDZ($A$1,$B50,T$5)</f>
        <v>32.33</v>
      </c>
      <c r="U50" s="55">
        <f>_xll.EQNXTDZ($A$1,$B50,U$5)</f>
        <v>31.39</v>
      </c>
      <c r="V50" s="55">
        <f>_xll.EQNXTDZ($A$1,$B50,V$5)</f>
        <v>30.99</v>
      </c>
      <c r="W50" s="55">
        <f>_xll.EQNXTDZ($A$1,$B50,W$5)</f>
        <v>22.22</v>
      </c>
      <c r="X50" s="55">
        <f>_xll.EQNXTDZ($A$1,$B50,X$5)</f>
        <v>19.579999999999998</v>
      </c>
      <c r="Y50" s="55">
        <f>_xll.EQNXTDZ($A$1,$B50,Y$5)</f>
        <v>16.829999999999998</v>
      </c>
      <c r="Z50" s="55">
        <f>_xll.EQNXTDZ($A$1,$B50,Z$5)</f>
        <v>22.92</v>
      </c>
      <c r="AA50" s="55">
        <f>_xll.EQNXTDZ($A$1,$B50,AA$5)</f>
        <v>37.06</v>
      </c>
      <c r="AB50" s="55">
        <f>_xll.EQNXTDZ($A$1,$B50,AB$5)</f>
        <v>54.08</v>
      </c>
      <c r="AC50" s="55">
        <f>_xll.EQNXTDZ($A$1,$B50,AC$5)</f>
        <v>44.43</v>
      </c>
      <c r="AD50" s="55">
        <f>_xll.EQNXTDZ($A$1,$B50,AD$5)</f>
        <v>52.02</v>
      </c>
      <c r="AE50" s="55">
        <f>_xll.EQNXTDZ($A$1,$B50,AE$5)</f>
        <v>50.37</v>
      </c>
      <c r="AF50" s="55">
        <f>_xll.EQNXTDZ($A$1,$B50,AF$5)</f>
        <v>43.93</v>
      </c>
      <c r="AG50" s="55">
        <f>_xll.EQNXTDZ($A$1,$B50,AG$5)</f>
        <v>35.29</v>
      </c>
      <c r="AH50" s="55">
        <f>_xll.EQNXTDZ($A$1,$B50,AH$5)</f>
        <v>53.63</v>
      </c>
      <c r="AI50" s="55">
        <f>_xll.EQNXTDZ($A$1,$B50,AI$5)</f>
        <v>35.78</v>
      </c>
      <c r="AJ50" s="55">
        <f>_xll.EQNXTDZ($A$1,$B50,AJ$5)</f>
        <v>29.11</v>
      </c>
      <c r="AK50" s="55">
        <f>_xll.EQNXTDZ($A$1,$B50,AK$5)</f>
        <v>27.77</v>
      </c>
      <c r="AL50" s="55">
        <f>_xll.EQNXTDZ($A$1,$B50,AL$5)</f>
        <v>12.02</v>
      </c>
      <c r="AM50" s="55">
        <f>_xll.EQNXTDZ($A$1,$B50,AM$5)</f>
        <v>8.25</v>
      </c>
      <c r="AN50" s="55">
        <f>_xll.EQNXTDZ($A$1,$B50,AN$5)</f>
        <v>8.17</v>
      </c>
      <c r="AO50" s="55">
        <f>_xll.EQNXTDZ($A$1,$B50,AO$5)</f>
        <v>7.22</v>
      </c>
      <c r="AP50" s="55">
        <f>_xll.EQNXTDZ($A$1,$B50,AP$5)</f>
        <v>6.74</v>
      </c>
      <c r="AQ50" s="55">
        <f>_xll.EQNXTDZ($A$1,$B50,AQ$5)</f>
        <v>5.9</v>
      </c>
      <c r="AR50" s="55">
        <f>_xll.EQNXTDZ($A$1,$B50,AR$5)</f>
        <v>6.39</v>
      </c>
      <c r="AS50" s="55">
        <f>_xll.EQNXTDZ($A$1,$B50,AS$5)</f>
        <v>6.62</v>
      </c>
      <c r="AT50" s="55">
        <f>_xll.EQNXTDZ($A$1,$B50,AT$5)</f>
        <v>3.75</v>
      </c>
      <c r="AU50" s="55">
        <f>_xll.EQNXTDZ($A$1,$B50,AU$5)</f>
        <v>4.1900000000000004</v>
      </c>
      <c r="AV50" s="55">
        <f>_xll.EQNXTDZ($A$1,$B50,AV$5)</f>
        <v>3.34</v>
      </c>
      <c r="AW50" s="55">
        <f>_xll.EQNXTDZ($A$1,$B50,AW$5)</f>
        <v>2.89</v>
      </c>
      <c r="AX50" s="55">
        <f>_xll.EQNXTDZ($A$1,$B50,AX$5)</f>
        <v>2.58</v>
      </c>
      <c r="AY50" s="55">
        <f>_xll.EQNXTDZ($A$1,$B50,AY$5)</f>
        <v>2.2799999999999998</v>
      </c>
      <c r="AZ50" s="55">
        <f>_xll.EQNXTDZ($A$1,$B50,AZ$5)</f>
        <v>0.49</v>
      </c>
      <c r="BA50" s="55">
        <f>_xll.EQNXTDZ($A$1,$B50,BA$5)</f>
        <v>0.81</v>
      </c>
      <c r="BB50" s="55">
        <f>_xll.EQNXTDZ($A$1,$B50,BB$5)</f>
        <v>0.81</v>
      </c>
      <c r="BC50" s="55">
        <f>_xll.EQNXTDZ($A$1,$B50,BC$5)</f>
        <v>0.79</v>
      </c>
      <c r="BD50" s="55">
        <f>_xll.EQNXTDZ($A$1,$B50,BD$5)</f>
        <v>0.79</v>
      </c>
      <c r="BE50" s="55">
        <f>_xll.EQNXTDZ($A$1,$B50,BE$5)</f>
        <v>0.55000000000000004</v>
      </c>
      <c r="BF50" s="55">
        <f>_xll.EQNXTDZ($A$1,$B50,BF$5)</f>
        <v>0.54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1090</v>
      </c>
      <c r="O56" s="55">
        <f>_xll.EQNXTDZ($A$1,$B56,O$5,$B$1)</f>
        <v>0</v>
      </c>
      <c r="P56" s="55">
        <f>_xll.EQNXTDZ($A$1,$B56,P$5,$B$1)</f>
        <v>1099.81</v>
      </c>
      <c r="Q56" s="55">
        <f>_xll.EQNXTDZ($A$1,$B56,Q$5,$B$1)</f>
        <v>0</v>
      </c>
      <c r="R56" s="55">
        <f>_xll.EQNXTDZ($A$1,$B56,R$5,$B$1)</f>
        <v>1099.81</v>
      </c>
      <c r="S56" s="55">
        <f>_xll.EQNXTDZ($A$1,$B56,S$5,$B$1)</f>
        <v>0</v>
      </c>
      <c r="T56" s="55">
        <f>_xll.EQNXTDZ($A$1,$B56,T$5,$B$1)</f>
        <v>1099.81</v>
      </c>
      <c r="U56" s="55">
        <f>_xll.EQNXTDZ($A$1,$B56,U$5,$B$1)</f>
        <v>0</v>
      </c>
      <c r="V56" s="55">
        <f>_xll.EQNXTDZ($A$1,$B56,V$5,$B$1)</f>
        <v>1099.81</v>
      </c>
      <c r="W56" s="55">
        <f>_xll.EQNXTDZ($A$1,$B56,W$5,$B$1)</f>
        <v>0</v>
      </c>
      <c r="X56" s="55">
        <f>_xll.EQNXTDZ($A$1,$B56,X$5,$B$1)</f>
        <v>1099.81</v>
      </c>
      <c r="Y56" s="55">
        <f>_xll.EQNXTDZ($A$1,$B56,Y$5,$B$1)</f>
        <v>0</v>
      </c>
      <c r="Z56" s="55">
        <f>_xll.EQNXTDZ($A$1,$B56,Z$5,$B$1)</f>
        <v>1099.81</v>
      </c>
      <c r="AA56" s="55">
        <f>_xll.EQNXTDZ($A$1,$B56,AA$5,$B$1)</f>
        <v>0</v>
      </c>
      <c r="AB56" s="55">
        <f>_xll.EQNXTDZ($A$1,$B56,AB$5,$B$1)</f>
        <v>4325.47</v>
      </c>
      <c r="AC56" s="55">
        <f>_xll.EQNXTDZ($A$1,$B56,AC$5,$B$1)</f>
        <v>0</v>
      </c>
      <c r="AD56" s="55">
        <f>_xll.EQNXTDZ($A$1,$B56,AD$5,$B$1)</f>
        <v>1099.81</v>
      </c>
      <c r="AE56" s="55">
        <f>_xll.EQNXTDZ($A$1,$B56,AE$5,$B$1)</f>
        <v>0</v>
      </c>
      <c r="AF56" s="55">
        <f>_xll.EQNXTDZ($A$1,$B56,AF$5,$B$1)</f>
        <v>1099.81</v>
      </c>
      <c r="AG56" s="55">
        <f>_xll.EQNXTDZ($A$1,$B56,AG$5,$B$1)</f>
        <v>0</v>
      </c>
      <c r="AH56" s="55">
        <f>_xll.EQNXTDZ($A$1,$B56,AH$5,$B$1)</f>
        <v>1099.81</v>
      </c>
      <c r="AI56" s="55">
        <f>_xll.EQNXTDZ($A$1,$B56,AI$5,$B$1)</f>
        <v>0</v>
      </c>
      <c r="AJ56" s="55">
        <f>_xll.EQNXTDZ($A$1,$B56,AJ$5,$B$1)</f>
        <v>1099.81</v>
      </c>
      <c r="AK56" s="55">
        <f>_xll.EQNXTDZ($A$1,$B56,AK$5,$B$1)</f>
        <v>0</v>
      </c>
      <c r="AL56" s="55">
        <f>_xll.EQNXTDZ($A$1,$B56,AL$5,$B$1)</f>
        <v>1099.81</v>
      </c>
      <c r="AM56" s="55">
        <f>_xll.EQNXTDZ($A$1,$B56,AM$5,$B$1)</f>
        <v>0</v>
      </c>
      <c r="AN56" s="55">
        <f>_xll.EQNXTDZ($A$1,$B56,AN$5,$B$1)</f>
        <v>1099.81</v>
      </c>
      <c r="AO56" s="55">
        <f>_xll.EQNXTDZ($A$1,$B56,AO$5,$B$1)</f>
        <v>0</v>
      </c>
      <c r="AP56" s="55">
        <f>_xll.EQNXTDZ($A$1,$B56,AP$5,$B$1)</f>
        <v>1099.81</v>
      </c>
      <c r="AQ56" s="55">
        <f>_xll.EQNXTDZ($A$1,$B56,AQ$5,$B$1)</f>
        <v>0</v>
      </c>
      <c r="AR56" s="55">
        <f>_xll.EQNXTDZ($A$1,$B56,AR$5,$B$1)</f>
        <v>1115.49</v>
      </c>
      <c r="AS56" s="55">
        <f>_xll.EQNXTDZ($A$1,$B56,AS$5,$B$1)</f>
        <v>0</v>
      </c>
      <c r="AT56" s="55">
        <f>_xll.EQNXTDZ($A$1,$B56,AT$5,$B$1)</f>
        <v>1115.49</v>
      </c>
      <c r="AU56" s="55">
        <f>_xll.EQNXTDZ($A$1,$B56,AU$5,$B$1)</f>
        <v>0</v>
      </c>
      <c r="AV56" s="55">
        <f>_xll.EQNXTDZ($A$1,$B56,AV$5,$B$1)</f>
        <v>1115.49</v>
      </c>
      <c r="AW56" s="55">
        <f>_xll.EQNXTDZ($A$1,$B56,AW$5,$B$1)</f>
        <v>0</v>
      </c>
      <c r="AX56" s="55">
        <f>_xll.EQNXTDZ($A$1,$B56,AX$5,$B$1)</f>
        <v>1115.49</v>
      </c>
      <c r="AY56" s="55">
        <f>_xll.EQNXTDZ($A$1,$B56,AY$5,$B$1)</f>
        <v>0</v>
      </c>
      <c r="AZ56" s="55">
        <f>_xll.EQNXTDZ($A$1,$B56,AZ$5,$B$1)</f>
        <v>1201.28</v>
      </c>
      <c r="BA56" s="55">
        <f>_xll.EQNXTDZ($A$1,$B56,BA$5,$B$1)</f>
        <v>0</v>
      </c>
      <c r="BB56" s="55">
        <f>_xll.EQNXTDZ($A$1,$B56,BB$5,$B$1)</f>
        <v>1201.28</v>
      </c>
      <c r="BC56" s="55">
        <f>_xll.EQNXTDZ($A$1,$B56,BC$5,$B$1)</f>
        <v>0</v>
      </c>
      <c r="BD56" s="55">
        <f>_xll.EQNXTDZ($A$1,$B56,BD$5,$B$1)</f>
        <v>1201.28</v>
      </c>
      <c r="BE56" s="55">
        <f>_xll.EQNXTDZ($A$1,$B56,BE$5,$B$1)</f>
        <v>0</v>
      </c>
      <c r="BF56" s="55">
        <f>_xll.EQNXTDZ($A$1,$B56,BF$5,$B$1)</f>
        <v>1201.28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-6.75</v>
      </c>
      <c r="O58" s="55">
        <f>_xll.EQNXTDZ($A$1,$B58,O$5,$B$1)</f>
        <v>0</v>
      </c>
      <c r="P58" s="55">
        <f>_xll.EQNXTDZ($A$1,$B58,P$5,$B$1)</f>
        <v>1396.36</v>
      </c>
      <c r="Q58" s="55">
        <f>_xll.EQNXTDZ($A$1,$B58,Q$5,$B$1)</f>
        <v>0</v>
      </c>
      <c r="R58" s="55">
        <f>_xll.EQNXTDZ($A$1,$B58,R$5,$B$1)</f>
        <v>1572</v>
      </c>
      <c r="S58" s="55">
        <f>_xll.EQNXTDZ($A$1,$B58,S$5,$B$1)</f>
        <v>0</v>
      </c>
      <c r="T58" s="55">
        <f>_xll.EQNXTDZ($A$1,$B58,T$5,$B$1)</f>
        <v>1727.91</v>
      </c>
      <c r="U58" s="55">
        <f>_xll.EQNXTDZ($A$1,$B58,U$5,$B$1)</f>
        <v>0</v>
      </c>
      <c r="V58" s="55">
        <f>_xll.EQNXTDZ($A$1,$B58,V$5,$B$1)</f>
        <v>1846.72</v>
      </c>
      <c r="W58" s="55">
        <f>_xll.EQNXTDZ($A$1,$B58,W$5,$B$1)</f>
        <v>0</v>
      </c>
      <c r="X58" s="55">
        <f>_xll.EQNXTDZ($A$1,$B58,X$5,$B$1)</f>
        <v>1894.55</v>
      </c>
      <c r="Y58" s="55">
        <f>_xll.EQNXTDZ($A$1,$B58,Y$5,$B$1)</f>
        <v>0</v>
      </c>
      <c r="Z58" s="55">
        <f>_xll.EQNXTDZ($A$1,$B58,Z$5,$B$1)</f>
        <v>4956.68</v>
      </c>
      <c r="AA58" s="55">
        <f>_xll.EQNXTDZ($A$1,$B58,AA$5,$B$1)</f>
        <v>0</v>
      </c>
      <c r="AB58" s="55">
        <f>_xll.EQNXTDZ($A$1,$B58,AB$5,$B$1)</f>
        <v>3443.11</v>
      </c>
      <c r="AC58" s="55">
        <f>_xll.EQNXTDZ($A$1,$B58,AC$5,$B$1)</f>
        <v>0</v>
      </c>
      <c r="AD58" s="55">
        <f>_xll.EQNXTDZ($A$1,$B58,AD$5,$B$1)</f>
        <v>6943.07</v>
      </c>
      <c r="AE58" s="55">
        <f>_xll.EQNXTDZ($A$1,$B58,AE$5,$B$1)</f>
        <v>0</v>
      </c>
      <c r="AF58" s="55">
        <f>_xll.EQNXTDZ($A$1,$B58,AF$5,$B$1)</f>
        <v>8169.59</v>
      </c>
      <c r="AG58" s="55">
        <f>_xll.EQNXTDZ($A$1,$B58,AG$5,$B$1)</f>
        <v>0</v>
      </c>
      <c r="AH58" s="55">
        <f>_xll.EQNXTDZ($A$1,$B58,AH$5,$B$1)</f>
        <v>7399.15</v>
      </c>
      <c r="AI58" s="55">
        <f>_xll.EQNXTDZ($A$1,$B58,AI$5,$B$1)</f>
        <v>0</v>
      </c>
      <c r="AJ58" s="55">
        <f>_xll.EQNXTDZ($A$1,$B58,AJ$5,$B$1)</f>
        <v>7285.54</v>
      </c>
      <c r="AK58" s="55">
        <f>_xll.EQNXTDZ($A$1,$B58,AK$5,$B$1)</f>
        <v>0</v>
      </c>
      <c r="AL58" s="55">
        <f>_xll.EQNXTDZ($A$1,$B58,AL$5,$B$1)</f>
        <v>7819.47</v>
      </c>
      <c r="AM58" s="55">
        <f>_xll.EQNXTDZ($A$1,$B58,AM$5,$B$1)</f>
        <v>0</v>
      </c>
      <c r="AN58" s="55">
        <f>_xll.EQNXTDZ($A$1,$B58,AN$5,$B$1)</f>
        <v>8549.0400000000009</v>
      </c>
      <c r="AO58" s="55">
        <f>_xll.EQNXTDZ($A$1,$B58,AO$5,$B$1)</f>
        <v>0</v>
      </c>
      <c r="AP58" s="55">
        <f>_xll.EQNXTDZ($A$1,$B58,AP$5,$B$1)</f>
        <v>8813.01</v>
      </c>
      <c r="AQ58" s="55">
        <f>_xll.EQNXTDZ($A$1,$B58,AQ$5,$B$1)</f>
        <v>0</v>
      </c>
      <c r="AR58" s="55">
        <f>_xll.EQNXTDZ($A$1,$B58,AR$5,$B$1)</f>
        <v>9520.14</v>
      </c>
      <c r="AS58" s="55">
        <f>_xll.EQNXTDZ($A$1,$B58,AS$5,$B$1)</f>
        <v>0</v>
      </c>
      <c r="AT58" s="55">
        <f>_xll.EQNXTDZ($A$1,$B58,AT$5,$B$1)</f>
        <v>10633.68</v>
      </c>
      <c r="AU58" s="55">
        <f>_xll.EQNXTDZ($A$1,$B58,AU$5,$B$1)</f>
        <v>0</v>
      </c>
      <c r="AV58" s="55">
        <f>_xll.EQNXTDZ($A$1,$B58,AV$5,$B$1)</f>
        <v>10782.05</v>
      </c>
      <c r="AW58" s="55">
        <f>_xll.EQNXTDZ($A$1,$B58,AW$5,$B$1)</f>
        <v>0</v>
      </c>
      <c r="AX58" s="55">
        <f>_xll.EQNXTDZ($A$1,$B58,AX$5,$B$1)</f>
        <v>11526.06</v>
      </c>
      <c r="AY58" s="55">
        <f>_xll.EQNXTDZ($A$1,$B58,AY$5,$B$1)</f>
        <v>0</v>
      </c>
      <c r="AZ58" s="55">
        <f>_xll.EQNXTDZ($A$1,$B58,AZ$5,$B$1)</f>
        <v>19783.939999999999</v>
      </c>
      <c r="BA58" s="55">
        <f>_xll.EQNXTDZ($A$1,$B58,BA$5,$B$1)</f>
        <v>0</v>
      </c>
      <c r="BB58" s="55">
        <f>_xll.EQNXTDZ($A$1,$B58,BB$5,$B$1)</f>
        <v>20866.919999999998</v>
      </c>
      <c r="BC58" s="55">
        <f>_xll.EQNXTDZ($A$1,$B58,BC$5,$B$1)</f>
        <v>0</v>
      </c>
      <c r="BD58" s="55">
        <f>_xll.EQNXTDZ($A$1,$B58,BD$5,$B$1)</f>
        <v>22182.55</v>
      </c>
      <c r="BE58" s="55">
        <f>_xll.EQNXTDZ($A$1,$B58,BE$5,$B$1)</f>
        <v>0</v>
      </c>
      <c r="BF58" s="55">
        <f>_xll.EQNXTDZ($A$1,$B58,BF$5,$B$1)</f>
        <v>24226.26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1083.25</v>
      </c>
      <c r="O59" s="55">
        <f>_xll.EQNXTDZ($A$1,$B59,O$5,$B$1)</f>
        <v>0</v>
      </c>
      <c r="P59" s="55">
        <f>_xll.EQNXTDZ($A$1,$B59,P$5,$B$1)</f>
        <v>2496.17</v>
      </c>
      <c r="Q59" s="55">
        <f>_xll.EQNXTDZ($A$1,$B59,Q$5,$B$1)</f>
        <v>0</v>
      </c>
      <c r="R59" s="55">
        <f>_xll.EQNXTDZ($A$1,$B59,R$5,$B$1)</f>
        <v>2671.81</v>
      </c>
      <c r="S59" s="55">
        <f>_xll.EQNXTDZ($A$1,$B59,S$5,$B$1)</f>
        <v>0</v>
      </c>
      <c r="T59" s="55">
        <f>_xll.EQNXTDZ($A$1,$B59,T$5,$B$1)</f>
        <v>2827.72</v>
      </c>
      <c r="U59" s="55">
        <f>_xll.EQNXTDZ($A$1,$B59,U$5,$B$1)</f>
        <v>0</v>
      </c>
      <c r="V59" s="55">
        <f>_xll.EQNXTDZ($A$1,$B59,V$5,$B$1)</f>
        <v>2946.53</v>
      </c>
      <c r="W59" s="55">
        <f>_xll.EQNXTDZ($A$1,$B59,W$5,$B$1)</f>
        <v>0</v>
      </c>
      <c r="X59" s="55">
        <f>_xll.EQNXTDZ($A$1,$B59,X$5,$B$1)</f>
        <v>2994.36</v>
      </c>
      <c r="Y59" s="55">
        <f>_xll.EQNXTDZ($A$1,$B59,Y$5,$B$1)</f>
        <v>0</v>
      </c>
      <c r="Z59" s="55">
        <f>_xll.EQNXTDZ($A$1,$B59,Z$5,$B$1)</f>
        <v>6056.49</v>
      </c>
      <c r="AA59" s="55">
        <f>_xll.EQNXTDZ($A$1,$B59,AA$5,$B$1)</f>
        <v>0</v>
      </c>
      <c r="AB59" s="55">
        <f>_xll.EQNXTDZ($A$1,$B59,AB$5,$B$1)</f>
        <v>7768.58</v>
      </c>
      <c r="AC59" s="55">
        <f>_xll.EQNXTDZ($A$1,$B59,AC$5,$B$1)</f>
        <v>0</v>
      </c>
      <c r="AD59" s="55">
        <f>_xll.EQNXTDZ($A$1,$B59,AD$5,$B$1)</f>
        <v>8042.88</v>
      </c>
      <c r="AE59" s="55">
        <f>_xll.EQNXTDZ($A$1,$B59,AE$5,$B$1)</f>
        <v>0</v>
      </c>
      <c r="AF59" s="55">
        <f>_xll.EQNXTDZ($A$1,$B59,AF$5,$B$1)</f>
        <v>9269.4</v>
      </c>
      <c r="AG59" s="55">
        <f>_xll.EQNXTDZ($A$1,$B59,AG$5,$B$1)</f>
        <v>0</v>
      </c>
      <c r="AH59" s="55">
        <f>_xll.EQNXTDZ($A$1,$B59,AH$5,$B$1)</f>
        <v>8498.9599999999991</v>
      </c>
      <c r="AI59" s="55">
        <f>_xll.EQNXTDZ($A$1,$B59,AI$5,$B$1)</f>
        <v>0</v>
      </c>
      <c r="AJ59" s="55">
        <f>_xll.EQNXTDZ($A$1,$B59,AJ$5,$B$1)</f>
        <v>8385.35</v>
      </c>
      <c r="AK59" s="55">
        <f>_xll.EQNXTDZ($A$1,$B59,AK$5,$B$1)</f>
        <v>0</v>
      </c>
      <c r="AL59" s="55">
        <f>_xll.EQNXTDZ($A$1,$B59,AL$5,$B$1)</f>
        <v>8919.2800000000007</v>
      </c>
      <c r="AM59" s="55">
        <f>_xll.EQNXTDZ($A$1,$B59,AM$5,$B$1)</f>
        <v>0</v>
      </c>
      <c r="AN59" s="55">
        <f>_xll.EQNXTDZ($A$1,$B59,AN$5,$B$1)</f>
        <v>9648.85</v>
      </c>
      <c r="AO59" s="55">
        <f>_xll.EQNXTDZ($A$1,$B59,AO$5,$B$1)</f>
        <v>0</v>
      </c>
      <c r="AP59" s="55">
        <f>_xll.EQNXTDZ($A$1,$B59,AP$5,$B$1)</f>
        <v>9912.82</v>
      </c>
      <c r="AQ59" s="55">
        <f>_xll.EQNXTDZ($A$1,$B59,AQ$5,$B$1)</f>
        <v>0</v>
      </c>
      <c r="AR59" s="55">
        <f>_xll.EQNXTDZ($A$1,$B59,AR$5,$B$1)</f>
        <v>10635.63</v>
      </c>
      <c r="AS59" s="55">
        <f>_xll.EQNXTDZ($A$1,$B59,AS$5,$B$1)</f>
        <v>0</v>
      </c>
      <c r="AT59" s="55">
        <f>_xll.EQNXTDZ($A$1,$B59,AT$5,$B$1)</f>
        <v>11749.17</v>
      </c>
      <c r="AU59" s="55">
        <f>_xll.EQNXTDZ($A$1,$B59,AU$5,$B$1)</f>
        <v>0</v>
      </c>
      <c r="AV59" s="55">
        <f>_xll.EQNXTDZ($A$1,$B59,AV$5,$B$1)</f>
        <v>11897.54</v>
      </c>
      <c r="AW59" s="55">
        <f>_xll.EQNXTDZ($A$1,$B59,AW$5,$B$1)</f>
        <v>0</v>
      </c>
      <c r="AX59" s="55">
        <f>_xll.EQNXTDZ($A$1,$B59,AX$5,$B$1)</f>
        <v>12641.55</v>
      </c>
      <c r="AY59" s="55">
        <f>_xll.EQNXTDZ($A$1,$B59,AY$5,$B$1)</f>
        <v>0</v>
      </c>
      <c r="AZ59" s="55">
        <f>_xll.EQNXTDZ($A$1,$B59,AZ$5,$B$1)</f>
        <v>20985.22</v>
      </c>
      <c r="BA59" s="55">
        <f>_xll.EQNXTDZ($A$1,$B59,BA$5,$B$1)</f>
        <v>0</v>
      </c>
      <c r="BB59" s="55">
        <f>_xll.EQNXTDZ($A$1,$B59,BB$5,$B$1)</f>
        <v>22068.2</v>
      </c>
      <c r="BC59" s="55">
        <f>_xll.EQNXTDZ($A$1,$B59,BC$5,$B$1)</f>
        <v>0</v>
      </c>
      <c r="BD59" s="55">
        <f>_xll.EQNXTDZ($A$1,$B59,BD$5,$B$1)</f>
        <v>23383.83</v>
      </c>
      <c r="BE59" s="55">
        <f>_xll.EQNXTDZ($A$1,$B59,BE$5,$B$1)</f>
        <v>0</v>
      </c>
      <c r="BF59" s="55">
        <f>_xll.EQNXTDZ($A$1,$B59,BF$5,$B$1)</f>
        <v>25427.54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1062.1300000000001</v>
      </c>
      <c r="AI60" s="55">
        <f>_xll.EQNXTDZ($A$1,$B60,AI$5,$B$1)</f>
        <v>0</v>
      </c>
      <c r="AJ60" s="55">
        <f>_xll.EQNXTDZ($A$1,$B60,AJ$5,$B$1)</f>
        <v>1034.07</v>
      </c>
      <c r="AK60" s="55">
        <f>_xll.EQNXTDZ($A$1,$B60,AK$5,$B$1)</f>
        <v>0</v>
      </c>
      <c r="AL60" s="55">
        <f>_xll.EQNXTDZ($A$1,$B60,AL$5,$B$1)</f>
        <v>1103.58</v>
      </c>
      <c r="AM60" s="55">
        <f>_xll.EQNXTDZ($A$1,$B60,AM$5,$B$1)</f>
        <v>0</v>
      </c>
      <c r="AN60" s="55">
        <f>_xll.EQNXTDZ($A$1,$B60,AN$5,$B$1)</f>
        <v>1113.47</v>
      </c>
      <c r="AO60" s="55">
        <f>_xll.EQNXTDZ($A$1,$B60,AO$5,$B$1)</f>
        <v>0</v>
      </c>
      <c r="AP60" s="55">
        <f>_xll.EQNXTDZ($A$1,$B60,AP$5,$B$1)</f>
        <v>1093.68</v>
      </c>
      <c r="AQ60" s="55">
        <f>_xll.EQNXTDZ($A$1,$B60,AQ$5,$B$1)</f>
        <v>0</v>
      </c>
      <c r="AR60" s="55">
        <f>_xll.EQNXTDZ($A$1,$B60,AR$5,$B$1)</f>
        <v>1005.98</v>
      </c>
      <c r="AS60" s="55">
        <f>_xll.EQNXTDZ($A$1,$B60,AS$5,$B$1)</f>
        <v>0</v>
      </c>
      <c r="AT60" s="55">
        <f>_xll.EQNXTDZ($A$1,$B60,AT$5,$B$1)</f>
        <v>1126.5999999999999</v>
      </c>
      <c r="AU60" s="55">
        <f>_xll.EQNXTDZ($A$1,$B60,AU$5,$B$1)</f>
        <v>0</v>
      </c>
      <c r="AV60" s="55">
        <f>_xll.EQNXTDZ($A$1,$B60,AV$5,$B$1)</f>
        <v>1018.97</v>
      </c>
      <c r="AW60" s="55">
        <f>_xll.EQNXTDZ($A$1,$B60,AW$5,$B$1)</f>
        <v>0</v>
      </c>
      <c r="AX60" s="55">
        <f>_xll.EQNXTDZ($A$1,$B60,AX$5,$B$1)</f>
        <v>1061.58</v>
      </c>
      <c r="AY60" s="55">
        <f>_xll.EQNXTDZ($A$1,$B60,AY$5,$B$1)</f>
        <v>0</v>
      </c>
      <c r="AZ60" s="55">
        <f>_xll.EQNXTDZ($A$1,$B60,AZ$5,$B$1)</f>
        <v>836.4</v>
      </c>
      <c r="BA60" s="55">
        <f>_xll.EQNXTDZ($A$1,$B60,BA$5,$B$1)</f>
        <v>0</v>
      </c>
      <c r="BB60" s="55">
        <f>_xll.EQNXTDZ($A$1,$B60,BB$5,$B$1)</f>
        <v>943.06</v>
      </c>
      <c r="BC60" s="55">
        <f>_xll.EQNXTDZ($A$1,$B60,BC$5,$B$1)</f>
        <v>0</v>
      </c>
      <c r="BD60" s="55">
        <f>_xll.EQNXTDZ($A$1,$B60,BD$5,$B$1)</f>
        <v>1016.98</v>
      </c>
      <c r="BE60" s="55">
        <f>_xll.EQNXTDZ($A$1,$B60,BE$5,$B$1)</f>
        <v>0</v>
      </c>
      <c r="BF60" s="55">
        <f>_xll.EQNXTDZ($A$1,$B60,BF$5,$B$1)</f>
        <v>1098.0999999999999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5311.96</v>
      </c>
      <c r="O61" s="55">
        <f>_xll.EQNXTDZ($A$1,$B61,O$5,$B$1)</f>
        <v>0</v>
      </c>
      <c r="P61" s="55">
        <f>_xll.EQNXTDZ($A$1,$B61,P$5,$B$1)</f>
        <v>5135.66</v>
      </c>
      <c r="Q61" s="55">
        <f>_xll.EQNXTDZ($A$1,$B61,Q$5,$B$1)</f>
        <v>0</v>
      </c>
      <c r="R61" s="55">
        <f>_xll.EQNXTDZ($A$1,$B61,R$5,$B$1)</f>
        <v>5093.78</v>
      </c>
      <c r="S61" s="55">
        <f>_xll.EQNXTDZ($A$1,$B61,S$5,$B$1)</f>
        <v>0</v>
      </c>
      <c r="T61" s="55">
        <f>_xll.EQNXTDZ($A$1,$B61,T$5,$B$1)</f>
        <v>7410.97</v>
      </c>
      <c r="U61" s="55">
        <f>_xll.EQNXTDZ($A$1,$B61,U$5,$B$1)</f>
        <v>0</v>
      </c>
      <c r="V61" s="55">
        <f>_xll.EQNXTDZ($A$1,$B61,V$5,$B$1)</f>
        <v>7729.08</v>
      </c>
      <c r="W61" s="55">
        <f>_xll.EQNXTDZ($A$1,$B61,W$5,$B$1)</f>
        <v>0</v>
      </c>
      <c r="X61" s="55">
        <f>_xll.EQNXTDZ($A$1,$B61,X$5,$B$1)</f>
        <v>7628.64</v>
      </c>
      <c r="Y61" s="55">
        <f>_xll.EQNXTDZ($A$1,$B61,Y$5,$B$1)</f>
        <v>0</v>
      </c>
      <c r="Z61" s="55">
        <f>_xll.EQNXTDZ($A$1,$B61,Z$5,$B$1)</f>
        <v>8594.56</v>
      </c>
      <c r="AA61" s="55">
        <f>_xll.EQNXTDZ($A$1,$B61,AA$5,$B$1)</f>
        <v>0</v>
      </c>
      <c r="AB61" s="55">
        <f>_xll.EQNXTDZ($A$1,$B61,AB$5,$B$1)</f>
        <v>16476.439999999999</v>
      </c>
      <c r="AC61" s="55">
        <f>_xll.EQNXTDZ($A$1,$B61,AC$5,$B$1)</f>
        <v>0</v>
      </c>
      <c r="AD61" s="55">
        <f>_xll.EQNXTDZ($A$1,$B61,AD$5,$B$1)</f>
        <v>16304.11</v>
      </c>
      <c r="AE61" s="55">
        <f>_xll.EQNXTDZ($A$1,$B61,AE$5,$B$1)</f>
        <v>0</v>
      </c>
      <c r="AF61" s="55">
        <f>_xll.EQNXTDZ($A$1,$B61,AF$5,$B$1)</f>
        <v>16631.78</v>
      </c>
      <c r="AG61" s="55">
        <f>_xll.EQNXTDZ($A$1,$B61,AG$5,$B$1)</f>
        <v>0</v>
      </c>
      <c r="AH61" s="55">
        <f>_xll.EQNXTDZ($A$1,$B61,AH$5,$B$1)</f>
        <v>22289.65</v>
      </c>
      <c r="AI61" s="55">
        <f>_xll.EQNXTDZ($A$1,$B61,AI$5,$B$1)</f>
        <v>0</v>
      </c>
      <c r="AJ61" s="55">
        <f>_xll.EQNXTDZ($A$1,$B61,AJ$5,$B$1)</f>
        <v>22202.89</v>
      </c>
      <c r="AK61" s="55">
        <f>_xll.EQNXTDZ($A$1,$B61,AK$5,$B$1)</f>
        <v>0</v>
      </c>
      <c r="AL61" s="55">
        <f>_xll.EQNXTDZ($A$1,$B61,AL$5,$B$1)</f>
        <v>23808.81</v>
      </c>
      <c r="AM61" s="55">
        <f>_xll.EQNXTDZ($A$1,$B61,AM$5,$B$1)</f>
        <v>0</v>
      </c>
      <c r="AN61" s="55">
        <f>_xll.EQNXTDZ($A$1,$B61,AN$5,$B$1)</f>
        <v>25785.85</v>
      </c>
      <c r="AO61" s="55">
        <f>_xll.EQNXTDZ($A$1,$B61,AO$5,$B$1)</f>
        <v>0</v>
      </c>
      <c r="AP61" s="55">
        <f>_xll.EQNXTDZ($A$1,$B61,AP$5,$B$1)</f>
        <v>27774.04</v>
      </c>
      <c r="AQ61" s="55">
        <f>_xll.EQNXTDZ($A$1,$B61,AQ$5,$B$1)</f>
        <v>0</v>
      </c>
      <c r="AR61" s="55">
        <f>_xll.EQNXTDZ($A$1,$B61,AR$5,$B$1)</f>
        <v>30287.21</v>
      </c>
      <c r="AS61" s="55">
        <f>_xll.EQNXTDZ($A$1,$B61,AS$5,$B$1)</f>
        <v>0</v>
      </c>
      <c r="AT61" s="55">
        <f>_xll.EQNXTDZ($A$1,$B61,AT$5,$B$1)</f>
        <v>31330.39</v>
      </c>
      <c r="AU61" s="55">
        <f>_xll.EQNXTDZ($A$1,$B61,AU$5,$B$1)</f>
        <v>0</v>
      </c>
      <c r="AV61" s="55">
        <f>_xll.EQNXTDZ($A$1,$B61,AV$5,$B$1)</f>
        <v>33576.910000000003</v>
      </c>
      <c r="AW61" s="55">
        <f>_xll.EQNXTDZ($A$1,$B61,AW$5,$B$1)</f>
        <v>0</v>
      </c>
      <c r="AX61" s="55">
        <f>_xll.EQNXTDZ($A$1,$B61,AX$5,$B$1)</f>
        <v>33559.620000000003</v>
      </c>
      <c r="AY61" s="55">
        <f>_xll.EQNXTDZ($A$1,$B61,AY$5,$B$1)</f>
        <v>0</v>
      </c>
      <c r="AZ61" s="55">
        <f>_xll.EQNXTDZ($A$1,$B61,AZ$5,$B$1)</f>
        <v>35994.1</v>
      </c>
      <c r="BA61" s="55">
        <f>_xll.EQNXTDZ($A$1,$B61,BA$5,$B$1)</f>
        <v>0</v>
      </c>
      <c r="BB61" s="55">
        <f>_xll.EQNXTDZ($A$1,$B61,BB$5,$B$1)</f>
        <v>36992.29</v>
      </c>
      <c r="BC61" s="55">
        <f>_xll.EQNXTDZ($A$1,$B61,BC$5,$B$1)</f>
        <v>0</v>
      </c>
      <c r="BD61" s="55">
        <f>_xll.EQNXTDZ($A$1,$B61,BD$5,$B$1)</f>
        <v>41280.120000000003</v>
      </c>
      <c r="BE61" s="55">
        <f>_xll.EQNXTDZ($A$1,$B61,BE$5,$B$1)</f>
        <v>0</v>
      </c>
      <c r="BF61" s="55">
        <f>_xll.EQNXTDZ($A$1,$B61,BF$5,$B$1)</f>
        <v>45367.32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5311.96</v>
      </c>
      <c r="O63" s="55">
        <f>_xll.EQNXTDZ($A$1,$B63,O$5,$B$1)</f>
        <v>0</v>
      </c>
      <c r="P63" s="55">
        <f>_xll.EQNXTDZ($A$1,$B63,P$5,$B$1)</f>
        <v>5135.66</v>
      </c>
      <c r="Q63" s="55">
        <f>_xll.EQNXTDZ($A$1,$B63,Q$5,$B$1)</f>
        <v>0</v>
      </c>
      <c r="R63" s="55">
        <f>_xll.EQNXTDZ($A$1,$B63,R$5,$B$1)</f>
        <v>5093.78</v>
      </c>
      <c r="S63" s="55">
        <f>_xll.EQNXTDZ($A$1,$B63,S$5,$B$1)</f>
        <v>0</v>
      </c>
      <c r="T63" s="55">
        <f>_xll.EQNXTDZ($A$1,$B63,T$5,$B$1)</f>
        <v>7410.97</v>
      </c>
      <c r="U63" s="55">
        <f>_xll.EQNXTDZ($A$1,$B63,U$5,$B$1)</f>
        <v>0</v>
      </c>
      <c r="V63" s="55">
        <f>_xll.EQNXTDZ($A$1,$B63,V$5,$B$1)</f>
        <v>7729.08</v>
      </c>
      <c r="W63" s="55">
        <f>_xll.EQNXTDZ($A$1,$B63,W$5,$B$1)</f>
        <v>0</v>
      </c>
      <c r="X63" s="55">
        <f>_xll.EQNXTDZ($A$1,$B63,X$5,$B$1)</f>
        <v>7628.64</v>
      </c>
      <c r="Y63" s="55">
        <f>_xll.EQNXTDZ($A$1,$B63,Y$5,$B$1)</f>
        <v>0</v>
      </c>
      <c r="Z63" s="55">
        <f>_xll.EQNXTDZ($A$1,$B63,Z$5,$B$1)</f>
        <v>8594.56</v>
      </c>
      <c r="AA63" s="55">
        <f>_xll.EQNXTDZ($A$1,$B63,AA$5,$B$1)</f>
        <v>0</v>
      </c>
      <c r="AB63" s="55">
        <f>_xll.EQNXTDZ($A$1,$B63,AB$5,$B$1)</f>
        <v>16476.439999999999</v>
      </c>
      <c r="AC63" s="55">
        <f>_xll.EQNXTDZ($A$1,$B63,AC$5,$B$1)</f>
        <v>0</v>
      </c>
      <c r="AD63" s="55">
        <f>_xll.EQNXTDZ($A$1,$B63,AD$5,$B$1)</f>
        <v>16304.11</v>
      </c>
      <c r="AE63" s="55">
        <f>_xll.EQNXTDZ($A$1,$B63,AE$5,$B$1)</f>
        <v>0</v>
      </c>
      <c r="AF63" s="55">
        <f>_xll.EQNXTDZ($A$1,$B63,AF$5,$B$1)</f>
        <v>16631.78</v>
      </c>
      <c r="AG63" s="55">
        <f>_xll.EQNXTDZ($A$1,$B63,AG$5,$B$1)</f>
        <v>0</v>
      </c>
      <c r="AH63" s="55">
        <f>_xll.EQNXTDZ($A$1,$B63,AH$5,$B$1)</f>
        <v>22289.65</v>
      </c>
      <c r="AI63" s="55">
        <f>_xll.EQNXTDZ($A$1,$B63,AI$5,$B$1)</f>
        <v>0</v>
      </c>
      <c r="AJ63" s="55">
        <f>_xll.EQNXTDZ($A$1,$B63,AJ$5,$B$1)</f>
        <v>22202.89</v>
      </c>
      <c r="AK63" s="55">
        <f>_xll.EQNXTDZ($A$1,$B63,AK$5,$B$1)</f>
        <v>0</v>
      </c>
      <c r="AL63" s="55">
        <f>_xll.EQNXTDZ($A$1,$B63,AL$5,$B$1)</f>
        <v>23808.81</v>
      </c>
      <c r="AM63" s="55">
        <f>_xll.EQNXTDZ($A$1,$B63,AM$5,$B$1)</f>
        <v>0</v>
      </c>
      <c r="AN63" s="55">
        <f>_xll.EQNXTDZ($A$1,$B63,AN$5,$B$1)</f>
        <v>25785.85</v>
      </c>
      <c r="AO63" s="55">
        <f>_xll.EQNXTDZ($A$1,$B63,AO$5,$B$1)</f>
        <v>0</v>
      </c>
      <c r="AP63" s="55">
        <f>_xll.EQNXTDZ($A$1,$B63,AP$5,$B$1)</f>
        <v>27774.04</v>
      </c>
      <c r="AQ63" s="55">
        <f>_xll.EQNXTDZ($A$1,$B63,AQ$5,$B$1)</f>
        <v>0</v>
      </c>
      <c r="AR63" s="55">
        <f>_xll.EQNXTDZ($A$1,$B63,AR$5,$B$1)</f>
        <v>30287.21</v>
      </c>
      <c r="AS63" s="55">
        <f>_xll.EQNXTDZ($A$1,$B63,AS$5,$B$1)</f>
        <v>0</v>
      </c>
      <c r="AT63" s="55">
        <f>_xll.EQNXTDZ($A$1,$B63,AT$5,$B$1)</f>
        <v>31330.39</v>
      </c>
      <c r="AU63" s="55">
        <f>_xll.EQNXTDZ($A$1,$B63,AU$5,$B$1)</f>
        <v>0</v>
      </c>
      <c r="AV63" s="55">
        <f>_xll.EQNXTDZ($A$1,$B63,AV$5,$B$1)</f>
        <v>33576.910000000003</v>
      </c>
      <c r="AW63" s="55">
        <f>_xll.EQNXTDZ($A$1,$B63,AW$5,$B$1)</f>
        <v>0</v>
      </c>
      <c r="AX63" s="55">
        <f>_xll.EQNXTDZ($A$1,$B63,AX$5,$B$1)</f>
        <v>33559.620000000003</v>
      </c>
      <c r="AY63" s="55">
        <f>_xll.EQNXTDZ($A$1,$B63,AY$5,$B$1)</f>
        <v>0</v>
      </c>
      <c r="AZ63" s="55">
        <f>_xll.EQNXTDZ($A$1,$B63,AZ$5,$B$1)</f>
        <v>35994.1</v>
      </c>
      <c r="BA63" s="55">
        <f>_xll.EQNXTDZ($A$1,$B63,BA$5,$B$1)</f>
        <v>0</v>
      </c>
      <c r="BB63" s="55">
        <f>_xll.EQNXTDZ($A$1,$B63,BB$5,$B$1)</f>
        <v>36992.29</v>
      </c>
      <c r="BC63" s="55">
        <f>_xll.EQNXTDZ($A$1,$B63,BC$5,$B$1)</f>
        <v>0</v>
      </c>
      <c r="BD63" s="55">
        <f>_xll.EQNXTDZ($A$1,$B63,BD$5,$B$1)</f>
        <v>41280.120000000003</v>
      </c>
      <c r="BE63" s="55">
        <f>_xll.EQNXTDZ($A$1,$B63,BE$5,$B$1)</f>
        <v>0</v>
      </c>
      <c r="BF63" s="55">
        <f>_xll.EQNXTDZ($A$1,$B63,BF$5,$B$1)</f>
        <v>45367.32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3.1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3.35</v>
      </c>
      <c r="S64" s="55">
        <f>_xll.EQNXTDZ($A$1,$B64,S$5,$B$1)</f>
        <v>0</v>
      </c>
      <c r="T64" s="55">
        <f>_xll.EQNXTDZ($A$1,$B64,T$5,$B$1)</f>
        <v>8.92</v>
      </c>
      <c r="U64" s="55">
        <f>_xll.EQNXTDZ($A$1,$B64,U$5,$B$1)</f>
        <v>0</v>
      </c>
      <c r="V64" s="55">
        <f>_xll.EQNXTDZ($A$1,$B64,V$5,$B$1)</f>
        <v>246.65</v>
      </c>
      <c r="W64" s="55">
        <f>_xll.EQNXTDZ($A$1,$B64,W$5,$B$1)</f>
        <v>0</v>
      </c>
      <c r="X64" s="55">
        <f>_xll.EQNXTDZ($A$1,$B64,X$5,$B$1)</f>
        <v>352.21</v>
      </c>
      <c r="Y64" s="55">
        <f>_xll.EQNXTDZ($A$1,$B64,Y$5,$B$1)</f>
        <v>0</v>
      </c>
      <c r="Z64" s="55">
        <f>_xll.EQNXTDZ($A$1,$B64,Z$5,$B$1)</f>
        <v>281.64</v>
      </c>
      <c r="AA64" s="55">
        <f>_xll.EQNXTDZ($A$1,$B64,AA$5,$B$1)</f>
        <v>0</v>
      </c>
      <c r="AB64" s="55">
        <f>_xll.EQNXTDZ($A$1,$B64,AB$5,$B$1)</f>
        <v>4110.84</v>
      </c>
      <c r="AC64" s="55">
        <f>_xll.EQNXTDZ($A$1,$B64,AC$5,$B$1)</f>
        <v>0</v>
      </c>
      <c r="AD64" s="55">
        <f>_xll.EQNXTDZ($A$1,$B64,AD$5,$B$1)</f>
        <v>407.78</v>
      </c>
      <c r="AE64" s="55">
        <f>_xll.EQNXTDZ($A$1,$B64,AE$5,$B$1)</f>
        <v>0</v>
      </c>
      <c r="AF64" s="55">
        <f>_xll.EQNXTDZ($A$1,$B64,AF$5,$B$1)</f>
        <v>404.63</v>
      </c>
      <c r="AG64" s="55">
        <f>_xll.EQNXTDZ($A$1,$B64,AG$5,$B$1)</f>
        <v>0</v>
      </c>
      <c r="AH64" s="55">
        <f>_xll.EQNXTDZ($A$1,$B64,AH$5,$B$1)</f>
        <v>697.88</v>
      </c>
      <c r="AI64" s="55">
        <f>_xll.EQNXTDZ($A$1,$B64,AI$5,$B$1)</f>
        <v>0</v>
      </c>
      <c r="AJ64" s="55">
        <f>_xll.EQNXTDZ($A$1,$B64,AJ$5,$B$1)</f>
        <v>760.98</v>
      </c>
      <c r="AK64" s="55">
        <f>_xll.EQNXTDZ($A$1,$B64,AK$5,$B$1)</f>
        <v>0</v>
      </c>
      <c r="AL64" s="55">
        <f>_xll.EQNXTDZ($A$1,$B64,AL$5,$B$1)</f>
        <v>910.48</v>
      </c>
      <c r="AM64" s="55">
        <f>_xll.EQNXTDZ($A$1,$B64,AM$5,$B$1)</f>
        <v>0</v>
      </c>
      <c r="AN64" s="55">
        <f>_xll.EQNXTDZ($A$1,$B64,AN$5,$B$1)</f>
        <v>837.03</v>
      </c>
      <c r="AO64" s="55">
        <f>_xll.EQNXTDZ($A$1,$B64,AO$5,$B$1)</f>
        <v>0</v>
      </c>
      <c r="AP64" s="55">
        <f>_xll.EQNXTDZ($A$1,$B64,AP$5,$B$1)</f>
        <v>691.18</v>
      </c>
      <c r="AQ64" s="55">
        <f>_xll.EQNXTDZ($A$1,$B64,AQ$5,$B$1)</f>
        <v>0</v>
      </c>
      <c r="AR64" s="55">
        <f>_xll.EQNXTDZ($A$1,$B64,AR$5,$B$1)</f>
        <v>954</v>
      </c>
      <c r="AS64" s="55">
        <f>_xll.EQNXTDZ($A$1,$B64,AS$5,$B$1)</f>
        <v>0</v>
      </c>
      <c r="AT64" s="55">
        <f>_xll.EQNXTDZ($A$1,$B64,AT$5,$B$1)</f>
        <v>723.49</v>
      </c>
      <c r="AU64" s="55">
        <f>_xll.EQNXTDZ($A$1,$B64,AU$5,$B$1)</f>
        <v>0</v>
      </c>
      <c r="AV64" s="55">
        <f>_xll.EQNXTDZ($A$1,$B64,AV$5,$B$1)</f>
        <v>918.3</v>
      </c>
      <c r="AW64" s="55">
        <f>_xll.EQNXTDZ($A$1,$B64,AW$5,$B$1)</f>
        <v>0</v>
      </c>
      <c r="AX64" s="55">
        <f>_xll.EQNXTDZ($A$1,$B64,AX$5,$B$1)</f>
        <v>978.98</v>
      </c>
      <c r="AY64" s="55">
        <f>_xll.EQNXTDZ($A$1,$B64,AY$5,$B$1)</f>
        <v>0</v>
      </c>
      <c r="AZ64" s="55">
        <f>_xll.EQNXTDZ($A$1,$B64,AZ$5,$B$1)</f>
        <v>1169.4100000000001</v>
      </c>
      <c r="BA64" s="55">
        <f>_xll.EQNXTDZ($A$1,$B64,BA$5,$B$1)</f>
        <v>0</v>
      </c>
      <c r="BB64" s="55">
        <f>_xll.EQNXTDZ($A$1,$B64,BB$5,$B$1)</f>
        <v>1687.66</v>
      </c>
      <c r="BC64" s="55">
        <f>_xll.EQNXTDZ($A$1,$B64,BC$5,$B$1)</f>
        <v>0</v>
      </c>
      <c r="BD64" s="55">
        <f>_xll.EQNXTDZ($A$1,$B64,BD$5,$B$1)</f>
        <v>1787.08</v>
      </c>
      <c r="BE64" s="55">
        <f>_xll.EQNXTDZ($A$1,$B64,BE$5,$B$1)</f>
        <v>0</v>
      </c>
      <c r="BF64" s="55">
        <f>_xll.EQNXTDZ($A$1,$B64,BF$5,$B$1)</f>
        <v>2284.4899999999998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21.8</v>
      </c>
      <c r="AE65" s="55">
        <f>_xll.EQNXTDZ($A$1,$B65,AE$5,$B$1)</f>
        <v>0</v>
      </c>
      <c r="AF65" s="55">
        <f>_xll.EQNXTDZ($A$1,$B65,AF$5,$B$1)</f>
        <v>21.8</v>
      </c>
      <c r="AG65" s="55">
        <f>_xll.EQNXTDZ($A$1,$B65,AG$5,$B$1)</f>
        <v>0</v>
      </c>
      <c r="AH65" s="55">
        <f>_xll.EQNXTDZ($A$1,$B65,AH$5,$B$1)</f>
        <v>29.35</v>
      </c>
      <c r="AI65" s="55">
        <f>_xll.EQNXTDZ($A$1,$B65,AI$5,$B$1)</f>
        <v>0</v>
      </c>
      <c r="AJ65" s="55">
        <f>_xll.EQNXTDZ($A$1,$B65,AJ$5,$B$1)</f>
        <v>34.979999999999997</v>
      </c>
      <c r="AK65" s="55">
        <f>_xll.EQNXTDZ($A$1,$B65,AK$5,$B$1)</f>
        <v>0</v>
      </c>
      <c r="AL65" s="55">
        <f>_xll.EQNXTDZ($A$1,$B65,AL$5,$B$1)</f>
        <v>31.93</v>
      </c>
      <c r="AM65" s="55">
        <f>_xll.EQNXTDZ($A$1,$B65,AM$5,$B$1)</f>
        <v>0</v>
      </c>
      <c r="AN65" s="55">
        <f>_xll.EQNXTDZ($A$1,$B65,AN$5,$B$1)</f>
        <v>33.43</v>
      </c>
      <c r="AO65" s="55">
        <f>_xll.EQNXTDZ($A$1,$B65,AO$5,$B$1)</f>
        <v>0</v>
      </c>
      <c r="AP65" s="55">
        <f>_xll.EQNXTDZ($A$1,$B65,AP$5,$B$1)</f>
        <v>32.22</v>
      </c>
      <c r="AQ65" s="55">
        <f>_xll.EQNXTDZ($A$1,$B65,AQ$5,$B$1)</f>
        <v>0</v>
      </c>
      <c r="AR65" s="55">
        <f>_xll.EQNXTDZ($A$1,$B65,AR$5,$B$1)</f>
        <v>33.72</v>
      </c>
      <c r="AS65" s="55">
        <f>_xll.EQNXTDZ($A$1,$B65,AS$5,$B$1)</f>
        <v>0</v>
      </c>
      <c r="AT65" s="55">
        <f>_xll.EQNXTDZ($A$1,$B65,AT$5,$B$1)</f>
        <v>32.76</v>
      </c>
      <c r="AU65" s="55">
        <f>_xll.EQNXTDZ($A$1,$B65,AU$5,$B$1)</f>
        <v>0</v>
      </c>
      <c r="AV65" s="55">
        <f>_xll.EQNXTDZ($A$1,$B65,AV$5,$B$1)</f>
        <v>34.26</v>
      </c>
      <c r="AW65" s="55">
        <f>_xll.EQNXTDZ($A$1,$B65,AW$5,$B$1)</f>
        <v>0</v>
      </c>
      <c r="AX65" s="55">
        <f>_xll.EQNXTDZ($A$1,$B65,AX$5,$B$1)</f>
        <v>37.39</v>
      </c>
      <c r="AY65" s="55">
        <f>_xll.EQNXTDZ($A$1,$B65,AY$5,$B$1)</f>
        <v>0</v>
      </c>
      <c r="AZ65" s="55">
        <f>_xll.EQNXTDZ($A$1,$B65,AZ$5,$B$1)</f>
        <v>40.39</v>
      </c>
      <c r="BA65" s="55">
        <f>_xll.EQNXTDZ($A$1,$B65,BA$5,$B$1)</f>
        <v>0</v>
      </c>
      <c r="BB65" s="55">
        <f>_xll.EQNXTDZ($A$1,$B65,BB$5,$B$1)</f>
        <v>38.880000000000003</v>
      </c>
      <c r="BC65" s="55">
        <f>_xll.EQNXTDZ($A$1,$B65,BC$5,$B$1)</f>
        <v>0</v>
      </c>
      <c r="BD65" s="55">
        <f>_xll.EQNXTDZ($A$1,$B65,BD$5,$B$1)</f>
        <v>38.880000000000003</v>
      </c>
      <c r="BE65" s="55">
        <f>_xll.EQNXTDZ($A$1,$B65,BE$5,$B$1)</f>
        <v>0</v>
      </c>
      <c r="BF65" s="55">
        <f>_xll.EQNXTDZ($A$1,$B65,BF$5,$B$1)</f>
        <v>40.06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7.5</v>
      </c>
      <c r="O66" s="55">
        <f>_xll.EQNXTDZ($A$1,$B66,O$5,$B$1)</f>
        <v>0</v>
      </c>
      <c r="P66" s="55">
        <f>_xll.EQNXTDZ($A$1,$B66,P$5,$B$1)</f>
        <v>9.31</v>
      </c>
      <c r="Q66" s="55">
        <f>_xll.EQNXTDZ($A$1,$B66,Q$5,$B$1)</f>
        <v>0</v>
      </c>
      <c r="R66" s="55">
        <f>_xll.EQNXTDZ($A$1,$B66,R$5,$B$1)</f>
        <v>5.57</v>
      </c>
      <c r="S66" s="55">
        <f>_xll.EQNXTDZ($A$1,$B66,S$5,$B$1)</f>
        <v>0</v>
      </c>
      <c r="T66" s="55">
        <f>_xll.EQNXTDZ($A$1,$B66,T$5,$B$1)</f>
        <v>8.17</v>
      </c>
      <c r="U66" s="55">
        <f>_xll.EQNXTDZ($A$1,$B66,U$5,$B$1)</f>
        <v>0</v>
      </c>
      <c r="V66" s="55">
        <f>_xll.EQNXTDZ($A$1,$B66,V$5,$B$1)</f>
        <v>4.62</v>
      </c>
      <c r="W66" s="55">
        <f>_xll.EQNXTDZ($A$1,$B66,W$5,$B$1)</f>
        <v>0</v>
      </c>
      <c r="X66" s="55">
        <f>_xll.EQNXTDZ($A$1,$B66,X$5,$B$1)</f>
        <v>2.66</v>
      </c>
      <c r="Y66" s="55">
        <f>_xll.EQNXTDZ($A$1,$B66,Y$5,$B$1)</f>
        <v>0</v>
      </c>
      <c r="Z66" s="55">
        <f>_xll.EQNXTDZ($A$1,$B66,Z$5,$B$1)</f>
        <v>3.55</v>
      </c>
      <c r="AA66" s="55">
        <f>_xll.EQNXTDZ($A$1,$B66,AA$5,$B$1)</f>
        <v>0</v>
      </c>
      <c r="AB66" s="55">
        <f>_xll.EQNXTDZ($A$1,$B66,AB$5,$B$1)</f>
        <v>192.42</v>
      </c>
      <c r="AC66" s="55">
        <f>_xll.EQNXTDZ($A$1,$B66,AC$5,$B$1)</f>
        <v>0</v>
      </c>
      <c r="AD66" s="55">
        <f>_xll.EQNXTDZ($A$1,$B66,AD$5,$B$1)</f>
        <v>447.07</v>
      </c>
      <c r="AE66" s="55">
        <f>_xll.EQNXTDZ($A$1,$B66,AE$5,$B$1)</f>
        <v>0</v>
      </c>
      <c r="AF66" s="55">
        <f>_xll.EQNXTDZ($A$1,$B66,AF$5,$B$1)</f>
        <v>447.61</v>
      </c>
      <c r="AG66" s="55">
        <f>_xll.EQNXTDZ($A$1,$B66,AG$5,$B$1)</f>
        <v>0</v>
      </c>
      <c r="AH66" s="55">
        <f>_xll.EQNXTDZ($A$1,$B66,AH$5,$B$1)</f>
        <v>275.58</v>
      </c>
      <c r="AI66" s="55">
        <f>_xll.EQNXTDZ($A$1,$B66,AI$5,$B$1)</f>
        <v>0</v>
      </c>
      <c r="AJ66" s="55">
        <f>_xll.EQNXTDZ($A$1,$B66,AJ$5,$B$1)</f>
        <v>349.7</v>
      </c>
      <c r="AK66" s="55">
        <f>_xll.EQNXTDZ($A$1,$B66,AK$5,$B$1)</f>
        <v>0</v>
      </c>
      <c r="AL66" s="55">
        <f>_xll.EQNXTDZ($A$1,$B66,AL$5,$B$1)</f>
        <v>584.52</v>
      </c>
      <c r="AM66" s="55">
        <f>_xll.EQNXTDZ($A$1,$B66,AM$5,$B$1)</f>
        <v>0</v>
      </c>
      <c r="AN66" s="55">
        <f>_xll.EQNXTDZ($A$1,$B66,AN$5,$B$1)</f>
        <v>656.16</v>
      </c>
      <c r="AO66" s="55">
        <f>_xll.EQNXTDZ($A$1,$B66,AO$5,$B$1)</f>
        <v>0</v>
      </c>
      <c r="AP66" s="55">
        <f>_xll.EQNXTDZ($A$1,$B66,AP$5,$B$1)</f>
        <v>617.47</v>
      </c>
      <c r="AQ66" s="55">
        <f>_xll.EQNXTDZ($A$1,$B66,AQ$5,$B$1)</f>
        <v>0</v>
      </c>
      <c r="AR66" s="55">
        <f>_xll.EQNXTDZ($A$1,$B66,AR$5,$B$1)</f>
        <v>641.01</v>
      </c>
      <c r="AS66" s="55">
        <f>_xll.EQNXTDZ($A$1,$B66,AS$5,$B$1)</f>
        <v>0</v>
      </c>
      <c r="AT66" s="55">
        <f>_xll.EQNXTDZ($A$1,$B66,AT$5,$B$1)</f>
        <v>527.73</v>
      </c>
      <c r="AU66" s="55">
        <f>_xll.EQNXTDZ($A$1,$B66,AU$5,$B$1)</f>
        <v>0</v>
      </c>
      <c r="AV66" s="55">
        <f>_xll.EQNXTDZ($A$1,$B66,AV$5,$B$1)</f>
        <v>597.95000000000005</v>
      </c>
      <c r="AW66" s="55">
        <f>_xll.EQNXTDZ($A$1,$B66,AW$5,$B$1)</f>
        <v>0</v>
      </c>
      <c r="AX66" s="55">
        <f>_xll.EQNXTDZ($A$1,$B66,AX$5,$B$1)</f>
        <v>630.23</v>
      </c>
      <c r="AY66" s="55">
        <f>_xll.EQNXTDZ($A$1,$B66,AY$5,$B$1)</f>
        <v>0</v>
      </c>
      <c r="AZ66" s="55">
        <f>_xll.EQNXTDZ($A$1,$B66,AZ$5,$B$1)</f>
        <v>602.92999999999995</v>
      </c>
      <c r="BA66" s="55">
        <f>_xll.EQNXTDZ($A$1,$B66,BA$5,$B$1)</f>
        <v>0</v>
      </c>
      <c r="BB66" s="55">
        <f>_xll.EQNXTDZ($A$1,$B66,BB$5,$B$1)</f>
        <v>553.57000000000005</v>
      </c>
      <c r="BC66" s="55">
        <f>_xll.EQNXTDZ($A$1,$B66,BC$5,$B$1)</f>
        <v>0</v>
      </c>
      <c r="BD66" s="55">
        <f>_xll.EQNXTDZ($A$1,$B66,BD$5,$B$1)</f>
        <v>546.11</v>
      </c>
      <c r="BE66" s="55">
        <f>_xll.EQNXTDZ($A$1,$B66,BE$5,$B$1)</f>
        <v>0</v>
      </c>
      <c r="BF66" s="55">
        <f>_xll.EQNXTDZ($A$1,$B66,BF$5,$B$1)</f>
        <v>680.99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6405.81</v>
      </c>
      <c r="O67" s="55">
        <f>_xll.EQNXTDZ($A$1,$B67,O$5,$B$1)</f>
        <v>0</v>
      </c>
      <c r="P67" s="55">
        <f>_xll.EQNXTDZ($A$1,$B67,P$5,$B$1)</f>
        <v>7641.14</v>
      </c>
      <c r="Q67" s="55">
        <f>_xll.EQNXTDZ($A$1,$B67,Q$5,$B$1)</f>
        <v>0</v>
      </c>
      <c r="R67" s="55">
        <f>_xll.EQNXTDZ($A$1,$B67,R$5,$B$1)</f>
        <v>7774.51</v>
      </c>
      <c r="S67" s="55">
        <f>_xll.EQNXTDZ($A$1,$B67,S$5,$B$1)</f>
        <v>0</v>
      </c>
      <c r="T67" s="55">
        <f>_xll.EQNXTDZ($A$1,$B67,T$5,$B$1)</f>
        <v>10255.780000000001</v>
      </c>
      <c r="U67" s="55">
        <f>_xll.EQNXTDZ($A$1,$B67,U$5,$B$1)</f>
        <v>0</v>
      </c>
      <c r="V67" s="55">
        <f>_xll.EQNXTDZ($A$1,$B67,V$5,$B$1)</f>
        <v>10926.88</v>
      </c>
      <c r="W67" s="55">
        <f>_xll.EQNXTDZ($A$1,$B67,W$5,$B$1)</f>
        <v>0</v>
      </c>
      <c r="X67" s="55">
        <f>_xll.EQNXTDZ($A$1,$B67,X$5,$B$1)</f>
        <v>10977.87</v>
      </c>
      <c r="Y67" s="55">
        <f>_xll.EQNXTDZ($A$1,$B67,Y$5,$B$1)</f>
        <v>0</v>
      </c>
      <c r="Z67" s="55">
        <f>_xll.EQNXTDZ($A$1,$B67,Z$5,$B$1)</f>
        <v>14936.24</v>
      </c>
      <c r="AA67" s="55">
        <f>_xll.EQNXTDZ($A$1,$B67,AA$5,$B$1)</f>
        <v>0</v>
      </c>
      <c r="AB67" s="55">
        <f>_xll.EQNXTDZ($A$1,$B67,AB$5,$B$1)</f>
        <v>28548.28</v>
      </c>
      <c r="AC67" s="55">
        <f>_xll.EQNXTDZ($A$1,$B67,AC$5,$B$1)</f>
        <v>0</v>
      </c>
      <c r="AD67" s="55">
        <f>_xll.EQNXTDZ($A$1,$B67,AD$5,$B$1)</f>
        <v>25223.64</v>
      </c>
      <c r="AE67" s="55">
        <f>_xll.EQNXTDZ($A$1,$B67,AE$5,$B$1)</f>
        <v>0</v>
      </c>
      <c r="AF67" s="55">
        <f>_xll.EQNXTDZ($A$1,$B67,AF$5,$B$1)</f>
        <v>26775.22</v>
      </c>
      <c r="AG67" s="55">
        <f>_xll.EQNXTDZ($A$1,$B67,AG$5,$B$1)</f>
        <v>0</v>
      </c>
      <c r="AH67" s="55">
        <f>_xll.EQNXTDZ($A$1,$B67,AH$5,$B$1)</f>
        <v>32853.550000000003</v>
      </c>
      <c r="AI67" s="55">
        <f>_xll.EQNXTDZ($A$1,$B67,AI$5,$B$1)</f>
        <v>0</v>
      </c>
      <c r="AJ67" s="55">
        <f>_xll.EQNXTDZ($A$1,$B67,AJ$5,$B$1)</f>
        <v>32767.97</v>
      </c>
      <c r="AK67" s="55">
        <f>_xll.EQNXTDZ($A$1,$B67,AK$5,$B$1)</f>
        <v>0</v>
      </c>
      <c r="AL67" s="55">
        <f>_xll.EQNXTDZ($A$1,$B67,AL$5,$B$1)</f>
        <v>35358.6</v>
      </c>
      <c r="AM67" s="55">
        <f>_xll.EQNXTDZ($A$1,$B67,AM$5,$B$1)</f>
        <v>0</v>
      </c>
      <c r="AN67" s="55">
        <f>_xll.EQNXTDZ($A$1,$B67,AN$5,$B$1)</f>
        <v>38074.79</v>
      </c>
      <c r="AO67" s="55">
        <f>_xll.EQNXTDZ($A$1,$B67,AO$5,$B$1)</f>
        <v>0</v>
      </c>
      <c r="AP67" s="55">
        <f>_xll.EQNXTDZ($A$1,$B67,AP$5,$B$1)</f>
        <v>40121.410000000003</v>
      </c>
      <c r="AQ67" s="55">
        <f>_xll.EQNXTDZ($A$1,$B67,AQ$5,$B$1)</f>
        <v>0</v>
      </c>
      <c r="AR67" s="55">
        <f>_xll.EQNXTDZ($A$1,$B67,AR$5,$B$1)</f>
        <v>43557.55</v>
      </c>
      <c r="AS67" s="55">
        <f>_xll.EQNXTDZ($A$1,$B67,AS$5,$B$1)</f>
        <v>0</v>
      </c>
      <c r="AT67" s="55">
        <f>_xll.EQNXTDZ($A$1,$B67,AT$5,$B$1)</f>
        <v>45490.14</v>
      </c>
      <c r="AU67" s="55">
        <f>_xll.EQNXTDZ($A$1,$B67,AU$5,$B$1)</f>
        <v>0</v>
      </c>
      <c r="AV67" s="55">
        <f>_xll.EQNXTDZ($A$1,$B67,AV$5,$B$1)</f>
        <v>48043.93</v>
      </c>
      <c r="AW67" s="55">
        <f>_xll.EQNXTDZ($A$1,$B67,AW$5,$B$1)</f>
        <v>0</v>
      </c>
      <c r="AX67" s="55">
        <f>_xll.EQNXTDZ($A$1,$B67,AX$5,$B$1)</f>
        <v>48909.35</v>
      </c>
      <c r="AY67" s="55">
        <f>_xll.EQNXTDZ($A$1,$B67,AY$5,$B$1)</f>
        <v>0</v>
      </c>
      <c r="AZ67" s="55">
        <f>_xll.EQNXTDZ($A$1,$B67,AZ$5,$B$1)</f>
        <v>59628.45</v>
      </c>
      <c r="BA67" s="55">
        <f>_xll.EQNXTDZ($A$1,$B67,BA$5,$B$1)</f>
        <v>0</v>
      </c>
      <c r="BB67" s="55">
        <f>_xll.EQNXTDZ($A$1,$B67,BB$5,$B$1)</f>
        <v>62283.66</v>
      </c>
      <c r="BC67" s="55">
        <f>_xll.EQNXTDZ($A$1,$B67,BC$5,$B$1)</f>
        <v>0</v>
      </c>
      <c r="BD67" s="55">
        <f>_xll.EQNXTDZ($A$1,$B67,BD$5,$B$1)</f>
        <v>68053</v>
      </c>
      <c r="BE67" s="55">
        <f>_xll.EQNXTDZ($A$1,$B67,BE$5,$B$1)</f>
        <v>0</v>
      </c>
      <c r="BF67" s="55">
        <f>_xll.EQNXTDZ($A$1,$B67,BF$5,$B$1)</f>
        <v>74898.5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10269.25</v>
      </c>
      <c r="O68" s="55">
        <f>_xll.EQNXTDZ($A$1,$B68,O$5,$B$1)</f>
        <v>0</v>
      </c>
      <c r="P68" s="55">
        <f>_xll.EQNXTDZ($A$1,$B68,P$5,$B$1)</f>
        <v>10026.16</v>
      </c>
      <c r="Q68" s="55">
        <f>_xll.EQNXTDZ($A$1,$B68,Q$5,$B$1)</f>
        <v>0</v>
      </c>
      <c r="R68" s="55">
        <f>_xll.EQNXTDZ($A$1,$B68,R$5,$B$1)</f>
        <v>10060.42</v>
      </c>
      <c r="S68" s="55">
        <f>_xll.EQNXTDZ($A$1,$B68,S$5,$B$1)</f>
        <v>0</v>
      </c>
      <c r="T68" s="55">
        <f>_xll.EQNXTDZ($A$1,$B68,T$5,$B$1)</f>
        <v>9471.9</v>
      </c>
      <c r="U68" s="55">
        <f>_xll.EQNXTDZ($A$1,$B68,U$5,$B$1)</f>
        <v>0</v>
      </c>
      <c r="V68" s="55">
        <f>_xll.EQNXTDZ($A$1,$B68,V$5,$B$1)</f>
        <v>9532.89</v>
      </c>
      <c r="W68" s="55">
        <f>_xll.EQNXTDZ($A$1,$B68,W$5,$B$1)</f>
        <v>0</v>
      </c>
      <c r="X68" s="55">
        <f>_xll.EQNXTDZ($A$1,$B68,X$5,$B$1)</f>
        <v>9254.5499999999993</v>
      </c>
      <c r="Y68" s="55">
        <f>_xll.EQNXTDZ($A$1,$B68,Y$5,$B$1)</f>
        <v>0</v>
      </c>
      <c r="Z68" s="55">
        <f>_xll.EQNXTDZ($A$1,$B68,Z$5,$B$1)</f>
        <v>8970.68</v>
      </c>
      <c r="AA68" s="55">
        <f>_xll.EQNXTDZ($A$1,$B68,AA$5,$B$1)</f>
        <v>0</v>
      </c>
      <c r="AB68" s="55">
        <f>_xll.EQNXTDZ($A$1,$B68,AB$5,$B$1)</f>
        <v>24908.080000000002</v>
      </c>
      <c r="AC68" s="55">
        <f>_xll.EQNXTDZ($A$1,$B68,AC$5,$B$1)</f>
        <v>0</v>
      </c>
      <c r="AD68" s="55">
        <f>_xll.EQNXTDZ($A$1,$B68,AD$5,$B$1)</f>
        <v>23821.86</v>
      </c>
      <c r="AE68" s="55">
        <f>_xll.EQNXTDZ($A$1,$B68,AE$5,$B$1)</f>
        <v>0</v>
      </c>
      <c r="AF68" s="55">
        <f>_xll.EQNXTDZ($A$1,$B68,AF$5,$B$1)</f>
        <v>23639.53</v>
      </c>
      <c r="AG68" s="55">
        <f>_xll.EQNXTDZ($A$1,$B68,AG$5,$B$1)</f>
        <v>0</v>
      </c>
      <c r="AH68" s="55">
        <f>_xll.EQNXTDZ($A$1,$B68,AH$5,$B$1)</f>
        <v>24097.85</v>
      </c>
      <c r="AI68" s="55">
        <f>_xll.EQNXTDZ($A$1,$B68,AI$5,$B$1)</f>
        <v>0</v>
      </c>
      <c r="AJ68" s="55">
        <f>_xll.EQNXTDZ($A$1,$B68,AJ$5,$B$1)</f>
        <v>23692.02</v>
      </c>
      <c r="AK68" s="55">
        <f>_xll.EQNXTDZ($A$1,$B68,AK$5,$B$1)</f>
        <v>0</v>
      </c>
      <c r="AL68" s="55">
        <f>_xll.EQNXTDZ($A$1,$B68,AL$5,$B$1)</f>
        <v>26190.98</v>
      </c>
      <c r="AM68" s="55">
        <f>_xll.EQNXTDZ($A$1,$B68,AM$5,$B$1)</f>
        <v>0</v>
      </c>
      <c r="AN68" s="55">
        <f>_xll.EQNXTDZ($A$1,$B68,AN$5,$B$1)</f>
        <v>27768.639999999999</v>
      </c>
      <c r="AO68" s="55">
        <f>_xll.EQNXTDZ($A$1,$B68,AO$5,$B$1)</f>
        <v>0</v>
      </c>
      <c r="AP68" s="55">
        <f>_xll.EQNXTDZ($A$1,$B68,AP$5,$B$1)</f>
        <v>29000.48</v>
      </c>
      <c r="AQ68" s="55">
        <f>_xll.EQNXTDZ($A$1,$B68,AQ$5,$B$1)</f>
        <v>0</v>
      </c>
      <c r="AR68" s="55">
        <f>_xll.EQNXTDZ($A$1,$B68,AR$5,$B$1)</f>
        <v>30037.09</v>
      </c>
      <c r="AS68" s="55">
        <f>_xll.EQNXTDZ($A$1,$B68,AS$5,$B$1)</f>
        <v>0</v>
      </c>
      <c r="AT68" s="55">
        <f>_xll.EQNXTDZ($A$1,$B68,AT$5,$B$1)</f>
        <v>31394.63</v>
      </c>
      <c r="AU68" s="55">
        <f>_xll.EQNXTDZ($A$1,$B68,AU$5,$B$1)</f>
        <v>0</v>
      </c>
      <c r="AV68" s="55">
        <f>_xll.EQNXTDZ($A$1,$B68,AV$5,$B$1)</f>
        <v>35034.22</v>
      </c>
      <c r="AW68" s="55">
        <f>_xll.EQNXTDZ($A$1,$B68,AW$5,$B$1)</f>
        <v>0</v>
      </c>
      <c r="AX68" s="55">
        <f>_xll.EQNXTDZ($A$1,$B68,AX$5,$B$1)</f>
        <v>37538.339999999997</v>
      </c>
      <c r="AY68" s="55">
        <f>_xll.EQNXTDZ($A$1,$B68,AY$5,$B$1)</f>
        <v>0</v>
      </c>
      <c r="AZ68" s="55">
        <f>_xll.EQNXTDZ($A$1,$B68,AZ$5,$B$1)</f>
        <v>36817.279999999999</v>
      </c>
      <c r="BA68" s="55">
        <f>_xll.EQNXTDZ($A$1,$B68,BA$5,$B$1)</f>
        <v>0</v>
      </c>
      <c r="BB68" s="55">
        <f>_xll.EQNXTDZ($A$1,$B68,BB$5,$B$1)</f>
        <v>38167.19</v>
      </c>
      <c r="BC68" s="55">
        <f>_xll.EQNXTDZ($A$1,$B68,BC$5,$B$1)</f>
        <v>0</v>
      </c>
      <c r="BD68" s="55">
        <f>_xll.EQNXTDZ($A$1,$B68,BD$5,$B$1)</f>
        <v>38102.379999999997</v>
      </c>
      <c r="BE68" s="55">
        <f>_xll.EQNXTDZ($A$1,$B68,BE$5,$B$1)</f>
        <v>0</v>
      </c>
      <c r="BF68" s="55">
        <f>_xll.EQNXTDZ($A$1,$B68,BF$5,$B$1)</f>
        <v>45372.61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10269.25</v>
      </c>
      <c r="O71" s="55">
        <f>_xll.EQNXTDZ($A$1,$B71,O$5,$B$1)</f>
        <v>0</v>
      </c>
      <c r="P71" s="55">
        <f>_xll.EQNXTDZ($A$1,$B71,P$5,$B$1)</f>
        <v>10026.16</v>
      </c>
      <c r="Q71" s="55">
        <f>_xll.EQNXTDZ($A$1,$B71,Q$5,$B$1)</f>
        <v>0</v>
      </c>
      <c r="R71" s="55">
        <f>_xll.EQNXTDZ($A$1,$B71,R$5,$B$1)</f>
        <v>10060.42</v>
      </c>
      <c r="S71" s="55">
        <f>_xll.EQNXTDZ($A$1,$B71,S$5,$B$1)</f>
        <v>0</v>
      </c>
      <c r="T71" s="55">
        <f>_xll.EQNXTDZ($A$1,$B71,T$5,$B$1)</f>
        <v>9471.9</v>
      </c>
      <c r="U71" s="55">
        <f>_xll.EQNXTDZ($A$1,$B71,U$5,$B$1)</f>
        <v>0</v>
      </c>
      <c r="V71" s="55">
        <f>_xll.EQNXTDZ($A$1,$B71,V$5,$B$1)</f>
        <v>9532.89</v>
      </c>
      <c r="W71" s="55">
        <f>_xll.EQNXTDZ($A$1,$B71,W$5,$B$1)</f>
        <v>0</v>
      </c>
      <c r="X71" s="55">
        <f>_xll.EQNXTDZ($A$1,$B71,X$5,$B$1)</f>
        <v>9254.5499999999993</v>
      </c>
      <c r="Y71" s="55">
        <f>_xll.EQNXTDZ($A$1,$B71,Y$5,$B$1)</f>
        <v>0</v>
      </c>
      <c r="Z71" s="55">
        <f>_xll.EQNXTDZ($A$1,$B71,Z$5,$B$1)</f>
        <v>8970.68</v>
      </c>
      <c r="AA71" s="55">
        <f>_xll.EQNXTDZ($A$1,$B71,AA$5,$B$1)</f>
        <v>0</v>
      </c>
      <c r="AB71" s="55">
        <f>_xll.EQNXTDZ($A$1,$B71,AB$5,$B$1)</f>
        <v>24908.080000000002</v>
      </c>
      <c r="AC71" s="55">
        <f>_xll.EQNXTDZ($A$1,$B71,AC$5,$B$1)</f>
        <v>0</v>
      </c>
      <c r="AD71" s="55">
        <f>_xll.EQNXTDZ($A$1,$B71,AD$5,$B$1)</f>
        <v>23821.86</v>
      </c>
      <c r="AE71" s="55">
        <f>_xll.EQNXTDZ($A$1,$B71,AE$5,$B$1)</f>
        <v>0</v>
      </c>
      <c r="AF71" s="55">
        <f>_xll.EQNXTDZ($A$1,$B71,AF$5,$B$1)</f>
        <v>23639.53</v>
      </c>
      <c r="AG71" s="55">
        <f>_xll.EQNXTDZ($A$1,$B71,AG$5,$B$1)</f>
        <v>0</v>
      </c>
      <c r="AH71" s="55">
        <f>_xll.EQNXTDZ($A$1,$B71,AH$5,$B$1)</f>
        <v>24097.85</v>
      </c>
      <c r="AI71" s="55">
        <f>_xll.EQNXTDZ($A$1,$B71,AI$5,$B$1)</f>
        <v>0</v>
      </c>
      <c r="AJ71" s="55">
        <f>_xll.EQNXTDZ($A$1,$B71,AJ$5,$B$1)</f>
        <v>23692.02</v>
      </c>
      <c r="AK71" s="55">
        <f>_xll.EQNXTDZ($A$1,$B71,AK$5,$B$1)</f>
        <v>0</v>
      </c>
      <c r="AL71" s="55">
        <f>_xll.EQNXTDZ($A$1,$B71,AL$5,$B$1)</f>
        <v>26190.98</v>
      </c>
      <c r="AM71" s="55">
        <f>_xll.EQNXTDZ($A$1,$B71,AM$5,$B$1)</f>
        <v>0</v>
      </c>
      <c r="AN71" s="55">
        <f>_xll.EQNXTDZ($A$1,$B71,AN$5,$B$1)</f>
        <v>27768.639999999999</v>
      </c>
      <c r="AO71" s="55">
        <f>_xll.EQNXTDZ($A$1,$B71,AO$5,$B$1)</f>
        <v>0</v>
      </c>
      <c r="AP71" s="55">
        <f>_xll.EQNXTDZ($A$1,$B71,AP$5,$B$1)</f>
        <v>29000.48</v>
      </c>
      <c r="AQ71" s="55">
        <f>_xll.EQNXTDZ($A$1,$B71,AQ$5,$B$1)</f>
        <v>0</v>
      </c>
      <c r="AR71" s="55">
        <f>_xll.EQNXTDZ($A$1,$B71,AR$5,$B$1)</f>
        <v>30037.09</v>
      </c>
      <c r="AS71" s="55">
        <f>_xll.EQNXTDZ($A$1,$B71,AS$5,$B$1)</f>
        <v>0</v>
      </c>
      <c r="AT71" s="55">
        <f>_xll.EQNXTDZ($A$1,$B71,AT$5,$B$1)</f>
        <v>31394.63</v>
      </c>
      <c r="AU71" s="55">
        <f>_xll.EQNXTDZ($A$1,$B71,AU$5,$B$1)</f>
        <v>0</v>
      </c>
      <c r="AV71" s="55">
        <f>_xll.EQNXTDZ($A$1,$B71,AV$5,$B$1)</f>
        <v>35034.22</v>
      </c>
      <c r="AW71" s="55">
        <f>_xll.EQNXTDZ($A$1,$B71,AW$5,$B$1)</f>
        <v>0</v>
      </c>
      <c r="AX71" s="55">
        <f>_xll.EQNXTDZ($A$1,$B71,AX$5,$B$1)</f>
        <v>37538.339999999997</v>
      </c>
      <c r="AY71" s="55">
        <f>_xll.EQNXTDZ($A$1,$B71,AY$5,$B$1)</f>
        <v>0</v>
      </c>
      <c r="AZ71" s="55">
        <f>_xll.EQNXTDZ($A$1,$B71,AZ$5,$B$1)</f>
        <v>36817.279999999999</v>
      </c>
      <c r="BA71" s="55">
        <f>_xll.EQNXTDZ($A$1,$B71,BA$5,$B$1)</f>
        <v>0</v>
      </c>
      <c r="BB71" s="55">
        <f>_xll.EQNXTDZ($A$1,$B71,BB$5,$B$1)</f>
        <v>38167.19</v>
      </c>
      <c r="BC71" s="55">
        <f>_xll.EQNXTDZ($A$1,$B71,BC$5,$B$1)</f>
        <v>0</v>
      </c>
      <c r="BD71" s="55">
        <f>_xll.EQNXTDZ($A$1,$B71,BD$5,$B$1)</f>
        <v>38102.379999999997</v>
      </c>
      <c r="BE71" s="55">
        <f>_xll.EQNXTDZ($A$1,$B71,BE$5,$B$1)</f>
        <v>0</v>
      </c>
      <c r="BF71" s="55">
        <f>_xll.EQNXTDZ($A$1,$B71,BF$5,$B$1)</f>
        <v>45372.61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313.89999999999998</v>
      </c>
      <c r="O72" s="55">
        <f>_xll.EQNXTDZ($A$1,$B72,O$5,$B$1)</f>
        <v>0</v>
      </c>
      <c r="P72" s="55">
        <f>_xll.EQNXTDZ($A$1,$B72,P$5,$B$1)</f>
        <v>313.89999999999998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313.89999999999998</v>
      </c>
      <c r="U72" s="55">
        <f>_xll.EQNXTDZ($A$1,$B72,U$5,$B$1)</f>
        <v>0</v>
      </c>
      <c r="V72" s="55">
        <f>_xll.EQNXTDZ($A$1,$B72,V$5,$B$1)</f>
        <v>320.33999999999997</v>
      </c>
      <c r="W72" s="55">
        <f>_xll.EQNXTDZ($A$1,$B72,W$5,$B$1)</f>
        <v>0</v>
      </c>
      <c r="X72" s="55">
        <f>_xll.EQNXTDZ($A$1,$B72,X$5,$B$1)</f>
        <v>320.54000000000002</v>
      </c>
      <c r="Y72" s="55">
        <f>_xll.EQNXTDZ($A$1,$B72,Y$5,$B$1)</f>
        <v>0</v>
      </c>
      <c r="Z72" s="55">
        <f>_xll.EQNXTDZ($A$1,$B72,Z$5,$B$1)</f>
        <v>320.56</v>
      </c>
      <c r="AA72" s="55">
        <f>_xll.EQNXTDZ($A$1,$B72,AA$5,$B$1)</f>
        <v>0</v>
      </c>
      <c r="AB72" s="55">
        <f>_xll.EQNXTDZ($A$1,$B72,AB$5,$B$1)</f>
        <v>854.8</v>
      </c>
      <c r="AC72" s="55">
        <f>_xll.EQNXTDZ($A$1,$B72,AC$5,$B$1)</f>
        <v>0</v>
      </c>
      <c r="AD72" s="55">
        <f>_xll.EQNXTDZ($A$1,$B72,AD$5,$B$1)</f>
        <v>590.14</v>
      </c>
      <c r="AE72" s="55">
        <f>_xll.EQNXTDZ($A$1,$B72,AE$5,$B$1)</f>
        <v>0</v>
      </c>
      <c r="AF72" s="55">
        <f>_xll.EQNXTDZ($A$1,$B72,AF$5,$B$1)</f>
        <v>590.14</v>
      </c>
      <c r="AG72" s="55">
        <f>_xll.EQNXTDZ($A$1,$B72,AG$5,$B$1)</f>
        <v>0</v>
      </c>
      <c r="AH72" s="55">
        <f>_xll.EQNXTDZ($A$1,$B72,AH$5,$B$1)</f>
        <v>592.09</v>
      </c>
      <c r="AI72" s="55">
        <f>_xll.EQNXTDZ($A$1,$B72,AI$5,$B$1)</f>
        <v>0</v>
      </c>
      <c r="AJ72" s="55">
        <f>_xll.EQNXTDZ($A$1,$B72,AJ$5,$B$1)</f>
        <v>592.87</v>
      </c>
      <c r="AK72" s="55">
        <f>_xll.EQNXTDZ($A$1,$B72,AK$5,$B$1)</f>
        <v>0</v>
      </c>
      <c r="AL72" s="55">
        <f>_xll.EQNXTDZ($A$1,$B72,AL$5,$B$1)</f>
        <v>592.88</v>
      </c>
      <c r="AM72" s="55">
        <f>_xll.EQNXTDZ($A$1,$B72,AM$5,$B$1)</f>
        <v>0</v>
      </c>
      <c r="AN72" s="55">
        <f>_xll.EQNXTDZ($A$1,$B72,AN$5,$B$1)</f>
        <v>592.88</v>
      </c>
      <c r="AO72" s="55">
        <f>_xll.EQNXTDZ($A$1,$B72,AO$5,$B$1)</f>
        <v>0</v>
      </c>
      <c r="AP72" s="55">
        <f>_xll.EQNXTDZ($A$1,$B72,AP$5,$B$1)</f>
        <v>598.29</v>
      </c>
      <c r="AQ72" s="55">
        <f>_xll.EQNXTDZ($A$1,$B72,AQ$5,$B$1)</f>
        <v>0</v>
      </c>
      <c r="AR72" s="55">
        <f>_xll.EQNXTDZ($A$1,$B72,AR$5,$B$1)</f>
        <v>598.29</v>
      </c>
      <c r="AS72" s="55">
        <f>_xll.EQNXTDZ($A$1,$B72,AS$5,$B$1)</f>
        <v>0</v>
      </c>
      <c r="AT72" s="55">
        <f>_xll.EQNXTDZ($A$1,$B72,AT$5,$B$1)</f>
        <v>598.29</v>
      </c>
      <c r="AU72" s="55">
        <f>_xll.EQNXTDZ($A$1,$B72,AU$5,$B$1)</f>
        <v>0</v>
      </c>
      <c r="AV72" s="55">
        <f>_xll.EQNXTDZ($A$1,$B72,AV$5,$B$1)</f>
        <v>598.29</v>
      </c>
      <c r="AW72" s="55">
        <f>_xll.EQNXTDZ($A$1,$B72,AW$5,$B$1)</f>
        <v>0</v>
      </c>
      <c r="AX72" s="55">
        <f>_xll.EQNXTDZ($A$1,$B72,AX$5,$B$1)</f>
        <v>598.29</v>
      </c>
      <c r="AY72" s="55">
        <f>_xll.EQNXTDZ($A$1,$B72,AY$5,$B$1)</f>
        <v>0</v>
      </c>
      <c r="AZ72" s="55">
        <f>_xll.EQNXTDZ($A$1,$B72,AZ$5,$B$1)</f>
        <v>598.29</v>
      </c>
      <c r="BA72" s="55">
        <f>_xll.EQNXTDZ($A$1,$B72,BA$5,$B$1)</f>
        <v>0</v>
      </c>
      <c r="BB72" s="55">
        <f>_xll.EQNXTDZ($A$1,$B72,BB$5,$B$1)</f>
        <v>598.29</v>
      </c>
      <c r="BC72" s="55">
        <f>_xll.EQNXTDZ($A$1,$B72,BC$5,$B$1)</f>
        <v>0</v>
      </c>
      <c r="BD72" s="55">
        <f>_xll.EQNXTDZ($A$1,$B72,BD$5,$B$1)</f>
        <v>598.29</v>
      </c>
      <c r="BE72" s="55">
        <f>_xll.EQNXTDZ($A$1,$B72,BE$5,$B$1)</f>
        <v>0</v>
      </c>
      <c r="BF72" s="55">
        <f>_xll.EQNXTDZ($A$1,$B72,BF$5,$B$1)</f>
        <v>598.29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258.22000000000003</v>
      </c>
      <c r="S74" s="55">
        <f>_xll.EQNXTDZ($A$1,$B74,S$5,$B$1)</f>
        <v>0</v>
      </c>
      <c r="T74" s="55">
        <f>_xll.EQNXTDZ($A$1,$B74,T$5,$B$1)</f>
        <v>588.91999999999996</v>
      </c>
      <c r="U74" s="55">
        <f>_xll.EQNXTDZ($A$1,$B74,U$5,$B$1)</f>
        <v>0</v>
      </c>
      <c r="V74" s="55">
        <f>_xll.EQNXTDZ($A$1,$B74,V$5,$B$1)</f>
        <v>1342.64</v>
      </c>
      <c r="W74" s="55">
        <f>_xll.EQNXTDZ($A$1,$B74,W$5,$B$1)</f>
        <v>0</v>
      </c>
      <c r="X74" s="55">
        <f>_xll.EQNXTDZ($A$1,$B74,X$5,$B$1)</f>
        <v>1929.74</v>
      </c>
      <c r="Y74" s="55">
        <f>_xll.EQNXTDZ($A$1,$B74,Y$5,$B$1)</f>
        <v>0</v>
      </c>
      <c r="Z74" s="55">
        <f>_xll.EQNXTDZ($A$1,$B74,Z$5,$B$1)</f>
        <v>2352.79</v>
      </c>
      <c r="AA74" s="55">
        <f>_xll.EQNXTDZ($A$1,$B74,AA$5,$B$1)</f>
        <v>0</v>
      </c>
      <c r="AB74" s="55">
        <f>_xll.EQNXTDZ($A$1,$B74,AB$5,$B$1)</f>
        <v>2399.29</v>
      </c>
      <c r="AC74" s="55">
        <f>_xll.EQNXTDZ($A$1,$B74,AC$5,$B$1)</f>
        <v>0</v>
      </c>
      <c r="AD74" s="55">
        <f>_xll.EQNXTDZ($A$1,$B74,AD$5,$B$1)</f>
        <v>694.06</v>
      </c>
      <c r="AE74" s="55">
        <f>_xll.EQNXTDZ($A$1,$B74,AE$5,$B$1)</f>
        <v>0</v>
      </c>
      <c r="AF74" s="55">
        <f>_xll.EQNXTDZ($A$1,$B74,AF$5,$B$1)</f>
        <v>1075.92</v>
      </c>
      <c r="AG74" s="55">
        <f>_xll.EQNXTDZ($A$1,$B74,AG$5,$B$1)</f>
        <v>0</v>
      </c>
      <c r="AH74" s="55">
        <f>_xll.EQNXTDZ($A$1,$B74,AH$5,$B$1)</f>
        <v>2208.96</v>
      </c>
      <c r="AI74" s="55">
        <f>_xll.EQNXTDZ($A$1,$B74,AI$5,$B$1)</f>
        <v>0</v>
      </c>
      <c r="AJ74" s="55">
        <f>_xll.EQNXTDZ($A$1,$B74,AJ$5,$B$1)</f>
        <v>3481.22</v>
      </c>
      <c r="AK74" s="55">
        <f>_xll.EQNXTDZ($A$1,$B74,AK$5,$B$1)</f>
        <v>0</v>
      </c>
      <c r="AL74" s="55">
        <f>_xll.EQNXTDZ($A$1,$B74,AL$5,$B$1)</f>
        <v>5239.7299999999996</v>
      </c>
      <c r="AM74" s="55">
        <f>_xll.EQNXTDZ($A$1,$B74,AM$5,$B$1)</f>
        <v>0</v>
      </c>
      <c r="AN74" s="55">
        <f>_xll.EQNXTDZ($A$1,$B74,AN$5,$B$1)</f>
        <v>4554.8999999999996</v>
      </c>
      <c r="AO74" s="55">
        <f>_xll.EQNXTDZ($A$1,$B74,AO$5,$B$1)</f>
        <v>0</v>
      </c>
      <c r="AP74" s="55">
        <f>_xll.EQNXTDZ($A$1,$B74,AP$5,$B$1)</f>
        <v>5060.16</v>
      </c>
      <c r="AQ74" s="55">
        <f>_xll.EQNXTDZ($A$1,$B74,AQ$5,$B$1)</f>
        <v>0</v>
      </c>
      <c r="AR74" s="55">
        <f>_xll.EQNXTDZ($A$1,$B74,AR$5,$B$1)</f>
        <v>5403.99</v>
      </c>
      <c r="AS74" s="55">
        <f>_xll.EQNXTDZ($A$1,$B74,AS$5,$B$1)</f>
        <v>0</v>
      </c>
      <c r="AT74" s="55">
        <f>_xll.EQNXTDZ($A$1,$B74,AT$5,$B$1)</f>
        <v>6200.44</v>
      </c>
      <c r="AU74" s="55">
        <f>_xll.EQNXTDZ($A$1,$B74,AU$5,$B$1)</f>
        <v>0</v>
      </c>
      <c r="AV74" s="55">
        <f>_xll.EQNXTDZ($A$1,$B74,AV$5,$B$1)</f>
        <v>4134.04</v>
      </c>
      <c r="AW74" s="55">
        <f>_xll.EQNXTDZ($A$1,$B74,AW$5,$B$1)</f>
        <v>0</v>
      </c>
      <c r="AX74" s="55">
        <f>_xll.EQNXTDZ($A$1,$B74,AX$5,$B$1)</f>
        <v>3002.69</v>
      </c>
      <c r="AY74" s="55">
        <f>_xll.EQNXTDZ($A$1,$B74,AY$5,$B$1)</f>
        <v>0</v>
      </c>
      <c r="AZ74" s="55">
        <f>_xll.EQNXTDZ($A$1,$B74,AZ$5,$B$1)</f>
        <v>4354.62</v>
      </c>
      <c r="BA74" s="55">
        <f>_xll.EQNXTDZ($A$1,$B74,BA$5,$B$1)</f>
        <v>0</v>
      </c>
      <c r="BB74" s="55">
        <f>_xll.EQNXTDZ($A$1,$B74,BB$5,$B$1)</f>
        <v>5695.36</v>
      </c>
      <c r="BC74" s="55">
        <f>_xll.EQNXTDZ($A$1,$B74,BC$5,$B$1)</f>
        <v>0</v>
      </c>
      <c r="BD74" s="55">
        <f>_xll.EQNXTDZ($A$1,$B74,BD$5,$B$1)</f>
        <v>6991.33</v>
      </c>
      <c r="BE74" s="55">
        <f>_xll.EQNXTDZ($A$1,$B74,BE$5,$B$1)</f>
        <v>0</v>
      </c>
      <c r="BF74" s="55">
        <f>_xll.EQNXTDZ($A$1,$B74,BF$5,$B$1)</f>
        <v>2053.6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118</v>
      </c>
      <c r="AC77" s="55">
        <f>_xll.EQNXTDZ($A$1,$B77,AC$5,$B$1)</f>
        <v>0</v>
      </c>
      <c r="AD77" s="55">
        <f>_xll.EQNXTDZ($A$1,$B77,AD$5,$B$1)</f>
        <v>120.92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2.89</v>
      </c>
      <c r="AK77" s="55">
        <f>_xll.EQNXTDZ($A$1,$B77,AK$5,$B$1)</f>
        <v>0</v>
      </c>
      <c r="AL77" s="55">
        <f>_xll.EQNXTDZ($A$1,$B77,AL$5,$B$1)</f>
        <v>267.24</v>
      </c>
      <c r="AM77" s="55">
        <f>_xll.EQNXTDZ($A$1,$B77,AM$5,$B$1)</f>
        <v>0</v>
      </c>
      <c r="AN77" s="55">
        <f>_xll.EQNXTDZ($A$1,$B77,AN$5,$B$1)</f>
        <v>265.66000000000003</v>
      </c>
      <c r="AO77" s="55">
        <f>_xll.EQNXTDZ($A$1,$B77,AO$5,$B$1)</f>
        <v>0</v>
      </c>
      <c r="AP77" s="55">
        <f>_xll.EQNXTDZ($A$1,$B77,AP$5,$B$1)</f>
        <v>264.17</v>
      </c>
      <c r="AQ77" s="55">
        <f>_xll.EQNXTDZ($A$1,$B77,AQ$5,$B$1)</f>
        <v>0</v>
      </c>
      <c r="AR77" s="55">
        <f>_xll.EQNXTDZ($A$1,$B77,AR$5,$B$1)</f>
        <v>313.22000000000003</v>
      </c>
      <c r="AS77" s="55">
        <f>_xll.EQNXTDZ($A$1,$B77,AS$5,$B$1)</f>
        <v>0</v>
      </c>
      <c r="AT77" s="55">
        <f>_xll.EQNXTDZ($A$1,$B77,AT$5,$B$1)</f>
        <v>312.89</v>
      </c>
      <c r="AU77" s="55">
        <f>_xll.EQNXTDZ($A$1,$B77,AU$5,$B$1)</f>
        <v>0</v>
      </c>
      <c r="AV77" s="55">
        <f>_xll.EQNXTDZ($A$1,$B77,AV$5,$B$1)</f>
        <v>312.72000000000003</v>
      </c>
      <c r="AW77" s="55">
        <f>_xll.EQNXTDZ($A$1,$B77,AW$5,$B$1)</f>
        <v>0</v>
      </c>
      <c r="AX77" s="55">
        <f>_xll.EQNXTDZ($A$1,$B77,AX$5,$B$1)</f>
        <v>323.79000000000002</v>
      </c>
      <c r="AY77" s="55">
        <f>_xll.EQNXTDZ($A$1,$B77,AY$5,$B$1)</f>
        <v>0</v>
      </c>
      <c r="AZ77" s="55">
        <f>_xll.EQNXTDZ($A$1,$B77,AZ$5,$B$1)</f>
        <v>348.66</v>
      </c>
      <c r="BA77" s="55">
        <f>_xll.EQNXTDZ($A$1,$B77,BA$5,$B$1)</f>
        <v>0</v>
      </c>
      <c r="BB77" s="55">
        <f>_xll.EQNXTDZ($A$1,$B77,BB$5,$B$1)</f>
        <v>348.72</v>
      </c>
      <c r="BC77" s="55">
        <f>_xll.EQNXTDZ($A$1,$B77,BC$5,$B$1)</f>
        <v>0</v>
      </c>
      <c r="BD77" s="55">
        <f>_xll.EQNXTDZ($A$1,$B77,BD$5,$B$1)</f>
        <v>407.36</v>
      </c>
      <c r="BE77" s="55">
        <f>_xll.EQNXTDZ($A$1,$B77,BE$5,$B$1)</f>
        <v>0</v>
      </c>
      <c r="BF77" s="55">
        <f>_xll.EQNXTDZ($A$1,$B77,BF$5,$B$1)</f>
        <v>407.29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10.17</v>
      </c>
      <c r="O78" s="55">
        <f>_xll.EQNXTDZ($A$1,$B78,O$5,$B$1)</f>
        <v>0</v>
      </c>
      <c r="P78" s="55">
        <f>_xll.EQNXTDZ($A$1,$B78,P$5,$B$1)</f>
        <v>14.79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197.32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51.03</v>
      </c>
      <c r="AC78" s="55">
        <f>_xll.EQNXTDZ($A$1,$B78,AC$5,$B$1)</f>
        <v>0</v>
      </c>
      <c r="AD78" s="55">
        <f>_xll.EQNXTDZ($A$1,$B78,AD$5,$B$1)</f>
        <v>41.16</v>
      </c>
      <c r="AE78" s="55">
        <f>_xll.EQNXTDZ($A$1,$B78,AE$5,$B$1)</f>
        <v>0</v>
      </c>
      <c r="AF78" s="55">
        <f>_xll.EQNXTDZ($A$1,$B78,AF$5,$B$1)</f>
        <v>40.04</v>
      </c>
      <c r="AG78" s="55">
        <f>_xll.EQNXTDZ($A$1,$B78,AG$5,$B$1)</f>
        <v>0</v>
      </c>
      <c r="AH78" s="55">
        <f>_xll.EQNXTDZ($A$1,$B78,AH$5,$B$1)</f>
        <v>38.909999999999997</v>
      </c>
      <c r="AI78" s="55">
        <f>_xll.EQNXTDZ($A$1,$B78,AI$5,$B$1)</f>
        <v>0</v>
      </c>
      <c r="AJ78" s="55">
        <f>_xll.EQNXTDZ($A$1,$B78,AJ$5,$B$1)</f>
        <v>37.68</v>
      </c>
      <c r="AK78" s="55">
        <f>_xll.EQNXTDZ($A$1,$B78,AK$5,$B$1)</f>
        <v>0</v>
      </c>
      <c r="AL78" s="55">
        <f>_xll.EQNXTDZ($A$1,$B78,AL$5,$B$1)</f>
        <v>1073.82</v>
      </c>
      <c r="AM78" s="55">
        <f>_xll.EQNXTDZ($A$1,$B78,AM$5,$B$1)</f>
        <v>0</v>
      </c>
      <c r="AN78" s="55">
        <f>_xll.EQNXTDZ($A$1,$B78,AN$5,$B$1)</f>
        <v>1071.68</v>
      </c>
      <c r="AO78" s="55">
        <f>_xll.EQNXTDZ($A$1,$B78,AO$5,$B$1)</f>
        <v>0</v>
      </c>
      <c r="AP78" s="55">
        <f>_xll.EQNXTDZ($A$1,$B78,AP$5,$B$1)</f>
        <v>1128.54</v>
      </c>
      <c r="AQ78" s="55">
        <f>_xll.EQNXTDZ($A$1,$B78,AQ$5,$B$1)</f>
        <v>0</v>
      </c>
      <c r="AR78" s="55">
        <f>_xll.EQNXTDZ($A$1,$B78,AR$5,$B$1)</f>
        <v>1135.01</v>
      </c>
      <c r="AS78" s="55">
        <f>_xll.EQNXTDZ($A$1,$B78,AS$5,$B$1)</f>
        <v>0</v>
      </c>
      <c r="AT78" s="55">
        <f>_xll.EQNXTDZ($A$1,$B78,AT$5,$B$1)</f>
        <v>26.1</v>
      </c>
      <c r="AU78" s="55">
        <f>_xll.EQNXTDZ($A$1,$B78,AU$5,$B$1)</f>
        <v>0</v>
      </c>
      <c r="AV78" s="55">
        <f>_xll.EQNXTDZ($A$1,$B78,AV$5,$B$1)</f>
        <v>25.16</v>
      </c>
      <c r="AW78" s="55">
        <f>_xll.EQNXTDZ($A$1,$B78,AW$5,$B$1)</f>
        <v>0</v>
      </c>
      <c r="AX78" s="55">
        <f>_xll.EQNXTDZ($A$1,$B78,AX$5,$B$1)</f>
        <v>22.51</v>
      </c>
      <c r="AY78" s="55">
        <f>_xll.EQNXTDZ($A$1,$B78,AY$5,$B$1)</f>
        <v>0</v>
      </c>
      <c r="AZ78" s="55">
        <f>_xll.EQNXTDZ($A$1,$B78,AZ$5,$B$1)</f>
        <v>15.64</v>
      </c>
      <c r="BA78" s="55">
        <f>_xll.EQNXTDZ($A$1,$B78,BA$5,$B$1)</f>
        <v>0</v>
      </c>
      <c r="BB78" s="55">
        <f>_xll.EQNXTDZ($A$1,$B78,BB$5,$B$1)</f>
        <v>15.88</v>
      </c>
      <c r="BC78" s="55">
        <f>_xll.EQNXTDZ($A$1,$B78,BC$5,$B$1)</f>
        <v>0</v>
      </c>
      <c r="BD78" s="55">
        <f>_xll.EQNXTDZ($A$1,$B78,BD$5,$B$1)</f>
        <v>11.4</v>
      </c>
      <c r="BE78" s="55">
        <f>_xll.EQNXTDZ($A$1,$B78,BE$5,$B$1)</f>
        <v>0</v>
      </c>
      <c r="BF78" s="55">
        <f>_xll.EQNXTDZ($A$1,$B78,BF$5,$B$1)</f>
        <v>10.58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15.45</v>
      </c>
      <c r="O79" s="55">
        <f>_xll.EQNXTDZ($A$1,$B79,O$5,$B$1)</f>
        <v>0</v>
      </c>
      <c r="P79" s="55">
        <f>_xll.EQNXTDZ($A$1,$B79,P$5,$B$1)</f>
        <v>16.43</v>
      </c>
      <c r="Q79" s="55">
        <f>_xll.EQNXTDZ($A$1,$B79,Q$5,$B$1)</f>
        <v>0</v>
      </c>
      <c r="R79" s="55">
        <f>_xll.EQNXTDZ($A$1,$B79,R$5,$B$1)</f>
        <v>124.91</v>
      </c>
      <c r="S79" s="55">
        <f>_xll.EQNXTDZ($A$1,$B79,S$5,$B$1)</f>
        <v>0</v>
      </c>
      <c r="T79" s="55">
        <f>_xll.EQNXTDZ($A$1,$B79,T$5,$B$1)</f>
        <v>90.51</v>
      </c>
      <c r="U79" s="55">
        <f>_xll.EQNXTDZ($A$1,$B79,U$5,$B$1)</f>
        <v>0</v>
      </c>
      <c r="V79" s="55">
        <f>_xll.EQNXTDZ($A$1,$B79,V$5,$B$1)</f>
        <v>238.21</v>
      </c>
      <c r="W79" s="55">
        <f>_xll.EQNXTDZ($A$1,$B79,W$5,$B$1)</f>
        <v>0</v>
      </c>
      <c r="X79" s="55">
        <f>_xll.EQNXTDZ($A$1,$B79,X$5,$B$1)</f>
        <v>189.4</v>
      </c>
      <c r="Y79" s="55">
        <f>_xll.EQNXTDZ($A$1,$B79,Y$5,$B$1)</f>
        <v>0</v>
      </c>
      <c r="Z79" s="55">
        <f>_xll.EQNXTDZ($A$1,$B79,Z$5,$B$1)</f>
        <v>3871.76</v>
      </c>
      <c r="AA79" s="55">
        <f>_xll.EQNXTDZ($A$1,$B79,AA$5,$B$1)</f>
        <v>0</v>
      </c>
      <c r="AB79" s="55">
        <f>_xll.EQNXTDZ($A$1,$B79,AB$5,$B$1)</f>
        <v>1364.13</v>
      </c>
      <c r="AC79" s="55">
        <f>_xll.EQNXTDZ($A$1,$B79,AC$5,$B$1)</f>
        <v>0</v>
      </c>
      <c r="AD79" s="55">
        <f>_xll.EQNXTDZ($A$1,$B79,AD$5,$B$1)</f>
        <v>2355.0500000000002</v>
      </c>
      <c r="AE79" s="55">
        <f>_xll.EQNXTDZ($A$1,$B79,AE$5,$B$1)</f>
        <v>0</v>
      </c>
      <c r="AF79" s="55">
        <f>_xll.EQNXTDZ($A$1,$B79,AF$5,$B$1)</f>
        <v>2698.1</v>
      </c>
      <c r="AG79" s="55">
        <f>_xll.EQNXTDZ($A$1,$B79,AG$5,$B$1)</f>
        <v>0</v>
      </c>
      <c r="AH79" s="55">
        <f>_xll.EQNXTDZ($A$1,$B79,AH$5,$B$1)</f>
        <v>4087.95</v>
      </c>
      <c r="AI79" s="55">
        <f>_xll.EQNXTDZ($A$1,$B79,AI$5,$B$1)</f>
        <v>0</v>
      </c>
      <c r="AJ79" s="55">
        <f>_xll.EQNXTDZ($A$1,$B79,AJ$5,$B$1)</f>
        <v>4793.7</v>
      </c>
      <c r="AK79" s="55">
        <f>_xll.EQNXTDZ($A$1,$B79,AK$5,$B$1)</f>
        <v>0</v>
      </c>
      <c r="AL79" s="55">
        <f>_xll.EQNXTDZ($A$1,$B79,AL$5,$B$1)</f>
        <v>4869.49</v>
      </c>
      <c r="AM79" s="55">
        <f>_xll.EQNXTDZ($A$1,$B79,AM$5,$B$1)</f>
        <v>0</v>
      </c>
      <c r="AN79" s="55">
        <f>_xll.EQNXTDZ($A$1,$B79,AN$5,$B$1)</f>
        <v>5879.58</v>
      </c>
      <c r="AO79" s="55">
        <f>_xll.EQNXTDZ($A$1,$B79,AO$5,$B$1)</f>
        <v>0</v>
      </c>
      <c r="AP79" s="55">
        <f>_xll.EQNXTDZ($A$1,$B79,AP$5,$B$1)</f>
        <v>5934.73</v>
      </c>
      <c r="AQ79" s="55">
        <f>_xll.EQNXTDZ($A$1,$B79,AQ$5,$B$1)</f>
        <v>0</v>
      </c>
      <c r="AR79" s="55">
        <f>_xll.EQNXTDZ($A$1,$B79,AR$5,$B$1)</f>
        <v>7697.96</v>
      </c>
      <c r="AS79" s="55">
        <f>_xll.EQNXTDZ($A$1,$B79,AS$5,$B$1)</f>
        <v>0</v>
      </c>
      <c r="AT79" s="55">
        <f>_xll.EQNXTDZ($A$1,$B79,AT$5,$B$1)</f>
        <v>6492.54</v>
      </c>
      <c r="AU79" s="55">
        <f>_xll.EQNXTDZ($A$1,$B79,AU$5,$B$1)</f>
        <v>0</v>
      </c>
      <c r="AV79" s="55">
        <f>_xll.EQNXTDZ($A$1,$B79,AV$5,$B$1)</f>
        <v>8154.01</v>
      </c>
      <c r="AW79" s="55">
        <f>_xll.EQNXTDZ($A$1,$B79,AW$5,$B$1)</f>
        <v>0</v>
      </c>
      <c r="AX79" s="55">
        <f>_xll.EQNXTDZ($A$1,$B79,AX$5,$B$1)</f>
        <v>7434.64</v>
      </c>
      <c r="AY79" s="55">
        <f>_xll.EQNXTDZ($A$1,$B79,AY$5,$B$1)</f>
        <v>0</v>
      </c>
      <c r="AZ79" s="55">
        <f>_xll.EQNXTDZ($A$1,$B79,AZ$5,$B$1)</f>
        <v>10033.290000000001</v>
      </c>
      <c r="BA79" s="55">
        <f>_xll.EQNXTDZ($A$1,$B79,BA$5,$B$1)</f>
        <v>0</v>
      </c>
      <c r="BB79" s="55">
        <f>_xll.EQNXTDZ($A$1,$B79,BB$5,$B$1)</f>
        <v>15490.3</v>
      </c>
      <c r="BC79" s="55">
        <f>_xll.EQNXTDZ($A$1,$B79,BC$5,$B$1)</f>
        <v>0</v>
      </c>
      <c r="BD79" s="55">
        <f>_xll.EQNXTDZ($A$1,$B79,BD$5,$B$1)</f>
        <v>19717.57</v>
      </c>
      <c r="BE79" s="55">
        <f>_xll.EQNXTDZ($A$1,$B79,BE$5,$B$1)</f>
        <v>0</v>
      </c>
      <c r="BF79" s="55">
        <f>_xll.EQNXTDZ($A$1,$B79,BF$5,$B$1)</f>
        <v>26488.62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113.6</v>
      </c>
      <c r="Q80" s="55">
        <f>_xll.EQNXTDZ($A$1,$B80,Q$5,$B$1)</f>
        <v>0</v>
      </c>
      <c r="R80" s="55">
        <f>_xll.EQNXTDZ($A$1,$B80,R$5,$B$1)</f>
        <v>19.82</v>
      </c>
      <c r="S80" s="55">
        <f>_xll.EQNXTDZ($A$1,$B80,S$5,$B$1)</f>
        <v>0</v>
      </c>
      <c r="T80" s="55">
        <f>_xll.EQNXTDZ($A$1,$B80,T$5,$B$1)</f>
        <v>93.67</v>
      </c>
      <c r="U80" s="55">
        <f>_xll.EQNXTDZ($A$1,$B80,U$5,$B$1)</f>
        <v>0</v>
      </c>
      <c r="V80" s="55">
        <f>_xll.EQNXTDZ($A$1,$B80,V$5,$B$1)</f>
        <v>105</v>
      </c>
      <c r="W80" s="55">
        <f>_xll.EQNXTDZ($A$1,$B80,W$5,$B$1)</f>
        <v>0</v>
      </c>
      <c r="X80" s="55">
        <f>_xll.EQNXTDZ($A$1,$B80,X$5,$B$1)</f>
        <v>270.31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60.48</v>
      </c>
      <c r="AC80" s="55">
        <f>_xll.EQNXTDZ($A$1,$B80,AC$5,$B$1)</f>
        <v>0</v>
      </c>
      <c r="AD80" s="55">
        <f>_xll.EQNXTDZ($A$1,$B80,AD$5,$B$1)</f>
        <v>214.86</v>
      </c>
      <c r="AE80" s="55">
        <f>_xll.EQNXTDZ($A$1,$B80,AE$5,$B$1)</f>
        <v>0</v>
      </c>
      <c r="AF80" s="55">
        <f>_xll.EQNXTDZ($A$1,$B80,AF$5,$B$1)</f>
        <v>346.62</v>
      </c>
      <c r="AG80" s="55">
        <f>_xll.EQNXTDZ($A$1,$B80,AG$5,$B$1)</f>
        <v>0</v>
      </c>
      <c r="AH80" s="55">
        <f>_xll.EQNXTDZ($A$1,$B80,AH$5,$B$1)</f>
        <v>312.67</v>
      </c>
      <c r="AI80" s="55">
        <f>_xll.EQNXTDZ($A$1,$B80,AI$5,$B$1)</f>
        <v>0</v>
      </c>
      <c r="AJ80" s="55">
        <f>_xll.EQNXTDZ($A$1,$B80,AJ$5,$B$1)</f>
        <v>411.37</v>
      </c>
      <c r="AK80" s="55">
        <f>_xll.EQNXTDZ($A$1,$B80,AK$5,$B$1)</f>
        <v>0</v>
      </c>
      <c r="AL80" s="55">
        <f>_xll.EQNXTDZ($A$1,$B80,AL$5,$B$1)</f>
        <v>174.79</v>
      </c>
      <c r="AM80" s="55">
        <f>_xll.EQNXTDZ($A$1,$B80,AM$5,$B$1)</f>
        <v>0</v>
      </c>
      <c r="AN80" s="55">
        <f>_xll.EQNXTDZ($A$1,$B80,AN$5,$B$1)</f>
        <v>325.7</v>
      </c>
      <c r="AO80" s="55">
        <f>_xll.EQNXTDZ($A$1,$B80,AO$5,$B$1)</f>
        <v>0</v>
      </c>
      <c r="AP80" s="55">
        <f>_xll.EQNXTDZ($A$1,$B80,AP$5,$B$1)</f>
        <v>296.35000000000002</v>
      </c>
      <c r="AQ80" s="55">
        <f>_xll.EQNXTDZ($A$1,$B80,AQ$5,$B$1)</f>
        <v>0</v>
      </c>
      <c r="AR80" s="55">
        <f>_xll.EQNXTDZ($A$1,$B80,AR$5,$B$1)</f>
        <v>213.6</v>
      </c>
      <c r="AS80" s="55">
        <f>_xll.EQNXTDZ($A$1,$B80,AS$5,$B$1)</f>
        <v>0</v>
      </c>
      <c r="AT80" s="55">
        <f>_xll.EQNXTDZ($A$1,$B80,AT$5,$B$1)</f>
        <v>1056.79</v>
      </c>
      <c r="AU80" s="55">
        <f>_xll.EQNXTDZ($A$1,$B80,AU$5,$B$1)</f>
        <v>0</v>
      </c>
      <c r="AV80" s="55">
        <f>_xll.EQNXTDZ($A$1,$B80,AV$5,$B$1)</f>
        <v>508.13</v>
      </c>
      <c r="AW80" s="55">
        <f>_xll.EQNXTDZ($A$1,$B80,AW$5,$B$1)</f>
        <v>0</v>
      </c>
      <c r="AX80" s="55">
        <f>_xll.EQNXTDZ($A$1,$B80,AX$5,$B$1)</f>
        <v>442.69</v>
      </c>
      <c r="AY80" s="55">
        <f>_xll.EQNXTDZ($A$1,$B80,AY$5,$B$1)</f>
        <v>0</v>
      </c>
      <c r="AZ80" s="55">
        <f>_xll.EQNXTDZ($A$1,$B80,AZ$5,$B$1)</f>
        <v>1259.46</v>
      </c>
      <c r="BA80" s="55">
        <f>_xll.EQNXTDZ($A$1,$B80,BA$5,$B$1)</f>
        <v>0</v>
      </c>
      <c r="BB80" s="55">
        <f>_xll.EQNXTDZ($A$1,$B80,BB$5,$B$1)</f>
        <v>2289.69</v>
      </c>
      <c r="BC80" s="55">
        <f>_xll.EQNXTDZ($A$1,$B80,BC$5,$B$1)</f>
        <v>0</v>
      </c>
      <c r="BD80" s="55">
        <f>_xll.EQNXTDZ($A$1,$B80,BD$5,$B$1)</f>
        <v>1424.25</v>
      </c>
      <c r="BE80" s="55">
        <f>_xll.EQNXTDZ($A$1,$B80,BE$5,$B$1)</f>
        <v>0</v>
      </c>
      <c r="BF80" s="55">
        <f>_xll.EQNXTDZ($A$1,$B80,BF$5,$B$1)</f>
        <v>2236.3200000000002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20.61</v>
      </c>
      <c r="O81" s="55">
        <f>_xll.EQNXTDZ($A$1,$B81,O$5,$B$1)</f>
        <v>0</v>
      </c>
      <c r="P81" s="55">
        <f>_xll.EQNXTDZ($A$1,$B81,P$5,$B$1)</f>
        <v>23.85</v>
      </c>
      <c r="Q81" s="55">
        <f>_xll.EQNXTDZ($A$1,$B81,Q$5,$B$1)</f>
        <v>0</v>
      </c>
      <c r="R81" s="55">
        <f>_xll.EQNXTDZ($A$1,$B81,R$5,$B$1)</f>
        <v>21.76</v>
      </c>
      <c r="S81" s="55">
        <f>_xll.EQNXTDZ($A$1,$B81,S$5,$B$1)</f>
        <v>0</v>
      </c>
      <c r="T81" s="55">
        <f>_xll.EQNXTDZ($A$1,$B81,T$5,$B$1)</f>
        <v>22.4</v>
      </c>
      <c r="U81" s="55">
        <f>_xll.EQNXTDZ($A$1,$B81,U$5,$B$1)</f>
        <v>0</v>
      </c>
      <c r="V81" s="55">
        <f>_xll.EQNXTDZ($A$1,$B81,V$5,$B$1)</f>
        <v>38.659999999999997</v>
      </c>
      <c r="W81" s="55">
        <f>_xll.EQNXTDZ($A$1,$B81,W$5,$B$1)</f>
        <v>0</v>
      </c>
      <c r="X81" s="55">
        <f>_xll.EQNXTDZ($A$1,$B81,X$5,$B$1)</f>
        <v>73.400000000000006</v>
      </c>
      <c r="Y81" s="55">
        <f>_xll.EQNXTDZ($A$1,$B81,Y$5,$B$1)</f>
        <v>0</v>
      </c>
      <c r="Z81" s="55">
        <f>_xll.EQNXTDZ($A$1,$B81,Z$5,$B$1)</f>
        <v>35.340000000000003</v>
      </c>
      <c r="AA81" s="55">
        <f>_xll.EQNXTDZ($A$1,$B81,AA$5,$B$1)</f>
        <v>0</v>
      </c>
      <c r="AB81" s="55">
        <f>_xll.EQNXTDZ($A$1,$B81,AB$5,$B$1)</f>
        <v>188.27</v>
      </c>
      <c r="AC81" s="55">
        <f>_xll.EQNXTDZ($A$1,$B81,AC$5,$B$1)</f>
        <v>0</v>
      </c>
      <c r="AD81" s="55">
        <f>_xll.EQNXTDZ($A$1,$B81,AD$5,$B$1)</f>
        <v>366.18</v>
      </c>
      <c r="AE81" s="55">
        <f>_xll.EQNXTDZ($A$1,$B81,AE$5,$B$1)</f>
        <v>0</v>
      </c>
      <c r="AF81" s="55">
        <f>_xll.EQNXTDZ($A$1,$B81,AF$5,$B$1)</f>
        <v>230.49</v>
      </c>
      <c r="AG81" s="55">
        <f>_xll.EQNXTDZ($A$1,$B81,AG$5,$B$1)</f>
        <v>0</v>
      </c>
      <c r="AH81" s="55">
        <f>_xll.EQNXTDZ($A$1,$B81,AH$5,$B$1)</f>
        <v>541.16999999999996</v>
      </c>
      <c r="AI81" s="55">
        <f>_xll.EQNXTDZ($A$1,$B81,AI$5,$B$1)</f>
        <v>0</v>
      </c>
      <c r="AJ81" s="55">
        <f>_xll.EQNXTDZ($A$1,$B81,AJ$5,$B$1)</f>
        <v>219.26</v>
      </c>
      <c r="AK81" s="55">
        <f>_xll.EQNXTDZ($A$1,$B81,AK$5,$B$1)</f>
        <v>0</v>
      </c>
      <c r="AL81" s="55">
        <f>_xll.EQNXTDZ($A$1,$B81,AL$5,$B$1)</f>
        <v>233.71</v>
      </c>
      <c r="AM81" s="55">
        <f>_xll.EQNXTDZ($A$1,$B81,AM$5,$B$1)</f>
        <v>0</v>
      </c>
      <c r="AN81" s="55">
        <f>_xll.EQNXTDZ($A$1,$B81,AN$5,$B$1)</f>
        <v>131.88999999999999</v>
      </c>
      <c r="AO81" s="55">
        <f>_xll.EQNXTDZ($A$1,$B81,AO$5,$B$1)</f>
        <v>0</v>
      </c>
      <c r="AP81" s="55">
        <f>_xll.EQNXTDZ($A$1,$B81,AP$5,$B$1)</f>
        <v>250.11</v>
      </c>
      <c r="AQ81" s="55">
        <f>_xll.EQNXTDZ($A$1,$B81,AQ$5,$B$1)</f>
        <v>0</v>
      </c>
      <c r="AR81" s="55">
        <f>_xll.EQNXTDZ($A$1,$B81,AR$5,$B$1)</f>
        <v>201.09</v>
      </c>
      <c r="AS81" s="55">
        <f>_xll.EQNXTDZ($A$1,$B81,AS$5,$B$1)</f>
        <v>0</v>
      </c>
      <c r="AT81" s="55">
        <f>_xll.EQNXTDZ($A$1,$B81,AT$5,$B$1)</f>
        <v>151.91</v>
      </c>
      <c r="AU81" s="55">
        <f>_xll.EQNXTDZ($A$1,$B81,AU$5,$B$1)</f>
        <v>0</v>
      </c>
      <c r="AV81" s="55">
        <f>_xll.EQNXTDZ($A$1,$B81,AV$5,$B$1)</f>
        <v>189.35</v>
      </c>
      <c r="AW81" s="55">
        <f>_xll.EQNXTDZ($A$1,$B81,AW$5,$B$1)</f>
        <v>0</v>
      </c>
      <c r="AX81" s="55">
        <f>_xll.EQNXTDZ($A$1,$B81,AX$5,$B$1)</f>
        <v>255.28</v>
      </c>
      <c r="AY81" s="55">
        <f>_xll.EQNXTDZ($A$1,$B81,AY$5,$B$1)</f>
        <v>0</v>
      </c>
      <c r="AZ81" s="55">
        <f>_xll.EQNXTDZ($A$1,$B81,AZ$5,$B$1)</f>
        <v>356.17</v>
      </c>
      <c r="BA81" s="55">
        <f>_xll.EQNXTDZ($A$1,$B81,BA$5,$B$1)</f>
        <v>0</v>
      </c>
      <c r="BB81" s="55">
        <f>_xll.EQNXTDZ($A$1,$B81,BB$5,$B$1)</f>
        <v>625.24</v>
      </c>
      <c r="BC81" s="55">
        <f>_xll.EQNXTDZ($A$1,$B81,BC$5,$B$1)</f>
        <v>0</v>
      </c>
      <c r="BD81" s="55">
        <f>_xll.EQNXTDZ($A$1,$B81,BD$5,$B$1)</f>
        <v>710.62</v>
      </c>
      <c r="BE81" s="55">
        <f>_xll.EQNXTDZ($A$1,$B81,BE$5,$B$1)</f>
        <v>0</v>
      </c>
      <c r="BF81" s="55">
        <f>_xll.EQNXTDZ($A$1,$B81,BF$5,$B$1)</f>
        <v>669.45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448.76</v>
      </c>
      <c r="O82" s="55">
        <f>_xll.EQNXTDZ($A$1,$B82,O$5,$B$1)</f>
        <v>0</v>
      </c>
      <c r="P82" s="55">
        <f>_xll.EQNXTDZ($A$1,$B82,P$5,$B$1)</f>
        <v>195.86</v>
      </c>
      <c r="Q82" s="55">
        <f>_xll.EQNXTDZ($A$1,$B82,Q$5,$B$1)</f>
        <v>0</v>
      </c>
      <c r="R82" s="55">
        <f>_xll.EQNXTDZ($A$1,$B82,R$5,$B$1)</f>
        <v>182.35</v>
      </c>
      <c r="S82" s="55">
        <f>_xll.EQNXTDZ($A$1,$B82,S$5,$B$1)</f>
        <v>0</v>
      </c>
      <c r="T82" s="55">
        <f>_xll.EQNXTDZ($A$1,$B82,T$5,$B$1)</f>
        <v>291.5</v>
      </c>
      <c r="U82" s="55">
        <f>_xll.EQNXTDZ($A$1,$B82,U$5,$B$1)</f>
        <v>0</v>
      </c>
      <c r="V82" s="55">
        <f>_xll.EQNXTDZ($A$1,$B82,V$5,$B$1)</f>
        <v>189.56</v>
      </c>
      <c r="W82" s="55">
        <f>_xll.EQNXTDZ($A$1,$B82,W$5,$B$1)</f>
        <v>0</v>
      </c>
      <c r="X82" s="55">
        <f>_xll.EQNXTDZ($A$1,$B82,X$5,$B$1)</f>
        <v>173.52</v>
      </c>
      <c r="Y82" s="55">
        <f>_xll.EQNXTDZ($A$1,$B82,Y$5,$B$1)</f>
        <v>0</v>
      </c>
      <c r="Z82" s="55">
        <f>_xll.EQNXTDZ($A$1,$B82,Z$5,$B$1)</f>
        <v>257.83</v>
      </c>
      <c r="AA82" s="55">
        <f>_xll.EQNXTDZ($A$1,$B82,AA$5,$B$1)</f>
        <v>0</v>
      </c>
      <c r="AB82" s="55">
        <f>_xll.EQNXTDZ($A$1,$B82,AB$5,$B$1)</f>
        <v>760.34</v>
      </c>
      <c r="AC82" s="55">
        <f>_xll.EQNXTDZ($A$1,$B82,AC$5,$B$1)</f>
        <v>0</v>
      </c>
      <c r="AD82" s="55">
        <f>_xll.EQNXTDZ($A$1,$B82,AD$5,$B$1)</f>
        <v>722.05</v>
      </c>
      <c r="AE82" s="55">
        <f>_xll.EQNXTDZ($A$1,$B82,AE$5,$B$1)</f>
        <v>0</v>
      </c>
      <c r="AF82" s="55">
        <f>_xll.EQNXTDZ($A$1,$B82,AF$5,$B$1)</f>
        <v>894.16</v>
      </c>
      <c r="AG82" s="55">
        <f>_xll.EQNXTDZ($A$1,$B82,AG$5,$B$1)</f>
        <v>0</v>
      </c>
      <c r="AH82" s="55">
        <f>_xll.EQNXTDZ($A$1,$B82,AH$5,$B$1)</f>
        <v>1000.26</v>
      </c>
      <c r="AI82" s="55">
        <f>_xll.EQNXTDZ($A$1,$B82,AI$5,$B$1)</f>
        <v>0</v>
      </c>
      <c r="AJ82" s="55">
        <f>_xll.EQNXTDZ($A$1,$B82,AJ$5,$B$1)</f>
        <v>1387.82</v>
      </c>
      <c r="AK82" s="55">
        <f>_xll.EQNXTDZ($A$1,$B82,AK$5,$B$1)</f>
        <v>0</v>
      </c>
      <c r="AL82" s="55">
        <f>_xll.EQNXTDZ($A$1,$B82,AL$5,$B$1)</f>
        <v>1013.54</v>
      </c>
      <c r="AM82" s="55">
        <f>_xll.EQNXTDZ($A$1,$B82,AM$5,$B$1)</f>
        <v>0</v>
      </c>
      <c r="AN82" s="55">
        <f>_xll.EQNXTDZ($A$1,$B82,AN$5,$B$1)</f>
        <v>1137.95</v>
      </c>
      <c r="AO82" s="55">
        <f>_xll.EQNXTDZ($A$1,$B82,AO$5,$B$1)</f>
        <v>0</v>
      </c>
      <c r="AP82" s="55">
        <f>_xll.EQNXTDZ($A$1,$B82,AP$5,$B$1)</f>
        <v>1070.8399999999999</v>
      </c>
      <c r="AQ82" s="55">
        <f>_xll.EQNXTDZ($A$1,$B82,AQ$5,$B$1)</f>
        <v>0</v>
      </c>
      <c r="AR82" s="55">
        <f>_xll.EQNXTDZ($A$1,$B82,AR$5,$B$1)</f>
        <v>1694.43</v>
      </c>
      <c r="AS82" s="55">
        <f>_xll.EQNXTDZ($A$1,$B82,AS$5,$B$1)</f>
        <v>0</v>
      </c>
      <c r="AT82" s="55">
        <f>_xll.EQNXTDZ($A$1,$B82,AT$5,$B$1)</f>
        <v>1437.59</v>
      </c>
      <c r="AU82" s="55">
        <f>_xll.EQNXTDZ($A$1,$B82,AU$5,$B$1)</f>
        <v>0</v>
      </c>
      <c r="AV82" s="55">
        <f>_xll.EQNXTDZ($A$1,$B82,AV$5,$B$1)</f>
        <v>1513.92</v>
      </c>
      <c r="AW82" s="55">
        <f>_xll.EQNXTDZ($A$1,$B82,AW$5,$B$1)</f>
        <v>0</v>
      </c>
      <c r="AX82" s="55">
        <f>_xll.EQNXTDZ($A$1,$B82,AX$5,$B$1)</f>
        <v>3744.54</v>
      </c>
      <c r="AY82" s="55">
        <f>_xll.EQNXTDZ($A$1,$B82,AY$5,$B$1)</f>
        <v>0</v>
      </c>
      <c r="AZ82" s="55">
        <f>_xll.EQNXTDZ($A$1,$B82,AZ$5,$B$1)</f>
        <v>4422.8900000000003</v>
      </c>
      <c r="BA82" s="55">
        <f>_xll.EQNXTDZ($A$1,$B82,BA$5,$B$1)</f>
        <v>0</v>
      </c>
      <c r="BB82" s="55">
        <f>_xll.EQNXTDZ($A$1,$B82,BB$5,$B$1)</f>
        <v>4217.8599999999997</v>
      </c>
      <c r="BC82" s="55">
        <f>_xll.EQNXTDZ($A$1,$B82,BC$5,$B$1)</f>
        <v>0</v>
      </c>
      <c r="BD82" s="55">
        <f>_xll.EQNXTDZ($A$1,$B82,BD$5,$B$1)</f>
        <v>6160.26</v>
      </c>
      <c r="BE82" s="55">
        <f>_xll.EQNXTDZ($A$1,$B82,BE$5,$B$1)</f>
        <v>0</v>
      </c>
      <c r="BF82" s="55">
        <f>_xll.EQNXTDZ($A$1,$B82,BF$5,$B$1)</f>
        <v>5733.75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15.09</v>
      </c>
      <c r="O83" s="55">
        <f>_xll.EQNXTDZ($A$1,$B83,O$5,$B$1)</f>
        <v>0</v>
      </c>
      <c r="P83" s="55">
        <f>_xll.EQNXTDZ($A$1,$B83,P$5,$B$1)</f>
        <v>27.49</v>
      </c>
      <c r="Q83" s="55">
        <f>_xll.EQNXTDZ($A$1,$B83,Q$5,$B$1)</f>
        <v>0</v>
      </c>
      <c r="R83" s="55">
        <f>_xll.EQNXTDZ($A$1,$B83,R$5,$B$1)</f>
        <v>151.38</v>
      </c>
      <c r="S83" s="55">
        <f>_xll.EQNXTDZ($A$1,$B83,S$5,$B$1)</f>
        <v>0</v>
      </c>
      <c r="T83" s="55">
        <f>_xll.EQNXTDZ($A$1,$B83,T$5,$B$1)</f>
        <v>191.34</v>
      </c>
      <c r="U83" s="55">
        <f>_xll.EQNXTDZ($A$1,$B83,U$5,$B$1)</f>
        <v>0</v>
      </c>
      <c r="V83" s="55">
        <f>_xll.EQNXTDZ($A$1,$B83,V$5,$B$1)</f>
        <v>393.18</v>
      </c>
      <c r="W83" s="55">
        <f>_xll.EQNXTDZ($A$1,$B83,W$5,$B$1)</f>
        <v>0</v>
      </c>
      <c r="X83" s="55">
        <f>_xll.EQNXTDZ($A$1,$B83,X$5,$B$1)</f>
        <v>178.91</v>
      </c>
      <c r="Y83" s="55">
        <f>_xll.EQNXTDZ($A$1,$B83,Y$5,$B$1)</f>
        <v>0</v>
      </c>
      <c r="Z83" s="55">
        <f>_xll.EQNXTDZ($A$1,$B83,Z$5,$B$1)</f>
        <v>665.49</v>
      </c>
      <c r="AA83" s="55">
        <f>_xll.EQNXTDZ($A$1,$B83,AA$5,$B$1)</f>
        <v>0</v>
      </c>
      <c r="AB83" s="55">
        <f>_xll.EQNXTDZ($A$1,$B83,AB$5,$B$1)</f>
        <v>669.38</v>
      </c>
      <c r="AC83" s="55">
        <f>_xll.EQNXTDZ($A$1,$B83,AC$5,$B$1)</f>
        <v>0</v>
      </c>
      <c r="AD83" s="55">
        <f>_xll.EQNXTDZ($A$1,$B83,AD$5,$B$1)</f>
        <v>701.56</v>
      </c>
      <c r="AE83" s="55">
        <f>_xll.EQNXTDZ($A$1,$B83,AE$5,$B$1)</f>
        <v>0</v>
      </c>
      <c r="AF83" s="55">
        <f>_xll.EQNXTDZ($A$1,$B83,AF$5,$B$1)</f>
        <v>1589.56</v>
      </c>
      <c r="AG83" s="55">
        <f>_xll.EQNXTDZ($A$1,$B83,AG$5,$B$1)</f>
        <v>0</v>
      </c>
      <c r="AH83" s="55">
        <f>_xll.EQNXTDZ($A$1,$B83,AH$5,$B$1)</f>
        <v>2296.84</v>
      </c>
      <c r="AI83" s="55">
        <f>_xll.EQNXTDZ($A$1,$B83,AI$5,$B$1)</f>
        <v>0</v>
      </c>
      <c r="AJ83" s="55">
        <f>_xll.EQNXTDZ($A$1,$B83,AJ$5,$B$1)</f>
        <v>1436.9</v>
      </c>
      <c r="AK83" s="55">
        <f>_xll.EQNXTDZ($A$1,$B83,AK$5,$B$1)</f>
        <v>0</v>
      </c>
      <c r="AL83" s="55">
        <f>_xll.EQNXTDZ($A$1,$B83,AL$5,$B$1)</f>
        <v>1289.9100000000001</v>
      </c>
      <c r="AM83" s="55">
        <f>_xll.EQNXTDZ($A$1,$B83,AM$5,$B$1)</f>
        <v>0</v>
      </c>
      <c r="AN83" s="55">
        <f>_xll.EQNXTDZ($A$1,$B83,AN$5,$B$1)</f>
        <v>1318.29</v>
      </c>
      <c r="AO83" s="55">
        <f>_xll.EQNXTDZ($A$1,$B83,AO$5,$B$1)</f>
        <v>0</v>
      </c>
      <c r="AP83" s="55">
        <f>_xll.EQNXTDZ($A$1,$B83,AP$5,$B$1)</f>
        <v>1392.87</v>
      </c>
      <c r="AQ83" s="55">
        <f>_xll.EQNXTDZ($A$1,$B83,AQ$5,$B$1)</f>
        <v>0</v>
      </c>
      <c r="AR83" s="55">
        <f>_xll.EQNXTDZ($A$1,$B83,AR$5,$B$1)</f>
        <v>1984.86</v>
      </c>
      <c r="AS83" s="55">
        <f>_xll.EQNXTDZ($A$1,$B83,AS$5,$B$1)</f>
        <v>0</v>
      </c>
      <c r="AT83" s="55">
        <f>_xll.EQNXTDZ($A$1,$B83,AT$5,$B$1)</f>
        <v>1704.14</v>
      </c>
      <c r="AU83" s="55">
        <f>_xll.EQNXTDZ($A$1,$B83,AU$5,$B$1)</f>
        <v>0</v>
      </c>
      <c r="AV83" s="55">
        <f>_xll.EQNXTDZ($A$1,$B83,AV$5,$B$1)</f>
        <v>2623.65</v>
      </c>
      <c r="AW83" s="55">
        <f>_xll.EQNXTDZ($A$1,$B83,AW$5,$B$1)</f>
        <v>0</v>
      </c>
      <c r="AX83" s="55">
        <f>_xll.EQNXTDZ($A$1,$B83,AX$5,$B$1)</f>
        <v>2228.14</v>
      </c>
      <c r="AY83" s="55">
        <f>_xll.EQNXTDZ($A$1,$B83,AY$5,$B$1)</f>
        <v>0</v>
      </c>
      <c r="AZ83" s="55">
        <f>_xll.EQNXTDZ($A$1,$B83,AZ$5,$B$1)</f>
        <v>6060.26</v>
      </c>
      <c r="BA83" s="55">
        <f>_xll.EQNXTDZ($A$1,$B83,BA$5,$B$1)</f>
        <v>0</v>
      </c>
      <c r="BB83" s="55">
        <f>_xll.EQNXTDZ($A$1,$B83,BB$5,$B$1)</f>
        <v>3618.68</v>
      </c>
      <c r="BC83" s="55">
        <f>_xll.EQNXTDZ($A$1,$B83,BC$5,$B$1)</f>
        <v>0</v>
      </c>
      <c r="BD83" s="55">
        <f>_xll.EQNXTDZ($A$1,$B83,BD$5,$B$1)</f>
        <v>4905.2299999999996</v>
      </c>
      <c r="BE83" s="55">
        <f>_xll.EQNXTDZ($A$1,$B83,BE$5,$B$1)</f>
        <v>0</v>
      </c>
      <c r="BF83" s="55">
        <f>_xll.EQNXTDZ($A$1,$B83,BF$5,$B$1)</f>
        <v>3947.34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395.94</v>
      </c>
      <c r="O84" s="55">
        <f>_xll.EQNXTDZ($A$1,$B84,O$5,$B$1)</f>
        <v>0</v>
      </c>
      <c r="P84" s="55">
        <f>_xll.EQNXTDZ($A$1,$B84,P$5,$B$1)</f>
        <v>703.73</v>
      </c>
      <c r="Q84" s="55">
        <f>_xll.EQNXTDZ($A$1,$B84,Q$5,$B$1)</f>
        <v>0</v>
      </c>
      <c r="R84" s="55">
        <f>_xll.EQNXTDZ($A$1,$B84,R$5,$B$1)</f>
        <v>926.64</v>
      </c>
      <c r="S84" s="55">
        <f>_xll.EQNXTDZ($A$1,$B84,S$5,$B$1)</f>
        <v>0</v>
      </c>
      <c r="T84" s="55">
        <f>_xll.EQNXTDZ($A$1,$B84,T$5,$B$1)</f>
        <v>865.28</v>
      </c>
      <c r="U84" s="55">
        <f>_xll.EQNXTDZ($A$1,$B84,U$5,$B$1)</f>
        <v>0</v>
      </c>
      <c r="V84" s="55">
        <f>_xll.EQNXTDZ($A$1,$B84,V$5,$B$1)</f>
        <v>650.41</v>
      </c>
      <c r="W84" s="55">
        <f>_xll.EQNXTDZ($A$1,$B84,W$5,$B$1)</f>
        <v>0</v>
      </c>
      <c r="X84" s="55">
        <f>_xll.EQNXTDZ($A$1,$B84,X$5,$B$1)</f>
        <v>577.49</v>
      </c>
      <c r="Y84" s="55">
        <f>_xll.EQNXTDZ($A$1,$B84,Y$5,$B$1)</f>
        <v>0</v>
      </c>
      <c r="Z84" s="55">
        <f>_xll.EQNXTDZ($A$1,$B84,Z$5,$B$1)</f>
        <v>790.9</v>
      </c>
      <c r="AA84" s="55">
        <f>_xll.EQNXTDZ($A$1,$B84,AA$5,$B$1)</f>
        <v>0</v>
      </c>
      <c r="AB84" s="55">
        <f>_xll.EQNXTDZ($A$1,$B84,AB$5,$B$1)</f>
        <v>3836.71</v>
      </c>
      <c r="AC84" s="55">
        <f>_xll.EQNXTDZ($A$1,$B84,AC$5,$B$1)</f>
        <v>0</v>
      </c>
      <c r="AD84" s="55">
        <f>_xll.EQNXTDZ($A$1,$B84,AD$5,$B$1)</f>
        <v>2921.87</v>
      </c>
      <c r="AE84" s="55">
        <f>_xll.EQNXTDZ($A$1,$B84,AE$5,$B$1)</f>
        <v>0</v>
      </c>
      <c r="AF84" s="55">
        <f>_xll.EQNXTDZ($A$1,$B84,AF$5,$B$1)</f>
        <v>1951.24</v>
      </c>
      <c r="AG84" s="55">
        <f>_xll.EQNXTDZ($A$1,$B84,AG$5,$B$1)</f>
        <v>0</v>
      </c>
      <c r="AH84" s="55">
        <f>_xll.EQNXTDZ($A$1,$B84,AH$5,$B$1)</f>
        <v>2125.21</v>
      </c>
      <c r="AI84" s="55">
        <f>_xll.EQNXTDZ($A$1,$B84,AI$5,$B$1)</f>
        <v>0</v>
      </c>
      <c r="AJ84" s="55">
        <f>_xll.EQNXTDZ($A$1,$B84,AJ$5,$B$1)</f>
        <v>2578.61</v>
      </c>
      <c r="AK84" s="55">
        <f>_xll.EQNXTDZ($A$1,$B84,AK$5,$B$1)</f>
        <v>0</v>
      </c>
      <c r="AL84" s="55">
        <f>_xll.EQNXTDZ($A$1,$B84,AL$5,$B$1)</f>
        <v>2263.06</v>
      </c>
      <c r="AM84" s="55">
        <f>_xll.EQNXTDZ($A$1,$B84,AM$5,$B$1)</f>
        <v>0</v>
      </c>
      <c r="AN84" s="55">
        <f>_xll.EQNXTDZ($A$1,$B84,AN$5,$B$1)</f>
        <v>2182.16</v>
      </c>
      <c r="AO84" s="55">
        <f>_xll.EQNXTDZ($A$1,$B84,AO$5,$B$1)</f>
        <v>0</v>
      </c>
      <c r="AP84" s="55">
        <f>_xll.EQNXTDZ($A$1,$B84,AP$5,$B$1)</f>
        <v>2459.7600000000002</v>
      </c>
      <c r="AQ84" s="55">
        <f>_xll.EQNXTDZ($A$1,$B84,AQ$5,$B$1)</f>
        <v>0</v>
      </c>
      <c r="AR84" s="55">
        <f>_xll.EQNXTDZ($A$1,$B84,AR$5,$B$1)</f>
        <v>1780.79</v>
      </c>
      <c r="AS84" s="55">
        <f>_xll.EQNXTDZ($A$1,$B84,AS$5,$B$1)</f>
        <v>0</v>
      </c>
      <c r="AT84" s="55">
        <f>_xll.EQNXTDZ($A$1,$B84,AT$5,$B$1)</f>
        <v>4079.23</v>
      </c>
      <c r="AU84" s="55">
        <f>_xll.EQNXTDZ($A$1,$B84,AU$5,$B$1)</f>
        <v>0</v>
      </c>
      <c r="AV84" s="55">
        <f>_xll.EQNXTDZ($A$1,$B84,AV$5,$B$1)</f>
        <v>2118.73</v>
      </c>
      <c r="AW84" s="55">
        <f>_xll.EQNXTDZ($A$1,$B84,AW$5,$B$1)</f>
        <v>0</v>
      </c>
      <c r="AX84" s="55">
        <f>_xll.EQNXTDZ($A$1,$B84,AX$5,$B$1)</f>
        <v>2539.69</v>
      </c>
      <c r="AY84" s="55">
        <f>_xll.EQNXTDZ($A$1,$B84,AY$5,$B$1)</f>
        <v>0</v>
      </c>
      <c r="AZ84" s="55">
        <f>_xll.EQNXTDZ($A$1,$B84,AZ$5,$B$1)</f>
        <v>4787.59</v>
      </c>
      <c r="BA84" s="55">
        <f>_xll.EQNXTDZ($A$1,$B84,BA$5,$B$1)</f>
        <v>0</v>
      </c>
      <c r="BB84" s="55">
        <f>_xll.EQNXTDZ($A$1,$B84,BB$5,$B$1)</f>
        <v>2828.59</v>
      </c>
      <c r="BC84" s="55">
        <f>_xll.EQNXTDZ($A$1,$B84,BC$5,$B$1)</f>
        <v>0</v>
      </c>
      <c r="BD84" s="55">
        <f>_xll.EQNXTDZ($A$1,$B84,BD$5,$B$1)</f>
        <v>3550.89</v>
      </c>
      <c r="BE84" s="55">
        <f>_xll.EQNXTDZ($A$1,$B84,BE$5,$B$1)</f>
        <v>0</v>
      </c>
      <c r="BF84" s="55">
        <f>_xll.EQNXTDZ($A$1,$B84,BF$5,$B$1)</f>
        <v>5233.13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3.23</v>
      </c>
      <c r="O85" s="55">
        <f>_xll.EQNXTDZ($A$1,$B85,O$5,$B$1)</f>
        <v>0</v>
      </c>
      <c r="P85" s="55">
        <f>_xll.EQNXTDZ($A$1,$B85,P$5,$B$1)</f>
        <v>31.25</v>
      </c>
      <c r="Q85" s="55">
        <f>_xll.EQNXTDZ($A$1,$B85,Q$5,$B$1)</f>
        <v>0</v>
      </c>
      <c r="R85" s="55">
        <f>_xll.EQNXTDZ($A$1,$B85,R$5,$B$1)</f>
        <v>0.18</v>
      </c>
      <c r="S85" s="55">
        <f>_xll.EQNXTDZ($A$1,$B85,S$5,$B$1)</f>
        <v>0</v>
      </c>
      <c r="T85" s="55">
        <f>_xll.EQNXTDZ($A$1,$B85,T$5,$B$1)</f>
        <v>13.16</v>
      </c>
      <c r="U85" s="55">
        <f>_xll.EQNXTDZ($A$1,$B85,U$5,$B$1)</f>
        <v>0</v>
      </c>
      <c r="V85" s="55">
        <f>_xll.EQNXTDZ($A$1,$B85,V$5,$B$1)</f>
        <v>0.17</v>
      </c>
      <c r="W85" s="55">
        <f>_xll.EQNXTDZ($A$1,$B85,W$5,$B$1)</f>
        <v>0</v>
      </c>
      <c r="X85" s="55">
        <f>_xll.EQNXTDZ($A$1,$B85,X$5,$B$1)</f>
        <v>0.09</v>
      </c>
      <c r="Y85" s="55">
        <f>_xll.EQNXTDZ($A$1,$B85,Y$5,$B$1)</f>
        <v>0</v>
      </c>
      <c r="Z85" s="55">
        <f>_xll.EQNXTDZ($A$1,$B85,Z$5,$B$1)</f>
        <v>0.11</v>
      </c>
      <c r="AA85" s="55">
        <f>_xll.EQNXTDZ($A$1,$B85,AA$5,$B$1)</f>
        <v>0</v>
      </c>
      <c r="AB85" s="55">
        <f>_xll.EQNXTDZ($A$1,$B85,AB$5,$B$1)</f>
        <v>0.22</v>
      </c>
      <c r="AC85" s="55">
        <f>_xll.EQNXTDZ($A$1,$B85,AC$5,$B$1)</f>
        <v>0</v>
      </c>
      <c r="AD85" s="55">
        <f>_xll.EQNXTDZ($A$1,$B85,AD$5,$B$1)</f>
        <v>8.75</v>
      </c>
      <c r="AE85" s="55">
        <f>_xll.EQNXTDZ($A$1,$B85,AE$5,$B$1)</f>
        <v>0</v>
      </c>
      <c r="AF85" s="55">
        <f>_xll.EQNXTDZ($A$1,$B85,AF$5,$B$1)</f>
        <v>509.54</v>
      </c>
      <c r="AG85" s="55">
        <f>_xll.EQNXTDZ($A$1,$B85,AG$5,$B$1)</f>
        <v>0</v>
      </c>
      <c r="AH85" s="55">
        <f>_xll.EQNXTDZ($A$1,$B85,AH$5,$B$1)</f>
        <v>2409.2800000000002</v>
      </c>
      <c r="AI85" s="55">
        <f>_xll.EQNXTDZ($A$1,$B85,AI$5,$B$1)</f>
        <v>0</v>
      </c>
      <c r="AJ85" s="55">
        <f>_xll.EQNXTDZ($A$1,$B85,AJ$5,$B$1)</f>
        <v>1124.2</v>
      </c>
      <c r="AK85" s="55">
        <f>_xll.EQNXTDZ($A$1,$B85,AK$5,$B$1)</f>
        <v>0</v>
      </c>
      <c r="AL85" s="55">
        <f>_xll.EQNXTDZ($A$1,$B85,AL$5,$B$1)</f>
        <v>24.43</v>
      </c>
      <c r="AM85" s="55">
        <f>_xll.EQNXTDZ($A$1,$B85,AM$5,$B$1)</f>
        <v>0</v>
      </c>
      <c r="AN85" s="55">
        <f>_xll.EQNXTDZ($A$1,$B85,AN$5,$B$1)</f>
        <v>91.05</v>
      </c>
      <c r="AO85" s="55">
        <f>_xll.EQNXTDZ($A$1,$B85,AO$5,$B$1)</f>
        <v>0</v>
      </c>
      <c r="AP85" s="55">
        <f>_xll.EQNXTDZ($A$1,$B85,AP$5,$B$1)</f>
        <v>7.81</v>
      </c>
      <c r="AQ85" s="55">
        <f>_xll.EQNXTDZ($A$1,$B85,AQ$5,$B$1)</f>
        <v>0</v>
      </c>
      <c r="AR85" s="55">
        <f>_xll.EQNXTDZ($A$1,$B85,AR$5,$B$1)</f>
        <v>504.1</v>
      </c>
      <c r="AS85" s="55">
        <f>_xll.EQNXTDZ($A$1,$B85,AS$5,$B$1)</f>
        <v>0</v>
      </c>
      <c r="AT85" s="55">
        <f>_xll.EQNXTDZ($A$1,$B85,AT$5,$B$1)</f>
        <v>477.2</v>
      </c>
      <c r="AU85" s="55">
        <f>_xll.EQNXTDZ($A$1,$B85,AU$5,$B$1)</f>
        <v>0</v>
      </c>
      <c r="AV85" s="55">
        <f>_xll.EQNXTDZ($A$1,$B85,AV$5,$B$1)</f>
        <v>476.88</v>
      </c>
      <c r="AW85" s="55">
        <f>_xll.EQNXTDZ($A$1,$B85,AW$5,$B$1)</f>
        <v>0</v>
      </c>
      <c r="AX85" s="55">
        <f>_xll.EQNXTDZ($A$1,$B85,AX$5,$B$1)</f>
        <v>407.78</v>
      </c>
      <c r="AY85" s="55">
        <f>_xll.EQNXTDZ($A$1,$B85,AY$5,$B$1)</f>
        <v>0</v>
      </c>
      <c r="AZ85" s="55">
        <f>_xll.EQNXTDZ($A$1,$B85,AZ$5,$B$1)</f>
        <v>7.83</v>
      </c>
      <c r="BA85" s="55">
        <f>_xll.EQNXTDZ($A$1,$B85,BA$5,$B$1)</f>
        <v>0</v>
      </c>
      <c r="BB85" s="55">
        <f>_xll.EQNXTDZ($A$1,$B85,BB$5,$B$1)</f>
        <v>6.45</v>
      </c>
      <c r="BC85" s="55">
        <f>_xll.EQNXTDZ($A$1,$B85,BC$5,$B$1)</f>
        <v>0</v>
      </c>
      <c r="BD85" s="55">
        <f>_xll.EQNXTDZ($A$1,$B85,BD$5,$B$1)</f>
        <v>7.7</v>
      </c>
      <c r="BE85" s="55">
        <f>_xll.EQNXTDZ($A$1,$B85,BE$5,$B$1)</f>
        <v>0</v>
      </c>
      <c r="BF85" s="55">
        <f>_xll.EQNXTDZ($A$1,$B85,BF$5,$B$1)</f>
        <v>5.77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883.63</v>
      </c>
      <c r="O86" s="55">
        <f>_xll.EQNXTDZ($A$1,$B86,O$5,$B$1)</f>
        <v>0</v>
      </c>
      <c r="P86" s="55">
        <f>_xll.EQNXTDZ($A$1,$B86,P$5,$B$1)</f>
        <v>1095.78</v>
      </c>
      <c r="Q86" s="55">
        <f>_xll.EQNXTDZ($A$1,$B86,Q$5,$B$1)</f>
        <v>0</v>
      </c>
      <c r="R86" s="55">
        <f>_xll.EQNXTDZ($A$1,$B86,R$5,$B$1)</f>
        <v>1302.1300000000001</v>
      </c>
      <c r="S86" s="55">
        <f>_xll.EQNXTDZ($A$1,$B86,S$5,$B$1)</f>
        <v>0</v>
      </c>
      <c r="T86" s="55">
        <f>_xll.EQNXTDZ($A$1,$B86,T$5,$B$1)</f>
        <v>1477.35</v>
      </c>
      <c r="U86" s="55">
        <f>_xll.EQNXTDZ($A$1,$B86,U$5,$B$1)</f>
        <v>0</v>
      </c>
      <c r="V86" s="55">
        <f>_xll.EQNXTDZ($A$1,$B86,V$5,$B$1)</f>
        <v>1376.98</v>
      </c>
      <c r="W86" s="55">
        <f>_xll.EQNXTDZ($A$1,$B86,W$5,$B$1)</f>
        <v>0</v>
      </c>
      <c r="X86" s="55">
        <f>_xll.EQNXTDZ($A$1,$B86,X$5,$B$1)</f>
        <v>1273.72</v>
      </c>
      <c r="Y86" s="55">
        <f>_xll.EQNXTDZ($A$1,$B86,Y$5,$B$1)</f>
        <v>0</v>
      </c>
      <c r="Z86" s="55">
        <f>_xll.EQNXTDZ($A$1,$B86,Z$5,$B$1)</f>
        <v>1749.67</v>
      </c>
      <c r="AA86" s="55">
        <f>_xll.EQNXTDZ($A$1,$B86,AA$5,$B$1)</f>
        <v>0</v>
      </c>
      <c r="AB86" s="55">
        <f>_xll.EQNXTDZ($A$1,$B86,AB$5,$B$1)</f>
        <v>5515.4</v>
      </c>
      <c r="AC86" s="55">
        <f>_xll.EQNXTDZ($A$1,$B86,AC$5,$B$1)</f>
        <v>0</v>
      </c>
      <c r="AD86" s="55">
        <f>_xll.EQNXTDZ($A$1,$B86,AD$5,$B$1)</f>
        <v>4935.2700000000004</v>
      </c>
      <c r="AE86" s="55">
        <f>_xll.EQNXTDZ($A$1,$B86,AE$5,$B$1)</f>
        <v>0</v>
      </c>
      <c r="AF86" s="55">
        <f>_xll.EQNXTDZ($A$1,$B86,AF$5,$B$1)</f>
        <v>5521.61</v>
      </c>
      <c r="AG86" s="55">
        <f>_xll.EQNXTDZ($A$1,$B86,AG$5,$B$1)</f>
        <v>0</v>
      </c>
      <c r="AH86" s="55">
        <f>_xll.EQNXTDZ($A$1,$B86,AH$5,$B$1)</f>
        <v>8685.43</v>
      </c>
      <c r="AI86" s="55">
        <f>_xll.EQNXTDZ($A$1,$B86,AI$5,$B$1)</f>
        <v>0</v>
      </c>
      <c r="AJ86" s="55">
        <f>_xll.EQNXTDZ($A$1,$B86,AJ$5,$B$1)</f>
        <v>7158.16</v>
      </c>
      <c r="AK86" s="55">
        <f>_xll.EQNXTDZ($A$1,$B86,AK$5,$B$1)</f>
        <v>0</v>
      </c>
      <c r="AL86" s="55">
        <f>_xll.EQNXTDZ($A$1,$B86,AL$5,$B$1)</f>
        <v>4999.4399999999996</v>
      </c>
      <c r="AM86" s="55">
        <f>_xll.EQNXTDZ($A$1,$B86,AM$5,$B$1)</f>
        <v>0</v>
      </c>
      <c r="AN86" s="55">
        <f>_xll.EQNXTDZ($A$1,$B86,AN$5,$B$1)</f>
        <v>5187.04</v>
      </c>
      <c r="AO86" s="55">
        <f>_xll.EQNXTDZ($A$1,$B86,AO$5,$B$1)</f>
        <v>0</v>
      </c>
      <c r="AP86" s="55">
        <f>_xll.EQNXTDZ($A$1,$B86,AP$5,$B$1)</f>
        <v>5477.74</v>
      </c>
      <c r="AQ86" s="55">
        <f>_xll.EQNXTDZ($A$1,$B86,AQ$5,$B$1)</f>
        <v>0</v>
      </c>
      <c r="AR86" s="55">
        <f>_xll.EQNXTDZ($A$1,$B86,AR$5,$B$1)</f>
        <v>6378.87</v>
      </c>
      <c r="AS86" s="55">
        <f>_xll.EQNXTDZ($A$1,$B86,AS$5,$B$1)</f>
        <v>0</v>
      </c>
      <c r="AT86" s="55">
        <f>_xll.EQNXTDZ($A$1,$B86,AT$5,$B$1)</f>
        <v>8906.86</v>
      </c>
      <c r="AU86" s="55">
        <f>_xll.EQNXTDZ($A$1,$B86,AU$5,$B$1)</f>
        <v>0</v>
      </c>
      <c r="AV86" s="55">
        <f>_xll.EQNXTDZ($A$1,$B86,AV$5,$B$1)</f>
        <v>7430.66</v>
      </c>
      <c r="AW86" s="55">
        <f>_xll.EQNXTDZ($A$1,$B86,AW$5,$B$1)</f>
        <v>0</v>
      </c>
      <c r="AX86" s="55">
        <f>_xll.EQNXTDZ($A$1,$B86,AX$5,$B$1)</f>
        <v>9618.1200000000008</v>
      </c>
      <c r="AY86" s="55">
        <f>_xll.EQNXTDZ($A$1,$B86,AY$5,$B$1)</f>
        <v>0</v>
      </c>
      <c r="AZ86" s="55">
        <f>_xll.EQNXTDZ($A$1,$B86,AZ$5,$B$1)</f>
        <v>16894.2</v>
      </c>
      <c r="BA86" s="55">
        <f>_xll.EQNXTDZ($A$1,$B86,BA$5,$B$1)</f>
        <v>0</v>
      </c>
      <c r="BB86" s="55">
        <f>_xll.EQNXTDZ($A$1,$B86,BB$5,$B$1)</f>
        <v>13586.51</v>
      </c>
      <c r="BC86" s="55">
        <f>_xll.EQNXTDZ($A$1,$B86,BC$5,$B$1)</f>
        <v>0</v>
      </c>
      <c r="BD86" s="55">
        <f>_xll.EQNXTDZ($A$1,$B86,BD$5,$B$1)</f>
        <v>16758.95</v>
      </c>
      <c r="BE86" s="55">
        <f>_xll.EQNXTDZ($A$1,$B86,BE$5,$B$1)</f>
        <v>0</v>
      </c>
      <c r="BF86" s="55">
        <f>_xll.EQNXTDZ($A$1,$B86,BF$5,$B$1)</f>
        <v>17825.759999999998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3585.81</v>
      </c>
      <c r="O88" s="55">
        <f>_xll.EQNXTDZ($A$1,$B88,O$5,$B$1)</f>
        <v>0</v>
      </c>
      <c r="P88" s="55">
        <f>_xll.EQNXTDZ($A$1,$B88,P$5,$B$1)</f>
        <v>2641.97</v>
      </c>
      <c r="Q88" s="55">
        <f>_xll.EQNXTDZ($A$1,$B88,Q$5,$B$1)</f>
        <v>0</v>
      </c>
      <c r="R88" s="55">
        <f>_xll.EQNXTDZ($A$1,$B88,R$5,$B$1)</f>
        <v>2845.42</v>
      </c>
      <c r="S88" s="55">
        <f>_xll.EQNXTDZ($A$1,$B88,S$5,$B$1)</f>
        <v>0</v>
      </c>
      <c r="T88" s="55">
        <f>_xll.EQNXTDZ($A$1,$B88,T$5,$B$1)</f>
        <v>1393.44</v>
      </c>
      <c r="U88" s="55">
        <f>_xll.EQNXTDZ($A$1,$B88,U$5,$B$1)</f>
        <v>0</v>
      </c>
      <c r="V88" s="55">
        <f>_xll.EQNXTDZ($A$1,$B88,V$5,$B$1)</f>
        <v>931.28</v>
      </c>
      <c r="W88" s="55">
        <f>_xll.EQNXTDZ($A$1,$B88,W$5,$B$1)</f>
        <v>0</v>
      </c>
      <c r="X88" s="55">
        <f>_xll.EQNXTDZ($A$1,$B88,X$5,$B$1)</f>
        <v>727.43</v>
      </c>
      <c r="Y88" s="55">
        <f>_xll.EQNXTDZ($A$1,$B88,Y$5,$B$1)</f>
        <v>0</v>
      </c>
      <c r="Z88" s="55">
        <f>_xll.EQNXTDZ($A$1,$B88,Z$5,$B$1)</f>
        <v>1010.65</v>
      </c>
      <c r="AA88" s="55">
        <f>_xll.EQNXTDZ($A$1,$B88,AA$5,$B$1)</f>
        <v>0</v>
      </c>
      <c r="AB88" s="55">
        <f>_xll.EQNXTDZ($A$1,$B88,AB$5,$B$1)</f>
        <v>1911.86</v>
      </c>
      <c r="AC88" s="55">
        <f>_xll.EQNXTDZ($A$1,$B88,AC$5,$B$1)</f>
        <v>0</v>
      </c>
      <c r="AD88" s="55">
        <f>_xll.EQNXTDZ($A$1,$B88,AD$5,$B$1)</f>
        <v>1632.78</v>
      </c>
      <c r="AE88" s="55">
        <f>_xll.EQNXTDZ($A$1,$B88,AE$5,$B$1)</f>
        <v>0</v>
      </c>
      <c r="AF88" s="55">
        <f>_xll.EQNXTDZ($A$1,$B88,AF$5,$B$1)</f>
        <v>1159.6500000000001</v>
      </c>
      <c r="AG88" s="55">
        <f>_xll.EQNXTDZ($A$1,$B88,AG$5,$B$1)</f>
        <v>0</v>
      </c>
      <c r="AH88" s="55">
        <f>_xll.EQNXTDZ($A$1,$B88,AH$5,$B$1)</f>
        <v>1235.81</v>
      </c>
      <c r="AI88" s="55">
        <f>_xll.EQNXTDZ($A$1,$B88,AI$5,$B$1)</f>
        <v>0</v>
      </c>
      <c r="AJ88" s="55">
        <f>_xll.EQNXTDZ($A$1,$B88,AJ$5,$B$1)</f>
        <v>1780.49</v>
      </c>
      <c r="AK88" s="55">
        <f>_xll.EQNXTDZ($A$1,$B88,AK$5,$B$1)</f>
        <v>0</v>
      </c>
      <c r="AL88" s="55">
        <f>_xll.EQNXTDZ($A$1,$B88,AL$5,$B$1)</f>
        <v>3152.17</v>
      </c>
      <c r="AM88" s="55">
        <f>_xll.EQNXTDZ($A$1,$B88,AM$5,$B$1)</f>
        <v>0</v>
      </c>
      <c r="AN88" s="55">
        <f>_xll.EQNXTDZ($A$1,$B88,AN$5,$B$1)</f>
        <v>2965.96</v>
      </c>
      <c r="AO88" s="55">
        <f>_xll.EQNXTDZ($A$1,$B88,AO$5,$B$1)</f>
        <v>0</v>
      </c>
      <c r="AP88" s="55">
        <f>_xll.EQNXTDZ($A$1,$B88,AP$5,$B$1)</f>
        <v>2040.54</v>
      </c>
      <c r="AQ88" s="55">
        <f>_xll.EQNXTDZ($A$1,$B88,AQ$5,$B$1)</f>
        <v>0</v>
      </c>
      <c r="AR88" s="55">
        <f>_xll.EQNXTDZ($A$1,$B88,AR$5,$B$1)</f>
        <v>3232.18</v>
      </c>
      <c r="AS88" s="55">
        <f>_xll.EQNXTDZ($A$1,$B88,AS$5,$B$1)</f>
        <v>0</v>
      </c>
      <c r="AT88" s="55">
        <f>_xll.EQNXTDZ($A$1,$B88,AT$5,$B$1)</f>
        <v>2868.45</v>
      </c>
      <c r="AU88" s="55">
        <f>_xll.EQNXTDZ($A$1,$B88,AU$5,$B$1)</f>
        <v>0</v>
      </c>
      <c r="AV88" s="55">
        <f>_xll.EQNXTDZ($A$1,$B88,AV$5,$B$1)</f>
        <v>2386.12</v>
      </c>
      <c r="AW88" s="55">
        <f>_xll.EQNXTDZ($A$1,$B88,AW$5,$B$1)</f>
        <v>0</v>
      </c>
      <c r="AX88" s="55">
        <f>_xll.EQNXTDZ($A$1,$B88,AX$5,$B$1)</f>
        <v>3449.25</v>
      </c>
      <c r="AY88" s="55">
        <f>_xll.EQNXTDZ($A$1,$B88,AY$5,$B$1)</f>
        <v>0</v>
      </c>
      <c r="AZ88" s="55">
        <f>_xll.EQNXTDZ($A$1,$B88,AZ$5,$B$1)</f>
        <v>2956.76</v>
      </c>
      <c r="BA88" s="55">
        <f>_xll.EQNXTDZ($A$1,$B88,BA$5,$B$1)</f>
        <v>0</v>
      </c>
      <c r="BB88" s="55">
        <f>_xll.EQNXTDZ($A$1,$B88,BB$5,$B$1)</f>
        <v>2864.5</v>
      </c>
      <c r="BC88" s="55">
        <f>_xll.EQNXTDZ($A$1,$B88,BC$5,$B$1)</f>
        <v>0</v>
      </c>
      <c r="BD88" s="55">
        <f>_xll.EQNXTDZ($A$1,$B88,BD$5,$B$1)</f>
        <v>4093.53</v>
      </c>
      <c r="BE88" s="55">
        <f>_xll.EQNXTDZ($A$1,$B88,BE$5,$B$1)</f>
        <v>0</v>
      </c>
      <c r="BF88" s="55">
        <f>_xll.EQNXTDZ($A$1,$B88,BF$5,$B$1)</f>
        <v>3531.13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48.94</v>
      </c>
      <c r="O89" s="55">
        <f>_xll.EQNXTDZ($A$1,$B89,O$5,$B$1)</f>
        <v>0</v>
      </c>
      <c r="P89" s="55">
        <f>_xll.EQNXTDZ($A$1,$B89,P$5,$B$1)</f>
        <v>41.81</v>
      </c>
      <c r="Q89" s="55">
        <f>_xll.EQNXTDZ($A$1,$B89,Q$5,$B$1)</f>
        <v>0</v>
      </c>
      <c r="R89" s="55">
        <f>_xll.EQNXTDZ($A$1,$B89,R$5,$B$1)</f>
        <v>8.08</v>
      </c>
      <c r="S89" s="55">
        <f>_xll.EQNXTDZ($A$1,$B89,S$5,$B$1)</f>
        <v>0</v>
      </c>
      <c r="T89" s="55">
        <f>_xll.EQNXTDZ($A$1,$B89,T$5,$B$1)</f>
        <v>19.07</v>
      </c>
      <c r="U89" s="55">
        <f>_xll.EQNXTDZ($A$1,$B89,U$5,$B$1)</f>
        <v>0</v>
      </c>
      <c r="V89" s="55">
        <f>_xll.EQNXTDZ($A$1,$B89,V$5,$B$1)</f>
        <v>27.15</v>
      </c>
      <c r="W89" s="55">
        <f>_xll.EQNXTDZ($A$1,$B89,W$5,$B$1)</f>
        <v>0</v>
      </c>
      <c r="X89" s="55">
        <f>_xll.EQNXTDZ($A$1,$B89,X$5,$B$1)</f>
        <v>31.35</v>
      </c>
      <c r="Y89" s="55">
        <f>_xll.EQNXTDZ($A$1,$B89,Y$5,$B$1)</f>
        <v>0</v>
      </c>
      <c r="Z89" s="55">
        <f>_xll.EQNXTDZ($A$1,$B89,Z$5,$B$1)</f>
        <v>39.49</v>
      </c>
      <c r="AA89" s="55">
        <f>_xll.EQNXTDZ($A$1,$B89,AA$5,$B$1)</f>
        <v>0</v>
      </c>
      <c r="AB89" s="55">
        <f>_xll.EQNXTDZ($A$1,$B89,AB$5,$B$1)</f>
        <v>1430.48</v>
      </c>
      <c r="AC89" s="55">
        <f>_xll.EQNXTDZ($A$1,$B89,AC$5,$B$1)</f>
        <v>0</v>
      </c>
      <c r="AD89" s="55">
        <f>_xll.EQNXTDZ($A$1,$B89,AD$5,$B$1)</f>
        <v>1236.92</v>
      </c>
      <c r="AE89" s="55">
        <f>_xll.EQNXTDZ($A$1,$B89,AE$5,$B$1)</f>
        <v>0</v>
      </c>
      <c r="AF89" s="55">
        <f>_xll.EQNXTDZ($A$1,$B89,AF$5,$B$1)</f>
        <v>1064.5899999999999</v>
      </c>
      <c r="AG89" s="55">
        <f>_xll.EQNXTDZ($A$1,$B89,AG$5,$B$1)</f>
        <v>0</v>
      </c>
      <c r="AH89" s="55">
        <f>_xll.EQNXTDZ($A$1,$B89,AH$5,$B$1)</f>
        <v>1751.51</v>
      </c>
      <c r="AI89" s="55">
        <f>_xll.EQNXTDZ($A$1,$B89,AI$5,$B$1)</f>
        <v>0</v>
      </c>
      <c r="AJ89" s="55">
        <f>_xll.EQNXTDZ($A$1,$B89,AJ$5,$B$1)</f>
        <v>1430.3</v>
      </c>
      <c r="AK89" s="55">
        <f>_xll.EQNXTDZ($A$1,$B89,AK$5,$B$1)</f>
        <v>0</v>
      </c>
      <c r="AL89" s="55">
        <f>_xll.EQNXTDZ($A$1,$B89,AL$5,$B$1)</f>
        <v>1241.01</v>
      </c>
      <c r="AM89" s="55">
        <f>_xll.EQNXTDZ($A$1,$B89,AM$5,$B$1)</f>
        <v>0</v>
      </c>
      <c r="AN89" s="55">
        <f>_xll.EQNXTDZ($A$1,$B89,AN$5,$B$1)</f>
        <v>1092.4100000000001</v>
      </c>
      <c r="AO89" s="55">
        <f>_xll.EQNXTDZ($A$1,$B89,AO$5,$B$1)</f>
        <v>0</v>
      </c>
      <c r="AP89" s="55">
        <f>_xll.EQNXTDZ($A$1,$B89,AP$5,$B$1)</f>
        <v>1607.91</v>
      </c>
      <c r="AQ89" s="55">
        <f>_xll.EQNXTDZ($A$1,$B89,AQ$5,$B$1)</f>
        <v>0</v>
      </c>
      <c r="AR89" s="55">
        <f>_xll.EQNXTDZ($A$1,$B89,AR$5,$B$1)</f>
        <v>1392.99</v>
      </c>
      <c r="AS89" s="55">
        <f>_xll.EQNXTDZ($A$1,$B89,AS$5,$B$1)</f>
        <v>0</v>
      </c>
      <c r="AT89" s="55">
        <f>_xll.EQNXTDZ($A$1,$B89,AT$5,$B$1)</f>
        <v>1800.43</v>
      </c>
      <c r="AU89" s="55">
        <f>_xll.EQNXTDZ($A$1,$B89,AU$5,$B$1)</f>
        <v>0</v>
      </c>
      <c r="AV89" s="55">
        <f>_xll.EQNXTDZ($A$1,$B89,AV$5,$B$1)</f>
        <v>1659.92</v>
      </c>
      <c r="AW89" s="55">
        <f>_xll.EQNXTDZ($A$1,$B89,AW$5,$B$1)</f>
        <v>0</v>
      </c>
      <c r="AX89" s="55">
        <f>_xll.EQNXTDZ($A$1,$B89,AX$5,$B$1)</f>
        <v>1515.92</v>
      </c>
      <c r="AY89" s="55">
        <f>_xll.EQNXTDZ($A$1,$B89,AY$5,$B$1)</f>
        <v>0</v>
      </c>
      <c r="AZ89" s="55">
        <f>_xll.EQNXTDZ($A$1,$B89,AZ$5,$B$1)</f>
        <v>1623.93</v>
      </c>
      <c r="BA89" s="55">
        <f>_xll.EQNXTDZ($A$1,$B89,BA$5,$B$1)</f>
        <v>0</v>
      </c>
      <c r="BB89" s="55">
        <f>_xll.EQNXTDZ($A$1,$B89,BB$5,$B$1)</f>
        <v>2955.62</v>
      </c>
      <c r="BC89" s="55">
        <f>_xll.EQNXTDZ($A$1,$B89,BC$5,$B$1)</f>
        <v>0</v>
      </c>
      <c r="BD89" s="55">
        <f>_xll.EQNXTDZ($A$1,$B89,BD$5,$B$1)</f>
        <v>4390.34</v>
      </c>
      <c r="BE89" s="55">
        <f>_xll.EQNXTDZ($A$1,$B89,BE$5,$B$1)</f>
        <v>0</v>
      </c>
      <c r="BF89" s="55">
        <f>_xll.EQNXTDZ($A$1,$B89,BF$5,$B$1)</f>
        <v>4993.6499999999996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1448.74</v>
      </c>
      <c r="O91" s="55">
        <f>_xll.EQNXTDZ($A$1,$B91,O$5,$B$1)</f>
        <v>0</v>
      </c>
      <c r="P91" s="55">
        <f>_xll.EQNXTDZ($A$1,$B91,P$5,$B$1)</f>
        <v>1100.52</v>
      </c>
      <c r="Q91" s="55">
        <f>_xll.EQNXTDZ($A$1,$B91,Q$5,$B$1)</f>
        <v>0</v>
      </c>
      <c r="R91" s="55">
        <f>_xll.EQNXTDZ($A$1,$B91,R$5,$B$1)</f>
        <v>1116.1400000000001</v>
      </c>
      <c r="S91" s="55">
        <f>_xll.EQNXTDZ($A$1,$B91,S$5,$B$1)</f>
        <v>0</v>
      </c>
      <c r="T91" s="55">
        <f>_xll.EQNXTDZ($A$1,$B91,T$5,$B$1)</f>
        <v>369.01</v>
      </c>
      <c r="U91" s="55">
        <f>_xll.EQNXTDZ($A$1,$B91,U$5,$B$1)</f>
        <v>0</v>
      </c>
      <c r="V91" s="55">
        <f>_xll.EQNXTDZ($A$1,$B91,V$5,$B$1)</f>
        <v>923.42</v>
      </c>
      <c r="W91" s="55">
        <f>_xll.EQNXTDZ($A$1,$B91,W$5,$B$1)</f>
        <v>0</v>
      </c>
      <c r="X91" s="55">
        <f>_xll.EQNXTDZ($A$1,$B91,X$5,$B$1)</f>
        <v>1230.23</v>
      </c>
      <c r="Y91" s="55">
        <f>_xll.EQNXTDZ($A$1,$B91,Y$5,$B$1)</f>
        <v>0</v>
      </c>
      <c r="Z91" s="55">
        <f>_xll.EQNXTDZ($A$1,$B91,Z$5,$B$1)</f>
        <v>1276.51</v>
      </c>
      <c r="AA91" s="55">
        <f>_xll.EQNXTDZ($A$1,$B91,AA$5,$B$1)</f>
        <v>0</v>
      </c>
      <c r="AB91" s="55">
        <f>_xll.EQNXTDZ($A$1,$B91,AB$5,$B$1)</f>
        <v>3574.25</v>
      </c>
      <c r="AC91" s="55">
        <f>_xll.EQNXTDZ($A$1,$B91,AC$5,$B$1)</f>
        <v>0</v>
      </c>
      <c r="AD91" s="55">
        <f>_xll.EQNXTDZ($A$1,$B91,AD$5,$B$1)</f>
        <v>3756.48</v>
      </c>
      <c r="AE91" s="55">
        <f>_xll.EQNXTDZ($A$1,$B91,AE$5,$B$1)</f>
        <v>0</v>
      </c>
      <c r="AF91" s="55">
        <f>_xll.EQNXTDZ($A$1,$B91,AF$5,$B$1)</f>
        <v>3769.55</v>
      </c>
      <c r="AG91" s="55">
        <f>_xll.EQNXTDZ($A$1,$B91,AG$5,$B$1)</f>
        <v>0</v>
      </c>
      <c r="AH91" s="55">
        <f>_xll.EQNXTDZ($A$1,$B91,AH$5,$B$1)</f>
        <v>2836.55</v>
      </c>
      <c r="AI91" s="55">
        <f>_xll.EQNXTDZ($A$1,$B91,AI$5,$B$1)</f>
        <v>0</v>
      </c>
      <c r="AJ91" s="55">
        <f>_xll.EQNXTDZ($A$1,$B91,AJ$5,$B$1)</f>
        <v>2574.66</v>
      </c>
      <c r="AK91" s="55">
        <f>_xll.EQNXTDZ($A$1,$B91,AK$5,$B$1)</f>
        <v>0</v>
      </c>
      <c r="AL91" s="55">
        <f>_xll.EQNXTDZ($A$1,$B91,AL$5,$B$1)</f>
        <v>2233.6</v>
      </c>
      <c r="AM91" s="55">
        <f>_xll.EQNXTDZ($A$1,$B91,AM$5,$B$1)</f>
        <v>0</v>
      </c>
      <c r="AN91" s="55">
        <f>_xll.EQNXTDZ($A$1,$B91,AN$5,$B$1)</f>
        <v>1859.96</v>
      </c>
      <c r="AO91" s="55">
        <f>_xll.EQNXTDZ($A$1,$B91,AO$5,$B$1)</f>
        <v>0</v>
      </c>
      <c r="AP91" s="55">
        <f>_xll.EQNXTDZ($A$1,$B91,AP$5,$B$1)</f>
        <v>2208.88</v>
      </c>
      <c r="AQ91" s="55">
        <f>_xll.EQNXTDZ($A$1,$B91,AQ$5,$B$1)</f>
        <v>0</v>
      </c>
      <c r="AR91" s="55">
        <f>_xll.EQNXTDZ($A$1,$B91,AR$5,$B$1)</f>
        <v>1937.18</v>
      </c>
      <c r="AS91" s="55">
        <f>_xll.EQNXTDZ($A$1,$B91,AS$5,$B$1)</f>
        <v>0</v>
      </c>
      <c r="AT91" s="55">
        <f>_xll.EQNXTDZ($A$1,$B91,AT$5,$B$1)</f>
        <v>2229.12</v>
      </c>
      <c r="AU91" s="55">
        <f>_xll.EQNXTDZ($A$1,$B91,AU$5,$B$1)</f>
        <v>0</v>
      </c>
      <c r="AV91" s="55">
        <f>_xll.EQNXTDZ($A$1,$B91,AV$5,$B$1)</f>
        <v>2105.0100000000002</v>
      </c>
      <c r="AW91" s="55">
        <f>_xll.EQNXTDZ($A$1,$B91,AW$5,$B$1)</f>
        <v>0</v>
      </c>
      <c r="AX91" s="55">
        <f>_xll.EQNXTDZ($A$1,$B91,AX$5,$B$1)</f>
        <v>2953</v>
      </c>
      <c r="AY91" s="55">
        <f>_xll.EQNXTDZ($A$1,$B91,AY$5,$B$1)</f>
        <v>0</v>
      </c>
      <c r="AZ91" s="55">
        <f>_xll.EQNXTDZ($A$1,$B91,AZ$5,$B$1)</f>
        <v>3126.57</v>
      </c>
      <c r="BA91" s="55">
        <f>_xll.EQNXTDZ($A$1,$B91,BA$5,$B$1)</f>
        <v>0</v>
      </c>
      <c r="BB91" s="55">
        <f>_xll.EQNXTDZ($A$1,$B91,BB$5,$B$1)</f>
        <v>3997.04</v>
      </c>
      <c r="BC91" s="55">
        <f>_xll.EQNXTDZ($A$1,$B91,BC$5,$B$1)</f>
        <v>0</v>
      </c>
      <c r="BD91" s="55">
        <f>_xll.EQNXTDZ($A$1,$B91,BD$5,$B$1)</f>
        <v>4009.52</v>
      </c>
      <c r="BE91" s="55">
        <f>_xll.EQNXTDZ($A$1,$B91,BE$5,$B$1)</f>
        <v>0</v>
      </c>
      <c r="BF91" s="55">
        <f>_xll.EQNXTDZ($A$1,$B91,BF$5,$B$1)</f>
        <v>6714.63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3.1</v>
      </c>
      <c r="O92" s="55">
        <f>_xll.EQNXTDZ($A$1,$B92,O$5,$B$1)</f>
        <v>0</v>
      </c>
      <c r="P92" s="55">
        <f>_xll.EQNXTDZ($A$1,$B92,P$5,$B$1)</f>
        <v>41.62</v>
      </c>
      <c r="Q92" s="55">
        <f>_xll.EQNXTDZ($A$1,$B92,Q$5,$B$1)</f>
        <v>0</v>
      </c>
      <c r="R92" s="55">
        <f>_xll.EQNXTDZ($A$1,$B92,R$5,$B$1)</f>
        <v>1.53</v>
      </c>
      <c r="S92" s="55">
        <f>_xll.EQNXTDZ($A$1,$B92,S$5,$B$1)</f>
        <v>0</v>
      </c>
      <c r="T92" s="55">
        <f>_xll.EQNXTDZ($A$1,$B92,T$5,$B$1)</f>
        <v>102.6</v>
      </c>
      <c r="U92" s="55">
        <f>_xll.EQNXTDZ($A$1,$B92,U$5,$B$1)</f>
        <v>0</v>
      </c>
      <c r="V92" s="55">
        <f>_xll.EQNXTDZ($A$1,$B92,V$5,$B$1)</f>
        <v>2.33</v>
      </c>
      <c r="W92" s="55">
        <f>_xll.EQNXTDZ($A$1,$B92,W$5,$B$1)</f>
        <v>0</v>
      </c>
      <c r="X92" s="55">
        <f>_xll.EQNXTDZ($A$1,$B92,X$5,$B$1)</f>
        <v>1.07</v>
      </c>
      <c r="Y92" s="55">
        <f>_xll.EQNXTDZ($A$1,$B92,Y$5,$B$1)</f>
        <v>0</v>
      </c>
      <c r="Z92" s="55">
        <f>_xll.EQNXTDZ($A$1,$B92,Z$5,$B$1)</f>
        <v>1.34</v>
      </c>
      <c r="AA92" s="55">
        <f>_xll.EQNXTDZ($A$1,$B92,AA$5,$B$1)</f>
        <v>0</v>
      </c>
      <c r="AB92" s="55">
        <f>_xll.EQNXTDZ($A$1,$B92,AB$5,$B$1)</f>
        <v>33.46</v>
      </c>
      <c r="AC92" s="55">
        <f>_xll.EQNXTDZ($A$1,$B92,AC$5,$B$1)</f>
        <v>0</v>
      </c>
      <c r="AD92" s="55">
        <f>_xll.EQNXTDZ($A$1,$B92,AD$5,$B$1)</f>
        <v>63.55</v>
      </c>
      <c r="AE92" s="55">
        <f>_xll.EQNXTDZ($A$1,$B92,AE$5,$B$1)</f>
        <v>0</v>
      </c>
      <c r="AF92" s="55">
        <f>_xll.EQNXTDZ($A$1,$B92,AF$5,$B$1)</f>
        <v>58.96</v>
      </c>
      <c r="AG92" s="55">
        <f>_xll.EQNXTDZ($A$1,$B92,AG$5,$B$1)</f>
        <v>0</v>
      </c>
      <c r="AH92" s="55">
        <f>_xll.EQNXTDZ($A$1,$B92,AH$5,$B$1)</f>
        <v>62.4</v>
      </c>
      <c r="AI92" s="55">
        <f>_xll.EQNXTDZ($A$1,$B92,AI$5,$B$1)</f>
        <v>0</v>
      </c>
      <c r="AJ92" s="55">
        <f>_xll.EQNXTDZ($A$1,$B92,AJ$5,$B$1)</f>
        <v>62.37</v>
      </c>
      <c r="AK92" s="55">
        <f>_xll.EQNXTDZ($A$1,$B92,AK$5,$B$1)</f>
        <v>0</v>
      </c>
      <c r="AL92" s="55">
        <f>_xll.EQNXTDZ($A$1,$B92,AL$5,$B$1)</f>
        <v>61.85</v>
      </c>
      <c r="AM92" s="55">
        <f>_xll.EQNXTDZ($A$1,$B92,AM$5,$B$1)</f>
        <v>0</v>
      </c>
      <c r="AN92" s="55">
        <f>_xll.EQNXTDZ($A$1,$B92,AN$5,$B$1)</f>
        <v>62.2</v>
      </c>
      <c r="AO92" s="55">
        <f>_xll.EQNXTDZ($A$1,$B92,AO$5,$B$1)</f>
        <v>0</v>
      </c>
      <c r="AP92" s="55">
        <f>_xll.EQNXTDZ($A$1,$B92,AP$5,$B$1)</f>
        <v>70.91</v>
      </c>
      <c r="AQ92" s="55">
        <f>_xll.EQNXTDZ($A$1,$B92,AQ$5,$B$1)</f>
        <v>0</v>
      </c>
      <c r="AR92" s="55">
        <f>_xll.EQNXTDZ($A$1,$B92,AR$5,$B$1)</f>
        <v>72.2</v>
      </c>
      <c r="AS92" s="55">
        <f>_xll.EQNXTDZ($A$1,$B92,AS$5,$B$1)</f>
        <v>0</v>
      </c>
      <c r="AT92" s="55">
        <f>_xll.EQNXTDZ($A$1,$B92,AT$5,$B$1)</f>
        <v>119.29</v>
      </c>
      <c r="AU92" s="55">
        <f>_xll.EQNXTDZ($A$1,$B92,AU$5,$B$1)</f>
        <v>0</v>
      </c>
      <c r="AV92" s="55">
        <f>_xll.EQNXTDZ($A$1,$B92,AV$5,$B$1)</f>
        <v>80</v>
      </c>
      <c r="AW92" s="55">
        <f>_xll.EQNXTDZ($A$1,$B92,AW$5,$B$1)</f>
        <v>0</v>
      </c>
      <c r="AX92" s="55">
        <f>_xll.EQNXTDZ($A$1,$B92,AX$5,$B$1)</f>
        <v>98.51</v>
      </c>
      <c r="AY92" s="55">
        <f>_xll.EQNXTDZ($A$1,$B92,AY$5,$B$1)</f>
        <v>0</v>
      </c>
      <c r="AZ92" s="55">
        <f>_xll.EQNXTDZ($A$1,$B92,AZ$5,$B$1)</f>
        <v>89.61</v>
      </c>
      <c r="BA92" s="55">
        <f>_xll.EQNXTDZ($A$1,$B92,BA$5,$B$1)</f>
        <v>0</v>
      </c>
      <c r="BB92" s="55">
        <f>_xll.EQNXTDZ($A$1,$B92,BB$5,$B$1)</f>
        <v>105.52</v>
      </c>
      <c r="BC92" s="55">
        <f>_xll.EQNXTDZ($A$1,$B92,BC$5,$B$1)</f>
        <v>0</v>
      </c>
      <c r="BD92" s="55">
        <f>_xll.EQNXTDZ($A$1,$B92,BD$5,$B$1)</f>
        <v>109.23</v>
      </c>
      <c r="BE92" s="55">
        <f>_xll.EQNXTDZ($A$1,$B92,BE$5,$B$1)</f>
        <v>0</v>
      </c>
      <c r="BF92" s="55">
        <f>_xll.EQNXTDZ($A$1,$B92,BF$5,$B$1)</f>
        <v>206.87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5086.59</v>
      </c>
      <c r="O93" s="55">
        <f>_xll.EQNXTDZ($A$1,$B93,O$5,$B$1)</f>
        <v>0</v>
      </c>
      <c r="P93" s="55">
        <f>_xll.EQNXTDZ($A$1,$B93,P$5,$B$1)</f>
        <v>3825.92</v>
      </c>
      <c r="Q93" s="55">
        <f>_xll.EQNXTDZ($A$1,$B93,Q$5,$B$1)</f>
        <v>0</v>
      </c>
      <c r="R93" s="55">
        <f>_xll.EQNXTDZ($A$1,$B93,R$5,$B$1)</f>
        <v>3971.17</v>
      </c>
      <c r="S93" s="55">
        <f>_xll.EQNXTDZ($A$1,$B93,S$5,$B$1)</f>
        <v>0</v>
      </c>
      <c r="T93" s="55">
        <f>_xll.EQNXTDZ($A$1,$B93,T$5,$B$1)</f>
        <v>1884.12</v>
      </c>
      <c r="U93" s="55">
        <f>_xll.EQNXTDZ($A$1,$B93,U$5,$B$1)</f>
        <v>0</v>
      </c>
      <c r="V93" s="55">
        <f>_xll.EQNXTDZ($A$1,$B93,V$5,$B$1)</f>
        <v>1884.18</v>
      </c>
      <c r="W93" s="55">
        <f>_xll.EQNXTDZ($A$1,$B93,W$5,$B$1)</f>
        <v>0</v>
      </c>
      <c r="X93" s="55">
        <f>_xll.EQNXTDZ($A$1,$B93,X$5,$B$1)</f>
        <v>1990.08</v>
      </c>
      <c r="Y93" s="55">
        <f>_xll.EQNXTDZ($A$1,$B93,Y$5,$B$1)</f>
        <v>0</v>
      </c>
      <c r="Z93" s="55">
        <f>_xll.EQNXTDZ($A$1,$B93,Z$5,$B$1)</f>
        <v>2327.9899999999998</v>
      </c>
      <c r="AA93" s="55">
        <f>_xll.EQNXTDZ($A$1,$B93,AA$5,$B$1)</f>
        <v>0</v>
      </c>
      <c r="AB93" s="55">
        <f>_xll.EQNXTDZ($A$1,$B93,AB$5,$B$1)</f>
        <v>6950.05</v>
      </c>
      <c r="AC93" s="55">
        <f>_xll.EQNXTDZ($A$1,$B93,AC$5,$B$1)</f>
        <v>0</v>
      </c>
      <c r="AD93" s="55">
        <f>_xll.EQNXTDZ($A$1,$B93,AD$5,$B$1)</f>
        <v>6689.73</v>
      </c>
      <c r="AE93" s="55">
        <f>_xll.EQNXTDZ($A$1,$B93,AE$5,$B$1)</f>
        <v>0</v>
      </c>
      <c r="AF93" s="55">
        <f>_xll.EQNXTDZ($A$1,$B93,AF$5,$B$1)</f>
        <v>6052.75</v>
      </c>
      <c r="AG93" s="55">
        <f>_xll.EQNXTDZ($A$1,$B93,AG$5,$B$1)</f>
        <v>0</v>
      </c>
      <c r="AH93" s="55">
        <f>_xll.EQNXTDZ($A$1,$B93,AH$5,$B$1)</f>
        <v>5886.27</v>
      </c>
      <c r="AI93" s="55">
        <f>_xll.EQNXTDZ($A$1,$B93,AI$5,$B$1)</f>
        <v>0</v>
      </c>
      <c r="AJ93" s="55">
        <f>_xll.EQNXTDZ($A$1,$B93,AJ$5,$B$1)</f>
        <v>5847.82</v>
      </c>
      <c r="AK93" s="55">
        <f>_xll.EQNXTDZ($A$1,$B93,AK$5,$B$1)</f>
        <v>0</v>
      </c>
      <c r="AL93" s="55">
        <f>_xll.EQNXTDZ($A$1,$B93,AL$5,$B$1)</f>
        <v>6688.63</v>
      </c>
      <c r="AM93" s="55">
        <f>_xll.EQNXTDZ($A$1,$B93,AM$5,$B$1)</f>
        <v>0</v>
      </c>
      <c r="AN93" s="55">
        <f>_xll.EQNXTDZ($A$1,$B93,AN$5,$B$1)</f>
        <v>5980.53</v>
      </c>
      <c r="AO93" s="55">
        <f>_xll.EQNXTDZ($A$1,$B93,AO$5,$B$1)</f>
        <v>0</v>
      </c>
      <c r="AP93" s="55">
        <f>_xll.EQNXTDZ($A$1,$B93,AP$5,$B$1)</f>
        <v>5928.24</v>
      </c>
      <c r="AQ93" s="55">
        <f>_xll.EQNXTDZ($A$1,$B93,AQ$5,$B$1)</f>
        <v>0</v>
      </c>
      <c r="AR93" s="55">
        <f>_xll.EQNXTDZ($A$1,$B93,AR$5,$B$1)</f>
        <v>6634.55</v>
      </c>
      <c r="AS93" s="55">
        <f>_xll.EQNXTDZ($A$1,$B93,AS$5,$B$1)</f>
        <v>0</v>
      </c>
      <c r="AT93" s="55">
        <f>_xll.EQNXTDZ($A$1,$B93,AT$5,$B$1)</f>
        <v>7017.29</v>
      </c>
      <c r="AU93" s="55">
        <f>_xll.EQNXTDZ($A$1,$B93,AU$5,$B$1)</f>
        <v>0</v>
      </c>
      <c r="AV93" s="55">
        <f>_xll.EQNXTDZ($A$1,$B93,AV$5,$B$1)</f>
        <v>6231.05</v>
      </c>
      <c r="AW93" s="55">
        <f>_xll.EQNXTDZ($A$1,$B93,AW$5,$B$1)</f>
        <v>0</v>
      </c>
      <c r="AX93" s="55">
        <f>_xll.EQNXTDZ($A$1,$B93,AX$5,$B$1)</f>
        <v>8016.68</v>
      </c>
      <c r="AY93" s="55">
        <f>_xll.EQNXTDZ($A$1,$B93,AY$5,$B$1)</f>
        <v>0</v>
      </c>
      <c r="AZ93" s="55">
        <f>_xll.EQNXTDZ($A$1,$B93,AZ$5,$B$1)</f>
        <v>7796.87</v>
      </c>
      <c r="BA93" s="55">
        <f>_xll.EQNXTDZ($A$1,$B93,BA$5,$B$1)</f>
        <v>0</v>
      </c>
      <c r="BB93" s="55">
        <f>_xll.EQNXTDZ($A$1,$B93,BB$5,$B$1)</f>
        <v>9922.68</v>
      </c>
      <c r="BC93" s="55">
        <f>_xll.EQNXTDZ($A$1,$B93,BC$5,$B$1)</f>
        <v>0</v>
      </c>
      <c r="BD93" s="55">
        <f>_xll.EQNXTDZ($A$1,$B93,BD$5,$B$1)</f>
        <v>12602.62</v>
      </c>
      <c r="BE93" s="55">
        <f>_xll.EQNXTDZ($A$1,$B93,BE$5,$B$1)</f>
        <v>0</v>
      </c>
      <c r="BF93" s="55">
        <f>_xll.EQNXTDZ($A$1,$B93,BF$5,$B$1)</f>
        <v>15446.28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-4202.96</v>
      </c>
      <c r="O94" s="55">
        <f>_xll.EQNXTDZ($A$1,$B94,O$5,$B$1)</f>
        <v>0</v>
      </c>
      <c r="P94" s="55">
        <f>_xll.EQNXTDZ($A$1,$B94,P$5,$B$1)</f>
        <v>-2730.14</v>
      </c>
      <c r="Q94" s="55">
        <f>_xll.EQNXTDZ($A$1,$B94,Q$5,$B$1)</f>
        <v>0</v>
      </c>
      <c r="R94" s="55">
        <f>_xll.EQNXTDZ($A$1,$B94,R$5,$B$1)</f>
        <v>-2669.04</v>
      </c>
      <c r="S94" s="55">
        <f>_xll.EQNXTDZ($A$1,$B94,S$5,$B$1)</f>
        <v>0</v>
      </c>
      <c r="T94" s="55">
        <f>_xll.EQNXTDZ($A$1,$B94,T$5,$B$1)</f>
        <v>-406.77</v>
      </c>
      <c r="U94" s="55">
        <f>_xll.EQNXTDZ($A$1,$B94,U$5,$B$1)</f>
        <v>0</v>
      </c>
      <c r="V94" s="55">
        <f>_xll.EQNXTDZ($A$1,$B94,V$5,$B$1)</f>
        <v>-507.2</v>
      </c>
      <c r="W94" s="55">
        <f>_xll.EQNXTDZ($A$1,$B94,W$5,$B$1)</f>
        <v>0</v>
      </c>
      <c r="X94" s="55">
        <f>_xll.EQNXTDZ($A$1,$B94,X$5,$B$1)</f>
        <v>-716.36</v>
      </c>
      <c r="Y94" s="55">
        <f>_xll.EQNXTDZ($A$1,$B94,Y$5,$B$1)</f>
        <v>0</v>
      </c>
      <c r="Z94" s="55">
        <f>_xll.EQNXTDZ($A$1,$B94,Z$5,$B$1)</f>
        <v>-578.32000000000005</v>
      </c>
      <c r="AA94" s="55">
        <f>_xll.EQNXTDZ($A$1,$B94,AA$5,$B$1)</f>
        <v>0</v>
      </c>
      <c r="AB94" s="55">
        <f>_xll.EQNXTDZ($A$1,$B94,AB$5,$B$1)</f>
        <v>-1434.65</v>
      </c>
      <c r="AC94" s="55">
        <f>_xll.EQNXTDZ($A$1,$B94,AC$5,$B$1)</f>
        <v>0</v>
      </c>
      <c r="AD94" s="55">
        <f>_xll.EQNXTDZ($A$1,$B94,AD$5,$B$1)</f>
        <v>-1754.46</v>
      </c>
      <c r="AE94" s="55">
        <f>_xll.EQNXTDZ($A$1,$B94,AE$5,$B$1)</f>
        <v>0</v>
      </c>
      <c r="AF94" s="55">
        <f>_xll.EQNXTDZ($A$1,$B94,AF$5,$B$1)</f>
        <v>-531.14</v>
      </c>
      <c r="AG94" s="55">
        <f>_xll.EQNXTDZ($A$1,$B94,AG$5,$B$1)</f>
        <v>0</v>
      </c>
      <c r="AH94" s="55">
        <f>_xll.EQNXTDZ($A$1,$B94,AH$5,$B$1)</f>
        <v>2799.16</v>
      </c>
      <c r="AI94" s="55">
        <f>_xll.EQNXTDZ($A$1,$B94,AI$5,$B$1)</f>
        <v>0</v>
      </c>
      <c r="AJ94" s="55">
        <f>_xll.EQNXTDZ($A$1,$B94,AJ$5,$B$1)</f>
        <v>1310.3399999999999</v>
      </c>
      <c r="AK94" s="55">
        <f>_xll.EQNXTDZ($A$1,$B94,AK$5,$B$1)</f>
        <v>0</v>
      </c>
      <c r="AL94" s="55">
        <f>_xll.EQNXTDZ($A$1,$B94,AL$5,$B$1)</f>
        <v>-1689.19</v>
      </c>
      <c r="AM94" s="55">
        <f>_xll.EQNXTDZ($A$1,$B94,AM$5,$B$1)</f>
        <v>0</v>
      </c>
      <c r="AN94" s="55">
        <f>_xll.EQNXTDZ($A$1,$B94,AN$5,$B$1)</f>
        <v>-793.49</v>
      </c>
      <c r="AO94" s="55">
        <f>_xll.EQNXTDZ($A$1,$B94,AO$5,$B$1)</f>
        <v>0</v>
      </c>
      <c r="AP94" s="55">
        <f>_xll.EQNXTDZ($A$1,$B94,AP$5,$B$1)</f>
        <v>-450.5</v>
      </c>
      <c r="AQ94" s="55">
        <f>_xll.EQNXTDZ($A$1,$B94,AQ$5,$B$1)</f>
        <v>0</v>
      </c>
      <c r="AR94" s="55">
        <f>_xll.EQNXTDZ($A$1,$B94,AR$5,$B$1)</f>
        <v>-255.68</v>
      </c>
      <c r="AS94" s="55">
        <f>_xll.EQNXTDZ($A$1,$B94,AS$5,$B$1)</f>
        <v>0</v>
      </c>
      <c r="AT94" s="55">
        <f>_xll.EQNXTDZ($A$1,$B94,AT$5,$B$1)</f>
        <v>1889.57</v>
      </c>
      <c r="AU94" s="55">
        <f>_xll.EQNXTDZ($A$1,$B94,AU$5,$B$1)</f>
        <v>0</v>
      </c>
      <c r="AV94" s="55">
        <f>_xll.EQNXTDZ($A$1,$B94,AV$5,$B$1)</f>
        <v>1199.6099999999999</v>
      </c>
      <c r="AW94" s="55">
        <f>_xll.EQNXTDZ($A$1,$B94,AW$5,$B$1)</f>
        <v>0</v>
      </c>
      <c r="AX94" s="55">
        <f>_xll.EQNXTDZ($A$1,$B94,AX$5,$B$1)</f>
        <v>1601.44</v>
      </c>
      <c r="AY94" s="55">
        <f>_xll.EQNXTDZ($A$1,$B94,AY$5,$B$1)</f>
        <v>0</v>
      </c>
      <c r="AZ94" s="55">
        <f>_xll.EQNXTDZ($A$1,$B94,AZ$5,$B$1)</f>
        <v>9097.33</v>
      </c>
      <c r="BA94" s="55">
        <f>_xll.EQNXTDZ($A$1,$B94,BA$5,$B$1)</f>
        <v>0</v>
      </c>
      <c r="BB94" s="55">
        <f>_xll.EQNXTDZ($A$1,$B94,BB$5,$B$1)</f>
        <v>3663.83</v>
      </c>
      <c r="BC94" s="55">
        <f>_xll.EQNXTDZ($A$1,$B94,BC$5,$B$1)</f>
        <v>0</v>
      </c>
      <c r="BD94" s="55">
        <f>_xll.EQNXTDZ($A$1,$B94,BD$5,$B$1)</f>
        <v>4156.33</v>
      </c>
      <c r="BE94" s="55">
        <f>_xll.EQNXTDZ($A$1,$B94,BE$5,$B$1)</f>
        <v>0</v>
      </c>
      <c r="BF94" s="55">
        <f>_xll.EQNXTDZ($A$1,$B94,BF$5,$B$1)</f>
        <v>2379.48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-1.23</v>
      </c>
      <c r="AA96" s="55">
        <f>_xll.EQNXTDZ($A$1,$B96,AA$5,$B$1)</f>
        <v>0</v>
      </c>
      <c r="AB96" s="55">
        <f>_xll.EQNXTDZ($A$1,$B96,AB$5,$B$1)</f>
        <v>287.60000000000002</v>
      </c>
      <c r="AC96" s="55">
        <f>_xll.EQNXTDZ($A$1,$B96,AC$5,$B$1)</f>
        <v>0</v>
      </c>
      <c r="AD96" s="55">
        <f>_xll.EQNXTDZ($A$1,$B96,AD$5,$B$1)</f>
        <v>-645.09</v>
      </c>
      <c r="AE96" s="55">
        <f>_xll.EQNXTDZ($A$1,$B96,AE$5,$B$1)</f>
        <v>0</v>
      </c>
      <c r="AF96" s="55">
        <f>_xll.EQNXTDZ($A$1,$B96,AF$5,$B$1)</f>
        <v>-737.37</v>
      </c>
      <c r="AG96" s="55">
        <f>_xll.EQNXTDZ($A$1,$B96,AG$5,$B$1)</f>
        <v>0</v>
      </c>
      <c r="AH96" s="55">
        <f>_xll.EQNXTDZ($A$1,$B96,AH$5,$B$1)</f>
        <v>-971.37</v>
      </c>
      <c r="AI96" s="55">
        <f>_xll.EQNXTDZ($A$1,$B96,AI$5,$B$1)</f>
        <v>0</v>
      </c>
      <c r="AJ96" s="55">
        <f>_xll.EQNXTDZ($A$1,$B96,AJ$5,$B$1)</f>
        <v>-1142.75</v>
      </c>
      <c r="AK96" s="55">
        <f>_xll.EQNXTDZ($A$1,$B96,AK$5,$B$1)</f>
        <v>0</v>
      </c>
      <c r="AL96" s="55">
        <f>_xll.EQNXTDZ($A$1,$B96,AL$5,$B$1)</f>
        <v>-1186.3499999999999</v>
      </c>
      <c r="AM96" s="55">
        <f>_xll.EQNXTDZ($A$1,$B96,AM$5,$B$1)</f>
        <v>0</v>
      </c>
      <c r="AN96" s="55">
        <f>_xll.EQNXTDZ($A$1,$B96,AN$5,$B$1)</f>
        <v>-1265.06</v>
      </c>
      <c r="AO96" s="55">
        <f>_xll.EQNXTDZ($A$1,$B96,AO$5,$B$1)</f>
        <v>0</v>
      </c>
      <c r="AP96" s="55">
        <f>_xll.EQNXTDZ($A$1,$B96,AP$5,$B$1)</f>
        <v>-1414.46</v>
      </c>
      <c r="AQ96" s="55">
        <f>_xll.EQNXTDZ($A$1,$B96,AQ$5,$B$1)</f>
        <v>0</v>
      </c>
      <c r="AR96" s="55">
        <f>_xll.EQNXTDZ($A$1,$B96,AR$5,$B$1)</f>
        <v>-1372.33</v>
      </c>
      <c r="AS96" s="55">
        <f>_xll.EQNXTDZ($A$1,$B96,AS$5,$B$1)</f>
        <v>0</v>
      </c>
      <c r="AT96" s="55">
        <f>_xll.EQNXTDZ($A$1,$B96,AT$5,$B$1)</f>
        <v>-1424.32</v>
      </c>
      <c r="AU96" s="55">
        <f>_xll.EQNXTDZ($A$1,$B96,AU$5,$B$1)</f>
        <v>0</v>
      </c>
      <c r="AV96" s="55">
        <f>_xll.EQNXTDZ($A$1,$B96,AV$5,$B$1)</f>
        <v>-1414.12</v>
      </c>
      <c r="AW96" s="55">
        <f>_xll.EQNXTDZ($A$1,$B96,AW$5,$B$1)</f>
        <v>0</v>
      </c>
      <c r="AX96" s="55">
        <f>_xll.EQNXTDZ($A$1,$B96,AX$5,$B$1)</f>
        <v>-1612.35</v>
      </c>
      <c r="AY96" s="55">
        <f>_xll.EQNXTDZ($A$1,$B96,AY$5,$B$1)</f>
        <v>0</v>
      </c>
      <c r="AZ96" s="55">
        <f>_xll.EQNXTDZ($A$1,$B96,AZ$5,$B$1)</f>
        <v>-1636.66</v>
      </c>
      <c r="BA96" s="55">
        <f>_xll.EQNXTDZ($A$1,$B96,BA$5,$B$1)</f>
        <v>0</v>
      </c>
      <c r="BB96" s="55">
        <f>_xll.EQNXTDZ($A$1,$B96,BB$5,$B$1)</f>
        <v>-1695.91</v>
      </c>
      <c r="BC96" s="55">
        <f>_xll.EQNXTDZ($A$1,$B96,BC$5,$B$1)</f>
        <v>0</v>
      </c>
      <c r="BD96" s="55">
        <f>_xll.EQNXTDZ($A$1,$B96,BD$5,$B$1)</f>
        <v>-1931.66</v>
      </c>
      <c r="BE96" s="55">
        <f>_xll.EQNXTDZ($A$1,$B96,BE$5,$B$1)</f>
        <v>0</v>
      </c>
      <c r="BF96" s="55">
        <f>_xll.EQNXTDZ($A$1,$B96,BF$5,$B$1)</f>
        <v>-2411.9699999999998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6405.81</v>
      </c>
      <c r="O97" s="55">
        <f>_xll.EQNXTDZ($A$1,$B97,O$5,$B$1)</f>
        <v>0</v>
      </c>
      <c r="P97" s="55">
        <f>_xll.EQNXTDZ($A$1,$B97,P$5,$B$1)</f>
        <v>7641.14</v>
      </c>
      <c r="Q97" s="55">
        <f>_xll.EQNXTDZ($A$1,$B97,Q$5,$B$1)</f>
        <v>0</v>
      </c>
      <c r="R97" s="55">
        <f>_xll.EQNXTDZ($A$1,$B97,R$5,$B$1)</f>
        <v>7774.51</v>
      </c>
      <c r="S97" s="55">
        <f>_xll.EQNXTDZ($A$1,$B97,S$5,$B$1)</f>
        <v>0</v>
      </c>
      <c r="T97" s="55">
        <f>_xll.EQNXTDZ($A$1,$B97,T$5,$B$1)</f>
        <v>10255.780000000001</v>
      </c>
      <c r="U97" s="55">
        <f>_xll.EQNXTDZ($A$1,$B97,U$5,$B$1)</f>
        <v>0</v>
      </c>
      <c r="V97" s="55">
        <f>_xll.EQNXTDZ($A$1,$B97,V$5,$B$1)</f>
        <v>10926.88</v>
      </c>
      <c r="W97" s="55">
        <f>_xll.EQNXTDZ($A$1,$B97,W$5,$B$1)</f>
        <v>0</v>
      </c>
      <c r="X97" s="55">
        <f>_xll.EQNXTDZ($A$1,$B97,X$5,$B$1)</f>
        <v>10977.87</v>
      </c>
      <c r="Y97" s="55">
        <f>_xll.EQNXTDZ($A$1,$B97,Y$5,$B$1)</f>
        <v>0</v>
      </c>
      <c r="Z97" s="55">
        <f>_xll.EQNXTDZ($A$1,$B97,Z$5,$B$1)</f>
        <v>14936.24</v>
      </c>
      <c r="AA97" s="55">
        <f>_xll.EQNXTDZ($A$1,$B97,AA$5,$B$1)</f>
        <v>0</v>
      </c>
      <c r="AB97" s="55">
        <f>_xll.EQNXTDZ($A$1,$B97,AB$5,$B$1)</f>
        <v>28548.28</v>
      </c>
      <c r="AC97" s="55">
        <f>_xll.EQNXTDZ($A$1,$B97,AC$5,$B$1)</f>
        <v>0</v>
      </c>
      <c r="AD97" s="55">
        <f>_xll.EQNXTDZ($A$1,$B97,AD$5,$B$1)</f>
        <v>25223.64</v>
      </c>
      <c r="AE97" s="55">
        <f>_xll.EQNXTDZ($A$1,$B97,AE$5,$B$1)</f>
        <v>0</v>
      </c>
      <c r="AF97" s="55">
        <f>_xll.EQNXTDZ($A$1,$B97,AF$5,$B$1)</f>
        <v>26775.22</v>
      </c>
      <c r="AG97" s="55">
        <f>_xll.EQNXTDZ($A$1,$B97,AG$5,$B$1)</f>
        <v>0</v>
      </c>
      <c r="AH97" s="55">
        <f>_xll.EQNXTDZ($A$1,$B97,AH$5,$B$1)</f>
        <v>32853.550000000003</v>
      </c>
      <c r="AI97" s="55">
        <f>_xll.EQNXTDZ($A$1,$B97,AI$5,$B$1)</f>
        <v>0</v>
      </c>
      <c r="AJ97" s="55">
        <f>_xll.EQNXTDZ($A$1,$B97,AJ$5,$B$1)</f>
        <v>32767.97</v>
      </c>
      <c r="AK97" s="55">
        <f>_xll.EQNXTDZ($A$1,$B97,AK$5,$B$1)</f>
        <v>0</v>
      </c>
      <c r="AL97" s="55">
        <f>_xll.EQNXTDZ($A$1,$B97,AL$5,$B$1)</f>
        <v>35358.6</v>
      </c>
      <c r="AM97" s="55">
        <f>_xll.EQNXTDZ($A$1,$B97,AM$5,$B$1)</f>
        <v>0</v>
      </c>
      <c r="AN97" s="55">
        <f>_xll.EQNXTDZ($A$1,$B97,AN$5,$B$1)</f>
        <v>38074.79</v>
      </c>
      <c r="AO97" s="55">
        <f>_xll.EQNXTDZ($A$1,$B97,AO$5,$B$1)</f>
        <v>0</v>
      </c>
      <c r="AP97" s="55">
        <f>_xll.EQNXTDZ($A$1,$B97,AP$5,$B$1)</f>
        <v>40121.410000000003</v>
      </c>
      <c r="AQ97" s="55">
        <f>_xll.EQNXTDZ($A$1,$B97,AQ$5,$B$1)</f>
        <v>0</v>
      </c>
      <c r="AR97" s="55">
        <f>_xll.EQNXTDZ($A$1,$B97,AR$5,$B$1)</f>
        <v>43557.55</v>
      </c>
      <c r="AS97" s="55">
        <f>_xll.EQNXTDZ($A$1,$B97,AS$5,$B$1)</f>
        <v>0</v>
      </c>
      <c r="AT97" s="55">
        <f>_xll.EQNXTDZ($A$1,$B97,AT$5,$B$1)</f>
        <v>45490.14</v>
      </c>
      <c r="AU97" s="55">
        <f>_xll.EQNXTDZ($A$1,$B97,AU$5,$B$1)</f>
        <v>0</v>
      </c>
      <c r="AV97" s="55">
        <f>_xll.EQNXTDZ($A$1,$B97,AV$5,$B$1)</f>
        <v>48043.93</v>
      </c>
      <c r="AW97" s="55">
        <f>_xll.EQNXTDZ($A$1,$B97,AW$5,$B$1)</f>
        <v>0</v>
      </c>
      <c r="AX97" s="55">
        <f>_xll.EQNXTDZ($A$1,$B97,AX$5,$B$1)</f>
        <v>48909.35</v>
      </c>
      <c r="AY97" s="55">
        <f>_xll.EQNXTDZ($A$1,$B97,AY$5,$B$1)</f>
        <v>0</v>
      </c>
      <c r="AZ97" s="55">
        <f>_xll.EQNXTDZ($A$1,$B97,AZ$5,$B$1)</f>
        <v>59628.45</v>
      </c>
      <c r="BA97" s="55">
        <f>_xll.EQNXTDZ($A$1,$B97,BA$5,$B$1)</f>
        <v>0</v>
      </c>
      <c r="BB97" s="55">
        <f>_xll.EQNXTDZ($A$1,$B97,BB$5,$B$1)</f>
        <v>62283.66</v>
      </c>
      <c r="BC97" s="55">
        <f>_xll.EQNXTDZ($A$1,$B97,BC$5,$B$1)</f>
        <v>0</v>
      </c>
      <c r="BD97" s="55">
        <f>_xll.EQNXTDZ($A$1,$B97,BD$5,$B$1)</f>
        <v>68053</v>
      </c>
      <c r="BE97" s="55">
        <f>_xll.EQNXTDZ($A$1,$B97,BE$5,$B$1)</f>
        <v>0</v>
      </c>
      <c r="BF97" s="55">
        <f>_xll.EQNXTDZ($A$1,$B97,BF$5,$B$1)</f>
        <v>74898.5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271875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Adani Energy Solutions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135.34</v>
      </c>
      <c r="R6" s="100">
        <f>_xll.EQNXTDZ($A$1,$B6,R$1,$B$1)</f>
        <v>2197.0100000000002</v>
      </c>
      <c r="S6" s="100">
        <f>_xll.EQNXTDZ($A$1,$B6,S$1,$B$1)</f>
        <v>2875.71</v>
      </c>
      <c r="T6" s="100">
        <f>_xll.EQNXTDZ($A$1,$B6,T$1,$B$1)</f>
        <v>3944.48</v>
      </c>
      <c r="U6" s="100">
        <f>_xll.EQNXTDZ($A$1,$B6,U$1,$B$1)</f>
        <v>7305.45</v>
      </c>
      <c r="V6" s="100">
        <f>_xll.EQNXTDZ($A$1,$B6,V$1,$B$1)</f>
        <v>11415.96</v>
      </c>
      <c r="W6" s="100">
        <f>_xll.EQNXTDZ($A$1,$B6,W$1,$B$1)</f>
        <v>9926.33</v>
      </c>
      <c r="X6" s="100">
        <f>_xll.EQNXTDZ($A$1,$B6,X$1,$B$1)</f>
        <v>11257.52</v>
      </c>
      <c r="Y6" s="100">
        <f>_xll.EQNXTDZ($A$1,$B6,Y$1,$B$1)</f>
        <v>13292.72</v>
      </c>
      <c r="Z6" s="100">
        <f>_xll.EQNXTDZ($A$1,$B6,Z$1,$B$1)</f>
        <v>16607.36</v>
      </c>
      <c r="AA6" s="100">
        <f>_xll.EQNXTDZ($A$1,$B6,AA$1,$B$1)</f>
        <v>23767.09</v>
      </c>
      <c r="AB6" s="100">
        <f>_xll.EQNXTDZ($A$1,$B6,AB$1,$B$1)</f>
        <v>27588.03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135.34</v>
      </c>
      <c r="R10" s="100">
        <f>_xll.EQNXTDZ($A$1,$B10,R$1,$B$1)</f>
        <v>2197.0100000000002</v>
      </c>
      <c r="S10" s="100">
        <f>_xll.EQNXTDZ($A$1,$B10,S$1,$B$1)</f>
        <v>2875.71</v>
      </c>
      <c r="T10" s="100">
        <f>_xll.EQNXTDZ($A$1,$B10,T$1,$B$1)</f>
        <v>3944.48</v>
      </c>
      <c r="U10" s="100">
        <f>_xll.EQNXTDZ($A$1,$B10,U$1,$B$1)</f>
        <v>7305.45</v>
      </c>
      <c r="V10" s="100">
        <f>_xll.EQNXTDZ($A$1,$B10,V$1,$B$1)</f>
        <v>11415.96</v>
      </c>
      <c r="W10" s="100">
        <f>_xll.EQNXTDZ($A$1,$B10,W$1,$B$1)</f>
        <v>9926.33</v>
      </c>
      <c r="X10" s="100">
        <f>_xll.EQNXTDZ($A$1,$B10,X$1,$B$1)</f>
        <v>11257.52</v>
      </c>
      <c r="Y10" s="100">
        <f>_xll.EQNXTDZ($A$1,$B10,Y$1,$B$1)</f>
        <v>13292.72</v>
      </c>
      <c r="Z10" s="100">
        <f>_xll.EQNXTDZ($A$1,$B10,Z$1,$B$1)</f>
        <v>16607.36</v>
      </c>
      <c r="AA10" s="100">
        <f>_xll.EQNXTDZ($A$1,$B10,AA$1,$B$1)</f>
        <v>23767.09</v>
      </c>
      <c r="AB10" s="100">
        <f>_xll.EQNXTDZ($A$1,$B10,AB$1,$B$1)</f>
        <v>27588.03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0.01</v>
      </c>
      <c r="R13" s="100">
        <f>_xll.EQNXTDZ($A$1,$B13,R$1,$B$1)</f>
        <v>148.51</v>
      </c>
      <c r="S13" s="100">
        <f>_xll.EQNXTDZ($A$1,$B13,S$1,$B$1)</f>
        <v>763.76</v>
      </c>
      <c r="T13" s="100">
        <f>_xll.EQNXTDZ($A$1,$B13,T$1,$B$1)</f>
        <v>815.61</v>
      </c>
      <c r="U13" s="100">
        <f>_xll.EQNXTDZ($A$1,$B13,U$1,$B$1)</f>
        <v>3339.13</v>
      </c>
      <c r="V13" s="100">
        <f>_xll.EQNXTDZ($A$1,$B13,V$1,$B$1)</f>
        <v>5024.7299999999996</v>
      </c>
      <c r="W13" s="100">
        <f>_xll.EQNXTDZ($A$1,$B13,W$1,$B$1)</f>
        <v>4111.4799999999996</v>
      </c>
      <c r="X13" s="100">
        <f>_xll.EQNXTDZ($A$1,$B13,X$1,$B$1)</f>
        <v>5143.97</v>
      </c>
      <c r="Y13" s="100">
        <f>_xll.EQNXTDZ($A$1,$B13,Y$1,$B$1)</f>
        <v>6461.6</v>
      </c>
      <c r="Z13" s="100">
        <f>_xll.EQNXTDZ($A$1,$B13,Z$1,$B$1)</f>
        <v>6981.9</v>
      </c>
      <c r="AA13" s="100">
        <f>_xll.EQNXTDZ($A$1,$B13,AA$1,$B$1)</f>
        <v>8170.63</v>
      </c>
      <c r="AB13" s="100">
        <f>_xll.EQNXTDZ($A$1,$B13,AB$1,$B$1)</f>
        <v>8248.48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16.21</v>
      </c>
      <c r="R14" s="100">
        <f>_xll.EQNXTDZ($A$1,$B14,R$1,$B$1)</f>
        <v>30.71</v>
      </c>
      <c r="S14" s="100">
        <f>_xll.EQNXTDZ($A$1,$B14,S$1,$B$1)</f>
        <v>45.91</v>
      </c>
      <c r="T14" s="100">
        <f>_xll.EQNXTDZ($A$1,$B14,T$1,$B$1)</f>
        <v>42.25</v>
      </c>
      <c r="U14" s="100">
        <f>_xll.EQNXTDZ($A$1,$B14,U$1,$B$1)</f>
        <v>586.91999999999996</v>
      </c>
      <c r="V14" s="100">
        <f>_xll.EQNXTDZ($A$1,$B14,V$1,$B$1)</f>
        <v>973.24</v>
      </c>
      <c r="W14" s="100">
        <f>_xll.EQNXTDZ($A$1,$B14,W$1,$B$1)</f>
        <v>930.76</v>
      </c>
      <c r="X14" s="100">
        <f>_xll.EQNXTDZ($A$1,$B14,X$1,$B$1)</f>
        <v>885.07</v>
      </c>
      <c r="Y14" s="100">
        <f>_xll.EQNXTDZ($A$1,$B14,Y$1,$B$1)</f>
        <v>986.65</v>
      </c>
      <c r="Z14" s="100">
        <f>_xll.EQNXTDZ($A$1,$B14,Z$1,$B$1)</f>
        <v>951.7</v>
      </c>
      <c r="AA14" s="100">
        <f>_xll.EQNXTDZ($A$1,$B14,AA$1,$B$1)</f>
        <v>1032.94</v>
      </c>
      <c r="AB14" s="100">
        <f>_xll.EQNXTDZ($A$1,$B14,AB$1,$B$1)</f>
        <v>1092.6400000000001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1.78</v>
      </c>
      <c r="R15" s="100">
        <f>_xll.EQNXTDZ($A$1,$B15,R$1,$B$1)</f>
        <v>42.07</v>
      </c>
      <c r="S15" s="100">
        <f>_xll.EQNXTDZ($A$1,$B15,S$1,$B$1)</f>
        <v>27.06</v>
      </c>
      <c r="T15" s="100">
        <f>_xll.EQNXTDZ($A$1,$B15,T$1,$B$1)</f>
        <v>178.13</v>
      </c>
      <c r="U15" s="100">
        <f>_xll.EQNXTDZ($A$1,$B15,U$1,$B$1)</f>
        <v>270.7</v>
      </c>
      <c r="V15" s="100">
        <f>_xll.EQNXTDZ($A$1,$B15,V$1,$B$1)</f>
        <v>436.39</v>
      </c>
      <c r="W15" s="100">
        <f>_xll.EQNXTDZ($A$1,$B15,W$1,$B$1)</f>
        <v>517.54999999999995</v>
      </c>
      <c r="X15" s="100">
        <f>_xll.EQNXTDZ($A$1,$B15,X$1,$B$1)</f>
        <v>556.72</v>
      </c>
      <c r="Y15" s="100">
        <f>_xll.EQNXTDZ($A$1,$B15,Y$1,$B$1)</f>
        <v>591.16999999999996</v>
      </c>
      <c r="Z15" s="100">
        <f>_xll.EQNXTDZ($A$1,$B15,Z$1,$B$1)</f>
        <v>1850.4</v>
      </c>
      <c r="AA15" s="100">
        <f>_xll.EQNXTDZ($A$1,$B15,AA$1,$B$1)</f>
        <v>5554.85</v>
      </c>
      <c r="AB15" s="100">
        <f>_xll.EQNXTDZ($A$1,$B15,AB$1,$B$1)</f>
        <v>8360.07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5.6179999999999999E-4</v>
      </c>
      <c r="Q17" s="100">
        <f>_xll.EQNXTDZ($A$1,$B17,Q$1,$B$1)</f>
        <v>9.48</v>
      </c>
      <c r="R17" s="100">
        <f>_xll.EQNXTDZ($A$1,$B17,R$1,$B$1)</f>
        <v>33.32</v>
      </c>
      <c r="S17" s="100">
        <f>_xll.EQNXTDZ($A$1,$B17,S$1,$B$1)</f>
        <v>38.880000000000003</v>
      </c>
      <c r="T17" s="100">
        <f>_xll.EQNXTDZ($A$1,$B17,T$1,$B$1)</f>
        <v>58.95</v>
      </c>
      <c r="U17" s="100">
        <f>_xll.EQNXTDZ($A$1,$B17,U$1,$B$1)</f>
        <v>245.41</v>
      </c>
      <c r="V17" s="100">
        <f>_xll.EQNXTDZ($A$1,$B17,V$1,$B$1)</f>
        <v>302.64</v>
      </c>
      <c r="W17" s="100">
        <f>_xll.EQNXTDZ($A$1,$B17,W$1,$B$1)</f>
        <v>291.35000000000002</v>
      </c>
      <c r="X17" s="100">
        <f>_xll.EQNXTDZ($A$1,$B17,X$1,$B$1)</f>
        <v>324.94</v>
      </c>
      <c r="Y17" s="100">
        <f>_xll.EQNXTDZ($A$1,$B17,Y$1,$B$1)</f>
        <v>381.5</v>
      </c>
      <c r="Z17" s="100">
        <f>_xll.EQNXTDZ($A$1,$B17,Z$1,$B$1)</f>
        <v>441.25</v>
      </c>
      <c r="AA17" s="100">
        <f>_xll.EQNXTDZ($A$1,$B17,AA$1,$B$1)</f>
        <v>466.22</v>
      </c>
      <c r="AB17" s="100">
        <f>_xll.EQNXTDZ($A$1,$B17,AB$1,$B$1)</f>
        <v>571.11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5.53</v>
      </c>
      <c r="R18" s="100">
        <f>_xll.EQNXTDZ($A$1,$B18,R$1,$B$1)</f>
        <v>3.65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29.82</v>
      </c>
      <c r="AB18" s="100">
        <f>_xll.EQNXTDZ($A$1,$B18,AB$1,$B$1)</f>
        <v>49.55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2.1410999999999999E-3</v>
      </c>
      <c r="Q19" s="100">
        <f>_xll.EQNXTDZ($A$1,$B19,Q$1,$B$1)</f>
        <v>1.07</v>
      </c>
      <c r="R19" s="100">
        <f>_xll.EQNXTDZ($A$1,$B19,R$1,$B$1)</f>
        <v>12.21</v>
      </c>
      <c r="S19" s="100">
        <f>_xll.EQNXTDZ($A$1,$B19,S$1,$B$1)</f>
        <v>17.010000000000002</v>
      </c>
      <c r="T19" s="100">
        <f>_xll.EQNXTDZ($A$1,$B19,T$1,$B$1)</f>
        <v>23.53</v>
      </c>
      <c r="U19" s="100">
        <f>_xll.EQNXTDZ($A$1,$B19,U$1,$B$1)</f>
        <v>101.06</v>
      </c>
      <c r="V19" s="100">
        <f>_xll.EQNXTDZ($A$1,$B19,V$1,$B$1)</f>
        <v>425.1</v>
      </c>
      <c r="W19" s="100">
        <f>_xll.EQNXTDZ($A$1,$B19,W$1,$B$1)</f>
        <v>124.83</v>
      </c>
      <c r="X19" s="100">
        <f>_xll.EQNXTDZ($A$1,$B19,X$1,$B$1)</f>
        <v>140.65</v>
      </c>
      <c r="Y19" s="100">
        <f>_xll.EQNXTDZ($A$1,$B19,Y$1,$B$1)</f>
        <v>354.19</v>
      </c>
      <c r="Z19" s="100">
        <f>_xll.EQNXTDZ($A$1,$B19,Z$1,$B$1)</f>
        <v>670.91</v>
      </c>
      <c r="AA19" s="100">
        <f>_xll.EQNXTDZ($A$1,$B19,AA$1,$B$1)</f>
        <v>1446.11</v>
      </c>
      <c r="AB19" s="100">
        <f>_xll.EQNXTDZ($A$1,$B19,AB$1,$B$1)</f>
        <v>1277.3399999999999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2.7028999999999998E-3</v>
      </c>
      <c r="Q21" s="100">
        <f>_xll.EQNXTDZ($A$1,$B21,Q$1,$B$1)</f>
        <v>34.08</v>
      </c>
      <c r="R21" s="100">
        <f>_xll.EQNXTDZ($A$1,$B21,R$1,$B$1)</f>
        <v>270.47000000000003</v>
      </c>
      <c r="S21" s="100">
        <f>_xll.EQNXTDZ($A$1,$B21,S$1,$B$1)</f>
        <v>892.62</v>
      </c>
      <c r="T21" s="100">
        <f>_xll.EQNXTDZ($A$1,$B21,T$1,$B$1)</f>
        <v>1118.47</v>
      </c>
      <c r="U21" s="100">
        <f>_xll.EQNXTDZ($A$1,$B21,U$1,$B$1)</f>
        <v>4543.22</v>
      </c>
      <c r="V21" s="100">
        <f>_xll.EQNXTDZ($A$1,$B21,V$1,$B$1)</f>
        <v>7162.1</v>
      </c>
      <c r="W21" s="100">
        <f>_xll.EQNXTDZ($A$1,$B21,W$1,$B$1)</f>
        <v>5975.97</v>
      </c>
      <c r="X21" s="100">
        <f>_xll.EQNXTDZ($A$1,$B21,X$1,$B$1)</f>
        <v>7051.35</v>
      </c>
      <c r="Y21" s="100">
        <f>_xll.EQNXTDZ($A$1,$B21,Y$1,$B$1)</f>
        <v>8775.11</v>
      </c>
      <c r="Z21" s="100">
        <f>_xll.EQNXTDZ($A$1,$B21,Z$1,$B$1)</f>
        <v>10896.16</v>
      </c>
      <c r="AA21" s="100">
        <f>_xll.EQNXTDZ($A$1,$B21,AA$1,$B$1)</f>
        <v>16700.57</v>
      </c>
      <c r="AB21" s="100">
        <f>_xll.EQNXTDZ($A$1,$B21,AB$1,$B$1)</f>
        <v>19599.189999999999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-2.7028999999999998E-3</v>
      </c>
      <c r="Q22" s="100">
        <f>_xll.EQNXTDZ($A$1,$B22,Q$1,$B$1)</f>
        <v>101.26</v>
      </c>
      <c r="R22" s="100">
        <f>_xll.EQNXTDZ($A$1,$B22,R$1,$B$1)</f>
        <v>1926.54</v>
      </c>
      <c r="S22" s="100">
        <f>_xll.EQNXTDZ($A$1,$B22,S$1,$B$1)</f>
        <v>1983.09</v>
      </c>
      <c r="T22" s="100">
        <f>_xll.EQNXTDZ($A$1,$B22,T$1,$B$1)</f>
        <v>2826.01</v>
      </c>
      <c r="U22" s="100">
        <f>_xll.EQNXTDZ($A$1,$B22,U$1,$B$1)</f>
        <v>2762.23</v>
      </c>
      <c r="V22" s="100">
        <f>_xll.EQNXTDZ($A$1,$B22,V$1,$B$1)</f>
        <v>4253.8599999999997</v>
      </c>
      <c r="W22" s="100">
        <f>_xll.EQNXTDZ($A$1,$B22,W$1,$B$1)</f>
        <v>3950.36</v>
      </c>
      <c r="X22" s="100">
        <f>_xll.EQNXTDZ($A$1,$B22,X$1,$B$1)</f>
        <v>4206.17</v>
      </c>
      <c r="Y22" s="100">
        <f>_xll.EQNXTDZ($A$1,$B22,Y$1,$B$1)</f>
        <v>4517.6099999999997</v>
      </c>
      <c r="Z22" s="100">
        <f>_xll.EQNXTDZ($A$1,$B22,Z$1,$B$1)</f>
        <v>5711.2</v>
      </c>
      <c r="AA22" s="100">
        <f>_xll.EQNXTDZ($A$1,$B22,AA$1,$B$1)</f>
        <v>7066.52</v>
      </c>
      <c r="AB22" s="100">
        <f>_xll.EQNXTDZ($A$1,$B22,AB$1,$B$1)</f>
        <v>7988.84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3.29</v>
      </c>
      <c r="R23" s="100">
        <f>_xll.EQNXTDZ($A$1,$B23,R$1,$B$1)</f>
        <v>70.38</v>
      </c>
      <c r="S23" s="100">
        <f>_xll.EQNXTDZ($A$1,$B23,S$1,$B$1)</f>
        <v>22.1</v>
      </c>
      <c r="T23" s="100">
        <f>_xll.EQNXTDZ($A$1,$B23,T$1,$B$1)</f>
        <v>110.71</v>
      </c>
      <c r="U23" s="100">
        <f>_xll.EQNXTDZ($A$1,$B23,U$1,$B$1)</f>
        <v>351.19</v>
      </c>
      <c r="V23" s="100">
        <f>_xll.EQNXTDZ($A$1,$B23,V$1,$B$1)</f>
        <v>322.3</v>
      </c>
      <c r="W23" s="100">
        <f>_xll.EQNXTDZ($A$1,$B23,W$1,$B$1)</f>
        <v>1115.4100000000001</v>
      </c>
      <c r="X23" s="100">
        <f>_xll.EQNXTDZ($A$1,$B23,X$1,$B$1)</f>
        <v>1286.42</v>
      </c>
      <c r="Y23" s="100">
        <f>_xll.EQNXTDZ($A$1,$B23,Y$1,$B$1)</f>
        <v>1583.32</v>
      </c>
      <c r="Z23" s="100">
        <f>_xll.EQNXTDZ($A$1,$B23,Z$1,$B$1)</f>
        <v>610.95000000000005</v>
      </c>
      <c r="AA23" s="100">
        <f>_xll.EQNXTDZ($A$1,$B23,AA$1,$B$1)</f>
        <v>679.46</v>
      </c>
      <c r="AB23" s="100">
        <f>_xll.EQNXTDZ($A$1,$B23,AB$1,$B$1)</f>
        <v>737.13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-2.7028999999999998E-3</v>
      </c>
      <c r="Q24" s="100">
        <f>_xll.EQNXTDZ($A$1,$B24,Q$1,$B$1)</f>
        <v>104.55</v>
      </c>
      <c r="R24" s="100">
        <f>_xll.EQNXTDZ($A$1,$B24,R$1,$B$1)</f>
        <v>1996.92</v>
      </c>
      <c r="S24" s="100">
        <f>_xll.EQNXTDZ($A$1,$B24,S$1,$B$1)</f>
        <v>2005.19</v>
      </c>
      <c r="T24" s="100">
        <f>_xll.EQNXTDZ($A$1,$B24,T$1,$B$1)</f>
        <v>2936.72</v>
      </c>
      <c r="U24" s="100">
        <f>_xll.EQNXTDZ($A$1,$B24,U$1,$B$1)</f>
        <v>3113.42</v>
      </c>
      <c r="V24" s="100">
        <f>_xll.EQNXTDZ($A$1,$B24,V$1,$B$1)</f>
        <v>4576.16</v>
      </c>
      <c r="W24" s="100">
        <f>_xll.EQNXTDZ($A$1,$B24,W$1,$B$1)</f>
        <v>5065.7700000000004</v>
      </c>
      <c r="X24" s="100">
        <f>_xll.EQNXTDZ($A$1,$B24,X$1,$B$1)</f>
        <v>5492.59</v>
      </c>
      <c r="Y24" s="100">
        <f>_xll.EQNXTDZ($A$1,$B24,Y$1,$B$1)</f>
        <v>6100.93</v>
      </c>
      <c r="Z24" s="100">
        <f>_xll.EQNXTDZ($A$1,$B24,Z$1,$B$1)</f>
        <v>6322.15</v>
      </c>
      <c r="AA24" s="100">
        <f>_xll.EQNXTDZ($A$1,$B24,AA$1,$B$1)</f>
        <v>7745.98</v>
      </c>
      <c r="AB24" s="100">
        <f>_xll.EQNXTDZ($A$1,$B24,AB$1,$B$1)</f>
        <v>8725.9699999999993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72.53</v>
      </c>
      <c r="R25" s="100">
        <f>_xll.EQNXTDZ($A$1,$B25,R$1,$B$1)</f>
        <v>957.29</v>
      </c>
      <c r="S25" s="100">
        <f>_xll.EQNXTDZ($A$1,$B25,S$1,$B$1)</f>
        <v>904.01</v>
      </c>
      <c r="T25" s="100">
        <f>_xll.EQNXTDZ($A$1,$B25,T$1,$B$1)</f>
        <v>885.63</v>
      </c>
      <c r="U25" s="100">
        <f>_xll.EQNXTDZ($A$1,$B25,U$1,$B$1)</f>
        <v>1391.03</v>
      </c>
      <c r="V25" s="100">
        <f>_xll.EQNXTDZ($A$1,$B25,V$1,$B$1)</f>
        <v>2295.46</v>
      </c>
      <c r="W25" s="100">
        <f>_xll.EQNXTDZ($A$1,$B25,W$1,$B$1)</f>
        <v>2116.9899999999998</v>
      </c>
      <c r="X25" s="100">
        <f>_xll.EQNXTDZ($A$1,$B25,X$1,$B$1)</f>
        <v>2364.9499999999998</v>
      </c>
      <c r="Y25" s="100">
        <f>_xll.EQNXTDZ($A$1,$B25,Y$1,$B$1)</f>
        <v>2781.47</v>
      </c>
      <c r="Z25" s="100">
        <f>_xll.EQNXTDZ($A$1,$B25,Z$1,$B$1)</f>
        <v>2766.51</v>
      </c>
      <c r="AA25" s="100">
        <f>_xll.EQNXTDZ($A$1,$B25,AA$1,$B$1)</f>
        <v>3259.16</v>
      </c>
      <c r="AB25" s="100">
        <f>_xll.EQNXTDZ($A$1,$B25,AB$1,$B$1)</f>
        <v>3632.9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-2.7028999999999998E-3</v>
      </c>
      <c r="Q26" s="100">
        <f>_xll.EQNXTDZ($A$1,$B26,Q$1,$B$1)</f>
        <v>32.020000000000003</v>
      </c>
      <c r="R26" s="100">
        <f>_xll.EQNXTDZ($A$1,$B26,R$1,$B$1)</f>
        <v>1039.6300000000001</v>
      </c>
      <c r="S26" s="100">
        <f>_xll.EQNXTDZ($A$1,$B26,S$1,$B$1)</f>
        <v>1101.18</v>
      </c>
      <c r="T26" s="100">
        <f>_xll.EQNXTDZ($A$1,$B26,T$1,$B$1)</f>
        <v>2051.09</v>
      </c>
      <c r="U26" s="100">
        <f>_xll.EQNXTDZ($A$1,$B26,U$1,$B$1)</f>
        <v>1722.39</v>
      </c>
      <c r="V26" s="100">
        <f>_xll.EQNXTDZ($A$1,$B26,V$1,$B$1)</f>
        <v>2280.6999999999998</v>
      </c>
      <c r="W26" s="100">
        <f>_xll.EQNXTDZ($A$1,$B26,W$1,$B$1)</f>
        <v>2948.78</v>
      </c>
      <c r="X26" s="100">
        <f>_xll.EQNXTDZ($A$1,$B26,X$1,$B$1)</f>
        <v>3127.64</v>
      </c>
      <c r="Y26" s="100">
        <f>_xll.EQNXTDZ($A$1,$B26,Y$1,$B$1)</f>
        <v>3319.46</v>
      </c>
      <c r="Z26" s="100">
        <f>_xll.EQNXTDZ($A$1,$B26,Z$1,$B$1)</f>
        <v>3555.64</v>
      </c>
      <c r="AA26" s="100">
        <f>_xll.EQNXTDZ($A$1,$B26,AA$1,$B$1)</f>
        <v>4486.82</v>
      </c>
      <c r="AB26" s="100">
        <f>_xll.EQNXTDZ($A$1,$B26,AB$1,$B$1)</f>
        <v>5093.07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37.07</v>
      </c>
      <c r="R27" s="100">
        <f>_xll.EQNXTDZ($A$1,$B27,R$1,$B$1)</f>
        <v>559.65</v>
      </c>
      <c r="S27" s="100">
        <f>_xll.EQNXTDZ($A$1,$B27,S$1,$B$1)</f>
        <v>569.25</v>
      </c>
      <c r="T27" s="100">
        <f>_xll.EQNXTDZ($A$1,$B27,T$1,$B$1)</f>
        <v>579.41</v>
      </c>
      <c r="U27" s="100">
        <f>_xll.EQNXTDZ($A$1,$B27,U$1,$B$1)</f>
        <v>882.15</v>
      </c>
      <c r="V27" s="100">
        <f>_xll.EQNXTDZ($A$1,$B27,V$1,$B$1)</f>
        <v>1174.02</v>
      </c>
      <c r="W27" s="100">
        <f>_xll.EQNXTDZ($A$1,$B27,W$1,$B$1)</f>
        <v>1328.88</v>
      </c>
      <c r="X27" s="100">
        <f>_xll.EQNXTDZ($A$1,$B27,X$1,$B$1)</f>
        <v>1427.15</v>
      </c>
      <c r="Y27" s="100">
        <f>_xll.EQNXTDZ($A$1,$B27,Y$1,$B$1)</f>
        <v>1607.74</v>
      </c>
      <c r="Z27" s="100">
        <f>_xll.EQNXTDZ($A$1,$B27,Z$1,$B$1)</f>
        <v>1776.08</v>
      </c>
      <c r="AA27" s="100">
        <f>_xll.EQNXTDZ($A$1,$B27,AA$1,$B$1)</f>
        <v>1905.95</v>
      </c>
      <c r="AB27" s="100">
        <f>_xll.EQNXTDZ($A$1,$B27,AB$1,$B$1)</f>
        <v>1978.23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-1506.02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1.7</v>
      </c>
      <c r="R30" s="100">
        <f>_xll.EQNXTDZ($A$1,$B30,R$1,$B$1)</f>
        <v>112.04</v>
      </c>
      <c r="S30" s="100">
        <f>_xll.EQNXTDZ($A$1,$B30,S$1,$B$1)</f>
        <v>115.5</v>
      </c>
      <c r="T30" s="100">
        <f>_xll.EQNXTDZ($A$1,$B30,T$1,$B$1)</f>
        <v>328.74</v>
      </c>
      <c r="U30" s="100">
        <f>_xll.EQNXTDZ($A$1,$B30,U$1,$B$1)</f>
        <v>281.04000000000002</v>
      </c>
      <c r="V30" s="100">
        <f>_xll.EQNXTDZ($A$1,$B30,V$1,$B$1)</f>
        <v>400.19</v>
      </c>
      <c r="W30" s="100">
        <f>_xll.EQNXTDZ($A$1,$B30,W$1,$B$1)</f>
        <v>330.33</v>
      </c>
      <c r="X30" s="100">
        <f>_xll.EQNXTDZ($A$1,$B30,X$1,$B$1)</f>
        <v>464.74</v>
      </c>
      <c r="Y30" s="100">
        <f>_xll.EQNXTDZ($A$1,$B30,Y$1,$B$1)</f>
        <v>431.12</v>
      </c>
      <c r="Z30" s="100">
        <f>_xll.EQNXTDZ($A$1,$B30,Z$1,$B$1)</f>
        <v>583.95000000000005</v>
      </c>
      <c r="AA30" s="100">
        <f>_xll.EQNXTDZ($A$1,$B30,AA$1,$B$1)</f>
        <v>153.16</v>
      </c>
      <c r="AB30" s="100">
        <f>_xll.EQNXTDZ($A$1,$B30,AB$1,$B$1)</f>
        <v>722.09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35.33</v>
      </c>
      <c r="W32" s="100">
        <f>_xll.EQNXTDZ($A$1,$B32,W$1,$B$1)</f>
        <v>-65.53</v>
      </c>
      <c r="X32" s="100">
        <f>_xll.EQNXTDZ($A$1,$B32,X$1,$B$1)</f>
        <v>-31.14</v>
      </c>
      <c r="Y32" s="100">
        <f>_xll.EQNXTDZ($A$1,$B32,Y$1,$B$1)</f>
        <v>-24.27</v>
      </c>
      <c r="Z32" s="100">
        <f>_xll.EQNXTDZ($A$1,$B32,Z$1,$B$1)</f>
        <v>-58.33</v>
      </c>
      <c r="AA32" s="100">
        <f>_xll.EQNXTDZ($A$1,$B32,AA$1,$B$1)</f>
        <v>138.28</v>
      </c>
      <c r="AB32" s="100">
        <f>_xll.EQNXTDZ($A$1,$B32,AB$1,$B$1)</f>
        <v>-110.21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-2.7028999999999998E-3</v>
      </c>
      <c r="Q35" s="100">
        <f>_xll.EQNXTDZ($A$1,$B35,Q$1,$B$1)</f>
        <v>-6.75</v>
      </c>
      <c r="R35" s="100">
        <f>_xll.EQNXTDZ($A$1,$B35,R$1,$B$1)</f>
        <v>367.94</v>
      </c>
      <c r="S35" s="100">
        <f>_xll.EQNXTDZ($A$1,$B35,S$1,$B$1)</f>
        <v>416.43</v>
      </c>
      <c r="T35" s="100">
        <f>_xll.EQNXTDZ($A$1,$B35,T$1,$B$1)</f>
        <v>1142.94</v>
      </c>
      <c r="U35" s="100">
        <f>_xll.EQNXTDZ($A$1,$B35,U$1,$B$1)</f>
        <v>559.20000000000005</v>
      </c>
      <c r="V35" s="100">
        <f>_xll.EQNXTDZ($A$1,$B35,V$1,$B$1)</f>
        <v>741.82</v>
      </c>
      <c r="W35" s="100">
        <f>_xll.EQNXTDZ($A$1,$B35,W$1,$B$1)</f>
        <v>1224.04</v>
      </c>
      <c r="X35" s="100">
        <f>_xll.EQNXTDZ($A$1,$B35,X$1,$B$1)</f>
        <v>1204.6099999999999</v>
      </c>
      <c r="Y35" s="100">
        <f>_xll.EQNXTDZ($A$1,$B35,Y$1,$B$1)</f>
        <v>1256.33</v>
      </c>
      <c r="Z35" s="100">
        <f>_xll.EQNXTDZ($A$1,$B35,Z$1,$B$1)</f>
        <v>1137.28</v>
      </c>
      <c r="AA35" s="100">
        <f>_xll.EQNXTDZ($A$1,$B35,AA$1,$B$1)</f>
        <v>1059.97</v>
      </c>
      <c r="AB35" s="100">
        <f>_xll.EQNXTDZ($A$1,$B35,AB$1,$B$1)</f>
        <v>2282.54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0.05</v>
      </c>
      <c r="Q41" s="55">
        <f>_xll.EQNXTDZ($A$1,$B41,Q$1,$B$1)</f>
        <v>1090</v>
      </c>
      <c r="R41" s="55">
        <f>_xll.EQNXTDZ($A$1,$B41,R$1,$B$1)</f>
        <v>1099.81</v>
      </c>
      <c r="S41" s="55">
        <f>_xll.EQNXTDZ($A$1,$B41,S$1,$B$1)</f>
        <v>1099.81</v>
      </c>
      <c r="T41" s="55">
        <f>_xll.EQNXTDZ($A$1,$B41,T$1,$B$1)</f>
        <v>1099.81</v>
      </c>
      <c r="U41" s="55">
        <f>_xll.EQNXTDZ($A$1,$B41,U$1,$B$1)</f>
        <v>1099.81</v>
      </c>
      <c r="V41" s="55">
        <f>_xll.EQNXTDZ($A$1,$B41,V$1,$B$1)</f>
        <v>1099.81</v>
      </c>
      <c r="W41" s="55">
        <f>_xll.EQNXTDZ($A$1,$B41,W$1,$B$1)</f>
        <v>1099.81</v>
      </c>
      <c r="X41" s="55">
        <f>_xll.EQNXTDZ($A$1,$B41,X$1,$B$1)</f>
        <v>1099.81</v>
      </c>
      <c r="Y41" s="55">
        <f>_xll.EQNXTDZ($A$1,$B41,Y$1,$B$1)</f>
        <v>1115.49</v>
      </c>
      <c r="Z41" s="55">
        <f>_xll.EQNXTDZ($A$1,$B41,Z$1,$B$1)</f>
        <v>1115.49</v>
      </c>
      <c r="AA41" s="55">
        <f>_xll.EQNXTDZ($A$1,$B41,AA$1,$B$1)</f>
        <v>1201.28</v>
      </c>
      <c r="AB41" s="55">
        <f>_xll.EQNXTDZ($A$1,$B41,AB$1,$B$1)</f>
        <v>1201.28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-2.7028999999999998E-3</v>
      </c>
      <c r="Q43" s="55">
        <f>_xll.EQNXTDZ($A$1,$B43,Q$1,$B$1)</f>
        <v>-6.75</v>
      </c>
      <c r="R43" s="55">
        <f>_xll.EQNXTDZ($A$1,$B43,R$1,$B$1)</f>
        <v>1572</v>
      </c>
      <c r="S43" s="55">
        <f>_xll.EQNXTDZ($A$1,$B43,S$1,$B$1)</f>
        <v>1846.72</v>
      </c>
      <c r="T43" s="55">
        <f>_xll.EQNXTDZ($A$1,$B43,T$1,$B$1)</f>
        <v>3108.05</v>
      </c>
      <c r="U43" s="55">
        <f>_xll.EQNXTDZ($A$1,$B43,U$1,$B$1)</f>
        <v>3535.04</v>
      </c>
      <c r="V43" s="55">
        <f>_xll.EQNXTDZ($A$1,$B43,V$1,$B$1)</f>
        <v>4119.7299999999996</v>
      </c>
      <c r="W43" s="55">
        <f>_xll.EQNXTDZ($A$1,$B43,W$1,$B$1)</f>
        <v>4989.7700000000004</v>
      </c>
      <c r="X43" s="55">
        <f>_xll.EQNXTDZ($A$1,$B43,X$1,$B$1)</f>
        <v>5757.36</v>
      </c>
      <c r="Y43" s="55">
        <f>_xll.EQNXTDZ($A$1,$B43,Y$1,$B$1)</f>
        <v>10633.68</v>
      </c>
      <c r="Z43" s="55">
        <f>_xll.EQNXTDZ($A$1,$B43,Z$1,$B$1)</f>
        <v>11526.06</v>
      </c>
      <c r="AA43" s="55">
        <f>_xll.EQNXTDZ($A$1,$B43,AA$1,$B$1)</f>
        <v>20866.919999999998</v>
      </c>
      <c r="AB43" s="55">
        <f>_xll.EQNXTDZ($A$1,$B43,AB$1,$B$1)</f>
        <v>24226.26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4.7297100000000002E-2</v>
      </c>
      <c r="Q44" s="55">
        <f>_xll.EQNXTDZ($A$1,$B44,Q$1,$B$1)</f>
        <v>1083.25</v>
      </c>
      <c r="R44" s="55">
        <f>_xll.EQNXTDZ($A$1,$B44,R$1,$B$1)</f>
        <v>2671.81</v>
      </c>
      <c r="S44" s="55">
        <f>_xll.EQNXTDZ($A$1,$B44,S$1,$B$1)</f>
        <v>2946.53</v>
      </c>
      <c r="T44" s="55">
        <f>_xll.EQNXTDZ($A$1,$B44,T$1,$B$1)</f>
        <v>4207.8599999999997</v>
      </c>
      <c r="U44" s="55">
        <f>_xll.EQNXTDZ($A$1,$B44,U$1,$B$1)</f>
        <v>4634.8500000000004</v>
      </c>
      <c r="V44" s="55">
        <f>_xll.EQNXTDZ($A$1,$B44,V$1,$B$1)</f>
        <v>5219.54</v>
      </c>
      <c r="W44" s="55">
        <f>_xll.EQNXTDZ($A$1,$B44,W$1,$B$1)</f>
        <v>6089.58</v>
      </c>
      <c r="X44" s="55">
        <f>_xll.EQNXTDZ($A$1,$B44,X$1,$B$1)</f>
        <v>6857.17</v>
      </c>
      <c r="Y44" s="55">
        <f>_xll.EQNXTDZ($A$1,$B44,Y$1,$B$1)</f>
        <v>11749.17</v>
      </c>
      <c r="Z44" s="55">
        <f>_xll.EQNXTDZ($A$1,$B44,Z$1,$B$1)</f>
        <v>12641.55</v>
      </c>
      <c r="AA44" s="55">
        <f>_xll.EQNXTDZ($A$1,$B44,AA$1,$B$1)</f>
        <v>22068.2</v>
      </c>
      <c r="AB44" s="55">
        <f>_xll.EQNXTDZ($A$1,$B44,AB$1,$B$1)</f>
        <v>25427.54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1062.1300000000001</v>
      </c>
      <c r="W45" s="55">
        <f>_xll.EQNXTDZ($A$1,$B45,W$1,$B$1)</f>
        <v>1103.58</v>
      </c>
      <c r="X45" s="55">
        <f>_xll.EQNXTDZ($A$1,$B45,X$1,$B$1)</f>
        <v>1093.68</v>
      </c>
      <c r="Y45" s="55">
        <f>_xll.EQNXTDZ($A$1,$B45,Y$1,$B$1)</f>
        <v>1126.5999999999999</v>
      </c>
      <c r="Z45" s="55">
        <f>_xll.EQNXTDZ($A$1,$B45,Z$1,$B$1)</f>
        <v>1061.58</v>
      </c>
      <c r="AA45" s="55">
        <f>_xll.EQNXTDZ($A$1,$B45,AA$1,$B$1)</f>
        <v>943.06</v>
      </c>
      <c r="AB45" s="55">
        <f>_xll.EQNXTDZ($A$1,$B45,AB$1,$B$1)</f>
        <v>1098.0999999999999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5311.96</v>
      </c>
      <c r="R47" s="55">
        <f>_xll.EQNXTDZ($A$1,$B47,R$1,$B$1)</f>
        <v>5093.78</v>
      </c>
      <c r="S47" s="55">
        <f>_xll.EQNXTDZ($A$1,$B47,S$1,$B$1)</f>
        <v>7729.08</v>
      </c>
      <c r="T47" s="55">
        <f>_xll.EQNXTDZ($A$1,$B47,T$1,$B$1)</f>
        <v>8594.56</v>
      </c>
      <c r="U47" s="55">
        <f>_xll.EQNXTDZ($A$1,$B47,U$1,$B$1)</f>
        <v>16304.11</v>
      </c>
      <c r="V47" s="55">
        <f>_xll.EQNXTDZ($A$1,$B47,V$1,$B$1)</f>
        <v>20194.43</v>
      </c>
      <c r="W47" s="55">
        <f>_xll.EQNXTDZ($A$1,$B47,W$1,$B$1)</f>
        <v>21781.84</v>
      </c>
      <c r="X47" s="55">
        <f>_xll.EQNXTDZ($A$1,$B47,X$1,$B$1)</f>
        <v>25450.5</v>
      </c>
      <c r="Y47" s="55">
        <f>_xll.EQNXTDZ($A$1,$B47,Y$1,$B$1)</f>
        <v>27847.42</v>
      </c>
      <c r="Z47" s="55">
        <f>_xll.EQNXTDZ($A$1,$B47,Z$1,$B$1)</f>
        <v>29924.42</v>
      </c>
      <c r="AA47" s="55">
        <f>_xll.EQNXTDZ($A$1,$B47,AA$1,$B$1)</f>
        <v>35153.800000000003</v>
      </c>
      <c r="AB47" s="55">
        <f>_xll.EQNXTDZ($A$1,$B47,AB$1,$B$1)</f>
        <v>42625.120000000003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1848.63</v>
      </c>
      <c r="U48" s="55">
        <f>_xll.EQNXTDZ($A$1,$B48,U$1,$B$1)</f>
        <v>3408.03</v>
      </c>
      <c r="V48" s="55">
        <f>_xll.EQNXTDZ($A$1,$B48,V$1,$B$1)</f>
        <v>5374.64</v>
      </c>
      <c r="W48" s="55">
        <f>_xll.EQNXTDZ($A$1,$B48,W$1,$B$1)</f>
        <v>4856.67</v>
      </c>
      <c r="X48" s="55">
        <f>_xll.EQNXTDZ($A$1,$B48,X$1,$B$1)</f>
        <v>5379.19</v>
      </c>
      <c r="Y48" s="55">
        <f>_xll.EQNXTDZ($A$1,$B48,Y$1,$B$1)</f>
        <v>3482.97</v>
      </c>
      <c r="Z48" s="55">
        <f>_xll.EQNXTDZ($A$1,$B48,Z$1,$B$1)</f>
        <v>3635.2</v>
      </c>
      <c r="AA48" s="55">
        <f>_xll.EQNXTDZ($A$1,$B48,AA$1,$B$1)</f>
        <v>1838.49</v>
      </c>
      <c r="AB48" s="55">
        <f>_xll.EQNXTDZ($A$1,$B48,AB$1,$B$1)</f>
        <v>2742.2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1.23</v>
      </c>
      <c r="U49" s="55">
        <f>_xll.EQNXTDZ($A$1,$B49,U$1,$B$1)</f>
        <v>645.09</v>
      </c>
      <c r="V49" s="55">
        <f>_xll.EQNXTDZ($A$1,$B49,V$1,$B$1)</f>
        <v>971.37</v>
      </c>
      <c r="W49" s="55">
        <f>_xll.EQNXTDZ($A$1,$B49,W$1,$B$1)</f>
        <v>1186.3499999999999</v>
      </c>
      <c r="X49" s="55">
        <f>_xll.EQNXTDZ($A$1,$B49,X$1,$B$1)</f>
        <v>1414.46</v>
      </c>
      <c r="Y49" s="55">
        <f>_xll.EQNXTDZ($A$1,$B49,Y$1,$B$1)</f>
        <v>1424.32</v>
      </c>
      <c r="Z49" s="55">
        <f>_xll.EQNXTDZ($A$1,$B49,Z$1,$B$1)</f>
        <v>1612.35</v>
      </c>
      <c r="AA49" s="55">
        <f>_xll.EQNXTDZ($A$1,$B49,AA$1,$B$1)</f>
        <v>1695.91</v>
      </c>
      <c r="AB49" s="55">
        <f>_xll.EQNXTDZ($A$1,$B49,AB$1,$B$1)</f>
        <v>2411.9699999999998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3.1</v>
      </c>
      <c r="R50" s="55">
        <f>_xll.EQNXTDZ($A$1,$B50,R$1,$B$1)</f>
        <v>3.35</v>
      </c>
      <c r="S50" s="55">
        <f>_xll.EQNXTDZ($A$1,$B50,S$1,$B$1)</f>
        <v>246.65</v>
      </c>
      <c r="T50" s="55">
        <f>_xll.EQNXTDZ($A$1,$B50,T$1,$B$1)</f>
        <v>281.64</v>
      </c>
      <c r="U50" s="55">
        <f>_xll.EQNXTDZ($A$1,$B50,U$1,$B$1)</f>
        <v>407.78</v>
      </c>
      <c r="V50" s="55">
        <f>_xll.EQNXTDZ($A$1,$B50,V$1,$B$1)</f>
        <v>697.88</v>
      </c>
      <c r="W50" s="55">
        <f>_xll.EQNXTDZ($A$1,$B50,W$1,$B$1)</f>
        <v>910.48</v>
      </c>
      <c r="X50" s="55">
        <f>_xll.EQNXTDZ($A$1,$B50,X$1,$B$1)</f>
        <v>691.18</v>
      </c>
      <c r="Y50" s="55">
        <f>_xll.EQNXTDZ($A$1,$B50,Y$1,$B$1)</f>
        <v>723.49</v>
      </c>
      <c r="Z50" s="55">
        <f>_xll.EQNXTDZ($A$1,$B50,Z$1,$B$1)</f>
        <v>978.98</v>
      </c>
      <c r="AA50" s="55">
        <f>_xll.EQNXTDZ($A$1,$B50,AA$1,$B$1)</f>
        <v>1593.94</v>
      </c>
      <c r="AB50" s="55">
        <f>_xll.EQNXTDZ($A$1,$B50,AB$1,$B$1)</f>
        <v>2162.92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21.8</v>
      </c>
      <c r="V51" s="55">
        <f>_xll.EQNXTDZ($A$1,$B51,V$1,$B$1)</f>
        <v>29.35</v>
      </c>
      <c r="W51" s="55">
        <f>_xll.EQNXTDZ($A$1,$B51,W$1,$B$1)</f>
        <v>31.93</v>
      </c>
      <c r="X51" s="55">
        <f>_xll.EQNXTDZ($A$1,$B51,X$1,$B$1)</f>
        <v>32.22</v>
      </c>
      <c r="Y51" s="55">
        <f>_xll.EQNXTDZ($A$1,$B51,Y$1,$B$1)</f>
        <v>32.76</v>
      </c>
      <c r="Z51" s="55">
        <f>_xll.EQNXTDZ($A$1,$B51,Z$1,$B$1)</f>
        <v>37.39</v>
      </c>
      <c r="AA51" s="55">
        <f>_xll.EQNXTDZ($A$1,$B51,AA$1,$B$1)</f>
        <v>38.880000000000003</v>
      </c>
      <c r="AB51" s="55">
        <f>_xll.EQNXTDZ($A$1,$B51,AB$1,$B$1)</f>
        <v>40.06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7.5</v>
      </c>
      <c r="R52" s="55">
        <f>_xll.EQNXTDZ($A$1,$B52,R$1,$B$1)</f>
        <v>5.57</v>
      </c>
      <c r="S52" s="55">
        <f>_xll.EQNXTDZ($A$1,$B52,S$1,$B$1)</f>
        <v>281.3</v>
      </c>
      <c r="T52" s="55">
        <f>_xll.EQNXTDZ($A$1,$B52,T$1,$B$1)</f>
        <v>9.57</v>
      </c>
      <c r="U52" s="55">
        <f>_xll.EQNXTDZ($A$1,$B52,U$1,$B$1)</f>
        <v>447.07</v>
      </c>
      <c r="V52" s="55">
        <f>_xll.EQNXTDZ($A$1,$B52,V$1,$B$1)</f>
        <v>275.58</v>
      </c>
      <c r="W52" s="55">
        <f>_xll.EQNXTDZ($A$1,$B52,W$1,$B$1)</f>
        <v>584.52</v>
      </c>
      <c r="X52" s="55">
        <f>_xll.EQNXTDZ($A$1,$B52,X$1,$B$1)</f>
        <v>617.47</v>
      </c>
      <c r="Y52" s="55">
        <f>_xll.EQNXTDZ($A$1,$B52,Y$1,$B$1)</f>
        <v>527.73</v>
      </c>
      <c r="Z52" s="55">
        <f>_xll.EQNXTDZ($A$1,$B52,Z$1,$B$1)</f>
        <v>630.23</v>
      </c>
      <c r="AA52" s="55">
        <f>_xll.EQNXTDZ($A$1,$B52,AA$1,$B$1)</f>
        <v>553.57000000000005</v>
      </c>
      <c r="AB52" s="55">
        <f>_xll.EQNXTDZ($A$1,$B52,AB$1,$B$1)</f>
        <v>680.99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5322.56</v>
      </c>
      <c r="R53" s="55">
        <f>_xll.EQNXTDZ($A$1,$B53,R$1,$B$1)</f>
        <v>5102.7</v>
      </c>
      <c r="S53" s="55">
        <f>_xll.EQNXTDZ($A$1,$B53,S$1,$B$1)</f>
        <v>8257.0300000000007</v>
      </c>
      <c r="T53" s="55">
        <f>_xll.EQNXTDZ($A$1,$B53,T$1,$B$1)</f>
        <v>10735.63</v>
      </c>
      <c r="U53" s="55">
        <f>_xll.EQNXTDZ($A$1,$B53,U$1,$B$1)</f>
        <v>21233.88</v>
      </c>
      <c r="V53" s="55">
        <f>_xll.EQNXTDZ($A$1,$B53,V$1,$B$1)</f>
        <v>27543.25</v>
      </c>
      <c r="W53" s="55">
        <f>_xll.EQNXTDZ($A$1,$B53,W$1,$B$1)</f>
        <v>29351.79</v>
      </c>
      <c r="X53" s="55">
        <f>_xll.EQNXTDZ($A$1,$B53,X$1,$B$1)</f>
        <v>33585.019999999997</v>
      </c>
      <c r="Y53" s="55">
        <f>_xll.EQNXTDZ($A$1,$B53,Y$1,$B$1)</f>
        <v>34038.69</v>
      </c>
      <c r="Z53" s="55">
        <f>_xll.EQNXTDZ($A$1,$B53,Z$1,$B$1)</f>
        <v>36818.57</v>
      </c>
      <c r="AA53" s="55">
        <f>_xll.EQNXTDZ($A$1,$B53,AA$1,$B$1)</f>
        <v>40874.589999999997</v>
      </c>
      <c r="AB53" s="55">
        <f>_xll.EQNXTDZ($A$1,$B53,AB$1,$B$1)</f>
        <v>50663.26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2.1410999999999999E-3</v>
      </c>
      <c r="Q54" s="55">
        <f>_xll.EQNXTDZ($A$1,$B54,Q$1,$B$1)</f>
        <v>48.94</v>
      </c>
      <c r="R54" s="55">
        <f>_xll.EQNXTDZ($A$1,$B54,R$1,$B$1)</f>
        <v>8.08</v>
      </c>
      <c r="S54" s="55">
        <f>_xll.EQNXTDZ($A$1,$B54,S$1,$B$1)</f>
        <v>27.15</v>
      </c>
      <c r="T54" s="55">
        <f>_xll.EQNXTDZ($A$1,$B54,T$1,$B$1)</f>
        <v>39.49</v>
      </c>
      <c r="U54" s="55">
        <f>_xll.EQNXTDZ($A$1,$B54,U$1,$B$1)</f>
        <v>1236.92</v>
      </c>
      <c r="V54" s="55">
        <f>_xll.EQNXTDZ($A$1,$B54,V$1,$B$1)</f>
        <v>1751.51</v>
      </c>
      <c r="W54" s="55">
        <f>_xll.EQNXTDZ($A$1,$B54,W$1,$B$1)</f>
        <v>1241.01</v>
      </c>
      <c r="X54" s="55">
        <f>_xll.EQNXTDZ($A$1,$B54,X$1,$B$1)</f>
        <v>1607.91</v>
      </c>
      <c r="Y54" s="55">
        <f>_xll.EQNXTDZ($A$1,$B54,Y$1,$B$1)</f>
        <v>1800.43</v>
      </c>
      <c r="Z54" s="55">
        <f>_xll.EQNXTDZ($A$1,$B54,Z$1,$B$1)</f>
        <v>1515.92</v>
      </c>
      <c r="AA54" s="55">
        <f>_xll.EQNXTDZ($A$1,$B54,AA$1,$B$1)</f>
        <v>2955.62</v>
      </c>
      <c r="AB54" s="55">
        <f>_xll.EQNXTDZ($A$1,$B54,AB$1,$B$1)</f>
        <v>4993.6499999999996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5.6179999999999999E-4</v>
      </c>
      <c r="Q55" s="55">
        <f>_xll.EQNXTDZ($A$1,$B55,Q$1,$B$1)</f>
        <v>1448.74</v>
      </c>
      <c r="R55" s="55">
        <f>_xll.EQNXTDZ($A$1,$B55,R$1,$B$1)</f>
        <v>1071.54</v>
      </c>
      <c r="S55" s="55">
        <f>_xll.EQNXTDZ($A$1,$B55,S$1,$B$1)</f>
        <v>923.42</v>
      </c>
      <c r="T55" s="55">
        <f>_xll.EQNXTDZ($A$1,$B55,T$1,$B$1)</f>
        <v>1272.43</v>
      </c>
      <c r="U55" s="55">
        <f>_xll.EQNXTDZ($A$1,$B55,U$1,$B$1)</f>
        <v>3741.29</v>
      </c>
      <c r="V55" s="55">
        <f>_xll.EQNXTDZ($A$1,$B55,V$1,$B$1)</f>
        <v>2796.26</v>
      </c>
      <c r="W55" s="55">
        <f>_xll.EQNXTDZ($A$1,$B55,W$1,$B$1)</f>
        <v>3412.82</v>
      </c>
      <c r="X55" s="55">
        <f>_xll.EQNXTDZ($A$1,$B55,X$1,$B$1)</f>
        <v>2781.66</v>
      </c>
      <c r="Y55" s="55">
        <f>_xll.EQNXTDZ($A$1,$B55,Y$1,$B$1)</f>
        <v>2902.93</v>
      </c>
      <c r="Z55" s="55">
        <f>_xll.EQNXTDZ($A$1,$B55,Z$1,$B$1)</f>
        <v>3851.2</v>
      </c>
      <c r="AA55" s="55">
        <f>_xll.EQNXTDZ($A$1,$B55,AA$1,$B$1)</f>
        <v>4967.68</v>
      </c>
      <c r="AB55" s="55">
        <f>_xll.EQNXTDZ($A$1,$B55,AB$1,$B$1)</f>
        <v>5833.92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3585.81</v>
      </c>
      <c r="R56" s="55">
        <f>_xll.EQNXTDZ($A$1,$B56,R$1,$B$1)</f>
        <v>2845.42</v>
      </c>
      <c r="S56" s="55">
        <f>_xll.EQNXTDZ($A$1,$B56,S$1,$B$1)</f>
        <v>931.28</v>
      </c>
      <c r="T56" s="55">
        <f>_xll.EQNXTDZ($A$1,$B56,T$1,$B$1)</f>
        <v>1010.65</v>
      </c>
      <c r="U56" s="55">
        <f>_xll.EQNXTDZ($A$1,$B56,U$1,$B$1)</f>
        <v>1632.78</v>
      </c>
      <c r="V56" s="55">
        <f>_xll.EQNXTDZ($A$1,$B56,V$1,$B$1)</f>
        <v>1235.81</v>
      </c>
      <c r="W56" s="55">
        <f>_xll.EQNXTDZ($A$1,$B56,W$1,$B$1)</f>
        <v>1966.47</v>
      </c>
      <c r="X56" s="55">
        <f>_xll.EQNXTDZ($A$1,$B56,X$1,$B$1)</f>
        <v>1455.42</v>
      </c>
      <c r="Y56" s="55">
        <f>_xll.EQNXTDZ($A$1,$B56,Y$1,$B$1)</f>
        <v>2186.63</v>
      </c>
      <c r="Z56" s="55">
        <f>_xll.EQNXTDZ($A$1,$B56,Z$1,$B$1)</f>
        <v>2547.87</v>
      </c>
      <c r="AA56" s="55">
        <f>_xll.EQNXTDZ($A$1,$B56,AA$1,$B$1)</f>
        <v>1982.49</v>
      </c>
      <c r="AB56" s="55">
        <f>_xll.EQNXTDZ($A$1,$B56,AB$1,$B$1)</f>
        <v>4504.42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3.1</v>
      </c>
      <c r="R57" s="55">
        <f>_xll.EQNXTDZ($A$1,$B57,R$1,$B$1)</f>
        <v>46.13</v>
      </c>
      <c r="S57" s="55">
        <f>_xll.EQNXTDZ($A$1,$B57,S$1,$B$1)</f>
        <v>2.33</v>
      </c>
      <c r="T57" s="55">
        <f>_xll.EQNXTDZ($A$1,$B57,T$1,$B$1)</f>
        <v>607.63</v>
      </c>
      <c r="U57" s="55">
        <f>_xll.EQNXTDZ($A$1,$B57,U$1,$B$1)</f>
        <v>78.739999999999995</v>
      </c>
      <c r="V57" s="55">
        <f>_xll.EQNXTDZ($A$1,$B57,V$1,$B$1)</f>
        <v>102.69</v>
      </c>
      <c r="W57" s="55">
        <f>_xll.EQNXTDZ($A$1,$B57,W$1,$B$1)</f>
        <v>68.33</v>
      </c>
      <c r="X57" s="55">
        <f>_xll.EQNXTDZ($A$1,$B57,X$1,$B$1)</f>
        <v>83.25</v>
      </c>
      <c r="Y57" s="55">
        <f>_xll.EQNXTDZ($A$1,$B57,Y$1,$B$1)</f>
        <v>127.3</v>
      </c>
      <c r="Z57" s="55">
        <f>_xll.EQNXTDZ($A$1,$B57,Z$1,$B$1)</f>
        <v>101.69</v>
      </c>
      <c r="AA57" s="55">
        <f>_xll.EQNXTDZ($A$1,$B57,AA$1,$B$1)</f>
        <v>110.61</v>
      </c>
      <c r="AB57" s="55">
        <f>_xll.EQNXTDZ($A$1,$B57,AB$1,$B$1)</f>
        <v>235.86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2.7028999999999998E-3</v>
      </c>
      <c r="Q59" s="55">
        <f>_xll.EQNXTDZ($A$1,$B59,Q$1,$B$1)</f>
        <v>5086.59</v>
      </c>
      <c r="R59" s="55">
        <f>_xll.EQNXTDZ($A$1,$B59,R$1,$B$1)</f>
        <v>3971.17</v>
      </c>
      <c r="S59" s="55">
        <f>_xll.EQNXTDZ($A$1,$B59,S$1,$B$1)</f>
        <v>1884.18</v>
      </c>
      <c r="T59" s="55">
        <f>_xll.EQNXTDZ($A$1,$B59,T$1,$B$1)</f>
        <v>2930.2</v>
      </c>
      <c r="U59" s="55">
        <f>_xll.EQNXTDZ($A$1,$B59,U$1,$B$1)</f>
        <v>6689.73</v>
      </c>
      <c r="V59" s="55">
        <f>_xll.EQNXTDZ($A$1,$B59,V$1,$B$1)</f>
        <v>5886.27</v>
      </c>
      <c r="W59" s="55">
        <f>_xll.EQNXTDZ($A$1,$B59,W$1,$B$1)</f>
        <v>6688.63</v>
      </c>
      <c r="X59" s="55">
        <f>_xll.EQNXTDZ($A$1,$B59,X$1,$B$1)</f>
        <v>5928.24</v>
      </c>
      <c r="Y59" s="55">
        <f>_xll.EQNXTDZ($A$1,$B59,Y$1,$B$1)</f>
        <v>7017.29</v>
      </c>
      <c r="Z59" s="55">
        <f>_xll.EQNXTDZ($A$1,$B59,Z$1,$B$1)</f>
        <v>8016.68</v>
      </c>
      <c r="AA59" s="55">
        <f>_xll.EQNXTDZ($A$1,$B59,AA$1,$B$1)</f>
        <v>10016.4</v>
      </c>
      <c r="AB59" s="55">
        <f>_xll.EQNXTDZ($A$1,$B59,AB$1,$B$1)</f>
        <v>15567.85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0.05</v>
      </c>
      <c r="Q60" s="55">
        <f>_xll.EQNXTDZ($A$1,$B60,Q$1,$B$1)</f>
        <v>11492.4</v>
      </c>
      <c r="R60" s="55">
        <f>_xll.EQNXTDZ($A$1,$B60,R$1,$B$1)</f>
        <v>11745.68</v>
      </c>
      <c r="S60" s="55">
        <f>_xll.EQNXTDZ($A$1,$B60,S$1,$B$1)</f>
        <v>13087.74</v>
      </c>
      <c r="T60" s="55">
        <f>_xll.EQNXTDZ($A$1,$B60,T$1,$B$1)</f>
        <v>17873.689999999999</v>
      </c>
      <c r="U60" s="55">
        <f>_xll.EQNXTDZ($A$1,$B60,U$1,$B$1)</f>
        <v>32558.46</v>
      </c>
      <c r="V60" s="55">
        <f>_xll.EQNXTDZ($A$1,$B60,V$1,$B$1)</f>
        <v>39711.19</v>
      </c>
      <c r="W60" s="55">
        <f>_xll.EQNXTDZ($A$1,$B60,W$1,$B$1)</f>
        <v>43233.58</v>
      </c>
      <c r="X60" s="55">
        <f>_xll.EQNXTDZ($A$1,$B60,X$1,$B$1)</f>
        <v>47464.11</v>
      </c>
      <c r="Y60" s="55">
        <f>_xll.EQNXTDZ($A$1,$B60,Y$1,$B$1)</f>
        <v>53931.75</v>
      </c>
      <c r="Z60" s="55">
        <f>_xll.EQNXTDZ($A$1,$B60,Z$1,$B$1)</f>
        <v>58538.38</v>
      </c>
      <c r="AA60" s="55">
        <f>_xll.EQNXTDZ($A$1,$B60,AA$1,$B$1)</f>
        <v>73902.25</v>
      </c>
      <c r="AB60" s="55">
        <f>_xll.EQNXTDZ($A$1,$B60,AB$1,$B$1)</f>
        <v>92756.75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10984.97</v>
      </c>
      <c r="R62" s="55">
        <f>_xll.EQNXTDZ($A$1,$B62,R$1,$B$1)</f>
        <v>10620.07</v>
      </c>
      <c r="S62" s="55">
        <f>_xll.EQNXTDZ($A$1,$B62,S$1,$B$1)</f>
        <v>10982.13</v>
      </c>
      <c r="T62" s="55">
        <f>_xll.EQNXTDZ($A$1,$B62,T$1,$B$1)</f>
        <v>10999.55</v>
      </c>
      <c r="U62" s="55">
        <f>_xll.EQNXTDZ($A$1,$B62,U$1,$B$1)</f>
        <v>27000.57</v>
      </c>
      <c r="V62" s="55">
        <f>_xll.EQNXTDZ($A$1,$B62,V$1,$B$1)</f>
        <v>28653.32</v>
      </c>
      <c r="W62" s="55">
        <f>_xll.EQNXTDZ($A$1,$B62,W$1,$B$1)</f>
        <v>32072.46</v>
      </c>
      <c r="X62" s="55">
        <f>_xll.EQNXTDZ($A$1,$B62,X$1,$B$1)</f>
        <v>36765.96</v>
      </c>
      <c r="Y62" s="55">
        <f>_xll.EQNXTDZ($A$1,$B62,Y$1,$B$1)</f>
        <v>40733.21</v>
      </c>
      <c r="Z62" s="55">
        <f>_xll.EQNXTDZ($A$1,$B62,Z$1,$B$1)</f>
        <v>48780.58</v>
      </c>
      <c r="AA62" s="55">
        <f>_xll.EQNXTDZ($A$1,$B62,AA$1,$B$1)</f>
        <v>50503.51</v>
      </c>
      <c r="AB62" s="55">
        <f>_xll.EQNXTDZ($A$1,$B62,AB$1,$B$1)</f>
        <v>59700.47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411.65</v>
      </c>
      <c r="R63" s="55">
        <f>_xll.EQNXTDZ($A$1,$B63,R$1,$B$1)</f>
        <v>559.65</v>
      </c>
      <c r="S63" s="55">
        <f>_xll.EQNXTDZ($A$1,$B63,S$1,$B$1)</f>
        <v>1128.9000000000001</v>
      </c>
      <c r="T63" s="55">
        <f>_xll.EQNXTDZ($A$1,$B63,T$1,$B$1)</f>
        <v>1708.31</v>
      </c>
      <c r="U63" s="55">
        <f>_xll.EQNXTDZ($A$1,$B63,U$1,$B$1)</f>
        <v>2588.5700000000002</v>
      </c>
      <c r="V63" s="55">
        <f>_xll.EQNXTDZ($A$1,$B63,V$1,$B$1)</f>
        <v>3729.12</v>
      </c>
      <c r="W63" s="55">
        <f>_xll.EQNXTDZ($A$1,$B63,W$1,$B$1)</f>
        <v>5085.8599999999997</v>
      </c>
      <c r="X63" s="55">
        <f>_xll.EQNXTDZ($A$1,$B63,X$1,$B$1)</f>
        <v>6494.19</v>
      </c>
      <c r="Y63" s="55">
        <f>_xll.EQNXTDZ($A$1,$B63,Y$1,$B$1)</f>
        <v>8088.07</v>
      </c>
      <c r="Z63" s="55">
        <f>_xll.EQNXTDZ($A$1,$B63,Z$1,$B$1)</f>
        <v>9860.84</v>
      </c>
      <c r="AA63" s="55">
        <f>_xll.EQNXTDZ($A$1,$B63,AA$1,$B$1)</f>
        <v>10948.76</v>
      </c>
      <c r="AB63" s="55">
        <f>_xll.EQNXTDZ($A$1,$B63,AB$1,$B$1)</f>
        <v>12896.53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10573.32</v>
      </c>
      <c r="R65" s="55">
        <f>_xll.EQNXTDZ($A$1,$B65,R$1,$B$1)</f>
        <v>10060.42</v>
      </c>
      <c r="S65" s="55">
        <f>_xll.EQNXTDZ($A$1,$B65,S$1,$B$1)</f>
        <v>9853.23</v>
      </c>
      <c r="T65" s="55">
        <f>_xll.EQNXTDZ($A$1,$B65,T$1,$B$1)</f>
        <v>9291.24</v>
      </c>
      <c r="U65" s="55">
        <f>_xll.EQNXTDZ($A$1,$B65,U$1,$B$1)</f>
        <v>24412</v>
      </c>
      <c r="V65" s="55">
        <f>_xll.EQNXTDZ($A$1,$B65,V$1,$B$1)</f>
        <v>24924.2</v>
      </c>
      <c r="W65" s="55">
        <f>_xll.EQNXTDZ($A$1,$B65,W$1,$B$1)</f>
        <v>26986.6</v>
      </c>
      <c r="X65" s="55">
        <f>_xll.EQNXTDZ($A$1,$B65,X$1,$B$1)</f>
        <v>30271.77</v>
      </c>
      <c r="Y65" s="55">
        <f>_xll.EQNXTDZ($A$1,$B65,Y$1,$B$1)</f>
        <v>32645.14</v>
      </c>
      <c r="Z65" s="55">
        <f>_xll.EQNXTDZ($A$1,$B65,Z$1,$B$1)</f>
        <v>38919.74</v>
      </c>
      <c r="AA65" s="55">
        <f>_xll.EQNXTDZ($A$1,$B65,AA$1,$B$1)</f>
        <v>39554.75</v>
      </c>
      <c r="AB65" s="55">
        <f>_xll.EQNXTDZ($A$1,$B65,AB$1,$B$1)</f>
        <v>46803.94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9.83</v>
      </c>
      <c r="R67" s="55">
        <f>_xll.EQNXTDZ($A$1,$B67,R$1,$B$1)</f>
        <v>258.22000000000003</v>
      </c>
      <c r="S67" s="55">
        <f>_xll.EQNXTDZ($A$1,$B67,S$1,$B$1)</f>
        <v>1342.64</v>
      </c>
      <c r="T67" s="55">
        <f>_xll.EQNXTDZ($A$1,$B67,T$1,$B$1)</f>
        <v>2352.79</v>
      </c>
      <c r="U67" s="55">
        <f>_xll.EQNXTDZ($A$1,$B67,U$1,$B$1)</f>
        <v>694.06</v>
      </c>
      <c r="V67" s="55">
        <f>_xll.EQNXTDZ($A$1,$B67,V$1,$B$1)</f>
        <v>2208.96</v>
      </c>
      <c r="W67" s="55">
        <f>_xll.EQNXTDZ($A$1,$B67,W$1,$B$1)</f>
        <v>5239.7299999999996</v>
      </c>
      <c r="X67" s="55">
        <f>_xll.EQNXTDZ($A$1,$B67,X$1,$B$1)</f>
        <v>5060.16</v>
      </c>
      <c r="Y67" s="55">
        <f>_xll.EQNXTDZ($A$1,$B67,Y$1,$B$1)</f>
        <v>6200.44</v>
      </c>
      <c r="Z67" s="55">
        <f>_xll.EQNXTDZ($A$1,$B67,Z$1,$B$1)</f>
        <v>3002.69</v>
      </c>
      <c r="AA67" s="55">
        <f>_xll.EQNXTDZ($A$1,$B67,AA$1,$B$1)</f>
        <v>5695.36</v>
      </c>
      <c r="AB67" s="55">
        <f>_xll.EQNXTDZ($A$1,$B67,AB$1,$B$1)</f>
        <v>2053.6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3.28</v>
      </c>
      <c r="W68" s="55">
        <f>_xll.EQNXTDZ($A$1,$B68,W$1,$B$1)</f>
        <v>15.41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6.88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120.92</v>
      </c>
      <c r="V71" s="55">
        <f>_xll.EQNXTDZ($A$1,$B71,V$1,$B$1)</f>
        <v>0</v>
      </c>
      <c r="W71" s="55">
        <f>_xll.EQNXTDZ($A$1,$B71,W$1,$B$1)</f>
        <v>267.24</v>
      </c>
      <c r="X71" s="55">
        <f>_xll.EQNXTDZ($A$1,$B71,X$1,$B$1)</f>
        <v>264.17</v>
      </c>
      <c r="Y71" s="55">
        <f>_xll.EQNXTDZ($A$1,$B71,Y$1,$B$1)</f>
        <v>312.89</v>
      </c>
      <c r="Z71" s="55">
        <f>_xll.EQNXTDZ($A$1,$B71,Z$1,$B$1)</f>
        <v>323.79000000000002</v>
      </c>
      <c r="AA71" s="55">
        <f>_xll.EQNXTDZ($A$1,$B71,AA$1,$B$1)</f>
        <v>348.72</v>
      </c>
      <c r="AB71" s="55">
        <f>_xll.EQNXTDZ($A$1,$B71,AB$1,$B$1)</f>
        <v>407.29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10.17</v>
      </c>
      <c r="R72" s="55">
        <f>_xll.EQNXTDZ($A$1,$B72,R$1,$B$1)</f>
        <v>95.31</v>
      </c>
      <c r="S72" s="55">
        <f>_xll.EQNXTDZ($A$1,$B72,S$1,$B$1)</f>
        <v>482.2</v>
      </c>
      <c r="T72" s="55">
        <f>_xll.EQNXTDZ($A$1,$B72,T$1,$B$1)</f>
        <v>2711.52</v>
      </c>
      <c r="U72" s="55">
        <f>_xll.EQNXTDZ($A$1,$B72,U$1,$B$1)</f>
        <v>316.73</v>
      </c>
      <c r="V72" s="55">
        <f>_xll.EQNXTDZ($A$1,$B72,V$1,$B$1)</f>
        <v>757.14</v>
      </c>
      <c r="W72" s="55">
        <f>_xll.EQNXTDZ($A$1,$B72,W$1,$B$1)</f>
        <v>2023.09</v>
      </c>
      <c r="X72" s="55">
        <f>_xll.EQNXTDZ($A$1,$B72,X$1,$B$1)</f>
        <v>2871.65</v>
      </c>
      <c r="Y72" s="55">
        <f>_xll.EQNXTDZ($A$1,$B72,Y$1,$B$1)</f>
        <v>1782.08</v>
      </c>
      <c r="Z72" s="55">
        <f>_xll.EQNXTDZ($A$1,$B72,Z$1,$B$1)</f>
        <v>1525.37</v>
      </c>
      <c r="AA72" s="55">
        <f>_xll.EQNXTDZ($A$1,$B72,AA$1,$B$1)</f>
        <v>1335.88</v>
      </c>
      <c r="AB72" s="55">
        <f>_xll.EQNXTDZ($A$1,$B72,AB$1,$B$1)</f>
        <v>3599.56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29.6</v>
      </c>
      <c r="S73" s="55">
        <f>_xll.EQNXTDZ($A$1,$B73,S$1,$B$1)</f>
        <v>32.69</v>
      </c>
      <c r="T73" s="55">
        <f>_xll.EQNXTDZ($A$1,$B73,T$1,$B$1)</f>
        <v>1166.26</v>
      </c>
      <c r="U73" s="55">
        <f>_xll.EQNXTDZ($A$1,$B73,U$1,$B$1)</f>
        <v>2079.48</v>
      </c>
      <c r="V73" s="55">
        <f>_xll.EQNXTDZ($A$1,$B73,V$1,$B$1)</f>
        <v>3132.18</v>
      </c>
      <c r="W73" s="55">
        <f>_xll.EQNXTDZ($A$1,$B73,W$1,$B$1)</f>
        <v>3702.07</v>
      </c>
      <c r="X73" s="55">
        <f>_xll.EQNXTDZ($A$1,$B73,X$1,$B$1)</f>
        <v>3518.62</v>
      </c>
      <c r="Y73" s="55">
        <f>_xll.EQNXTDZ($A$1,$B73,Y$1,$B$1)</f>
        <v>4084.34</v>
      </c>
      <c r="Z73" s="55">
        <f>_xll.EQNXTDZ($A$1,$B73,Z$1,$B$1)</f>
        <v>5148.67</v>
      </c>
      <c r="AA73" s="55">
        <f>_xll.EQNXTDZ($A$1,$B73,AA$1,$B$1)</f>
        <v>10286.540000000001</v>
      </c>
      <c r="AB73" s="55">
        <f>_xll.EQNXTDZ($A$1,$B73,AB$1,$B$1)</f>
        <v>20050.68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10593.32</v>
      </c>
      <c r="R74" s="55">
        <f>_xll.EQNXTDZ($A$1,$B74,R$1,$B$1)</f>
        <v>10443.549999999999</v>
      </c>
      <c r="S74" s="55">
        <f>_xll.EQNXTDZ($A$1,$B74,S$1,$B$1)</f>
        <v>11710.76</v>
      </c>
      <c r="T74" s="55">
        <f>_xll.EQNXTDZ($A$1,$B74,T$1,$B$1)</f>
        <v>15521.81</v>
      </c>
      <c r="U74" s="55">
        <f>_xll.EQNXTDZ($A$1,$B74,U$1,$B$1)</f>
        <v>27623.19</v>
      </c>
      <c r="V74" s="55">
        <f>_xll.EQNXTDZ($A$1,$B74,V$1,$B$1)</f>
        <v>31025.759999999998</v>
      </c>
      <c r="W74" s="55">
        <f>_xll.EQNXTDZ($A$1,$B74,W$1,$B$1)</f>
        <v>38234.14</v>
      </c>
      <c r="X74" s="55">
        <f>_xll.EQNXTDZ($A$1,$B74,X$1,$B$1)</f>
        <v>41986.37</v>
      </c>
      <c r="Y74" s="55">
        <f>_xll.EQNXTDZ($A$1,$B74,Y$1,$B$1)</f>
        <v>45024.89</v>
      </c>
      <c r="Z74" s="55">
        <f>_xll.EQNXTDZ($A$1,$B74,Z$1,$B$1)</f>
        <v>48920.26</v>
      </c>
      <c r="AA74" s="55">
        <f>_xll.EQNXTDZ($A$1,$B74,AA$1,$B$1)</f>
        <v>57228.13</v>
      </c>
      <c r="AB74" s="55">
        <f>_xll.EQNXTDZ($A$1,$B74,AB$1,$B$1)</f>
        <v>72915.070000000007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19.82</v>
      </c>
      <c r="S75" s="55">
        <f>_xll.EQNXTDZ($A$1,$B75,S$1,$B$1)</f>
        <v>105</v>
      </c>
      <c r="T75" s="55">
        <f>_xll.EQNXTDZ($A$1,$B75,T$1,$B$1)</f>
        <v>0</v>
      </c>
      <c r="U75" s="55">
        <f>_xll.EQNXTDZ($A$1,$B75,U$1,$B$1)</f>
        <v>214.86</v>
      </c>
      <c r="V75" s="55">
        <f>_xll.EQNXTDZ($A$1,$B75,V$1,$B$1)</f>
        <v>312.67</v>
      </c>
      <c r="W75" s="55">
        <f>_xll.EQNXTDZ($A$1,$B75,W$1,$B$1)</f>
        <v>174.79</v>
      </c>
      <c r="X75" s="55">
        <f>_xll.EQNXTDZ($A$1,$B75,X$1,$B$1)</f>
        <v>296.35000000000002</v>
      </c>
      <c r="Y75" s="55">
        <f>_xll.EQNXTDZ($A$1,$B75,Y$1,$B$1)</f>
        <v>1056.79</v>
      </c>
      <c r="Z75" s="55">
        <f>_xll.EQNXTDZ($A$1,$B75,Z$1,$B$1)</f>
        <v>442.69</v>
      </c>
      <c r="AA75" s="55">
        <f>_xll.EQNXTDZ($A$1,$B75,AA$1,$B$1)</f>
        <v>2289.69</v>
      </c>
      <c r="AB75" s="55">
        <f>_xll.EQNXTDZ($A$1,$B75,AB$1,$B$1)</f>
        <v>2236.3200000000002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20.61</v>
      </c>
      <c r="R76" s="55">
        <f>_xll.EQNXTDZ($A$1,$B76,R$1,$B$1)</f>
        <v>21.76</v>
      </c>
      <c r="S76" s="55">
        <f>_xll.EQNXTDZ($A$1,$B76,S$1,$B$1)</f>
        <v>38.659999999999997</v>
      </c>
      <c r="T76" s="55">
        <f>_xll.EQNXTDZ($A$1,$B76,T$1,$B$1)</f>
        <v>35.340000000000003</v>
      </c>
      <c r="U76" s="55">
        <f>_xll.EQNXTDZ($A$1,$B76,U$1,$B$1)</f>
        <v>366.18</v>
      </c>
      <c r="V76" s="55">
        <f>_xll.EQNXTDZ($A$1,$B76,V$1,$B$1)</f>
        <v>541.16999999999996</v>
      </c>
      <c r="W76" s="55">
        <f>_xll.EQNXTDZ($A$1,$B76,W$1,$B$1)</f>
        <v>233.71</v>
      </c>
      <c r="X76" s="55">
        <f>_xll.EQNXTDZ($A$1,$B76,X$1,$B$1)</f>
        <v>250.11</v>
      </c>
      <c r="Y76" s="55">
        <f>_xll.EQNXTDZ($A$1,$B76,Y$1,$B$1)</f>
        <v>151.91</v>
      </c>
      <c r="Z76" s="55">
        <f>_xll.EQNXTDZ($A$1,$B76,Z$1,$B$1)</f>
        <v>255.28</v>
      </c>
      <c r="AA76" s="55">
        <f>_xll.EQNXTDZ($A$1,$B76,AA$1,$B$1)</f>
        <v>625.24</v>
      </c>
      <c r="AB76" s="55">
        <f>_xll.EQNXTDZ($A$1,$B76,AB$1,$B$1)</f>
        <v>669.45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448.76</v>
      </c>
      <c r="R77" s="55">
        <f>_xll.EQNXTDZ($A$1,$B77,R$1,$B$1)</f>
        <v>182.35</v>
      </c>
      <c r="S77" s="55">
        <f>_xll.EQNXTDZ($A$1,$B77,S$1,$B$1)</f>
        <v>189.56</v>
      </c>
      <c r="T77" s="55">
        <f>_xll.EQNXTDZ($A$1,$B77,T$1,$B$1)</f>
        <v>257.83</v>
      </c>
      <c r="U77" s="55">
        <f>_xll.EQNXTDZ($A$1,$B77,U$1,$B$1)</f>
        <v>722.05</v>
      </c>
      <c r="V77" s="55">
        <f>_xll.EQNXTDZ($A$1,$B77,V$1,$B$1)</f>
        <v>1000.26</v>
      </c>
      <c r="W77" s="55">
        <f>_xll.EQNXTDZ($A$1,$B77,W$1,$B$1)</f>
        <v>1013.54</v>
      </c>
      <c r="X77" s="55">
        <f>_xll.EQNXTDZ($A$1,$B77,X$1,$B$1)</f>
        <v>1070.8399999999999</v>
      </c>
      <c r="Y77" s="55">
        <f>_xll.EQNXTDZ($A$1,$B77,Y$1,$B$1)</f>
        <v>1437.59</v>
      </c>
      <c r="Z77" s="55">
        <f>_xll.EQNXTDZ($A$1,$B77,Z$1,$B$1)</f>
        <v>3744.54</v>
      </c>
      <c r="AA77" s="55">
        <f>_xll.EQNXTDZ($A$1,$B77,AA$1,$B$1)</f>
        <v>4217.8599999999997</v>
      </c>
      <c r="AB77" s="55">
        <f>_xll.EQNXTDZ($A$1,$B77,AB$1,$B$1)</f>
        <v>5733.75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0.05</v>
      </c>
      <c r="Q78" s="55">
        <f>_xll.EQNXTDZ($A$1,$B78,Q$1,$B$1)</f>
        <v>15.09</v>
      </c>
      <c r="R78" s="55">
        <f>_xll.EQNXTDZ($A$1,$B78,R$1,$B$1)</f>
        <v>151.38</v>
      </c>
      <c r="S78" s="55">
        <f>_xll.EQNXTDZ($A$1,$B78,S$1,$B$1)</f>
        <v>393.18</v>
      </c>
      <c r="T78" s="55">
        <f>_xll.EQNXTDZ($A$1,$B78,T$1,$B$1)</f>
        <v>665.49</v>
      </c>
      <c r="U78" s="55">
        <f>_xll.EQNXTDZ($A$1,$B78,U$1,$B$1)</f>
        <v>701.56</v>
      </c>
      <c r="V78" s="55">
        <f>_xll.EQNXTDZ($A$1,$B78,V$1,$B$1)</f>
        <v>2296.84</v>
      </c>
      <c r="W78" s="55">
        <f>_xll.EQNXTDZ($A$1,$B78,W$1,$B$1)</f>
        <v>1289.9100000000001</v>
      </c>
      <c r="X78" s="55">
        <f>_xll.EQNXTDZ($A$1,$B78,X$1,$B$1)</f>
        <v>1392.87</v>
      </c>
      <c r="Y78" s="55">
        <f>_xll.EQNXTDZ($A$1,$B78,Y$1,$B$1)</f>
        <v>1704.14</v>
      </c>
      <c r="Z78" s="55">
        <f>_xll.EQNXTDZ($A$1,$B78,Z$1,$B$1)</f>
        <v>2228.14</v>
      </c>
      <c r="AA78" s="55">
        <f>_xll.EQNXTDZ($A$1,$B78,AA$1,$B$1)</f>
        <v>3618.68</v>
      </c>
      <c r="AB78" s="55">
        <f>_xll.EQNXTDZ($A$1,$B78,AB$1,$B$1)</f>
        <v>3947.34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5.08</v>
      </c>
      <c r="R79" s="55">
        <f>_xll.EQNXTDZ($A$1,$B79,R$1,$B$1)</f>
        <v>3.46</v>
      </c>
      <c r="S79" s="55">
        <f>_xll.EQNXTDZ($A$1,$B79,S$1,$B$1)</f>
        <v>41.06</v>
      </c>
      <c r="T79" s="55">
        <f>_xll.EQNXTDZ($A$1,$B79,T$1,$B$1)</f>
        <v>171.77</v>
      </c>
      <c r="U79" s="55">
        <f>_xll.EQNXTDZ($A$1,$B79,U$1,$B$1)</f>
        <v>1740.02</v>
      </c>
      <c r="V79" s="55">
        <f>_xll.EQNXTDZ($A$1,$B79,V$1,$B$1)</f>
        <v>703.23</v>
      </c>
      <c r="W79" s="55">
        <f>_xll.EQNXTDZ($A$1,$B79,W$1,$B$1)</f>
        <v>584.79</v>
      </c>
      <c r="X79" s="55">
        <f>_xll.EQNXTDZ($A$1,$B79,X$1,$B$1)</f>
        <v>1419.41</v>
      </c>
      <c r="Y79" s="55">
        <f>_xll.EQNXTDZ($A$1,$B79,Y$1,$B$1)</f>
        <v>2183.9699999999998</v>
      </c>
      <c r="Z79" s="55">
        <f>_xll.EQNXTDZ($A$1,$B79,Z$1,$B$1)</f>
        <v>1779.91</v>
      </c>
      <c r="AA79" s="55">
        <f>_xll.EQNXTDZ($A$1,$B79,AA$1,$B$1)</f>
        <v>3408.42</v>
      </c>
      <c r="AB79" s="55">
        <f>_xll.EQNXTDZ($A$1,$B79,AB$1,$B$1)</f>
        <v>3715.53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394.09</v>
      </c>
      <c r="R80" s="55">
        <f>_xll.EQNXTDZ($A$1,$B80,R$1,$B$1)</f>
        <v>923.36</v>
      </c>
      <c r="S80" s="55">
        <f>_xll.EQNXTDZ($A$1,$B80,S$1,$B$1)</f>
        <v>609.52</v>
      </c>
      <c r="T80" s="55">
        <f>_xll.EQNXTDZ($A$1,$B80,T$1,$B$1)</f>
        <v>1221.45</v>
      </c>
      <c r="U80" s="55">
        <f>_xll.EQNXTDZ($A$1,$B80,U$1,$B$1)</f>
        <v>1190.5999999999999</v>
      </c>
      <c r="V80" s="55">
        <f>_xll.EQNXTDZ($A$1,$B80,V$1,$B$1)</f>
        <v>3831.26</v>
      </c>
      <c r="W80" s="55">
        <f>_xll.EQNXTDZ($A$1,$B80,W$1,$B$1)</f>
        <v>1702.7</v>
      </c>
      <c r="X80" s="55">
        <f>_xll.EQNXTDZ($A$1,$B80,X$1,$B$1)</f>
        <v>1048.1600000000001</v>
      </c>
      <c r="Y80" s="55">
        <f>_xll.EQNXTDZ($A$1,$B80,Y$1,$B$1)</f>
        <v>2372.46</v>
      </c>
      <c r="Z80" s="55">
        <f>_xll.EQNXTDZ($A$1,$B80,Z$1,$B$1)</f>
        <v>1167.56</v>
      </c>
      <c r="AA80" s="55">
        <f>_xll.EQNXTDZ($A$1,$B80,AA$1,$B$1)</f>
        <v>2514.23</v>
      </c>
      <c r="AB80" s="55">
        <f>_xll.EQNXTDZ($A$1,$B80,AB$1,$B$1)</f>
        <v>3539.29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0.05</v>
      </c>
      <c r="Q82" s="55">
        <f>_xll.EQNXTDZ($A$1,$B82,Q$1,$B$1)</f>
        <v>883.63</v>
      </c>
      <c r="R82" s="55">
        <f>_xll.EQNXTDZ($A$1,$B82,R$1,$B$1)</f>
        <v>1302.1300000000001</v>
      </c>
      <c r="S82" s="55">
        <f>_xll.EQNXTDZ($A$1,$B82,S$1,$B$1)</f>
        <v>1376.98</v>
      </c>
      <c r="T82" s="55">
        <f>_xll.EQNXTDZ($A$1,$B82,T$1,$B$1)</f>
        <v>2351.88</v>
      </c>
      <c r="U82" s="55">
        <f>_xll.EQNXTDZ($A$1,$B82,U$1,$B$1)</f>
        <v>4935.2700000000004</v>
      </c>
      <c r="V82" s="55">
        <f>_xll.EQNXTDZ($A$1,$B82,V$1,$B$1)</f>
        <v>8685.43</v>
      </c>
      <c r="W82" s="55">
        <f>_xll.EQNXTDZ($A$1,$B82,W$1,$B$1)</f>
        <v>4999.4399999999996</v>
      </c>
      <c r="X82" s="55">
        <f>_xll.EQNXTDZ($A$1,$B82,X$1,$B$1)</f>
        <v>5477.74</v>
      </c>
      <c r="Y82" s="55">
        <f>_xll.EQNXTDZ($A$1,$B82,Y$1,$B$1)</f>
        <v>8906.86</v>
      </c>
      <c r="Z82" s="55">
        <f>_xll.EQNXTDZ($A$1,$B82,Z$1,$B$1)</f>
        <v>9618.1200000000008</v>
      </c>
      <c r="AA82" s="55">
        <f>_xll.EQNXTDZ($A$1,$B82,AA$1,$B$1)</f>
        <v>16674.12</v>
      </c>
      <c r="AB82" s="55">
        <f>_xll.EQNXTDZ($A$1,$B82,AB$1,$B$1)</f>
        <v>19841.68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15.45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0.05</v>
      </c>
      <c r="Q84" s="55">
        <f>_xll.EQNXTDZ($A$1,$B84,Q$1,$B$1)</f>
        <v>11492.4</v>
      </c>
      <c r="R84" s="55">
        <f>_xll.EQNXTDZ($A$1,$B84,R$1,$B$1)</f>
        <v>11745.68</v>
      </c>
      <c r="S84" s="55">
        <f>_xll.EQNXTDZ($A$1,$B84,S$1,$B$1)</f>
        <v>13087.74</v>
      </c>
      <c r="T84" s="55">
        <f>_xll.EQNXTDZ($A$1,$B84,T$1,$B$1)</f>
        <v>17873.689999999999</v>
      </c>
      <c r="U84" s="55">
        <f>_xll.EQNXTDZ($A$1,$B84,U$1,$B$1)</f>
        <v>32558.46</v>
      </c>
      <c r="V84" s="55">
        <f>_xll.EQNXTDZ($A$1,$B84,V$1,$B$1)</f>
        <v>39711.19</v>
      </c>
      <c r="W84" s="55">
        <f>_xll.EQNXTDZ($A$1,$B84,W$1,$B$1)</f>
        <v>43233.58</v>
      </c>
      <c r="X84" s="55">
        <f>_xll.EQNXTDZ($A$1,$B84,X$1,$B$1)</f>
        <v>47464.11</v>
      </c>
      <c r="Y84" s="55">
        <f>_xll.EQNXTDZ($A$1,$B84,Y$1,$B$1)</f>
        <v>53931.75</v>
      </c>
      <c r="Z84" s="55">
        <f>_xll.EQNXTDZ($A$1,$B84,Z$1,$B$1)</f>
        <v>58538.38</v>
      </c>
      <c r="AA84" s="55">
        <f>_xll.EQNXTDZ($A$1,$B84,AA$1,$B$1)</f>
        <v>73902.25</v>
      </c>
      <c r="AB84" s="55">
        <f>_xll.EQNXTDZ($A$1,$B84,AB$1,$B$1)</f>
        <v>92756.75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0.11</v>
      </c>
      <c r="T85" s="55">
        <f>_xll.EQNXTDZ($A$1,$B85,T$1,$B$1)</f>
        <v>10.49</v>
      </c>
      <c r="U85" s="55">
        <f>_xll.EQNXTDZ($A$1,$B85,U$1,$B$1)</f>
        <v>2374.5700000000002</v>
      </c>
      <c r="V85" s="55">
        <f>_xll.EQNXTDZ($A$1,$B85,V$1,$B$1)</f>
        <v>2037.15</v>
      </c>
      <c r="W85" s="55">
        <f>_xll.EQNXTDZ($A$1,$B85,W$1,$B$1)</f>
        <v>1942.25</v>
      </c>
      <c r="X85" s="55">
        <f>_xll.EQNXTDZ($A$1,$B85,X$1,$B$1)</f>
        <v>1939.78</v>
      </c>
      <c r="Y85" s="55">
        <f>_xll.EQNXTDZ($A$1,$B85,Y$1,$B$1)</f>
        <v>2184.9</v>
      </c>
      <c r="Z85" s="55">
        <f>_xll.EQNXTDZ($A$1,$B85,Z$1,$B$1)</f>
        <v>2367.56</v>
      </c>
      <c r="AA85" s="55">
        <f>_xll.EQNXTDZ($A$1,$B85,AA$1,$B$1)</f>
        <v>1795.05</v>
      </c>
      <c r="AB85" s="55">
        <f>_xll.EQNXTDZ($A$1,$B85,AB$1,$B$1)</f>
        <v>1799.21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313.89999999999998</v>
      </c>
      <c r="R86" s="55">
        <f>_xll.EQNXTDZ($A$1,$B86,R$1,$B$1)</f>
        <v>313.91000000000003</v>
      </c>
      <c r="S86" s="55">
        <f>_xll.EQNXTDZ($A$1,$B86,S$1,$B$1)</f>
        <v>320.33999999999997</v>
      </c>
      <c r="T86" s="55">
        <f>_xll.EQNXTDZ($A$1,$B86,T$1,$B$1)</f>
        <v>320.56</v>
      </c>
      <c r="U86" s="55">
        <f>_xll.EQNXTDZ($A$1,$B86,U$1,$B$1)</f>
        <v>590.14</v>
      </c>
      <c r="V86" s="55">
        <f>_xll.EQNXTDZ($A$1,$B86,V$1,$B$1)</f>
        <v>592.09</v>
      </c>
      <c r="W86" s="55">
        <f>_xll.EQNXTDZ($A$1,$B86,W$1,$B$1)</f>
        <v>592.88</v>
      </c>
      <c r="X86" s="55">
        <f>_xll.EQNXTDZ($A$1,$B86,X$1,$B$1)</f>
        <v>598.29</v>
      </c>
      <c r="Y86" s="55">
        <f>_xll.EQNXTDZ($A$1,$B86,Y$1,$B$1)</f>
        <v>598.29</v>
      </c>
      <c r="Z86" s="55">
        <f>_xll.EQNXTDZ($A$1,$B86,Z$1,$B$1)</f>
        <v>598.29</v>
      </c>
      <c r="AA86" s="55">
        <f>_xll.EQNXTDZ($A$1,$B86,AA$1,$B$1)</f>
        <v>598.29</v>
      </c>
      <c r="AB86" s="55">
        <f>_xll.EQNXTDZ($A$1,$B86,AB$1,$B$1)</f>
        <v>598.29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300</v>
      </c>
      <c r="T87" s="55">
        <f>_xll.EQNXTDZ($A$1,$B87,T$1,$B$1)</f>
        <v>574.86</v>
      </c>
      <c r="U87" s="55">
        <f>_xll.EQNXTDZ($A$1,$B87,U$1,$B$1)</f>
        <v>1141.52</v>
      </c>
      <c r="V87" s="55">
        <f>_xll.EQNXTDZ($A$1,$B87,V$1,$B$1)</f>
        <v>604.23</v>
      </c>
      <c r="W87" s="55">
        <f>_xll.EQNXTDZ($A$1,$B87,W$1,$B$1)</f>
        <v>312.77</v>
      </c>
      <c r="X87" s="55">
        <f>_xll.EQNXTDZ($A$1,$B87,X$1,$B$1)</f>
        <v>328.27</v>
      </c>
      <c r="Y87" s="55">
        <f>_xll.EQNXTDZ($A$1,$B87,Y$1,$B$1)</f>
        <v>383.63</v>
      </c>
      <c r="Z87" s="55">
        <f>_xll.EQNXTDZ($A$1,$B87,Z$1,$B$1)</f>
        <v>490.61</v>
      </c>
      <c r="AA87" s="55">
        <f>_xll.EQNXTDZ($A$1,$B87,AA$1,$B$1)</f>
        <v>405.47</v>
      </c>
      <c r="AB87" s="55">
        <f>_xll.EQNXTDZ($A$1,$B87,AB$1,$B$1)</f>
        <v>631.1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757.49</v>
      </c>
      <c r="R88" s="55">
        <f>_xll.EQNXTDZ($A$1,$B88,R$1,$B$1)</f>
        <v>597.04999999999995</v>
      </c>
      <c r="S88" s="55">
        <f>_xll.EQNXTDZ($A$1,$B88,S$1,$B$1)</f>
        <v>14.45</v>
      </c>
      <c r="T88" s="55">
        <f>_xll.EQNXTDZ($A$1,$B88,T$1,$B$1)</f>
        <v>72.790000000000006</v>
      </c>
      <c r="U88" s="55">
        <f>_xll.EQNXTDZ($A$1,$B88,U$1,$B$1)</f>
        <v>1048.26</v>
      </c>
      <c r="V88" s="55">
        <f>_xll.EQNXTDZ($A$1,$B88,V$1,$B$1)</f>
        <v>104.98</v>
      </c>
      <c r="W88" s="55">
        <f>_xll.EQNXTDZ($A$1,$B88,W$1,$B$1)</f>
        <v>866.95</v>
      </c>
      <c r="X88" s="55">
        <f>_xll.EQNXTDZ($A$1,$B88,X$1,$B$1)</f>
        <v>167.6</v>
      </c>
      <c r="Y88" s="55">
        <f>_xll.EQNXTDZ($A$1,$B88,Y$1,$B$1)</f>
        <v>238.2</v>
      </c>
      <c r="Z88" s="55">
        <f>_xll.EQNXTDZ($A$1,$B88,Z$1,$B$1)</f>
        <v>265.73</v>
      </c>
      <c r="AA88" s="55">
        <f>_xll.EQNXTDZ($A$1,$B88,AA$1,$B$1)</f>
        <v>726.37</v>
      </c>
      <c r="AB88" s="55">
        <f>_xll.EQNXTDZ($A$1,$B88,AB$1,$B$1)</f>
        <v>801.02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45.94</v>
      </c>
      <c r="R89" s="55">
        <f>_xll.EQNXTDZ($A$1,$B89,R$1,$B$1)</f>
        <v>48.7</v>
      </c>
      <c r="S89" s="55">
        <f>_xll.EQNXTDZ($A$1,$B89,S$1,$B$1)</f>
        <v>0</v>
      </c>
      <c r="T89" s="55">
        <f>_xll.EQNXTDZ($A$1,$B89,T$1,$B$1)</f>
        <v>175.48</v>
      </c>
      <c r="U89" s="55">
        <f>_xll.EQNXTDZ($A$1,$B89,U$1,$B$1)</f>
        <v>10.32</v>
      </c>
      <c r="V89" s="55">
        <f>_xll.EQNXTDZ($A$1,$B89,V$1,$B$1)</f>
        <v>11.06</v>
      </c>
      <c r="W89" s="55">
        <f>_xll.EQNXTDZ($A$1,$B89,W$1,$B$1)</f>
        <v>5.98</v>
      </c>
      <c r="X89" s="55">
        <f>_xll.EQNXTDZ($A$1,$B89,X$1,$B$1)</f>
        <v>89.25</v>
      </c>
      <c r="Y89" s="55">
        <f>_xll.EQNXTDZ($A$1,$B89,Y$1,$B$1)</f>
        <v>59.99</v>
      </c>
      <c r="Z89" s="55">
        <f>_xll.EQNXTDZ($A$1,$B89,Z$1,$B$1)</f>
        <v>145.04</v>
      </c>
      <c r="AA89" s="55">
        <f>_xll.EQNXTDZ($A$1,$B89,AA$1,$B$1)</f>
        <v>99.46</v>
      </c>
      <c r="AB89" s="55">
        <f>_xll.EQNXTDZ($A$1,$B89,AB$1,$B$1)</f>
        <v>10.51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313.89999999999998</v>
      </c>
      <c r="R91" s="55">
        <f>_xll.EQNXTDZ($A$1,$B91,R$1,$B$1)</f>
        <v>313.91000000000003</v>
      </c>
      <c r="S91" s="55">
        <f>_xll.EQNXTDZ($A$1,$B91,S$1,$B$1)</f>
        <v>320.33999999999997</v>
      </c>
      <c r="T91" s="55">
        <f>_xll.EQNXTDZ($A$1,$B91,T$1,$B$1)</f>
        <v>320.56</v>
      </c>
      <c r="U91" s="55">
        <f>_xll.EQNXTDZ($A$1,$B91,U$1,$B$1)</f>
        <v>590.14</v>
      </c>
      <c r="V91" s="55">
        <f>_xll.EQNXTDZ($A$1,$B91,V$1,$B$1)</f>
        <v>592.09</v>
      </c>
      <c r="W91" s="55">
        <f>_xll.EQNXTDZ($A$1,$B91,W$1,$B$1)</f>
        <v>592.88</v>
      </c>
      <c r="X91" s="55">
        <f>_xll.EQNXTDZ($A$1,$B91,X$1,$B$1)</f>
        <v>598.29</v>
      </c>
      <c r="Y91" s="55">
        <f>_xll.EQNXTDZ($A$1,$B91,Y$1,$B$1)</f>
        <v>598.29</v>
      </c>
      <c r="Z91" s="55">
        <f>_xll.EQNXTDZ($A$1,$B91,Z$1,$B$1)</f>
        <v>598.29</v>
      </c>
      <c r="AA91" s="55">
        <f>_xll.EQNXTDZ($A$1,$B91,AA$1,$B$1)</f>
        <v>598.29</v>
      </c>
      <c r="AB91" s="55">
        <f>_xll.EQNXTDZ($A$1,$B91,AB$1,$B$1)</f>
        <v>598.29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0.11</v>
      </c>
      <c r="T93" s="55">
        <f>_xll.EQNXTDZ($A$1,$B93,T$1,$B$1)</f>
        <v>10.49</v>
      </c>
      <c r="U93" s="55">
        <f>_xll.EQNXTDZ($A$1,$B93,U$1,$B$1)</f>
        <v>2374.5700000000002</v>
      </c>
      <c r="V93" s="55">
        <f>_xll.EQNXTDZ($A$1,$B93,V$1,$B$1)</f>
        <v>2037.15</v>
      </c>
      <c r="W93" s="55">
        <f>_xll.EQNXTDZ($A$1,$B93,W$1,$B$1)</f>
        <v>1942.25</v>
      </c>
      <c r="X93" s="55">
        <f>_xll.EQNXTDZ($A$1,$B93,X$1,$B$1)</f>
        <v>1939.78</v>
      </c>
      <c r="Y93" s="55">
        <f>_xll.EQNXTDZ($A$1,$B93,Y$1,$B$1)</f>
        <v>2184.9</v>
      </c>
      <c r="Z93" s="55">
        <f>_xll.EQNXTDZ($A$1,$B93,Z$1,$B$1)</f>
        <v>2367.56</v>
      </c>
      <c r="AA93" s="55">
        <f>_xll.EQNXTDZ($A$1,$B93,AA$1,$B$1)</f>
        <v>1795.05</v>
      </c>
      <c r="AB93" s="55">
        <f>_xll.EQNXTDZ($A$1,$B93,AB$1,$B$1)</f>
        <v>1799.21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0.05</v>
      </c>
      <c r="Q104" s="55">
        <f>_xll.EQNXTDZ($A$1,$B104,Q$1,$B$1)</f>
        <v>1090</v>
      </c>
      <c r="R104" s="55">
        <f>_xll.EQNXTDZ($A$1,$B104,R$1,$B$1)</f>
        <v>1099.81</v>
      </c>
      <c r="S104" s="55">
        <f>_xll.EQNXTDZ($A$1,$B104,S$1,$B$1)</f>
        <v>1099.81</v>
      </c>
      <c r="T104" s="55">
        <f>_xll.EQNXTDZ($A$1,$B104,T$1,$B$1)</f>
        <v>1099.81</v>
      </c>
      <c r="U104" s="55">
        <f>_xll.EQNXTDZ($A$1,$B104,U$1,$B$1)</f>
        <v>1099.81</v>
      </c>
      <c r="V104" s="55">
        <f>_xll.EQNXTDZ($A$1,$B104,V$1,$B$1)</f>
        <v>1099.81</v>
      </c>
      <c r="W104" s="55">
        <f>_xll.EQNXTDZ($A$1,$B104,W$1,$B$1)</f>
        <v>1099.81</v>
      </c>
      <c r="X104" s="55">
        <f>_xll.EQNXTDZ($A$1,$B104,X$1,$B$1)</f>
        <v>1099.81</v>
      </c>
      <c r="Y104" s="55">
        <f>_xll.EQNXTDZ($A$1,$B104,Y$1,$B$1)</f>
        <v>1115.49</v>
      </c>
      <c r="Z104" s="55">
        <f>_xll.EQNXTDZ($A$1,$B104,Z$1,$B$1)</f>
        <v>1115.49</v>
      </c>
      <c r="AA104" s="55">
        <f>_xll.EQNXTDZ($A$1,$B104,AA$1,$B$1)</f>
        <v>1201.28</v>
      </c>
      <c r="AB104" s="55">
        <f>_xll.EQNXTDZ($A$1,$B104,AB$1,$B$1)</f>
        <v>1201.28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34.299999999999997</v>
      </c>
      <c r="S106" s="55">
        <f>_xll.EQNXTDZ($A$1,$B106,S$1,$B$1)</f>
        <v>64.349999999999994</v>
      </c>
      <c r="T106" s="55">
        <f>_xll.EQNXTDZ($A$1,$B106,T$1,$B$1)</f>
        <v>191.25</v>
      </c>
      <c r="U106" s="55">
        <f>_xll.EQNXTDZ($A$1,$B106,U$1,$B$1)</f>
        <v>217.9</v>
      </c>
      <c r="V106" s="55">
        <f>_xll.EQNXTDZ($A$1,$B106,V$1,$B$1)</f>
        <v>188.75</v>
      </c>
      <c r="W106" s="55">
        <f>_xll.EQNXTDZ($A$1,$B106,W$1,$B$1)</f>
        <v>908.35</v>
      </c>
      <c r="X106" s="55">
        <f>_xll.EQNXTDZ($A$1,$B106,X$1,$B$1)</f>
        <v>2372.3000000000002</v>
      </c>
      <c r="Y106" s="55">
        <f>_xll.EQNXTDZ($A$1,$B106,Y$1,$B$1)</f>
        <v>997.9</v>
      </c>
      <c r="Z106" s="55">
        <f>_xll.EQNXTDZ($A$1,$B106,Z$1,$B$1)</f>
        <v>1025.8</v>
      </c>
      <c r="AA106" s="55">
        <f>_xll.EQNXTDZ($A$1,$B106,AA$1,$B$1)</f>
        <v>871.5</v>
      </c>
      <c r="AB106" s="55">
        <f>_xll.EQNXTDZ($A$1,$B106,AB$1,$B$1)</f>
        <v>934.2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42.6</v>
      </c>
      <c r="S107" s="55">
        <f>_xll.EQNXTDZ($A$1,$B107,S$1,$B$1)</f>
        <v>69.7</v>
      </c>
      <c r="T107" s="55">
        <f>_xll.EQNXTDZ($A$1,$B107,T$1,$B$1)</f>
        <v>252</v>
      </c>
      <c r="U107" s="55">
        <f>_xll.EQNXTDZ($A$1,$B107,U$1,$B$1)</f>
        <v>256.3</v>
      </c>
      <c r="V107" s="55">
        <f>_xll.EQNXTDZ($A$1,$B107,V$1,$B$1)</f>
        <v>365.8</v>
      </c>
      <c r="W107" s="55">
        <f>_xll.EQNXTDZ($A$1,$B107,W$1,$B$1)</f>
        <v>924.4</v>
      </c>
      <c r="X107" s="55">
        <f>_xll.EQNXTDZ($A$1,$B107,X$1,$B$1)</f>
        <v>2577.65</v>
      </c>
      <c r="Y107" s="55">
        <f>_xll.EQNXTDZ($A$1,$B107,Y$1,$B$1)</f>
        <v>4238.55</v>
      </c>
      <c r="Z107" s="55">
        <f>_xll.EQNXTDZ($A$1,$B107,Z$1,$B$1)</f>
        <v>1250</v>
      </c>
      <c r="AA107" s="55">
        <f>_xll.EQNXTDZ($A$1,$B107,AA$1,$B$1)</f>
        <v>1347.9</v>
      </c>
      <c r="AB107" s="55">
        <f>_xll.EQNXTDZ($A$1,$B107,AB$1,$B$1)</f>
        <v>1067.3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25.25</v>
      </c>
      <c r="S108" s="55">
        <f>_xll.EQNXTDZ($A$1,$B108,S$1,$B$1)</f>
        <v>28.35</v>
      </c>
      <c r="T108" s="55">
        <f>_xll.EQNXTDZ($A$1,$B108,T$1,$B$1)</f>
        <v>64.5</v>
      </c>
      <c r="U108" s="55">
        <f>_xll.EQNXTDZ($A$1,$B108,U$1,$B$1)</f>
        <v>115</v>
      </c>
      <c r="V108" s="55">
        <f>_xll.EQNXTDZ($A$1,$B108,V$1,$B$1)</f>
        <v>147.5</v>
      </c>
      <c r="W108" s="55">
        <f>_xll.EQNXTDZ($A$1,$B108,W$1,$B$1)</f>
        <v>167.2</v>
      </c>
      <c r="X108" s="55">
        <f>_xll.EQNXTDZ($A$1,$B108,X$1,$B$1)</f>
        <v>860.5</v>
      </c>
      <c r="Y108" s="55">
        <f>_xll.EQNXTDZ($A$1,$B108,Y$1,$B$1)</f>
        <v>630</v>
      </c>
      <c r="Z108" s="55">
        <f>_xll.EQNXTDZ($A$1,$B108,Z$1,$B$1)</f>
        <v>686.9</v>
      </c>
      <c r="AA108" s="55">
        <f>_xll.EQNXTDZ($A$1,$B108,AA$1,$B$1)</f>
        <v>588.25</v>
      </c>
      <c r="AB108" s="55">
        <f>_xll.EQNXTDZ($A$1,$B108,AB$1,$B$1)</f>
        <v>745.45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3772.3483000000001</v>
      </c>
      <c r="S109" s="55">
        <f>_xll.EQNXTDZ($A$1,$B109,S$1,$B$1)</f>
        <v>7077.2773500000003</v>
      </c>
      <c r="T109" s="55">
        <f>_xll.EQNXTDZ($A$1,$B109,T$1,$B$1)</f>
        <v>21033.866249999999</v>
      </c>
      <c r="U109" s="55">
        <f>_xll.EQNXTDZ($A$1,$B109,U$1,$B$1)</f>
        <v>23964.859899999999</v>
      </c>
      <c r="V109" s="55">
        <f>_xll.EQNXTDZ($A$1,$B109,V$1,$B$1)</f>
        <v>20758.91375</v>
      </c>
      <c r="W109" s="55">
        <f>_xll.EQNXTDZ($A$1,$B109,W$1,$B$1)</f>
        <v>99901.241349999997</v>
      </c>
      <c r="X109" s="55">
        <f>_xll.EQNXTDZ($A$1,$B109,X$1,$B$1)</f>
        <v>260907.92629999999</v>
      </c>
      <c r="Y109" s="55">
        <f>_xll.EQNXTDZ($A$1,$B109,Y$1,$B$1)</f>
        <v>111314.74709999999</v>
      </c>
      <c r="Z109" s="55">
        <f>_xll.EQNXTDZ($A$1,$B109,Z$1,$B$1)</f>
        <v>114426.9642</v>
      </c>
      <c r="AA109" s="55">
        <f>_xll.EQNXTDZ($A$1,$B109,AA$1,$B$1)</f>
        <v>104691.552</v>
      </c>
      <c r="AB109" s="55">
        <f>_xll.EQNXTDZ($A$1,$B109,AB$1,$B$1)</f>
        <v>112223.5776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75</v>
      </c>
      <c r="S112" s="56">
        <f>_xll.EQNXTDZ($A$1,$B112,S$5)</f>
        <v>74.92</v>
      </c>
      <c r="T112" s="56">
        <f>_xll.EQNXTDZ($A$1,$B112,T$5)</f>
        <v>74.92</v>
      </c>
      <c r="U112" s="56">
        <f>_xll.EQNXTDZ($A$1,$B112,U$5)</f>
        <v>74.92</v>
      </c>
      <c r="V112" s="56">
        <f>_xll.EQNXTDZ($A$1,$B112,V$5)</f>
        <v>74.92</v>
      </c>
      <c r="W112" s="56">
        <f>_xll.EQNXTDZ($A$1,$B112,W$5)</f>
        <v>74.92</v>
      </c>
      <c r="X112" s="56">
        <f>_xll.EQNXTDZ($A$1,$B112,X$5)</f>
        <v>74.92</v>
      </c>
      <c r="Y112" s="56">
        <f>_xll.EQNXTDZ($A$1,$B112,Y$5)</f>
        <v>71.650000000000006</v>
      </c>
      <c r="Z112" s="56">
        <f>_xll.EQNXTDZ($A$1,$B112,Z$5)</f>
        <v>73.22</v>
      </c>
      <c r="AA112" s="56">
        <f>_xll.EQNXTDZ($A$1,$B112,AA$5)</f>
        <v>69.94</v>
      </c>
      <c r="AB112" s="56">
        <f>_xll.EQNXTDZ($A$1,$B112,AB$5)</f>
        <v>72.73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22.69</v>
      </c>
      <c r="S113" s="56">
        <f>_xll.EQNXTDZ($A$1,$B113,S$5)</f>
        <v>30.99</v>
      </c>
      <c r="T113" s="56">
        <f>_xll.EQNXTDZ($A$1,$B113,T$5)</f>
        <v>22.92</v>
      </c>
      <c r="U113" s="56">
        <f>_xll.EQNXTDZ($A$1,$B113,U$5)</f>
        <v>52.02</v>
      </c>
      <c r="V113" s="56">
        <f>_xll.EQNXTDZ($A$1,$B113,V$5)</f>
        <v>53.63</v>
      </c>
      <c r="W113" s="56">
        <f>_xll.EQNXTDZ($A$1,$B113,W$5)</f>
        <v>12.02</v>
      </c>
      <c r="X113" s="56">
        <f>_xll.EQNXTDZ($A$1,$B113,X$5)</f>
        <v>6.74</v>
      </c>
      <c r="Y113" s="56">
        <f>_xll.EQNXTDZ($A$1,$B113,Y$5)</f>
        <v>3.75</v>
      </c>
      <c r="Z113" s="56">
        <f>_xll.EQNXTDZ($A$1,$B113,Z$5)</f>
        <v>2.58</v>
      </c>
      <c r="AA113" s="56">
        <f>_xll.EQNXTDZ($A$1,$B113,AA$5)</f>
        <v>0.81</v>
      </c>
      <c r="AB113" s="56">
        <f>_xll.EQNXTDZ($A$1,$B113,AB$5)</f>
        <v>0.54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271875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26.3</v>
      </c>
      <c r="AO6" cm="1">
        <f t="array" ref="AO6">_xll.EQNXTDZ($A$1,$B6,AO$1)</f>
        <v>28.45</v>
      </c>
      <c r="AP6" cm="1">
        <f t="array" ref="AP6">_xll.EQNXTDZ($A$1,$B6,AP$1)</f>
        <v>30.55</v>
      </c>
      <c r="AQ6" cm="1">
        <f t="array" ref="AQ6">_xll.EQNXTDZ($A$1,$B6,AQ$1)</f>
        <v>27.1</v>
      </c>
      <c r="AR6" cm="1">
        <f t="array" ref="AR6">_xll.EQNXTDZ($A$1,$B6,AR$1)</f>
        <v>36.5</v>
      </c>
      <c r="AS6" cm="1">
        <f t="array" ref="AS6">_xll.EQNXTDZ($A$1,$B6,AS$1)</f>
        <v>38.799999999999997</v>
      </c>
      <c r="AT6" cm="1">
        <f t="array" ref="AT6">_xll.EQNXTDZ($A$1,$B6,AT$1)</f>
        <v>36.950000000000003</v>
      </c>
      <c r="AU6" cm="1">
        <f t="array" ref="AU6">_xll.EQNXTDZ($A$1,$B6,AU$1)</f>
        <v>37.450000000000003</v>
      </c>
      <c r="AV6" cm="1">
        <f t="array" ref="AV6">_xll.EQNXTDZ($A$1,$B6,AV$1)</f>
        <v>26.7</v>
      </c>
      <c r="AW6" cm="1">
        <f t="array" ref="AW6">_xll.EQNXTDZ($A$1,$B6,AW$1)</f>
        <v>34.049999999999997</v>
      </c>
      <c r="AX6" cm="1">
        <f t="array" ref="AX6">_xll.EQNXTDZ($A$1,$B6,AX$1)</f>
        <v>31.95</v>
      </c>
      <c r="AY6" cm="1">
        <f t="array" ref="AY6">_xll.EQNXTDZ($A$1,$B6,AY$1)</f>
        <v>31.75</v>
      </c>
      <c r="AZ6" cm="1">
        <f t="array" ref="AZ6">_xll.EQNXTDZ($A$1,$B6,AZ$1)</f>
        <v>39.1</v>
      </c>
      <c r="BA6" cm="1">
        <f t="array" ref="BA6">_xll.EQNXTDZ($A$1,$B6,BA$1)</f>
        <v>39.299999999999997</v>
      </c>
      <c r="BB6" cm="1">
        <f t="array" ref="BB6">_xll.EQNXTDZ($A$1,$B6,BB$1)</f>
        <v>39.85</v>
      </c>
      <c r="BC6" cm="1">
        <f t="array" ref="BC6">_xll.EQNXTDZ($A$1,$B6,BC$1)</f>
        <v>38.1</v>
      </c>
      <c r="BD6" cm="1">
        <f t="array" ref="BD6">_xll.EQNXTDZ($A$1,$B6,BD$1)</f>
        <v>45.1</v>
      </c>
      <c r="BE6" cm="1">
        <f t="array" ref="BE6">_xll.EQNXTDZ($A$1,$B6,BE$1)</f>
        <v>58.9</v>
      </c>
      <c r="BF6" cm="1">
        <f t="array" ref="BF6">_xll.EQNXTDZ($A$1,$B6,BF$1)</f>
        <v>57</v>
      </c>
      <c r="BG6" cm="1">
        <f t="array" ref="BG6">_xll.EQNXTDZ($A$1,$B6,BG$1)</f>
        <v>63.7</v>
      </c>
      <c r="BH6" cm="1">
        <f t="array" ref="BH6">_xll.EQNXTDZ($A$1,$B6,BH$1)</f>
        <v>62.1</v>
      </c>
      <c r="BI6" cm="1">
        <f t="array" ref="BI6">_xll.EQNXTDZ($A$1,$B6,BI$1)</f>
        <v>64.650000000000006</v>
      </c>
      <c r="BJ6" cm="1">
        <f t="array" ref="BJ6">_xll.EQNXTDZ($A$1,$B6,BJ$1)</f>
        <v>78.25</v>
      </c>
      <c r="BK6" cm="1">
        <f t="array" ref="BK6">_xll.EQNXTDZ($A$1,$B6,BK$1)</f>
        <v>121.8</v>
      </c>
      <c r="BL6" cm="1">
        <f t="array" ref="BL6">_xll.EQNXTDZ($A$1,$B6,BL$1)</f>
        <v>124.7</v>
      </c>
      <c r="BM6" cm="1">
        <f t="array" ref="BM6">_xll.EQNXTDZ($A$1,$B6,BM$1)</f>
        <v>125.4</v>
      </c>
      <c r="BN6" cm="1">
        <f t="array" ref="BN6">_xll.EQNXTDZ($A$1,$B6,BN$1)</f>
        <v>127.5</v>
      </c>
      <c r="BO6" cm="1">
        <f t="array" ref="BO6">_xll.EQNXTDZ($A$1,$B6,BO$1)</f>
        <v>154.6</v>
      </c>
      <c r="BP6" cm="1">
        <f t="array" ref="BP6">_xll.EQNXTDZ($A$1,$B6,BP$1)</f>
        <v>201</v>
      </c>
      <c r="BQ6" cm="1">
        <f t="array" ref="BQ6">_xll.EQNXTDZ($A$1,$B6,BQ$1)</f>
        <v>180.7</v>
      </c>
      <c r="BR6" cm="1">
        <f t="array" ref="BR6">_xll.EQNXTDZ($A$1,$B6,BR$1)</f>
        <v>224.15</v>
      </c>
      <c r="BS6" cm="1">
        <f t="array" ref="BS6">_xll.EQNXTDZ($A$1,$B6,BS$1)</f>
        <v>210</v>
      </c>
      <c r="BT6" cm="1">
        <f t="array" ref="BT6">_xll.EQNXTDZ($A$1,$B6,BT$1)</f>
        <v>204.95</v>
      </c>
      <c r="BU6" cm="1">
        <f t="array" ref="BU6">_xll.EQNXTDZ($A$1,$B6,BU$1)</f>
        <v>191.55</v>
      </c>
      <c r="BV6" cm="1">
        <f t="array" ref="BV6">_xll.EQNXTDZ($A$1,$B6,BV$1)</f>
        <v>170.95</v>
      </c>
      <c r="BW6" cm="1">
        <f t="array" ref="BW6">_xll.EQNXTDZ($A$1,$B6,BW$1)</f>
        <v>136.1</v>
      </c>
      <c r="BX6" cm="1">
        <f t="array" ref="BX6">_xll.EQNXTDZ($A$1,$B6,BX$1)</f>
        <v>158.80000000000001</v>
      </c>
      <c r="BY6" cm="1">
        <f t="array" ref="BY6">_xll.EQNXTDZ($A$1,$B6,BY$1)</f>
        <v>170.4</v>
      </c>
      <c r="BZ6" cm="1">
        <f t="array" ref="BZ6">_xll.EQNXTDZ($A$1,$B6,BZ$1)</f>
        <v>229.9</v>
      </c>
      <c r="CA6" cm="1">
        <f t="array" ref="CA6">_xll.EQNXTDZ($A$1,$B6,CA$1)</f>
        <v>159</v>
      </c>
      <c r="CB6" cm="1">
        <f t="array" ref="CB6">_xll.EQNXTDZ($A$1,$B6,CB$1)</f>
        <v>168</v>
      </c>
      <c r="CC6" cm="1">
        <f t="array" ref="CC6">_xll.EQNXTDZ($A$1,$B6,CC$1)</f>
        <v>226.8</v>
      </c>
      <c r="CD6" cm="1">
        <f t="array" ref="CD6">_xll.EQNXTDZ($A$1,$B6,CD$1)</f>
        <v>199.2</v>
      </c>
      <c r="CE6" cm="1">
        <f t="array" ref="CE6">_xll.EQNXTDZ($A$1,$B6,CE$1)</f>
        <v>213.75</v>
      </c>
      <c r="CF6" cm="1">
        <f t="array" ref="CF6">_xll.EQNXTDZ($A$1,$B6,CF$1)</f>
        <v>207</v>
      </c>
      <c r="CG6" cm="1">
        <f t="array" ref="CG6">_xll.EQNXTDZ($A$1,$B6,CG$1)</f>
        <v>218.9</v>
      </c>
      <c r="CH6" cm="1">
        <f t="array" ref="CH6">_xll.EQNXTDZ($A$1,$B6,CH$1)</f>
        <v>219.9</v>
      </c>
      <c r="CI6" cm="1">
        <f t="array" ref="CI6">_xll.EQNXTDZ($A$1,$B6,CI$1)</f>
        <v>236.4</v>
      </c>
      <c r="CJ6" cm="1">
        <f t="array" ref="CJ6">_xll.EQNXTDZ($A$1,$B6,CJ$1)</f>
        <v>222</v>
      </c>
      <c r="CK6" cm="1">
        <f t="array" ref="CK6">_xll.EQNXTDZ($A$1,$B6,CK$1)</f>
        <v>205.4</v>
      </c>
      <c r="CL6" cm="1">
        <f t="array" ref="CL6">_xll.EQNXTDZ($A$1,$B6,CL$1)</f>
        <v>234.15</v>
      </c>
      <c r="CM6" cm="1">
        <f t="array" ref="CM6">_xll.EQNXTDZ($A$1,$B6,CM$1)</f>
        <v>228.95</v>
      </c>
      <c r="CN6" cm="1">
        <f t="array" ref="CN6">_xll.EQNXTDZ($A$1,$B6,CN$1)</f>
        <v>276.64999999999998</v>
      </c>
      <c r="CO6" cm="1">
        <f t="array" ref="CO6">_xll.EQNXTDZ($A$1,$B6,CO$1)</f>
        <v>313</v>
      </c>
      <c r="CP6" cm="1">
        <f t="array" ref="CP6">_xll.EQNXTDZ($A$1,$B6,CP$1)</f>
        <v>332.95</v>
      </c>
      <c r="CQ6" cm="1">
        <f t="array" ref="CQ6">_xll.EQNXTDZ($A$1,$B6,CQ$1)</f>
        <v>334</v>
      </c>
      <c r="CR6" cm="1">
        <f t="array" ref="CR6">_xll.EQNXTDZ($A$1,$B6,CR$1)</f>
        <v>259</v>
      </c>
      <c r="CS6" cm="1">
        <f t="array" ref="CS6">_xll.EQNXTDZ($A$1,$B6,CS$1)</f>
        <v>190.1</v>
      </c>
      <c r="CT6" cm="1">
        <f t="array" ref="CT6">_xll.EQNXTDZ($A$1,$B6,CT$1)</f>
        <v>198</v>
      </c>
      <c r="CU6" cm="1">
        <f t="array" ref="CU6">_xll.EQNXTDZ($A$1,$B6,CU$1)</f>
        <v>172</v>
      </c>
      <c r="CV6" cm="1">
        <f t="array" ref="CV6">_xll.EQNXTDZ($A$1,$B6,CV$1)</f>
        <v>259.95</v>
      </c>
      <c r="CW6" cm="1">
        <f t="array" ref="CW6">_xll.EQNXTDZ($A$1,$B6,CW$1)</f>
        <v>235</v>
      </c>
      <c r="CX6" cm="1">
        <f t="array" ref="CX6">_xll.EQNXTDZ($A$1,$B6,CX$1)</f>
        <v>259</v>
      </c>
      <c r="CY6" cm="1">
        <f t="array" ref="CY6">_xll.EQNXTDZ($A$1,$B6,CY$1)</f>
        <v>244.65</v>
      </c>
      <c r="CZ6" cm="1">
        <f t="array" ref="CZ6">_xll.EQNXTDZ($A$1,$B6,CZ$1)</f>
        <v>291.8</v>
      </c>
      <c r="DA6" cm="1">
        <f t="array" ref="DA6">_xll.EQNXTDZ($A$1,$B6,DA$1)</f>
        <v>379.85</v>
      </c>
      <c r="DB6" cm="1">
        <f t="array" ref="DB6">_xll.EQNXTDZ($A$1,$B6,DB$1)</f>
        <v>438.9</v>
      </c>
      <c r="DC6" cm="1">
        <f t="array" ref="DC6">_xll.EQNXTDZ($A$1,$B6,DC$1)</f>
        <v>465.55</v>
      </c>
      <c r="DD6" cm="1">
        <f t="array" ref="DD6">_xll.EQNXTDZ($A$1,$B6,DD$1)</f>
        <v>757.7</v>
      </c>
      <c r="DE6" cm="1">
        <f t="array" ref="DE6">_xll.EQNXTDZ($A$1,$B6,DE$1)</f>
        <v>923</v>
      </c>
      <c r="DF6" cm="1">
        <f t="array" ref="DF6">_xll.EQNXTDZ($A$1,$B6,DF$1)</f>
        <v>1020</v>
      </c>
      <c r="DG6" cm="1">
        <f t="array" ref="DG6">_xll.EQNXTDZ($A$1,$B6,DG$1)</f>
        <v>1489.9</v>
      </c>
      <c r="DH6" cm="1">
        <f t="array" ref="DH6">_xll.EQNXTDZ($A$1,$B6,DH$1)</f>
        <v>1006.5</v>
      </c>
      <c r="DI6" cm="1">
        <f t="array" ref="DI6">_xll.EQNXTDZ($A$1,$B6,DI$1)</f>
        <v>911.35</v>
      </c>
      <c r="DJ6" cm="1">
        <f t="array" ref="DJ6">_xll.EQNXTDZ($A$1,$B6,DJ$1)</f>
        <v>1659.6</v>
      </c>
      <c r="DK6" cm="1">
        <f t="array" ref="DK6">_xll.EQNXTDZ($A$1,$B6,DK$1)</f>
        <v>1558.5</v>
      </c>
      <c r="DL6" cm="1">
        <f t="array" ref="DL6">_xll.EQNXTDZ($A$1,$B6,DL$1)</f>
        <v>1783.9</v>
      </c>
      <c r="DM6" cm="1">
        <f t="array" ref="DM6">_xll.EQNXTDZ($A$1,$B6,DM$1)</f>
        <v>1709.55</v>
      </c>
      <c r="DN6" cm="1">
        <f t="array" ref="DN6">_xll.EQNXTDZ($A$1,$B6,DN$1)</f>
        <v>1735</v>
      </c>
      <c r="DO6" cm="1">
        <f t="array" ref="DO6">_xll.EQNXTDZ($A$1,$B6,DO$1)</f>
        <v>1931.5</v>
      </c>
      <c r="DP6" cm="1">
        <f t="array" ref="DP6">_xll.EQNXTDZ($A$1,$B6,DP$1)</f>
        <v>2111</v>
      </c>
      <c r="DQ6" cm="1">
        <f t="array" ref="DQ6">_xll.EQNXTDZ($A$1,$B6,DQ$1)</f>
        <v>2379.9499999999998</v>
      </c>
      <c r="DR6" cm="1">
        <f t="array" ref="DR6">_xll.EQNXTDZ($A$1,$B6,DR$1)</f>
        <v>2774</v>
      </c>
      <c r="DS6" cm="1">
        <f t="array" ref="DS6">_xll.EQNXTDZ($A$1,$B6,DS$1)</f>
        <v>2002</v>
      </c>
      <c r="DT6" cm="1">
        <f t="array" ref="DT6">_xll.EQNXTDZ($A$1,$B6,DT$1)</f>
        <v>2500</v>
      </c>
      <c r="DU6" cm="1">
        <f t="array" ref="DU6">_xll.EQNXTDZ($A$1,$B6,DU$1)</f>
        <v>3129.9</v>
      </c>
      <c r="DV6" cm="1">
        <f t="array" ref="DV6">_xll.EQNXTDZ($A$1,$B6,DV$1)</f>
        <v>3982</v>
      </c>
      <c r="DW6" cm="1">
        <f t="array" ref="DW6">_xll.EQNXTDZ($A$1,$B6,DW$1)</f>
        <v>3328.9</v>
      </c>
      <c r="DX6" cm="1">
        <f t="array" ref="DX6">_xll.EQNXTDZ($A$1,$B6,DX$1)</f>
        <v>3358.1</v>
      </c>
      <c r="DY6" cm="1">
        <f t="array" ref="DY6">_xll.EQNXTDZ($A$1,$B6,DY$1)</f>
        <v>2971.6</v>
      </c>
      <c r="DZ6" cm="1">
        <f t="array" ref="DZ6">_xll.EQNXTDZ($A$1,$B6,DZ$1)</f>
        <v>2609.6</v>
      </c>
      <c r="EA6" cm="1">
        <f t="array" ref="EA6">_xll.EQNXTDZ($A$1,$B6,EA$1)</f>
        <v>1809.5</v>
      </c>
      <c r="EB6" cm="1">
        <f t="array" ref="EB6">_xll.EQNXTDZ($A$1,$B6,EB$1)</f>
        <v>631.5</v>
      </c>
      <c r="EC6" cm="1">
        <f t="array" ref="EC6">_xll.EQNXTDZ($A$1,$B6,EC$1)</f>
        <v>997</v>
      </c>
      <c r="ED6" cm="1">
        <f t="array" ref="ED6">_xll.EQNXTDZ($A$1,$B6,ED$1)</f>
        <v>1022</v>
      </c>
      <c r="EE6" cm="1">
        <f t="array" ref="EE6">_xll.EQNXTDZ($A$1,$B6,EE$1)</f>
        <v>815.5</v>
      </c>
      <c r="EF6" cm="1">
        <f t="array" ref="EF6">_xll.EQNXTDZ($A$1,$B6,EF$1)</f>
        <v>782</v>
      </c>
      <c r="EG6" cm="1">
        <f t="array" ref="EG6">_xll.EQNXTDZ($A$1,$B6,EG$1)</f>
        <v>823.7</v>
      </c>
      <c r="EH6" cm="1">
        <f t="array" ref="EH6">_xll.EQNXTDZ($A$1,$B6,EH$1)</f>
        <v>803.85</v>
      </c>
      <c r="EI6" cm="1">
        <f t="array" ref="EI6">_xll.EQNXTDZ($A$1,$B6,EI$1)</f>
        <v>815.9</v>
      </c>
      <c r="EJ6" cm="1">
        <f t="array" ref="EJ6">_xll.EQNXTDZ($A$1,$B6,EJ$1)</f>
        <v>769.8</v>
      </c>
      <c r="EK6" cm="1">
        <f t="array" ref="EK6">_xll.EQNXTDZ($A$1,$B6,EK$1)</f>
        <v>872.65</v>
      </c>
      <c r="EL6" cm="1">
        <f t="array" ref="EL6">_xll.EQNXTDZ($A$1,$B6,EL$1)</f>
        <v>1040</v>
      </c>
      <c r="EM6" cm="1">
        <f t="array" ref="EM6">_xll.EQNXTDZ($A$1,$B6,EM$1)</f>
        <v>1073</v>
      </c>
      <c r="EN6" cm="1">
        <f t="array" ref="EN6">_xll.EQNXTDZ($A$1,$B6,EN$1)</f>
        <v>1075</v>
      </c>
      <c r="EO6" cm="1">
        <f t="array" ref="EO6">_xll.EQNXTDZ($A$1,$B6,EO$1)</f>
        <v>1047.0999999999999</v>
      </c>
      <c r="EP6" cm="1">
        <f t="array" ref="EP6">_xll.EQNXTDZ($A$1,$B6,EP$1)</f>
        <v>1065.2</v>
      </c>
      <c r="EQ6" cm="1">
        <f t="array" ref="EQ6">_xll.EQNXTDZ($A$1,$B6,EQ$1)</f>
        <v>1249</v>
      </c>
      <c r="ER6" cm="1">
        <f t="array" ref="ER6">_xll.EQNXTDZ($A$1,$B6,ER$1)</f>
        <v>1003.65</v>
      </c>
      <c r="ES6" cm="1">
        <f t="array" ref="ES6">_xll.EQNXTDZ($A$1,$B6,ES$1)</f>
        <v>1120</v>
      </c>
      <c r="ET6" cm="1">
        <f t="array" ref="ET6">_xll.EQNXTDZ($A$1,$B6,ET$1)</f>
        <v>1017</v>
      </c>
      <c r="EU6" cm="1">
        <f t="array" ref="EU6">_xll.EQNXTDZ($A$1,$B6,EU$1)</f>
        <v>1013.95</v>
      </c>
      <c r="EV6" cm="1">
        <f t="array" ref="EV6">_xll.EQNXTDZ($A$1,$B6,EV$1)</f>
        <v>981.85</v>
      </c>
      <c r="EW6" cm="1">
        <f t="array" ref="EW6">_xll.EQNXTDZ($A$1,$B6,EW$1)</f>
        <v>844.9</v>
      </c>
      <c r="EX6" cm="1">
        <f t="array" ref="EX6">_xll.EQNXTDZ($A$1,$B6,EX$1)</f>
        <v>808.8</v>
      </c>
      <c r="EY6" cm="1">
        <f t="array" ref="EY6">_xll.EQNXTDZ($A$1,$B6,EY$1)</f>
        <v>756</v>
      </c>
      <c r="EZ6" cm="1">
        <f t="array" ref="EZ6">_xll.EQNXTDZ($A$1,$B6,EZ$1)</f>
        <v>652.54999999999995</v>
      </c>
      <c r="FA6" cm="1">
        <f t="array" ref="FA6">_xll.EQNXTDZ($A$1,$B6,FA$1)</f>
        <v>857.4</v>
      </c>
      <c r="FB6" cm="1">
        <f t="array" ref="FB6">_xll.EQNXTDZ($A$1,$B6,FB$1)</f>
        <v>900.05</v>
      </c>
      <c r="FC6" cm="1">
        <f t="array" ref="FC6">_xll.EQNXTDZ($A$1,$B6,FC$1)</f>
        <v>874.8</v>
      </c>
      <c r="FD6" cm="1">
        <f t="array" ref="FD6">_xll.EQNXTDZ($A$1,$B6,FD$1)</f>
        <v>884</v>
      </c>
      <c r="FE6" cm="1">
        <f t="array" ref="FE6">_xll.EQNXTDZ($A$1,$B6,FE$1)</f>
        <v>810.1</v>
      </c>
      <c r="FF6" cm="1">
        <f t="array" ref="FF6">_xll.EQNXTDZ($A$1,$B6,FF$1)</f>
        <v>770.15</v>
      </c>
      <c r="FG6" cm="1">
        <f t="array" ref="FG6">_xll.EQNXTDZ($A$1,$B6,FG$1)</f>
        <v>876.4</v>
      </c>
      <c r="FH6" cm="1">
        <f t="array" ref="FH6">_xll.EQNXTDZ($A$1,$B6,FH$1)</f>
        <v>987</v>
      </c>
      <c r="FI6" cm="1">
        <f t="array" ref="FI6">_xll.EQNXTDZ($A$1,$B6,FI$1)</f>
        <v>999</v>
      </c>
      <c r="FJ6" cm="1">
        <f t="array" ref="FJ6">_xll.EQNXTDZ($A$1,$B6,FJ$1)</f>
        <v>1029</v>
      </c>
      <c r="FK6" cm="1">
        <f t="array" ref="FK6">_xll.EQNXTDZ($A$1,$B6,FK$1)</f>
        <v>885.6</v>
      </c>
      <c r="FL6" cm="1">
        <f t="array" ref="FL6">_xll.EQNXTDZ($A$1,$B6,FL$1)</f>
        <v>961</v>
      </c>
      <c r="FM6" cm="1">
        <f t="array" ref="FM6">_xll.EQNXTDZ($A$1,$B6,FM$1)</f>
        <v>953.95</v>
      </c>
      <c r="FN6" cm="1">
        <f t="array" ref="FN6">_xll.EQNXTDZ($A$1,$B6,FN$1)</f>
        <v>1357</v>
      </c>
      <c r="FO6" cm="1">
        <f t="array" ref="FO6">_xll.EQNXTDZ($A$1,$B6,FO$1)</f>
        <v>1521.8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27.6</v>
      </c>
      <c r="AO7" s="116" cm="1">
        <f t="array" ref="AO7">_xll.EQNXTDZ($A$1,$B7,AO$1)</f>
        <v>42.8</v>
      </c>
      <c r="AP7" s="116" cm="1">
        <f t="array" ref="AP7">_xll.EQNXTDZ($A$1,$B7,AP$1)</f>
        <v>30.6</v>
      </c>
      <c r="AQ7" s="116" cm="1">
        <f t="array" ref="AQ7">_xll.EQNXTDZ($A$1,$B7,AQ$1)</f>
        <v>41.15</v>
      </c>
      <c r="AR7" s="116" cm="1">
        <f t="array" ref="AR7">_xll.EQNXTDZ($A$1,$B7,AR$1)</f>
        <v>40.5</v>
      </c>
      <c r="AS7" s="116" cm="1">
        <f t="array" ref="AS7">_xll.EQNXTDZ($A$1,$B7,AS$1)</f>
        <v>39.5</v>
      </c>
      <c r="AT7" s="116" cm="1">
        <f t="array" ref="AT7">_xll.EQNXTDZ($A$1,$B7,AT$1)</f>
        <v>42.7</v>
      </c>
      <c r="AU7" s="116" cm="1">
        <f t="array" ref="AU7">_xll.EQNXTDZ($A$1,$B7,AU$1)</f>
        <v>39.85</v>
      </c>
      <c r="AV7" s="116" cm="1">
        <f t="array" ref="AV7">_xll.EQNXTDZ($A$1,$B7,AV$1)</f>
        <v>35.35</v>
      </c>
      <c r="AW7" s="116" cm="1">
        <f t="array" ref="AW7">_xll.EQNXTDZ($A$1,$B7,AW$1)</f>
        <v>36.5</v>
      </c>
      <c r="AX7" s="116" cm="1">
        <f t="array" ref="AX7">_xll.EQNXTDZ($A$1,$B7,AX$1)</f>
        <v>33.25</v>
      </c>
      <c r="AY7" s="116" cm="1">
        <f t="array" ref="AY7">_xll.EQNXTDZ($A$1,$B7,AY$1)</f>
        <v>40.5</v>
      </c>
      <c r="AZ7" s="116" cm="1">
        <f t="array" ref="AZ7">_xll.EQNXTDZ($A$1,$B7,AZ$1)</f>
        <v>42.8</v>
      </c>
      <c r="BA7" s="116" cm="1">
        <f t="array" ref="BA7">_xll.EQNXTDZ($A$1,$B7,BA$1)</f>
        <v>42.6</v>
      </c>
      <c r="BB7" s="116" cm="1">
        <f t="array" ref="BB7">_xll.EQNXTDZ($A$1,$B7,BB$1)</f>
        <v>42.8</v>
      </c>
      <c r="BC7" s="116" cm="1">
        <f t="array" ref="BC7">_xll.EQNXTDZ($A$1,$B7,BC$1)</f>
        <v>46.35</v>
      </c>
      <c r="BD7" s="116" cm="1">
        <f t="array" ref="BD7">_xll.EQNXTDZ($A$1,$B7,BD$1)</f>
        <v>66.25</v>
      </c>
      <c r="BE7" s="116" cm="1">
        <f t="array" ref="BE7">_xll.EQNXTDZ($A$1,$B7,BE$1)</f>
        <v>62.3</v>
      </c>
      <c r="BF7" s="116" cm="1">
        <f t="array" ref="BF7">_xll.EQNXTDZ($A$1,$B7,BF$1)</f>
        <v>68.5</v>
      </c>
      <c r="BG7" s="116" cm="1">
        <f t="array" ref="BG7">_xll.EQNXTDZ($A$1,$B7,BG$1)</f>
        <v>69.7</v>
      </c>
      <c r="BH7" s="116" cm="1">
        <f t="array" ref="BH7">_xll.EQNXTDZ($A$1,$B7,BH$1)</f>
        <v>67.2</v>
      </c>
      <c r="BI7" s="116" cm="1">
        <f t="array" ref="BI7">_xll.EQNXTDZ($A$1,$B7,BI$1)</f>
        <v>96.2</v>
      </c>
      <c r="BJ7" s="116" cm="1">
        <f t="array" ref="BJ7">_xll.EQNXTDZ($A$1,$B7,BJ$1)</f>
        <v>121.05</v>
      </c>
      <c r="BK7" s="116" cm="1">
        <f t="array" ref="BK7">_xll.EQNXTDZ($A$1,$B7,BK$1)</f>
        <v>137.19999999999999</v>
      </c>
      <c r="BL7" s="116" cm="1">
        <f t="array" ref="BL7">_xll.EQNXTDZ($A$1,$B7,BL$1)</f>
        <v>135.5</v>
      </c>
      <c r="BM7" s="116" cm="1">
        <f t="array" ref="BM7">_xll.EQNXTDZ($A$1,$B7,BM$1)</f>
        <v>131.44999999999999</v>
      </c>
      <c r="BN7" s="116" cm="1">
        <f t="array" ref="BN7">_xll.EQNXTDZ($A$1,$B7,BN$1)</f>
        <v>156</v>
      </c>
      <c r="BO7" s="116" cm="1">
        <f t="array" ref="BO7">_xll.EQNXTDZ($A$1,$B7,BO$1)</f>
        <v>237</v>
      </c>
      <c r="BP7" s="116" cm="1">
        <f t="array" ref="BP7">_xll.EQNXTDZ($A$1,$B7,BP$1)</f>
        <v>222</v>
      </c>
      <c r="BQ7" s="116" cm="1">
        <f t="array" ref="BQ7">_xll.EQNXTDZ($A$1,$B7,BQ$1)</f>
        <v>248</v>
      </c>
      <c r="BR7" s="116" cm="1">
        <f t="array" ref="BR7">_xll.EQNXTDZ($A$1,$B7,BR$1)</f>
        <v>254.2</v>
      </c>
      <c r="BS7" s="116" cm="1">
        <f t="array" ref="BS7">_xll.EQNXTDZ($A$1,$B7,BS$1)</f>
        <v>219</v>
      </c>
      <c r="BT7" s="116" cm="1">
        <f t="array" ref="BT7">_xll.EQNXTDZ($A$1,$B7,BT$1)</f>
        <v>208.9</v>
      </c>
      <c r="BU7" s="116" cm="1">
        <f t="array" ref="BU7">_xll.EQNXTDZ($A$1,$B7,BU$1)</f>
        <v>199.25</v>
      </c>
      <c r="BV7" s="116" cm="1">
        <f t="array" ref="BV7">_xll.EQNXTDZ($A$1,$B7,BV$1)</f>
        <v>174.75</v>
      </c>
      <c r="BW7" s="116" cm="1">
        <f t="array" ref="BW7">_xll.EQNXTDZ($A$1,$B7,BW$1)</f>
        <v>169.9</v>
      </c>
      <c r="BX7" s="116" cm="1">
        <f t="array" ref="BX7">_xll.EQNXTDZ($A$1,$B7,BX$1)</f>
        <v>184.2</v>
      </c>
      <c r="BY7" s="116" cm="1">
        <f t="array" ref="BY7">_xll.EQNXTDZ($A$1,$B7,BY$1)</f>
        <v>244.9</v>
      </c>
      <c r="BZ7" s="116" cm="1">
        <f t="array" ref="BZ7">_xll.EQNXTDZ($A$1,$B7,BZ$1)</f>
        <v>231.15</v>
      </c>
      <c r="CA7" s="116" cm="1">
        <f t="array" ref="CA7">_xll.EQNXTDZ($A$1,$B7,CA$1)</f>
        <v>174</v>
      </c>
      <c r="CB7" s="116" cm="1">
        <f t="array" ref="CB7">_xll.EQNXTDZ($A$1,$B7,CB$1)</f>
        <v>256.3</v>
      </c>
      <c r="CC7" s="116" cm="1">
        <f t="array" ref="CC7">_xll.EQNXTDZ($A$1,$B7,CC$1)</f>
        <v>228</v>
      </c>
      <c r="CD7" s="116" cm="1">
        <f t="array" ref="CD7">_xll.EQNXTDZ($A$1,$B7,CD$1)</f>
        <v>231.85</v>
      </c>
      <c r="CE7" s="116" cm="1">
        <f t="array" ref="CE7">_xll.EQNXTDZ($A$1,$B7,CE$1)</f>
        <v>224.9</v>
      </c>
      <c r="CF7" s="116" cm="1">
        <f t="array" ref="CF7">_xll.EQNXTDZ($A$1,$B7,CF$1)</f>
        <v>244.3</v>
      </c>
      <c r="CG7" s="116" cm="1">
        <f t="array" ref="CG7">_xll.EQNXTDZ($A$1,$B7,CG$1)</f>
        <v>232.85</v>
      </c>
      <c r="CH7" s="116" cm="1">
        <f t="array" ref="CH7">_xll.EQNXTDZ($A$1,$B7,CH$1)</f>
        <v>252.7</v>
      </c>
      <c r="CI7" s="116" cm="1">
        <f t="array" ref="CI7">_xll.EQNXTDZ($A$1,$B7,CI$1)</f>
        <v>239.8</v>
      </c>
      <c r="CJ7" s="116" cm="1">
        <f t="array" ref="CJ7">_xll.EQNXTDZ($A$1,$B7,CJ$1)</f>
        <v>244.3</v>
      </c>
      <c r="CK7" s="116" cm="1">
        <f t="array" ref="CK7">_xll.EQNXTDZ($A$1,$B7,CK$1)</f>
        <v>241</v>
      </c>
      <c r="CL7" s="116" cm="1">
        <f t="array" ref="CL7">_xll.EQNXTDZ($A$1,$B7,CL$1)</f>
        <v>246.8</v>
      </c>
      <c r="CM7" s="116" cm="1">
        <f t="array" ref="CM7">_xll.EQNXTDZ($A$1,$B7,CM$1)</f>
        <v>279.8</v>
      </c>
      <c r="CN7" s="116" cm="1">
        <f t="array" ref="CN7">_xll.EQNXTDZ($A$1,$B7,CN$1)</f>
        <v>317.5</v>
      </c>
      <c r="CO7" s="116" cm="1">
        <f t="array" ref="CO7">_xll.EQNXTDZ($A$1,$B7,CO$1)</f>
        <v>350.95</v>
      </c>
      <c r="CP7" s="116" cm="1">
        <f t="array" ref="CP7">_xll.EQNXTDZ($A$1,$B7,CP$1)</f>
        <v>366.4</v>
      </c>
      <c r="CQ7" s="116" cm="1">
        <f t="array" ref="CQ7">_xll.EQNXTDZ($A$1,$B7,CQ$1)</f>
        <v>347.95</v>
      </c>
      <c r="CR7" s="116" cm="1">
        <f t="array" ref="CR7">_xll.EQNXTDZ($A$1,$B7,CR$1)</f>
        <v>274.05</v>
      </c>
      <c r="CS7" s="116" cm="1">
        <f t="array" ref="CS7">_xll.EQNXTDZ($A$1,$B7,CS$1)</f>
        <v>213</v>
      </c>
      <c r="CT7" s="116" cm="1">
        <f t="array" ref="CT7">_xll.EQNXTDZ($A$1,$B7,CT$1)</f>
        <v>207.8</v>
      </c>
      <c r="CU7" s="116" cm="1">
        <f t="array" ref="CU7">_xll.EQNXTDZ($A$1,$B7,CU$1)</f>
        <v>280.7</v>
      </c>
      <c r="CV7" s="116" cm="1">
        <f t="array" ref="CV7">_xll.EQNXTDZ($A$1,$B7,CV$1)</f>
        <v>271.89999999999998</v>
      </c>
      <c r="CW7" s="116" cm="1">
        <f t="array" ref="CW7">_xll.EQNXTDZ($A$1,$B7,CW$1)</f>
        <v>303</v>
      </c>
      <c r="CX7" s="116" cm="1">
        <f t="array" ref="CX7">_xll.EQNXTDZ($A$1,$B7,CX$1)</f>
        <v>282.39999999999998</v>
      </c>
      <c r="CY7" s="116" cm="1">
        <f t="array" ref="CY7">_xll.EQNXTDZ($A$1,$B7,CY$1)</f>
        <v>299.5</v>
      </c>
      <c r="CZ7" s="116" cm="1">
        <f t="array" ref="CZ7">_xll.EQNXTDZ($A$1,$B7,CZ$1)</f>
        <v>407.7</v>
      </c>
      <c r="DA7" s="116" cm="1">
        <f t="array" ref="DA7">_xll.EQNXTDZ($A$1,$B7,DA$1)</f>
        <v>455.15</v>
      </c>
      <c r="DB7" s="116" cm="1">
        <f t="array" ref="DB7">_xll.EQNXTDZ($A$1,$B7,DB$1)</f>
        <v>489.4</v>
      </c>
      <c r="DC7" s="116" cm="1">
        <f t="array" ref="DC7">_xll.EQNXTDZ($A$1,$B7,DC$1)</f>
        <v>820</v>
      </c>
      <c r="DD7" s="116" cm="1">
        <f t="array" ref="DD7">_xll.EQNXTDZ($A$1,$B7,DD$1)</f>
        <v>920</v>
      </c>
      <c r="DE7" s="116" cm="1">
        <f t="array" ref="DE7">_xll.EQNXTDZ($A$1,$B7,DE$1)</f>
        <v>1144.7</v>
      </c>
      <c r="DF7" s="116" cm="1">
        <f t="array" ref="DF7">_xll.EQNXTDZ($A$1,$B7,DF$1)</f>
        <v>1590</v>
      </c>
      <c r="DG7" s="116" cm="1">
        <f t="array" ref="DG7">_xll.EQNXTDZ($A$1,$B7,DG$1)</f>
        <v>1644.95</v>
      </c>
      <c r="DH7" s="116" cm="1">
        <f t="array" ref="DH7">_xll.EQNXTDZ($A$1,$B7,DH$1)</f>
        <v>1029.2</v>
      </c>
      <c r="DI7" s="116" cm="1">
        <f t="array" ref="DI7">_xll.EQNXTDZ($A$1,$B7,DI$1)</f>
        <v>1580.6</v>
      </c>
      <c r="DJ7" s="116" cm="1">
        <f t="array" ref="DJ7">_xll.EQNXTDZ($A$1,$B7,DJ$1)</f>
        <v>1990</v>
      </c>
      <c r="DK7" s="116" cm="1">
        <f t="array" ref="DK7">_xll.EQNXTDZ($A$1,$B7,DK$1)</f>
        <v>1899.95</v>
      </c>
      <c r="DL7" s="116" cm="1">
        <f t="array" ref="DL7">_xll.EQNXTDZ($A$1,$B7,DL$1)</f>
        <v>2045</v>
      </c>
      <c r="DM7" s="116" cm="1">
        <f t="array" ref="DM7">_xll.EQNXTDZ($A$1,$B7,DM$1)</f>
        <v>1915</v>
      </c>
      <c r="DN7" s="116" cm="1">
        <f t="array" ref="DN7">_xll.EQNXTDZ($A$1,$B7,DN$1)</f>
        <v>2141</v>
      </c>
      <c r="DO7" s="116" cm="1">
        <f t="array" ref="DO7">_xll.EQNXTDZ($A$1,$B7,DO$1)</f>
        <v>2134.4499999999998</v>
      </c>
      <c r="DP7" s="116" cm="1">
        <f t="array" ref="DP7">_xll.EQNXTDZ($A$1,$B7,DP$1)</f>
        <v>2583.9</v>
      </c>
      <c r="DQ7" s="116" cm="1">
        <f t="array" ref="DQ7">_xll.EQNXTDZ($A$1,$B7,DQ$1)</f>
        <v>3000</v>
      </c>
      <c r="DR7" s="116" cm="1">
        <f t="array" ref="DR7">_xll.EQNXTDZ($A$1,$B7,DR$1)</f>
        <v>2871.25</v>
      </c>
      <c r="DS7" s="116" cm="1">
        <f t="array" ref="DS7">_xll.EQNXTDZ($A$1,$B7,DS$1)</f>
        <v>2499.9</v>
      </c>
      <c r="DT7" s="116" cm="1">
        <f t="array" ref="DT7">_xll.EQNXTDZ($A$1,$B7,DT$1)</f>
        <v>3137.95</v>
      </c>
      <c r="DU7" s="116" cm="1">
        <f t="array" ref="DU7">_xll.EQNXTDZ($A$1,$B7,DU$1)</f>
        <v>4048</v>
      </c>
      <c r="DV7" s="116" cm="1">
        <f t="array" ref="DV7">_xll.EQNXTDZ($A$1,$B7,DV$1)</f>
        <v>4236.75</v>
      </c>
      <c r="DW7" s="116" cm="1">
        <f t="array" ref="DW7">_xll.EQNXTDZ($A$1,$B7,DW$1)</f>
        <v>3420</v>
      </c>
      <c r="DX7" s="116" cm="1">
        <f t="array" ref="DX7">_xll.EQNXTDZ($A$1,$B7,DX$1)</f>
        <v>3385</v>
      </c>
      <c r="DY7" s="116" cm="1">
        <f t="array" ref="DY7">_xll.EQNXTDZ($A$1,$B7,DY$1)</f>
        <v>2995</v>
      </c>
      <c r="DZ7" s="116" cm="1">
        <f t="array" ref="DZ7">_xll.EQNXTDZ($A$1,$B7,DZ$1)</f>
        <v>2799.95</v>
      </c>
      <c r="EA7" s="116" cm="1">
        <f t="array" ref="EA7">_xll.EQNXTDZ($A$1,$B7,EA$1)</f>
        <v>1825</v>
      </c>
      <c r="EB7" s="116" cm="1">
        <f t="array" ref="EB7">_xll.EQNXTDZ($A$1,$B7,EB$1)</f>
        <v>1168.3</v>
      </c>
      <c r="EC7" s="116" cm="1">
        <f t="array" ref="EC7">_xll.EQNXTDZ($A$1,$B7,EC$1)</f>
        <v>1099</v>
      </c>
      <c r="ED7" s="116" cm="1">
        <f t="array" ref="ED7">_xll.EQNXTDZ($A$1,$B7,ED$1)</f>
        <v>1077.7</v>
      </c>
      <c r="EE7" s="116" cm="1">
        <f t="array" ref="EE7">_xll.EQNXTDZ($A$1,$B7,EE$1)</f>
        <v>848.75</v>
      </c>
      <c r="EF7" s="116" cm="1">
        <f t="array" ref="EF7">_xll.EQNXTDZ($A$1,$B7,EF$1)</f>
        <v>843</v>
      </c>
      <c r="EG7" s="116" cm="1">
        <f t="array" ref="EG7">_xll.EQNXTDZ($A$1,$B7,EG$1)</f>
        <v>976.95</v>
      </c>
      <c r="EH7" s="116" cm="1">
        <f t="array" ref="EH7">_xll.EQNXTDZ($A$1,$B7,EH$1)</f>
        <v>888.75</v>
      </c>
      <c r="EI7" s="116" cm="1">
        <f t="array" ref="EI7">_xll.EQNXTDZ($A$1,$B7,EI$1)</f>
        <v>826.95</v>
      </c>
      <c r="EJ7" s="116" cm="1">
        <f t="array" ref="EJ7">_xll.EQNXTDZ($A$1,$B7,EJ$1)</f>
        <v>954.9</v>
      </c>
      <c r="EK7" s="116" cm="1">
        <f t="array" ref="EK7">_xll.EQNXTDZ($A$1,$B7,EK$1)</f>
        <v>1246</v>
      </c>
      <c r="EL7" s="116" cm="1">
        <f t="array" ref="EL7">_xll.EQNXTDZ($A$1,$B7,EL$1)</f>
        <v>1250</v>
      </c>
      <c r="EM7" s="116" cm="1">
        <f t="array" ref="EM7">_xll.EQNXTDZ($A$1,$B7,EM$1)</f>
        <v>1190.5999999999999</v>
      </c>
      <c r="EN7" s="116" cm="1">
        <f t="array" ref="EN7">_xll.EQNXTDZ($A$1,$B7,EN$1)</f>
        <v>1095</v>
      </c>
      <c r="EO7" s="116" cm="1">
        <f t="array" ref="EO7">_xll.EQNXTDZ($A$1,$B7,EO$1)</f>
        <v>1128.8499999999999</v>
      </c>
      <c r="EP7" s="116" cm="1">
        <f t="array" ref="EP7">_xll.EQNXTDZ($A$1,$B7,EP$1)</f>
        <v>1154.8</v>
      </c>
      <c r="EQ7" s="116" cm="1">
        <f t="array" ref="EQ7">_xll.EQNXTDZ($A$1,$B7,EQ$1)</f>
        <v>1249.4000000000001</v>
      </c>
      <c r="ER7" s="116" cm="1">
        <f t="array" ref="ER7">_xll.EQNXTDZ($A$1,$B7,ER$1)</f>
        <v>1168.8</v>
      </c>
      <c r="ES7" s="116" cm="1">
        <f t="array" ref="ES7">_xll.EQNXTDZ($A$1,$B7,ES$1)</f>
        <v>1348</v>
      </c>
      <c r="ET7" s="116" cm="1">
        <f t="array" ref="ET7">_xll.EQNXTDZ($A$1,$B7,ET$1)</f>
        <v>1068</v>
      </c>
      <c r="EU7" s="116" cm="1">
        <f t="array" ref="EU7">_xll.EQNXTDZ($A$1,$B7,EU$1)</f>
        <v>1053.45</v>
      </c>
      <c r="EV7" s="116" cm="1">
        <f t="array" ref="EV7">_xll.EQNXTDZ($A$1,$B7,EV$1)</f>
        <v>1090.95</v>
      </c>
      <c r="EW7" s="116" cm="1">
        <f t="array" ref="EW7">_xll.EQNXTDZ($A$1,$B7,EW$1)</f>
        <v>855.85</v>
      </c>
      <c r="EX7" s="116" cm="1">
        <f t="array" ref="EX7">_xll.EQNXTDZ($A$1,$B7,EX$1)</f>
        <v>833.15</v>
      </c>
      <c r="EY7" s="116" cm="1">
        <f t="array" ref="EY7">_xll.EQNXTDZ($A$1,$B7,EY$1)</f>
        <v>788.2</v>
      </c>
      <c r="EZ7" s="116" cm="1">
        <f t="array" ref="EZ7">_xll.EQNXTDZ($A$1,$B7,EZ$1)</f>
        <v>894.9</v>
      </c>
      <c r="FA7" s="116" cm="1">
        <f t="array" ref="FA7">_xll.EQNXTDZ($A$1,$B7,FA$1)</f>
        <v>981</v>
      </c>
      <c r="FB7" s="116" cm="1">
        <f t="array" ref="FB7">_xll.EQNXTDZ($A$1,$B7,FB$1)</f>
        <v>980.85</v>
      </c>
      <c r="FC7" s="116" cm="1">
        <f t="array" ref="FC7">_xll.EQNXTDZ($A$1,$B7,FC$1)</f>
        <v>924.35</v>
      </c>
      <c r="FD7" s="116" cm="1">
        <f t="array" ref="FD7">_xll.EQNXTDZ($A$1,$B7,FD$1)</f>
        <v>907.7</v>
      </c>
      <c r="FE7" s="116" cm="1">
        <f t="array" ref="FE7">_xll.EQNXTDZ($A$1,$B7,FE$1)</f>
        <v>831.9</v>
      </c>
      <c r="FF7" s="116" cm="1">
        <f t="array" ref="FF7">_xll.EQNXTDZ($A$1,$B7,FF$1)</f>
        <v>957.9</v>
      </c>
      <c r="FG7" s="116" cm="1">
        <f t="array" ref="FG7">_xll.EQNXTDZ($A$1,$B7,FG$1)</f>
        <v>1004</v>
      </c>
      <c r="FH7" s="116" cm="1">
        <f t="array" ref="FH7">_xll.EQNXTDZ($A$1,$B7,FH$1)</f>
        <v>1050</v>
      </c>
      <c r="FI7" s="116" cm="1">
        <f t="array" ref="FI7">_xll.EQNXTDZ($A$1,$B7,FI$1)</f>
        <v>1033</v>
      </c>
      <c r="FJ7" s="116" cm="1">
        <f t="array" ref="FJ7">_xll.EQNXTDZ($A$1,$B7,FJ$1)</f>
        <v>1067.7</v>
      </c>
      <c r="FK7" s="116" cm="1">
        <f t="array" ref="FK7">_xll.EQNXTDZ($A$1,$B7,FK$1)</f>
        <v>1051.8</v>
      </c>
      <c r="FL7" s="116" cm="1">
        <f t="array" ref="FL7">_xll.EQNXTDZ($A$1,$B7,FL$1)</f>
        <v>1043.8</v>
      </c>
      <c r="FM7" s="116" cm="1">
        <f t="array" ref="FM7">_xll.EQNXTDZ($A$1,$B7,FM$1)</f>
        <v>1463.65</v>
      </c>
      <c r="FN7" s="116" cm="1">
        <f t="array" ref="FN7">_xll.EQNXTDZ($A$1,$B7,FN$1)</f>
        <v>1578.5</v>
      </c>
      <c r="FO7" s="116" cm="1">
        <f t="array" ref="FO7">_xll.EQNXTDZ($A$1,$B7,FO$1)</f>
        <v>1614.8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42.8</v>
      </c>
      <c r="IC7" s="116">
        <f>+MAX(AQ7:AS7)</f>
        <v>41.15</v>
      </c>
      <c r="ID7" s="116">
        <f>+MAX(AT7:AV7)</f>
        <v>42.7</v>
      </c>
      <c r="IE7" s="116">
        <f>+MAX(AW7:AY7)</f>
        <v>40.5</v>
      </c>
      <c r="IF7" s="116">
        <f>+MAX(AZ7:BB7)</f>
        <v>42.8</v>
      </c>
      <c r="IG7" s="116">
        <f>+MAX(BC7:BE7)</f>
        <v>66.25</v>
      </c>
      <c r="IH7" s="116">
        <f>+MAX(BF7:BH7)</f>
        <v>69.7</v>
      </c>
      <c r="II7" s="116">
        <f>+MAX(BI7:BK7)</f>
        <v>137.19999999999999</v>
      </c>
      <c r="IJ7" s="116">
        <f>+MAX(BL7:BN7)</f>
        <v>156</v>
      </c>
      <c r="IK7" s="116">
        <f>+MAX(BO7:BQ7)</f>
        <v>248</v>
      </c>
      <c r="IL7" s="116">
        <f>+MAX(BR7:BT7)</f>
        <v>254.2</v>
      </c>
      <c r="IM7" s="116">
        <f>+MAX(BU7:BW7)</f>
        <v>199.25</v>
      </c>
      <c r="IN7" s="116">
        <f>+MAX(BX7:BZ7)</f>
        <v>244.9</v>
      </c>
      <c r="IO7" s="116">
        <f>+MAX(CA7:CC7)</f>
        <v>256.3</v>
      </c>
      <c r="IP7" s="116">
        <f>+MAX(CD7:CF7)</f>
        <v>244.3</v>
      </c>
      <c r="IQ7" s="116">
        <f>+MAX(CG7:CI7)</f>
        <v>252.7</v>
      </c>
      <c r="IR7" s="116">
        <f>+MAX(CJ7:CL7)</f>
        <v>246.8</v>
      </c>
      <c r="IS7" s="116">
        <f>+MAX(CM7:CO7)</f>
        <v>350.95</v>
      </c>
      <c r="IT7" s="116">
        <f>+MAX(CP7:CR7)</f>
        <v>366.4</v>
      </c>
      <c r="IU7" s="116">
        <f>+MAX(CS7:CU7)</f>
        <v>280.7</v>
      </c>
      <c r="IV7" s="116">
        <f>+MAX(CV7:CX7)</f>
        <v>303</v>
      </c>
      <c r="IW7" s="116">
        <f>+MAX(CY7:DA7)</f>
        <v>455.15</v>
      </c>
      <c r="IX7" s="116">
        <f>+MAX(DB7:DD7)</f>
        <v>920</v>
      </c>
      <c r="IY7" s="116">
        <f>+MAX(DE7:DG7)</f>
        <v>1644.95</v>
      </c>
      <c r="IZ7" s="116">
        <f>+MAX(DH7:DJ7)</f>
        <v>1990</v>
      </c>
      <c r="JA7" s="116">
        <f>+MAX(DK7:DM7)</f>
        <v>2045</v>
      </c>
      <c r="JB7" s="116">
        <f>+MAX(DN7:DP7)</f>
        <v>2583.9</v>
      </c>
      <c r="JC7" s="116">
        <f>+MAX(DQ7:DS7)</f>
        <v>3000</v>
      </c>
      <c r="JD7" s="116">
        <f>+MAX(DT7:DV7)</f>
        <v>4236.75</v>
      </c>
      <c r="JE7" s="116">
        <f>+MAX(DW7:DY7)</f>
        <v>3420</v>
      </c>
      <c r="JF7" s="116">
        <f>+MAX(DZ7:EB7)</f>
        <v>2799.95</v>
      </c>
      <c r="JG7" s="116">
        <f>+MAX(EC7:EE7)</f>
        <v>1099</v>
      </c>
      <c r="JH7" s="116">
        <f>+MAX(EF7:EH7)</f>
        <v>976.95</v>
      </c>
      <c r="JI7" s="116">
        <f>+MAX(EI7:EK7)</f>
        <v>1246</v>
      </c>
      <c r="JJ7" s="116">
        <f>+MAX(EL7:EN7)</f>
        <v>1250</v>
      </c>
      <c r="JK7" s="116">
        <f>MAX(EO7:EQ7)</f>
        <v>1249.4000000000001</v>
      </c>
      <c r="JL7" s="116">
        <f>MAX(ER7:ET7)</f>
        <v>1348</v>
      </c>
      <c r="JM7" s="116">
        <f>MAX(EU7:EW7)</f>
        <v>1090.95</v>
      </c>
      <c r="JN7" s="116">
        <f>MAX(EX7:EZ7)</f>
        <v>894.9</v>
      </c>
      <c r="JO7" s="116">
        <f>MAX(FA7:FC7)</f>
        <v>981</v>
      </c>
      <c r="JP7" s="116">
        <f>MAX(FD7:FF7)</f>
        <v>957.9</v>
      </c>
      <c r="JQ7" s="116">
        <f>MAX(FG7:FI7)</f>
        <v>1050</v>
      </c>
      <c r="JR7" s="116">
        <f>MAX(FJ7:FL7)</f>
        <v>1067.7</v>
      </c>
      <c r="JS7" s="116">
        <f>MAX(FM7:FO7)</f>
        <v>1614.8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26</v>
      </c>
      <c r="AO8" s="116" cm="1">
        <f t="array" ref="AO8">_xll.EQNXTDZ($A$1,$B8,AO$1)</f>
        <v>27.7</v>
      </c>
      <c r="AP8" s="116" cm="1">
        <f t="array" ref="AP8">_xll.EQNXTDZ($A$1,$B8,AP$1)</f>
        <v>25</v>
      </c>
      <c r="AQ8" s="116" cm="1">
        <f t="array" ref="AQ8">_xll.EQNXTDZ($A$1,$B8,AQ$1)</f>
        <v>26.55</v>
      </c>
      <c r="AR8" s="116" cm="1">
        <f t="array" ref="AR8">_xll.EQNXTDZ($A$1,$B8,AR$1)</f>
        <v>31.6</v>
      </c>
      <c r="AS8" s="116" cm="1">
        <f t="array" ref="AS8">_xll.EQNXTDZ($A$1,$B8,AS$1)</f>
        <v>32.85</v>
      </c>
      <c r="AT8" s="116" cm="1">
        <f t="array" ref="AT8">_xll.EQNXTDZ($A$1,$B8,AT$1)</f>
        <v>29.7</v>
      </c>
      <c r="AU8" s="116" cm="1">
        <f t="array" ref="AU8">_xll.EQNXTDZ($A$1,$B8,AU$1)</f>
        <v>26.3</v>
      </c>
      <c r="AV8" s="116" cm="1">
        <f t="array" ref="AV8">_xll.EQNXTDZ($A$1,$B8,AV$1)</f>
        <v>26.6</v>
      </c>
      <c r="AW8" s="116" cm="1">
        <f t="array" ref="AW8">_xll.EQNXTDZ($A$1,$B8,AW$1)</f>
        <v>31.25</v>
      </c>
      <c r="AX8" s="116" cm="1">
        <f t="array" ref="AX8">_xll.EQNXTDZ($A$1,$B8,AX$1)</f>
        <v>28.5</v>
      </c>
      <c r="AY8" s="116" cm="1">
        <f t="array" ref="AY8">_xll.EQNXTDZ($A$1,$B8,AY$1)</f>
        <v>30.75</v>
      </c>
      <c r="AZ8" s="116" cm="1">
        <f t="array" ref="AZ8">_xll.EQNXTDZ($A$1,$B8,AZ$1)</f>
        <v>36</v>
      </c>
      <c r="BA8" s="116" cm="1">
        <f t="array" ref="BA8">_xll.EQNXTDZ($A$1,$B8,BA$1)</f>
        <v>37.15</v>
      </c>
      <c r="BB8" s="116" cm="1">
        <f t="array" ref="BB8">_xll.EQNXTDZ($A$1,$B8,BB$1)</f>
        <v>36.35</v>
      </c>
      <c r="BC8" s="116" cm="1">
        <f t="array" ref="BC8">_xll.EQNXTDZ($A$1,$B8,BC$1)</f>
        <v>38.1</v>
      </c>
      <c r="BD8" s="116" cm="1">
        <f t="array" ref="BD8">_xll.EQNXTDZ($A$1,$B8,BD$1)</f>
        <v>39.85</v>
      </c>
      <c r="BE8" s="116" cm="1">
        <f t="array" ref="BE8">_xll.EQNXTDZ($A$1,$B8,BE$1)</f>
        <v>51.15</v>
      </c>
      <c r="BF8" s="116" cm="1">
        <f t="array" ref="BF8">_xll.EQNXTDZ($A$1,$B8,BF$1)</f>
        <v>56.3</v>
      </c>
      <c r="BG8" s="116" cm="1">
        <f t="array" ref="BG8">_xll.EQNXTDZ($A$1,$B8,BG$1)</f>
        <v>59</v>
      </c>
      <c r="BH8" s="116" cm="1">
        <f t="array" ref="BH8">_xll.EQNXTDZ($A$1,$B8,BH$1)</f>
        <v>61.35</v>
      </c>
      <c r="BI8" s="116" cm="1">
        <f t="array" ref="BI8">_xll.EQNXTDZ($A$1,$B8,BI$1)</f>
        <v>64.2</v>
      </c>
      <c r="BJ8" s="116" cm="1">
        <f t="array" ref="BJ8">_xll.EQNXTDZ($A$1,$B8,BJ$1)</f>
        <v>70.900000000000006</v>
      </c>
      <c r="BK8" s="116" cm="1">
        <f t="array" ref="BK8">_xll.EQNXTDZ($A$1,$B8,BK$1)</f>
        <v>108.05</v>
      </c>
      <c r="BL8" s="116" cm="1">
        <f t="array" ref="BL8">_xll.EQNXTDZ($A$1,$B8,BL$1)</f>
        <v>119.5</v>
      </c>
      <c r="BM8" s="116" cm="1">
        <f t="array" ref="BM8">_xll.EQNXTDZ($A$1,$B8,BM$1)</f>
        <v>105</v>
      </c>
      <c r="BN8" s="116" cm="1">
        <f t="array" ref="BN8">_xll.EQNXTDZ($A$1,$B8,BN$1)</f>
        <v>120.7</v>
      </c>
      <c r="BO8" s="116" cm="1">
        <f t="array" ref="BO8">_xll.EQNXTDZ($A$1,$B8,BO$1)</f>
        <v>153.15</v>
      </c>
      <c r="BP8" s="116" cm="1">
        <f t="array" ref="BP8">_xll.EQNXTDZ($A$1,$B8,BP$1)</f>
        <v>181.3</v>
      </c>
      <c r="BQ8" s="116" cm="1">
        <f t="array" ref="BQ8">_xll.EQNXTDZ($A$1,$B8,BQ$1)</f>
        <v>165.85</v>
      </c>
      <c r="BR8" s="116" cm="1">
        <f t="array" ref="BR8">_xll.EQNXTDZ($A$1,$B8,BR$1)</f>
        <v>206.55</v>
      </c>
      <c r="BS8" s="116" cm="1">
        <f t="array" ref="BS8">_xll.EQNXTDZ($A$1,$B8,BS$1)</f>
        <v>177.05</v>
      </c>
      <c r="BT8" s="116" cm="1">
        <f t="array" ref="BT8">_xll.EQNXTDZ($A$1,$B8,BT$1)</f>
        <v>155.65</v>
      </c>
      <c r="BU8" s="116" cm="1">
        <f t="array" ref="BU8">_xll.EQNXTDZ($A$1,$B8,BU$1)</f>
        <v>165.8</v>
      </c>
      <c r="BV8" s="116" cm="1">
        <f t="array" ref="BV8">_xll.EQNXTDZ($A$1,$B8,BV$1)</f>
        <v>115.7</v>
      </c>
      <c r="BW8" s="116" cm="1">
        <f t="array" ref="BW8">_xll.EQNXTDZ($A$1,$B8,BW$1)</f>
        <v>125.1</v>
      </c>
      <c r="BX8" s="116" cm="1">
        <f t="array" ref="BX8">_xll.EQNXTDZ($A$1,$B8,BX$1)</f>
        <v>145.1</v>
      </c>
      <c r="BY8" s="116" cm="1">
        <f t="array" ref="BY8">_xll.EQNXTDZ($A$1,$B8,BY$1)</f>
        <v>158.55000000000001</v>
      </c>
      <c r="BZ8" s="116" cm="1">
        <f t="array" ref="BZ8">_xll.EQNXTDZ($A$1,$B8,BZ$1)</f>
        <v>160.4</v>
      </c>
      <c r="CA8" s="116" cm="1">
        <f t="array" ref="CA8">_xll.EQNXTDZ($A$1,$B8,CA$1)</f>
        <v>141</v>
      </c>
      <c r="CB8" s="116" cm="1">
        <f t="array" ref="CB8">_xll.EQNXTDZ($A$1,$B8,CB$1)</f>
        <v>166.25</v>
      </c>
      <c r="CC8" s="116" cm="1">
        <f t="array" ref="CC8">_xll.EQNXTDZ($A$1,$B8,CC$1)</f>
        <v>195</v>
      </c>
      <c r="CD8" s="116" cm="1">
        <f t="array" ref="CD8">_xll.EQNXTDZ($A$1,$B8,CD$1)</f>
        <v>196.1</v>
      </c>
      <c r="CE8" s="116" cm="1">
        <f t="array" ref="CE8">_xll.EQNXTDZ($A$1,$B8,CE$1)</f>
        <v>191.45</v>
      </c>
      <c r="CF8" s="116" cm="1">
        <f t="array" ref="CF8">_xll.EQNXTDZ($A$1,$B8,CF$1)</f>
        <v>202.95</v>
      </c>
      <c r="CG8" s="116" cm="1">
        <f t="array" ref="CG8">_xll.EQNXTDZ($A$1,$B8,CG$1)</f>
        <v>210.65</v>
      </c>
      <c r="CH8" s="116" cm="1">
        <f t="array" ref="CH8">_xll.EQNXTDZ($A$1,$B8,CH$1)</f>
        <v>202.3</v>
      </c>
      <c r="CI8" s="116" cm="1">
        <f t="array" ref="CI8">_xll.EQNXTDZ($A$1,$B8,CI$1)</f>
        <v>202.4</v>
      </c>
      <c r="CJ8" s="116" cm="1">
        <f t="array" ref="CJ8">_xll.EQNXTDZ($A$1,$B8,CJ$1)</f>
        <v>198</v>
      </c>
      <c r="CK8" s="116" cm="1">
        <f t="array" ref="CK8">_xll.EQNXTDZ($A$1,$B8,CK$1)</f>
        <v>192</v>
      </c>
      <c r="CL8" s="116" cm="1">
        <f t="array" ref="CL8">_xll.EQNXTDZ($A$1,$B8,CL$1)</f>
        <v>215.2</v>
      </c>
      <c r="CM8" s="116" cm="1">
        <f t="array" ref="CM8">_xll.EQNXTDZ($A$1,$B8,CM$1)</f>
        <v>220.05</v>
      </c>
      <c r="CN8" s="116" cm="1">
        <f t="array" ref="CN8">_xll.EQNXTDZ($A$1,$B8,CN$1)</f>
        <v>256.45</v>
      </c>
      <c r="CO8" s="116" cm="1">
        <f t="array" ref="CO8">_xll.EQNXTDZ($A$1,$B8,CO$1)</f>
        <v>303.89999999999998</v>
      </c>
      <c r="CP8" s="116" cm="1">
        <f t="array" ref="CP8">_xll.EQNXTDZ($A$1,$B8,CP$1)</f>
        <v>316.60000000000002</v>
      </c>
      <c r="CQ8" s="116" cm="1">
        <f t="array" ref="CQ8">_xll.EQNXTDZ($A$1,$B8,CQ$1)</f>
        <v>225</v>
      </c>
      <c r="CR8" s="116" cm="1">
        <f t="array" ref="CR8">_xll.EQNXTDZ($A$1,$B8,CR$1)</f>
        <v>147.5</v>
      </c>
      <c r="CS8" s="116" cm="1">
        <f t="array" ref="CS8">_xll.EQNXTDZ($A$1,$B8,CS$1)</f>
        <v>180</v>
      </c>
      <c r="CT8" s="116" cm="1">
        <f t="array" ref="CT8">_xll.EQNXTDZ($A$1,$B8,CT$1)</f>
        <v>170.4</v>
      </c>
      <c r="CU8" s="116" cm="1">
        <f t="array" ref="CU8">_xll.EQNXTDZ($A$1,$B8,CU$1)</f>
        <v>167</v>
      </c>
      <c r="CV8" s="116" cm="1">
        <f t="array" ref="CV8">_xll.EQNXTDZ($A$1,$B8,CV$1)</f>
        <v>221.5</v>
      </c>
      <c r="CW8" s="116" cm="1">
        <f t="array" ref="CW8">_xll.EQNXTDZ($A$1,$B8,CW$1)</f>
        <v>226.7</v>
      </c>
      <c r="CX8" s="116" cm="1">
        <f t="array" ref="CX8">_xll.EQNXTDZ($A$1,$B8,CX$1)</f>
        <v>231.65</v>
      </c>
      <c r="CY8" s="116" cm="1">
        <f t="array" ref="CY8">_xll.EQNXTDZ($A$1,$B8,CY$1)</f>
        <v>244</v>
      </c>
      <c r="CZ8" s="116" cm="1">
        <f t="array" ref="CZ8">_xll.EQNXTDZ($A$1,$B8,CZ$1)</f>
        <v>284.05</v>
      </c>
      <c r="DA8" s="116" cm="1">
        <f t="array" ref="DA8">_xll.EQNXTDZ($A$1,$B8,DA$1)</f>
        <v>372.05</v>
      </c>
      <c r="DB8" s="116" cm="1">
        <f t="array" ref="DB8">_xll.EQNXTDZ($A$1,$B8,DB$1)</f>
        <v>397.15</v>
      </c>
      <c r="DC8" s="116" cm="1">
        <f t="array" ref="DC8">_xll.EQNXTDZ($A$1,$B8,DC$1)</f>
        <v>456.9</v>
      </c>
      <c r="DD8" s="116" cm="1">
        <f t="array" ref="DD8">_xll.EQNXTDZ($A$1,$B8,DD$1)</f>
        <v>714</v>
      </c>
      <c r="DE8" s="116" cm="1">
        <f t="array" ref="DE8">_xll.EQNXTDZ($A$1,$B8,DE$1)</f>
        <v>860.1</v>
      </c>
      <c r="DF8" s="116" cm="1">
        <f t="array" ref="DF8">_xll.EQNXTDZ($A$1,$B8,DF$1)</f>
        <v>1017</v>
      </c>
      <c r="DG8" s="116" cm="1">
        <f t="array" ref="DG8">_xll.EQNXTDZ($A$1,$B8,DG$1)</f>
        <v>1059.45</v>
      </c>
      <c r="DH8" s="116" cm="1">
        <f t="array" ref="DH8">_xll.EQNXTDZ($A$1,$B8,DH$1)</f>
        <v>863</v>
      </c>
      <c r="DI8" s="116" cm="1">
        <f t="array" ref="DI8">_xll.EQNXTDZ($A$1,$B8,DI$1)</f>
        <v>885</v>
      </c>
      <c r="DJ8" s="116" cm="1">
        <f t="array" ref="DJ8">_xll.EQNXTDZ($A$1,$B8,DJ$1)</f>
        <v>1482.8</v>
      </c>
      <c r="DK8" s="116" cm="1">
        <f t="array" ref="DK8">_xll.EQNXTDZ($A$1,$B8,DK$1)</f>
        <v>1525</v>
      </c>
      <c r="DL8" s="116" cm="1">
        <f t="array" ref="DL8">_xll.EQNXTDZ($A$1,$B8,DL$1)</f>
        <v>1705</v>
      </c>
      <c r="DM8" s="116" cm="1">
        <f t="array" ref="DM8">_xll.EQNXTDZ($A$1,$B8,DM$1)</f>
        <v>1650.25</v>
      </c>
      <c r="DN8" s="116" cm="1">
        <f t="array" ref="DN8">_xll.EQNXTDZ($A$1,$B8,DN$1)</f>
        <v>1700</v>
      </c>
      <c r="DO8" s="116" cm="1">
        <f t="array" ref="DO8">_xll.EQNXTDZ($A$1,$B8,DO$1)</f>
        <v>1810.1</v>
      </c>
      <c r="DP8" s="116" cm="1">
        <f t="array" ref="DP8">_xll.EQNXTDZ($A$1,$B8,DP$1)</f>
        <v>2111</v>
      </c>
      <c r="DQ8" s="116" cm="1">
        <f t="array" ref="DQ8">_xll.EQNXTDZ($A$1,$B8,DQ$1)</f>
        <v>2355.1</v>
      </c>
      <c r="DR8" s="116" cm="1">
        <f t="array" ref="DR8">_xll.EQNXTDZ($A$1,$B8,DR$1)</f>
        <v>1983.6</v>
      </c>
      <c r="DS8" s="116" cm="1">
        <f t="array" ref="DS8">_xll.EQNXTDZ($A$1,$B8,DS$1)</f>
        <v>1870.55</v>
      </c>
      <c r="DT8" s="116" cm="1">
        <f t="array" ref="DT8">_xll.EQNXTDZ($A$1,$B8,DT$1)</f>
        <v>2226.3000000000002</v>
      </c>
      <c r="DU8" s="116" cm="1">
        <f t="array" ref="DU8">_xll.EQNXTDZ($A$1,$B8,DU$1)</f>
        <v>3100.8</v>
      </c>
      <c r="DV8" s="116" cm="1">
        <f t="array" ref="DV8">_xll.EQNXTDZ($A$1,$B8,DV$1)</f>
        <v>3232</v>
      </c>
      <c r="DW8" s="116" cm="1">
        <f t="array" ref="DW8">_xll.EQNXTDZ($A$1,$B8,DW$1)</f>
        <v>2972.35</v>
      </c>
      <c r="DX8" s="116" cm="1">
        <f t="array" ref="DX8">_xll.EQNXTDZ($A$1,$B8,DX$1)</f>
        <v>2704</v>
      </c>
      <c r="DY8" s="116" cm="1">
        <f t="array" ref="DY8">_xll.EQNXTDZ($A$1,$B8,DY$1)</f>
        <v>2181.5</v>
      </c>
      <c r="DZ8" s="116" cm="1">
        <f t="array" ref="DZ8">_xll.EQNXTDZ($A$1,$B8,DZ$1)</f>
        <v>1557.05</v>
      </c>
      <c r="EA8" s="116" cm="1">
        <f t="array" ref="EA8">_xll.EQNXTDZ($A$1,$B8,EA$1)</f>
        <v>642.9</v>
      </c>
      <c r="EB8" s="116" cm="1">
        <f t="array" ref="EB8">_xll.EQNXTDZ($A$1,$B8,EB$1)</f>
        <v>631.5</v>
      </c>
      <c r="EC8" s="116" cm="1">
        <f t="array" ref="EC8">_xll.EQNXTDZ($A$1,$B8,EC$1)</f>
        <v>896.25</v>
      </c>
      <c r="ED8" s="116" cm="1">
        <f t="array" ref="ED8">_xll.EQNXTDZ($A$1,$B8,ED$1)</f>
        <v>714.05</v>
      </c>
      <c r="EE8" s="116" cm="1">
        <f t="array" ref="EE8">_xll.EQNXTDZ($A$1,$B8,EE$1)</f>
        <v>738</v>
      </c>
      <c r="EF8" s="116" cm="1">
        <f t="array" ref="EF8">_xll.EQNXTDZ($A$1,$B8,EF$1)</f>
        <v>738.4</v>
      </c>
      <c r="EG8" s="116" cm="1">
        <f t="array" ref="EG8">_xll.EQNXTDZ($A$1,$B8,EG$1)</f>
        <v>780.1</v>
      </c>
      <c r="EH8" s="116" cm="1">
        <f t="array" ref="EH8">_xll.EQNXTDZ($A$1,$B8,EH$1)</f>
        <v>791.05</v>
      </c>
      <c r="EI8" s="116" cm="1">
        <f t="array" ref="EI8">_xll.EQNXTDZ($A$1,$B8,EI$1)</f>
        <v>686</v>
      </c>
      <c r="EJ8" s="116" cm="1">
        <f t="array" ref="EJ8">_xll.EQNXTDZ($A$1,$B8,EJ$1)</f>
        <v>720</v>
      </c>
      <c r="EK8" s="116" cm="1">
        <f t="array" ref="EK8">_xll.EQNXTDZ($A$1,$B8,EK$1)</f>
        <v>848</v>
      </c>
      <c r="EL8" s="116" cm="1">
        <f t="array" ref="EL8">_xll.EQNXTDZ($A$1,$B8,EL$1)</f>
        <v>1028.5</v>
      </c>
      <c r="EM8" s="116" cm="1">
        <f t="array" ref="EM8">_xll.EQNXTDZ($A$1,$B8,EM$1)</f>
        <v>1001.2</v>
      </c>
      <c r="EN8" s="116" cm="1">
        <f t="array" ref="EN8">_xll.EQNXTDZ($A$1,$B8,EN$1)</f>
        <v>915.3</v>
      </c>
      <c r="EO8" s="116" cm="1">
        <f t="array" ref="EO8">_xll.EQNXTDZ($A$1,$B8,EO$1)</f>
        <v>1011.4</v>
      </c>
      <c r="EP8" s="116" cm="1">
        <f t="array" ref="EP8">_xll.EQNXTDZ($A$1,$B8,EP$1)</f>
        <v>970.5</v>
      </c>
      <c r="EQ8" s="116" cm="1">
        <f t="array" ref="EQ8">_xll.EQNXTDZ($A$1,$B8,EQ$1)</f>
        <v>831.5</v>
      </c>
      <c r="ER8" s="116" cm="1">
        <f t="array" ref="ER8">_xll.EQNXTDZ($A$1,$B8,ER$1)</f>
        <v>975</v>
      </c>
      <c r="ES8" s="116" cm="1">
        <f t="array" ref="ES8">_xll.EQNXTDZ($A$1,$B8,ES$1)</f>
        <v>984</v>
      </c>
      <c r="ET8" s="116" cm="1">
        <f t="array" ref="ET8">_xll.EQNXTDZ($A$1,$B8,ET$1)</f>
        <v>967.05</v>
      </c>
      <c r="EU8" s="116" cm="1">
        <f t="array" ref="EU8">_xll.EQNXTDZ($A$1,$B8,EU$1)</f>
        <v>891.05</v>
      </c>
      <c r="EV8" s="116" cm="1">
        <f t="array" ref="EV8">_xll.EQNXTDZ($A$1,$B8,EV$1)</f>
        <v>588</v>
      </c>
      <c r="EW8" s="116" cm="1">
        <f t="array" ref="EW8">_xll.EQNXTDZ($A$1,$B8,EW$1)</f>
        <v>761.85</v>
      </c>
      <c r="EX8" s="116" cm="1">
        <f t="array" ref="EX8">_xll.EQNXTDZ($A$1,$B8,EX$1)</f>
        <v>682.45</v>
      </c>
      <c r="EY8" s="116" cm="1">
        <f t="array" ref="EY8">_xll.EQNXTDZ($A$1,$B8,EY$1)</f>
        <v>648.04999999999995</v>
      </c>
      <c r="EZ8" s="116" cm="1">
        <f t="array" ref="EZ8">_xll.EQNXTDZ($A$1,$B8,EZ$1)</f>
        <v>639.45000000000005</v>
      </c>
      <c r="FA8" s="116" cm="1">
        <f t="array" ref="FA8">_xll.EQNXTDZ($A$1,$B8,FA$1)</f>
        <v>780.5</v>
      </c>
      <c r="FB8" s="116" cm="1">
        <f t="array" ref="FB8">_xll.EQNXTDZ($A$1,$B8,FB$1)</f>
        <v>806.1</v>
      </c>
      <c r="FC8" s="116" cm="1">
        <f t="array" ref="FC8">_xll.EQNXTDZ($A$1,$B8,FC$1)</f>
        <v>817.8</v>
      </c>
      <c r="FD8" s="116" cm="1">
        <f t="array" ref="FD8">_xll.EQNXTDZ($A$1,$B8,FD$1)</f>
        <v>800.35</v>
      </c>
      <c r="FE8" s="116" cm="1">
        <f t="array" ref="FE8">_xll.EQNXTDZ($A$1,$B8,FE$1)</f>
        <v>759.25</v>
      </c>
      <c r="FF8" s="116" cm="1">
        <f t="array" ref="FF8">_xll.EQNXTDZ($A$1,$B8,FF$1)</f>
        <v>744.9</v>
      </c>
      <c r="FG8" s="116" cm="1">
        <f t="array" ref="FG8">_xll.EQNXTDZ($A$1,$B8,FG$1)</f>
        <v>870.1</v>
      </c>
      <c r="FH8" s="116" cm="1">
        <f t="array" ref="FH8">_xll.EQNXTDZ($A$1,$B8,FH$1)</f>
        <v>945.2</v>
      </c>
      <c r="FI8" s="116" cm="1">
        <f t="array" ref="FI8">_xll.EQNXTDZ($A$1,$B8,FI$1)</f>
        <v>946.35</v>
      </c>
      <c r="FJ8" s="116" cm="1">
        <f t="array" ref="FJ8">_xll.EQNXTDZ($A$1,$B8,FJ$1)</f>
        <v>803.1</v>
      </c>
      <c r="FK8" s="116" cm="1">
        <f t="array" ref="FK8">_xll.EQNXTDZ($A$1,$B8,FK$1)</f>
        <v>842</v>
      </c>
      <c r="FL8" s="116" cm="1">
        <f t="array" ref="FL8">_xll.EQNXTDZ($A$1,$B8,FL$1)</f>
        <v>930.3</v>
      </c>
      <c r="FM8" s="116" cm="1">
        <f t="array" ref="FM8">_xll.EQNXTDZ($A$1,$B8,FM$1)</f>
        <v>903.15</v>
      </c>
      <c r="FN8" s="116" cm="1">
        <f t="array" ref="FN8">_xll.EQNXTDZ($A$1,$B8,FN$1)</f>
        <v>1236.5999999999999</v>
      </c>
      <c r="FO8" s="116" cm="1">
        <f t="array" ref="FO8">_xll.EQNXTDZ($A$1,$B8,FO$1)</f>
        <v>1445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25</v>
      </c>
      <c r="IC8" s="116">
        <f>+MIN(AQ8:AS8)</f>
        <v>26.55</v>
      </c>
      <c r="ID8" s="116">
        <f>+MIN(AT8:AV8)</f>
        <v>26.3</v>
      </c>
      <c r="IE8" s="116">
        <f>+MIN(AW8:AY8)</f>
        <v>28.5</v>
      </c>
      <c r="IF8" s="116">
        <f>+MIN(AZ8:BB8)</f>
        <v>36</v>
      </c>
      <c r="IG8" s="116">
        <f>+MIN(BC8:BE8)</f>
        <v>38.1</v>
      </c>
      <c r="IH8" s="116">
        <f>+MIN(BF8:BH8)</f>
        <v>56.3</v>
      </c>
      <c r="II8" s="116">
        <f>+MIN(BI8:BK8)</f>
        <v>64.2</v>
      </c>
      <c r="IJ8" s="116">
        <f>+MIN(BL8:BN8)</f>
        <v>105</v>
      </c>
      <c r="IK8" s="116">
        <f>+MIN(BO8:BQ8)</f>
        <v>153.15</v>
      </c>
      <c r="IL8" s="116">
        <f>+MIN(BR8:BT8)</f>
        <v>155.65</v>
      </c>
      <c r="IM8" s="116">
        <f>+MIN(BU8:BW8)</f>
        <v>115.7</v>
      </c>
      <c r="IN8" s="116">
        <f>+MIN(BX8:BZ8)</f>
        <v>145.1</v>
      </c>
      <c r="IO8" s="116">
        <f>+MIN(CA8:CC8)</f>
        <v>141</v>
      </c>
      <c r="IP8" s="116">
        <f>+MIN(CD8:CF8)</f>
        <v>191.45</v>
      </c>
      <c r="IQ8" s="116">
        <f>+MIN(CG8:CI8)</f>
        <v>202.3</v>
      </c>
      <c r="IR8" s="116">
        <f>+MIN(CJ8:CL8)</f>
        <v>192</v>
      </c>
      <c r="IS8" s="116">
        <f>+MIN(CM8:CO8)</f>
        <v>220.05</v>
      </c>
      <c r="IT8" s="116">
        <f>+MIN(CP8:CR8)</f>
        <v>147.5</v>
      </c>
      <c r="IU8" s="116">
        <f>+MIN(CS8:CU8)</f>
        <v>167</v>
      </c>
      <c r="IV8" s="116">
        <f>+MIN(CV8:CX8)</f>
        <v>221.5</v>
      </c>
      <c r="IW8" s="116">
        <f>+MIN(CY8:DA8)</f>
        <v>244</v>
      </c>
      <c r="IX8" s="116">
        <f>+MIN(DB8:DD8)</f>
        <v>397.15</v>
      </c>
      <c r="IY8" s="116">
        <f>+MIN(DE8:DG8)</f>
        <v>860.1</v>
      </c>
      <c r="IZ8" s="116">
        <f>+MIN(DH8:DJ8)</f>
        <v>863</v>
      </c>
      <c r="JA8" s="116">
        <f>+MIN(DK8:DM8)</f>
        <v>1525</v>
      </c>
      <c r="JB8" s="116">
        <f>+MIN(DN8:DP8)</f>
        <v>1700</v>
      </c>
      <c r="JC8" s="116">
        <f>+MIN(DQ8:DS8)</f>
        <v>1870.55</v>
      </c>
      <c r="JD8" s="116">
        <f>+MIN(DT8:DV8)</f>
        <v>2226.3000000000002</v>
      </c>
      <c r="JE8" s="116">
        <f>+MIN(DW8:DY8)</f>
        <v>2181.5</v>
      </c>
      <c r="JF8" s="116">
        <f>+MIN(DZ8:EB8)</f>
        <v>631.5</v>
      </c>
      <c r="JG8" s="116">
        <f>+MIN(EC8:EE8)</f>
        <v>714.05</v>
      </c>
      <c r="JH8" s="116">
        <f>+MIN(EF8:EH8)</f>
        <v>738.4</v>
      </c>
      <c r="JI8" s="116">
        <f>+MIN(EI8:EK8)</f>
        <v>686</v>
      </c>
      <c r="JJ8" s="116">
        <f>+MIN(EL8:EN8)</f>
        <v>915.3</v>
      </c>
      <c r="JK8" s="116">
        <f>MIN(EO8:EQ8)</f>
        <v>831.5</v>
      </c>
      <c r="JL8" s="116">
        <f>MIN(ER8:ET8)</f>
        <v>967.05</v>
      </c>
      <c r="JM8" s="116">
        <f>MIN(EU8:EW8)</f>
        <v>588</v>
      </c>
      <c r="JN8" s="116">
        <f>MIN(EX8:EZ8)</f>
        <v>639.45000000000005</v>
      </c>
      <c r="JO8" s="116">
        <f>MIN(FA8:FC8)</f>
        <v>780.5</v>
      </c>
      <c r="JP8" s="116">
        <f>MIN(FD8:FF8)</f>
        <v>744.9</v>
      </c>
      <c r="JQ8" s="116">
        <f>MIN(FG8:FI8)</f>
        <v>870.1</v>
      </c>
      <c r="JR8" s="116">
        <f>MIN(FJ8:FL8)</f>
        <v>803.1</v>
      </c>
      <c r="JS8" s="116">
        <f>MIN(FM8:FO8)</f>
        <v>903.15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27.6</v>
      </c>
      <c r="AO9" s="116" cm="1">
        <f t="array" ref="AO9">_xll.EQNXTDZ($A$1,$B9,AO$1)</f>
        <v>31.15</v>
      </c>
      <c r="AP9" s="116" cm="1">
        <f t="array" ref="AP9">_xll.EQNXTDZ($A$1,$B9,AP$1)</f>
        <v>26.85</v>
      </c>
      <c r="AQ9" s="116" cm="1">
        <f t="array" ref="AQ9">_xll.EQNXTDZ($A$1,$B9,AQ$1)</f>
        <v>36.35</v>
      </c>
      <c r="AR9" s="116" cm="1">
        <f t="array" ref="AR9">_xll.EQNXTDZ($A$1,$B9,AR$1)</f>
        <v>38.700000000000003</v>
      </c>
      <c r="AS9" s="116" cm="1">
        <f t="array" ref="AS9">_xll.EQNXTDZ($A$1,$B9,AS$1)</f>
        <v>36.9</v>
      </c>
      <c r="AT9" s="116" cm="1">
        <f t="array" ref="AT9">_xll.EQNXTDZ($A$1,$B9,AT$1)</f>
        <v>36.75</v>
      </c>
      <c r="AU9" s="116" cm="1">
        <f t="array" ref="AU9">_xll.EQNXTDZ($A$1,$B9,AU$1)</f>
        <v>26.55</v>
      </c>
      <c r="AV9" s="116" cm="1">
        <f t="array" ref="AV9">_xll.EQNXTDZ($A$1,$B9,AV$1)</f>
        <v>34.35</v>
      </c>
      <c r="AW9" s="116" cm="1">
        <f t="array" ref="AW9">_xll.EQNXTDZ($A$1,$B9,AW$1)</f>
        <v>31.6</v>
      </c>
      <c r="AX9" s="116" cm="1">
        <f t="array" ref="AX9">_xll.EQNXTDZ($A$1,$B9,AX$1)</f>
        <v>31.9</v>
      </c>
      <c r="AY9" s="116" cm="1">
        <f t="array" ref="AY9">_xll.EQNXTDZ($A$1,$B9,AY$1)</f>
        <v>38.700000000000003</v>
      </c>
      <c r="AZ9" s="116" cm="1">
        <f t="array" ref="AZ9">_xll.EQNXTDZ($A$1,$B9,AZ$1)</f>
        <v>39.200000000000003</v>
      </c>
      <c r="BA9" s="116" cm="1">
        <f t="array" ref="BA9">_xll.EQNXTDZ($A$1,$B9,BA$1)</f>
        <v>39.75</v>
      </c>
      <c r="BB9" s="116" cm="1">
        <f t="array" ref="BB9">_xll.EQNXTDZ($A$1,$B9,BB$1)</f>
        <v>38.15</v>
      </c>
      <c r="BC9" s="116" cm="1">
        <f t="array" ref="BC9">_xll.EQNXTDZ($A$1,$B9,BC$1)</f>
        <v>45.55</v>
      </c>
      <c r="BD9" s="116" cm="1">
        <f t="array" ref="BD9">_xll.EQNXTDZ($A$1,$B9,BD$1)</f>
        <v>58.25</v>
      </c>
      <c r="BE9" s="116" cm="1">
        <f t="array" ref="BE9">_xll.EQNXTDZ($A$1,$B9,BE$1)</f>
        <v>56.75</v>
      </c>
      <c r="BF9" s="116" cm="1">
        <f t="array" ref="BF9">_xll.EQNXTDZ($A$1,$B9,BF$1)</f>
        <v>63.25</v>
      </c>
      <c r="BG9" s="116" cm="1">
        <f t="array" ref="BG9">_xll.EQNXTDZ($A$1,$B9,BG$1)</f>
        <v>61.8</v>
      </c>
      <c r="BH9" s="116" cm="1">
        <f t="array" ref="BH9">_xll.EQNXTDZ($A$1,$B9,BH$1)</f>
        <v>64.150000000000006</v>
      </c>
      <c r="BI9" s="116" cm="1">
        <f t="array" ref="BI9">_xll.EQNXTDZ($A$1,$B9,BI$1)</f>
        <v>77.650000000000006</v>
      </c>
      <c r="BJ9" s="116" cm="1">
        <f t="array" ref="BJ9">_xll.EQNXTDZ($A$1,$B9,BJ$1)</f>
        <v>121</v>
      </c>
      <c r="BK9" s="116" cm="1">
        <f t="array" ref="BK9">_xll.EQNXTDZ($A$1,$B9,BK$1)</f>
        <v>124.05</v>
      </c>
      <c r="BL9" s="116" cm="1">
        <f t="array" ref="BL9">_xll.EQNXTDZ($A$1,$B9,BL$1)</f>
        <v>125.05</v>
      </c>
      <c r="BM9" s="116" cm="1">
        <f t="array" ref="BM9">_xll.EQNXTDZ($A$1,$B9,BM$1)</f>
        <v>127.05</v>
      </c>
      <c r="BN9" s="116" cm="1">
        <f t="array" ref="BN9">_xll.EQNXTDZ($A$1,$B9,BN$1)</f>
        <v>152.80000000000001</v>
      </c>
      <c r="BO9" s="116" cm="1">
        <f t="array" ref="BO9">_xll.EQNXTDZ($A$1,$B9,BO$1)</f>
        <v>208</v>
      </c>
      <c r="BP9" s="116" cm="1">
        <f t="array" ref="BP9">_xll.EQNXTDZ($A$1,$B9,BP$1)</f>
        <v>183.7</v>
      </c>
      <c r="BQ9" s="116" cm="1">
        <f t="array" ref="BQ9">_xll.EQNXTDZ($A$1,$B9,BQ$1)</f>
        <v>224.15</v>
      </c>
      <c r="BR9" s="116" cm="1">
        <f t="array" ref="BR9">_xll.EQNXTDZ($A$1,$B9,BR$1)</f>
        <v>208.9</v>
      </c>
      <c r="BS9" s="116" cm="1">
        <f t="array" ref="BS9">_xll.EQNXTDZ($A$1,$B9,BS$1)</f>
        <v>203</v>
      </c>
      <c r="BT9" s="116" cm="1">
        <f t="array" ref="BT9">_xll.EQNXTDZ($A$1,$B9,BT$1)</f>
        <v>193.7</v>
      </c>
      <c r="BU9" s="116" cm="1">
        <f t="array" ref="BU9">_xll.EQNXTDZ($A$1,$B9,BU$1)</f>
        <v>168.6</v>
      </c>
      <c r="BV9" s="116" cm="1">
        <f t="array" ref="BV9">_xll.EQNXTDZ($A$1,$B9,BV$1)</f>
        <v>136.05000000000001</v>
      </c>
      <c r="BW9" s="116" cm="1">
        <f t="array" ref="BW9">_xll.EQNXTDZ($A$1,$B9,BW$1)</f>
        <v>156.15</v>
      </c>
      <c r="BX9" s="116" cm="1">
        <f t="array" ref="BX9">_xll.EQNXTDZ($A$1,$B9,BX$1)</f>
        <v>169.85</v>
      </c>
      <c r="BY9" s="116" cm="1">
        <f t="array" ref="BY9">_xll.EQNXTDZ($A$1,$B9,BY$1)</f>
        <v>228.9</v>
      </c>
      <c r="BZ9" s="116" cm="1">
        <f t="array" ref="BZ9">_xll.EQNXTDZ($A$1,$B9,BZ$1)</f>
        <v>160.4</v>
      </c>
      <c r="CA9" s="116" cm="1">
        <f t="array" ref="CA9">_xll.EQNXTDZ($A$1,$B9,CA$1)</f>
        <v>166.45</v>
      </c>
      <c r="CB9" s="116" cm="1">
        <f t="array" ref="CB9">_xll.EQNXTDZ($A$1,$B9,CB$1)</f>
        <v>225.1</v>
      </c>
      <c r="CC9" s="116" cm="1">
        <f t="array" ref="CC9">_xll.EQNXTDZ($A$1,$B9,CC$1)</f>
        <v>198.4</v>
      </c>
      <c r="CD9" s="116" cm="1">
        <f t="array" ref="CD9">_xll.EQNXTDZ($A$1,$B9,CD$1)</f>
        <v>213.4</v>
      </c>
      <c r="CE9" s="116" cm="1">
        <f t="array" ref="CE9">_xll.EQNXTDZ($A$1,$B9,CE$1)</f>
        <v>203.85</v>
      </c>
      <c r="CF9" s="116" cm="1">
        <f t="array" ref="CF9">_xll.EQNXTDZ($A$1,$B9,CF$1)</f>
        <v>217.4</v>
      </c>
      <c r="CG9" s="116" cm="1">
        <f t="array" ref="CG9">_xll.EQNXTDZ($A$1,$B9,CG$1)</f>
        <v>219.05</v>
      </c>
      <c r="CH9" s="116" cm="1">
        <f t="array" ref="CH9">_xll.EQNXTDZ($A$1,$B9,CH$1)</f>
        <v>235.9</v>
      </c>
      <c r="CI9" s="116" cm="1">
        <f t="array" ref="CI9">_xll.EQNXTDZ($A$1,$B9,CI$1)</f>
        <v>224.15</v>
      </c>
      <c r="CJ9" s="116" cm="1">
        <f t="array" ref="CJ9">_xll.EQNXTDZ($A$1,$B9,CJ$1)</f>
        <v>207.35</v>
      </c>
      <c r="CK9" s="116" cm="1">
        <f t="array" ref="CK9">_xll.EQNXTDZ($A$1,$B9,CK$1)</f>
        <v>234.15</v>
      </c>
      <c r="CL9" s="116" cm="1">
        <f t="array" ref="CL9">_xll.EQNXTDZ($A$1,$B9,CL$1)</f>
        <v>228.6</v>
      </c>
      <c r="CM9" s="116" cm="1">
        <f t="array" ref="CM9">_xll.EQNXTDZ($A$1,$B9,CM$1)</f>
        <v>274.10000000000002</v>
      </c>
      <c r="CN9" s="116" cm="1">
        <f t="array" ref="CN9">_xll.EQNXTDZ($A$1,$B9,CN$1)</f>
        <v>310.14999999999998</v>
      </c>
      <c r="CO9" s="116" cm="1">
        <f t="array" ref="CO9">_xll.EQNXTDZ($A$1,$B9,CO$1)</f>
        <v>331.4</v>
      </c>
      <c r="CP9" s="116" cm="1">
        <f t="array" ref="CP9">_xll.EQNXTDZ($A$1,$B9,CP$1)</f>
        <v>332.1</v>
      </c>
      <c r="CQ9" s="116" cm="1">
        <f t="array" ref="CQ9">_xll.EQNXTDZ($A$1,$B9,CQ$1)</f>
        <v>251.9</v>
      </c>
      <c r="CR9" s="116" cm="1">
        <f t="array" ref="CR9">_xll.EQNXTDZ($A$1,$B9,CR$1)</f>
        <v>189.05</v>
      </c>
      <c r="CS9" s="116" cm="1">
        <f t="array" ref="CS9">_xll.EQNXTDZ($A$1,$B9,CS$1)</f>
        <v>206.85</v>
      </c>
      <c r="CT9" s="116" cm="1">
        <f t="array" ref="CT9">_xll.EQNXTDZ($A$1,$B9,CT$1)</f>
        <v>173.9</v>
      </c>
      <c r="CU9" s="116" cm="1">
        <f t="array" ref="CU9">_xll.EQNXTDZ($A$1,$B9,CU$1)</f>
        <v>260.2</v>
      </c>
      <c r="CV9" s="116" cm="1">
        <f t="array" ref="CV9">_xll.EQNXTDZ($A$1,$B9,CV$1)</f>
        <v>235.85</v>
      </c>
      <c r="CW9" s="116" cm="1">
        <f t="array" ref="CW9">_xll.EQNXTDZ($A$1,$B9,CW$1)</f>
        <v>253.3</v>
      </c>
      <c r="CX9" s="116" cm="1">
        <f t="array" ref="CX9">_xll.EQNXTDZ($A$1,$B9,CX$1)</f>
        <v>241.8</v>
      </c>
      <c r="CY9" s="116" cm="1">
        <f t="array" ref="CY9">_xll.EQNXTDZ($A$1,$B9,CY$1)</f>
        <v>290.14999999999998</v>
      </c>
      <c r="CZ9" s="116" cm="1">
        <f t="array" ref="CZ9">_xll.EQNXTDZ($A$1,$B9,CZ$1)</f>
        <v>376.3</v>
      </c>
      <c r="DA9" s="116" cm="1">
        <f t="array" ref="DA9">_xll.EQNXTDZ($A$1,$B9,DA$1)</f>
        <v>437.5</v>
      </c>
      <c r="DB9" s="116" cm="1">
        <f t="array" ref="DB9">_xll.EQNXTDZ($A$1,$B9,DB$1)</f>
        <v>460.15</v>
      </c>
      <c r="DC9" s="116" cm="1">
        <f t="array" ref="DC9">_xll.EQNXTDZ($A$1,$B9,DC$1)</f>
        <v>750</v>
      </c>
      <c r="DD9" s="116" cm="1">
        <f t="array" ref="DD9">_xll.EQNXTDZ($A$1,$B9,DD$1)</f>
        <v>908.4</v>
      </c>
      <c r="DE9" s="116" cm="1">
        <f t="array" ref="DE9">_xll.EQNXTDZ($A$1,$B9,DE$1)</f>
        <v>1049.9000000000001</v>
      </c>
      <c r="DF9" s="116" cm="1">
        <f t="array" ref="DF9">_xll.EQNXTDZ($A$1,$B9,DF$1)</f>
        <v>1473.6</v>
      </c>
      <c r="DG9" s="116" cm="1">
        <f t="array" ref="DG9">_xll.EQNXTDZ($A$1,$B9,DG$1)</f>
        <v>1059.45</v>
      </c>
      <c r="DH9" s="116" cm="1">
        <f t="array" ref="DH9">_xll.EQNXTDZ($A$1,$B9,DH$1)</f>
        <v>893.45</v>
      </c>
      <c r="DI9" s="116" cm="1">
        <f t="array" ref="DI9">_xll.EQNXTDZ($A$1,$B9,DI$1)</f>
        <v>1580.6</v>
      </c>
      <c r="DJ9" s="116" cm="1">
        <f t="array" ref="DJ9">_xll.EQNXTDZ($A$1,$B9,DJ$1)</f>
        <v>1558.5</v>
      </c>
      <c r="DK9" s="116" cm="1">
        <f t="array" ref="DK9">_xll.EQNXTDZ($A$1,$B9,DK$1)</f>
        <v>1767.4</v>
      </c>
      <c r="DL9" s="116" cm="1">
        <f t="array" ref="DL9">_xll.EQNXTDZ($A$1,$B9,DL$1)</f>
        <v>1799.5</v>
      </c>
      <c r="DM9" s="116" cm="1">
        <f t="array" ref="DM9">_xll.EQNXTDZ($A$1,$B9,DM$1)</f>
        <v>1740.85</v>
      </c>
      <c r="DN9" s="116" cm="1">
        <f t="array" ref="DN9">_xll.EQNXTDZ($A$1,$B9,DN$1)</f>
        <v>1970.9</v>
      </c>
      <c r="DO9" s="116" cm="1">
        <f t="array" ref="DO9">_xll.EQNXTDZ($A$1,$B9,DO$1)</f>
        <v>2134.4</v>
      </c>
      <c r="DP9" s="116" cm="1">
        <f t="array" ref="DP9">_xll.EQNXTDZ($A$1,$B9,DP$1)</f>
        <v>2368.15</v>
      </c>
      <c r="DQ9" s="116" cm="1">
        <f t="array" ref="DQ9">_xll.EQNXTDZ($A$1,$B9,DQ$1)</f>
        <v>2789.5</v>
      </c>
      <c r="DR9" s="116" cm="1">
        <f t="array" ref="DR9">_xll.EQNXTDZ($A$1,$B9,DR$1)</f>
        <v>2055</v>
      </c>
      <c r="DS9" s="116" cm="1">
        <f t="array" ref="DS9">_xll.EQNXTDZ($A$1,$B9,DS$1)</f>
        <v>2473.65</v>
      </c>
      <c r="DT9" s="116" cm="1">
        <f t="array" ref="DT9">_xll.EQNXTDZ($A$1,$B9,DT$1)</f>
        <v>3109.6</v>
      </c>
      <c r="DU9" s="116" cm="1">
        <f t="array" ref="DU9">_xll.EQNXTDZ($A$1,$B9,DU$1)</f>
        <v>3960.7</v>
      </c>
      <c r="DV9" s="116" cm="1">
        <f t="array" ref="DV9">_xll.EQNXTDZ($A$1,$B9,DV$1)</f>
        <v>3289.8</v>
      </c>
      <c r="DW9" s="116" cm="1">
        <f t="array" ref="DW9">_xll.EQNXTDZ($A$1,$B9,DW$1)</f>
        <v>3348.7</v>
      </c>
      <c r="DX9" s="116" cm="1">
        <f t="array" ref="DX9">_xll.EQNXTDZ($A$1,$B9,DX$1)</f>
        <v>2908.5</v>
      </c>
      <c r="DY9" s="116" cm="1">
        <f t="array" ref="DY9">_xll.EQNXTDZ($A$1,$B9,DY$1)</f>
        <v>2589.25</v>
      </c>
      <c r="DZ9" s="116" cm="1">
        <f t="array" ref="DZ9">_xll.EQNXTDZ($A$1,$B9,DZ$1)</f>
        <v>1774</v>
      </c>
      <c r="EA9" s="116" cm="1">
        <f t="array" ref="EA9">_xll.EQNXTDZ($A$1,$B9,EA$1)</f>
        <v>642.9</v>
      </c>
      <c r="EB9" s="116" cm="1">
        <f t="array" ref="EB9">_xll.EQNXTDZ($A$1,$B9,EB$1)</f>
        <v>993.05</v>
      </c>
      <c r="EC9" s="116" cm="1">
        <f t="array" ref="EC9">_xll.EQNXTDZ($A$1,$B9,EC$1)</f>
        <v>1029.45</v>
      </c>
      <c r="ED9" s="116" cm="1">
        <f t="array" ref="ED9">_xll.EQNXTDZ($A$1,$B9,ED$1)</f>
        <v>776.7</v>
      </c>
      <c r="EE9" s="116" cm="1">
        <f t="array" ref="EE9">_xll.EQNXTDZ($A$1,$B9,EE$1)</f>
        <v>767.25</v>
      </c>
      <c r="EF9" s="116" cm="1">
        <f t="array" ref="EF9">_xll.EQNXTDZ($A$1,$B9,EF$1)</f>
        <v>820.7</v>
      </c>
      <c r="EG9" s="116" cm="1">
        <f t="array" ref="EG9">_xll.EQNXTDZ($A$1,$B9,EG$1)</f>
        <v>811.95</v>
      </c>
      <c r="EH9" s="116" cm="1">
        <f t="array" ref="EH9">_xll.EQNXTDZ($A$1,$B9,EH$1)</f>
        <v>810.25</v>
      </c>
      <c r="EI9" s="116" cm="1">
        <f t="array" ref="EI9">_xll.EQNXTDZ($A$1,$B9,EI$1)</f>
        <v>769.8</v>
      </c>
      <c r="EJ9" s="116" cm="1">
        <f t="array" ref="EJ9">_xll.EQNXTDZ($A$1,$B9,EJ$1)</f>
        <v>872.65</v>
      </c>
      <c r="EK9" s="116" cm="1">
        <f t="array" ref="EK9">_xll.EQNXTDZ($A$1,$B9,EK$1)</f>
        <v>1045.75</v>
      </c>
      <c r="EL9" s="116" cm="1">
        <f t="array" ref="EL9">_xll.EQNXTDZ($A$1,$B9,EL$1)</f>
        <v>1067.8499999999999</v>
      </c>
      <c r="EM9" s="116" cm="1">
        <f t="array" ref="EM9">_xll.EQNXTDZ($A$1,$B9,EM$1)</f>
        <v>1064.8499999999999</v>
      </c>
      <c r="EN9" s="116" cm="1">
        <f t="array" ref="EN9">_xll.EQNXTDZ($A$1,$B9,EN$1)</f>
        <v>1026.7</v>
      </c>
      <c r="EO9" s="116" cm="1">
        <f t="array" ref="EO9">_xll.EQNXTDZ($A$1,$B9,EO$1)</f>
        <v>1065.2</v>
      </c>
      <c r="EP9" s="116" cm="1">
        <f t="array" ref="EP9">_xll.EQNXTDZ($A$1,$B9,EP$1)</f>
        <v>1122.8</v>
      </c>
      <c r="EQ9" s="116" cm="1">
        <f t="array" ref="EQ9">_xll.EQNXTDZ($A$1,$B9,EQ$1)</f>
        <v>997.35</v>
      </c>
      <c r="ER9" s="116" cm="1">
        <f t="array" ref="ER9">_xll.EQNXTDZ($A$1,$B9,ER$1)</f>
        <v>1138.05</v>
      </c>
      <c r="ES9" s="116" cm="1">
        <f t="array" ref="ES9">_xll.EQNXTDZ($A$1,$B9,ES$1)</f>
        <v>1007.4</v>
      </c>
      <c r="ET9" s="116" cm="1">
        <f t="array" ref="ET9">_xll.EQNXTDZ($A$1,$B9,ET$1)</f>
        <v>1009.65</v>
      </c>
      <c r="EU9" s="116" cm="1">
        <f t="array" ref="EU9">_xll.EQNXTDZ($A$1,$B9,EU$1)</f>
        <v>976.2</v>
      </c>
      <c r="EV9" s="116" cm="1">
        <f t="array" ref="EV9">_xll.EQNXTDZ($A$1,$B9,EV$1)</f>
        <v>840.5</v>
      </c>
      <c r="EW9" s="116" cm="1">
        <f t="array" ref="EW9">_xll.EQNXTDZ($A$1,$B9,EW$1)</f>
        <v>806.2</v>
      </c>
      <c r="EX9" s="116" cm="1">
        <f t="array" ref="EX9">_xll.EQNXTDZ($A$1,$B9,EX$1)</f>
        <v>748.35</v>
      </c>
      <c r="EY9" s="116" cm="1">
        <f t="array" ref="EY9">_xll.EQNXTDZ($A$1,$B9,EY$1)</f>
        <v>650.9</v>
      </c>
      <c r="EZ9" s="116" cm="1">
        <f t="array" ref="EZ9">_xll.EQNXTDZ($A$1,$B9,EZ$1)</f>
        <v>872</v>
      </c>
      <c r="FA9" s="116" cm="1">
        <f t="array" ref="FA9">_xll.EQNXTDZ($A$1,$B9,FA$1)</f>
        <v>899.65</v>
      </c>
      <c r="FB9" s="116" cm="1">
        <f t="array" ref="FB9">_xll.EQNXTDZ($A$1,$B9,FB$1)</f>
        <v>867.2</v>
      </c>
      <c r="FC9" s="116" cm="1">
        <f t="array" ref="FC9">_xll.EQNXTDZ($A$1,$B9,FC$1)</f>
        <v>881.75</v>
      </c>
      <c r="FD9" s="116" cm="1">
        <f t="array" ref="FD9">_xll.EQNXTDZ($A$1,$B9,FD$1)</f>
        <v>808.4</v>
      </c>
      <c r="FE9" s="116" cm="1">
        <f t="array" ref="FE9">_xll.EQNXTDZ($A$1,$B9,FE$1)</f>
        <v>764.15</v>
      </c>
      <c r="FF9" s="116" cm="1">
        <f t="array" ref="FF9">_xll.EQNXTDZ($A$1,$B9,FF$1)</f>
        <v>872.25</v>
      </c>
      <c r="FG9" s="116" cm="1">
        <f t="array" ref="FG9">_xll.EQNXTDZ($A$1,$B9,FG$1)</f>
        <v>986.2</v>
      </c>
      <c r="FH9" s="116" cm="1">
        <f t="array" ref="FH9">_xll.EQNXTDZ($A$1,$B9,FH$1)</f>
        <v>994.55</v>
      </c>
      <c r="FI9" s="116" cm="1">
        <f t="array" ref="FI9">_xll.EQNXTDZ($A$1,$B9,FI$1)</f>
        <v>1027.3499999999999</v>
      </c>
      <c r="FJ9" s="116" cm="1">
        <f t="array" ref="FJ9">_xll.EQNXTDZ($A$1,$B9,FJ$1)</f>
        <v>894.8</v>
      </c>
      <c r="FK9" s="116" cm="1">
        <f t="array" ref="FK9">_xll.EQNXTDZ($A$1,$B9,FK$1)</f>
        <v>1011.55</v>
      </c>
      <c r="FL9" s="116" cm="1">
        <f t="array" ref="FL9">_xll.EQNXTDZ($A$1,$B9,FL$1)</f>
        <v>934.9</v>
      </c>
      <c r="FM9" s="116" cm="1">
        <f t="array" ref="FM9">_xll.EQNXTDZ($A$1,$B9,FM$1)</f>
        <v>1342.25</v>
      </c>
      <c r="FN9" s="116" cm="1">
        <f t="array" ref="FN9">_xll.EQNXTDZ($A$1,$B9,FN$1)</f>
        <v>1513.3</v>
      </c>
      <c r="FO9" s="116" cm="1">
        <f t="array" ref="FO9">_xll.EQNXTDZ($A$1,$B9,FO$1)</f>
        <v>1491.1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26.85</v>
      </c>
      <c r="IC9" s="116">
        <f>+AS9</f>
        <v>36.9</v>
      </c>
      <c r="ID9" s="116">
        <f>+AV9</f>
        <v>34.35</v>
      </c>
      <c r="IE9" s="116">
        <f>+AY9</f>
        <v>38.700000000000003</v>
      </c>
      <c r="IF9" s="116">
        <f>+BB9</f>
        <v>38.15</v>
      </c>
      <c r="IG9" s="116">
        <f>+BE9</f>
        <v>56.75</v>
      </c>
      <c r="IH9" s="116">
        <f>+BH9</f>
        <v>64.150000000000006</v>
      </c>
      <c r="II9" s="116">
        <f>+BK9</f>
        <v>124.05</v>
      </c>
      <c r="IJ9" s="116">
        <f>+BN9</f>
        <v>152.80000000000001</v>
      </c>
      <c r="IK9" s="116">
        <f>+BQ9</f>
        <v>224.15</v>
      </c>
      <c r="IL9" s="116">
        <f>+BT9</f>
        <v>193.7</v>
      </c>
      <c r="IM9" s="116">
        <f>+BW9</f>
        <v>156.15</v>
      </c>
      <c r="IN9" s="116">
        <f>+BZ9</f>
        <v>160.4</v>
      </c>
      <c r="IO9" s="116">
        <f>+CC9</f>
        <v>198.4</v>
      </c>
      <c r="IP9" s="116">
        <f>+CF9</f>
        <v>217.4</v>
      </c>
      <c r="IQ9" s="116">
        <f>+CI9</f>
        <v>224.15</v>
      </c>
      <c r="IR9" s="116">
        <f>+CL9</f>
        <v>228.6</v>
      </c>
      <c r="IS9" s="116">
        <f>+CO9</f>
        <v>331.4</v>
      </c>
      <c r="IT9" s="116">
        <f>+CR9</f>
        <v>189.05</v>
      </c>
      <c r="IU9" s="116">
        <f>+CU9</f>
        <v>260.2</v>
      </c>
      <c r="IV9" s="116">
        <f>+CX9</f>
        <v>241.8</v>
      </c>
      <c r="IW9" s="116">
        <f>+DA9</f>
        <v>437.5</v>
      </c>
      <c r="IX9" s="116">
        <f>+DD9</f>
        <v>908.4</v>
      </c>
      <c r="IY9" s="116">
        <f>+DG9</f>
        <v>1059.45</v>
      </c>
      <c r="IZ9" s="116">
        <f>+DJ9</f>
        <v>1558.5</v>
      </c>
      <c r="JA9" s="116">
        <f>+DM9</f>
        <v>1740.85</v>
      </c>
      <c r="JB9" s="116">
        <f>+DP9</f>
        <v>2368.15</v>
      </c>
      <c r="JC9" s="116">
        <f>+DS9</f>
        <v>2473.65</v>
      </c>
      <c r="JD9" s="116">
        <f>+DV9</f>
        <v>3289.8</v>
      </c>
      <c r="JE9" s="116">
        <f>+DY9</f>
        <v>2589.25</v>
      </c>
      <c r="JF9" s="116">
        <f>+EB9</f>
        <v>993.05</v>
      </c>
      <c r="JG9" s="116">
        <f>+EE9</f>
        <v>767.25</v>
      </c>
      <c r="JH9" s="116">
        <f>+EH9</f>
        <v>810.25</v>
      </c>
      <c r="JI9" s="116">
        <f>+EK9</f>
        <v>1045.75</v>
      </c>
      <c r="JJ9" s="116">
        <f>+EN9</f>
        <v>1026.7</v>
      </c>
      <c r="JK9" s="116">
        <f>EQ9</f>
        <v>997.35</v>
      </c>
      <c r="JL9" s="116">
        <f>ET9</f>
        <v>1009.65</v>
      </c>
      <c r="JM9" s="116">
        <f>EW9</f>
        <v>806.2</v>
      </c>
      <c r="JN9" s="116">
        <f>EZ9</f>
        <v>872</v>
      </c>
      <c r="JO9" s="116">
        <f>FC9</f>
        <v>881.75</v>
      </c>
      <c r="JP9" s="116">
        <f>FF9</f>
        <v>872.25</v>
      </c>
      <c r="JQ9" s="116">
        <f>FI9</f>
        <v>1027.3499999999999</v>
      </c>
      <c r="JR9" s="116">
        <f>FL9</f>
        <v>934.9</v>
      </c>
      <c r="JS9" s="116">
        <f>FO9</f>
        <v>1491.1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27</v>
      </c>
      <c r="AO13" cm="1">
        <f t="array" ref="AO13">_xll.EQNXTDZ($A$1,$B13,AO$1)</f>
        <v>28.8</v>
      </c>
      <c r="AP13" cm="1">
        <f t="array" ref="AP13">_xll.EQNXTDZ($A$1,$B13,AP$1)</f>
        <v>31</v>
      </c>
      <c r="AQ13" cm="1">
        <f t="array" ref="AQ13">_xll.EQNXTDZ($A$1,$B13,AQ$1)</f>
        <v>27.05</v>
      </c>
      <c r="AR13" cm="1">
        <f t="array" ref="AR13">_xll.EQNXTDZ($A$1,$B13,AR$1)</f>
        <v>36.25</v>
      </c>
      <c r="AS13" cm="1">
        <f t="array" ref="AS13">_xll.EQNXTDZ($A$1,$B13,AS$1)</f>
        <v>38.799999999999997</v>
      </c>
      <c r="AT13" cm="1">
        <f t="array" ref="AT13">_xll.EQNXTDZ($A$1,$B13,AT$1)</f>
        <v>36.799999999999997</v>
      </c>
      <c r="AU13" cm="1">
        <f t="array" ref="AU13">_xll.EQNXTDZ($A$1,$B13,AU$1)</f>
        <v>37</v>
      </c>
      <c r="AV13" cm="1">
        <f t="array" ref="AV13">_xll.EQNXTDZ($A$1,$B13,AV$1)</f>
        <v>26.5</v>
      </c>
      <c r="AW13" cm="1">
        <f t="array" ref="AW13">_xll.EQNXTDZ($A$1,$B13,AW$1)</f>
        <v>34.15</v>
      </c>
      <c r="AX13" cm="1">
        <f t="array" ref="AX13">_xll.EQNXTDZ($A$1,$B13,AX$1)</f>
        <v>31.6</v>
      </c>
      <c r="AY13" cm="1">
        <f t="array" ref="AY13">_xll.EQNXTDZ($A$1,$B13,AY$1)</f>
        <v>31.3</v>
      </c>
      <c r="AZ13" cm="1">
        <f t="array" ref="AZ13">_xll.EQNXTDZ($A$1,$B13,AZ$1)</f>
        <v>39</v>
      </c>
      <c r="BA13" cm="1">
        <f t="array" ref="BA13">_xll.EQNXTDZ($A$1,$B13,BA$1)</f>
        <v>39.35</v>
      </c>
      <c r="BB13" cm="1">
        <f t="array" ref="BB13">_xll.EQNXTDZ($A$1,$B13,BB$1)</f>
        <v>40.049999999999997</v>
      </c>
      <c r="BC13" cm="1">
        <f t="array" ref="BC13">_xll.EQNXTDZ($A$1,$B13,BC$1)</f>
        <v>38.35</v>
      </c>
      <c r="BD13" cm="1">
        <f t="array" ref="BD13">_xll.EQNXTDZ($A$1,$B13,BD$1)</f>
        <v>45.4</v>
      </c>
      <c r="BE13" cm="1">
        <f t="array" ref="BE13">_xll.EQNXTDZ($A$1,$B13,BE$1)</f>
        <v>59</v>
      </c>
      <c r="BF13" cm="1">
        <f t="array" ref="BF13">_xll.EQNXTDZ($A$1,$B13,BF$1)</f>
        <v>56.9</v>
      </c>
      <c r="BG13" cm="1">
        <f t="array" ref="BG13">_xll.EQNXTDZ($A$1,$B13,BG$1)</f>
        <v>63.7</v>
      </c>
      <c r="BH13" cm="1">
        <f t="array" ref="BH13">_xll.EQNXTDZ($A$1,$B13,BH$1)</f>
        <v>62.55</v>
      </c>
      <c r="BI13" cm="1">
        <f t="array" ref="BI13">_xll.EQNXTDZ($A$1,$B13,BI$1)</f>
        <v>64.599999999999994</v>
      </c>
      <c r="BJ13" cm="1">
        <f t="array" ref="BJ13">_xll.EQNXTDZ($A$1,$B13,BJ$1)</f>
        <v>80</v>
      </c>
      <c r="BK13" cm="1">
        <f t="array" ref="BK13">_xll.EQNXTDZ($A$1,$B13,BK$1)</f>
        <v>121.9</v>
      </c>
      <c r="BL13" cm="1">
        <f t="array" ref="BL13">_xll.EQNXTDZ($A$1,$B13,BL$1)</f>
        <v>124.1</v>
      </c>
      <c r="BM13" cm="1">
        <f t="array" ref="BM13">_xll.EQNXTDZ($A$1,$B13,BM$1)</f>
        <v>125.35</v>
      </c>
      <c r="BN13" cm="1">
        <f t="array" ref="BN13">_xll.EQNXTDZ($A$1,$B13,BN$1)</f>
        <v>126.5</v>
      </c>
      <c r="BO13" cm="1">
        <f t="array" ref="BO13">_xll.EQNXTDZ($A$1,$B13,BO$1)</f>
        <v>155</v>
      </c>
      <c r="BP13" cm="1">
        <f t="array" ref="BP13">_xll.EQNXTDZ($A$1,$B13,BP$1)</f>
        <v>198</v>
      </c>
      <c r="BQ13" cm="1">
        <f t="array" ref="BQ13">_xll.EQNXTDZ($A$1,$B13,BQ$1)</f>
        <v>175</v>
      </c>
      <c r="BR13" cm="1">
        <f t="array" ref="BR13">_xll.EQNXTDZ($A$1,$B13,BR$1)</f>
        <v>223.55</v>
      </c>
      <c r="BS13" cm="1">
        <f t="array" ref="BS13">_xll.EQNXTDZ($A$1,$B13,BS$1)</f>
        <v>209.55</v>
      </c>
      <c r="BT13" cm="1">
        <f t="array" ref="BT13">_xll.EQNXTDZ($A$1,$B13,BT$1)</f>
        <v>204.35</v>
      </c>
      <c r="BU13" cm="1">
        <f t="array" ref="BU13">_xll.EQNXTDZ($A$1,$B13,BU$1)</f>
        <v>193.55</v>
      </c>
      <c r="BV13" cm="1">
        <f t="array" ref="BV13">_xll.EQNXTDZ($A$1,$B13,BV$1)</f>
        <v>169.9</v>
      </c>
      <c r="BW13" cm="1">
        <f t="array" ref="BW13">_xll.EQNXTDZ($A$1,$B13,BW$1)</f>
        <v>134</v>
      </c>
      <c r="BX13" cm="1">
        <f t="array" ref="BX13">_xll.EQNXTDZ($A$1,$B13,BX$1)</f>
        <v>161.5</v>
      </c>
      <c r="BY13" cm="1">
        <f t="array" ref="BY13">_xll.EQNXTDZ($A$1,$B13,BY$1)</f>
        <v>170.05</v>
      </c>
      <c r="BZ13" cm="1">
        <f t="array" ref="BZ13">_xll.EQNXTDZ($A$1,$B13,BZ$1)</f>
        <v>229</v>
      </c>
      <c r="CA13" cm="1">
        <f t="array" ref="CA13">_xll.EQNXTDZ($A$1,$B13,CA$1)</f>
        <v>160</v>
      </c>
      <c r="CB13" cm="1">
        <f t="array" ref="CB13">_xll.EQNXTDZ($A$1,$B13,CB$1)</f>
        <v>165.25</v>
      </c>
      <c r="CC13" cm="1">
        <f t="array" ref="CC13">_xll.EQNXTDZ($A$1,$B13,CC$1)</f>
        <v>226.2</v>
      </c>
      <c r="CD13" cm="1">
        <f t="array" ref="CD13">_xll.EQNXTDZ($A$1,$B13,CD$1)</f>
        <v>199.5</v>
      </c>
      <c r="CE13" cm="1">
        <f t="array" ref="CE13">_xll.EQNXTDZ($A$1,$B13,CE$1)</f>
        <v>216.95</v>
      </c>
      <c r="CF13" cm="1">
        <f t="array" ref="CF13">_xll.EQNXTDZ($A$1,$B13,CF$1)</f>
        <v>206.4</v>
      </c>
      <c r="CG13" cm="1">
        <f t="array" ref="CG13">_xll.EQNXTDZ($A$1,$B13,CG$1)</f>
        <v>217.4</v>
      </c>
      <c r="CH13" cm="1">
        <f t="array" ref="CH13">_xll.EQNXTDZ($A$1,$B13,CH$1)</f>
        <v>216.85</v>
      </c>
      <c r="CI13" cm="1">
        <f t="array" ref="CI13">_xll.EQNXTDZ($A$1,$B13,CI$1)</f>
        <v>237</v>
      </c>
      <c r="CJ13" cm="1">
        <f t="array" ref="CJ13">_xll.EQNXTDZ($A$1,$B13,CJ$1)</f>
        <v>224.15</v>
      </c>
      <c r="CK13" cm="1">
        <f t="array" ref="CK13">_xll.EQNXTDZ($A$1,$B13,CK$1)</f>
        <v>206.6</v>
      </c>
      <c r="CL13" cm="1">
        <f t="array" ref="CL13">_xll.EQNXTDZ($A$1,$B13,CL$1)</f>
        <v>231.9</v>
      </c>
      <c r="CM13" cm="1">
        <f t="array" ref="CM13">_xll.EQNXTDZ($A$1,$B13,CM$1)</f>
        <v>230.05</v>
      </c>
      <c r="CN13" cm="1">
        <f t="array" ref="CN13">_xll.EQNXTDZ($A$1,$B13,CN$1)</f>
        <v>278</v>
      </c>
      <c r="CO13" cm="1">
        <f t="array" ref="CO13">_xll.EQNXTDZ($A$1,$B13,CO$1)</f>
        <v>312.5</v>
      </c>
      <c r="CP13" cm="1">
        <f t="array" ref="CP13">_xll.EQNXTDZ($A$1,$B13,CP$1)</f>
        <v>333.35</v>
      </c>
      <c r="CQ13" cm="1">
        <f t="array" ref="CQ13">_xll.EQNXTDZ($A$1,$B13,CQ$1)</f>
        <v>334.4</v>
      </c>
      <c r="CR13" cm="1">
        <f t="array" ref="CR13">_xll.EQNXTDZ($A$1,$B13,CR$1)</f>
        <v>258.64999999999998</v>
      </c>
      <c r="CS13" cm="1">
        <f t="array" ref="CS13">_xll.EQNXTDZ($A$1,$B13,CS$1)</f>
        <v>185</v>
      </c>
      <c r="CT13" cm="1">
        <f t="array" ref="CT13">_xll.EQNXTDZ($A$1,$B13,CT$1)</f>
        <v>206.7</v>
      </c>
      <c r="CU13" cm="1">
        <f t="array" ref="CU13">_xll.EQNXTDZ($A$1,$B13,CU$1)</f>
        <v>173.9</v>
      </c>
      <c r="CV13" cm="1">
        <f t="array" ref="CV13">_xll.EQNXTDZ($A$1,$B13,CV$1)</f>
        <v>259.8</v>
      </c>
      <c r="CW13" cm="1">
        <f t="array" ref="CW13">_xll.EQNXTDZ($A$1,$B13,CW$1)</f>
        <v>235</v>
      </c>
      <c r="CX13" cm="1">
        <f t="array" ref="CX13">_xll.EQNXTDZ($A$1,$B13,CX$1)</f>
        <v>257</v>
      </c>
      <c r="CY13" cm="1">
        <f t="array" ref="CY13">_xll.EQNXTDZ($A$1,$B13,CY$1)</f>
        <v>241.65</v>
      </c>
      <c r="CZ13" cm="1">
        <f t="array" ref="CZ13">_xll.EQNXTDZ($A$1,$B13,CZ$1)</f>
        <v>292</v>
      </c>
      <c r="DA13" cm="1">
        <f t="array" ref="DA13">_xll.EQNXTDZ($A$1,$B13,DA$1)</f>
        <v>382.9</v>
      </c>
      <c r="DB13" cm="1">
        <f t="array" ref="DB13">_xll.EQNXTDZ($A$1,$B13,DB$1)</f>
        <v>438.35</v>
      </c>
      <c r="DC13" cm="1">
        <f t="array" ref="DC13">_xll.EQNXTDZ($A$1,$B13,DC$1)</f>
        <v>463.3</v>
      </c>
      <c r="DD13" cm="1">
        <f t="array" ref="DD13">_xll.EQNXTDZ($A$1,$B13,DD$1)</f>
        <v>764.6</v>
      </c>
      <c r="DE13" cm="1">
        <f t="array" ref="DE13">_xll.EQNXTDZ($A$1,$B13,DE$1)</f>
        <v>924.9</v>
      </c>
      <c r="DF13" cm="1">
        <f t="array" ref="DF13">_xll.EQNXTDZ($A$1,$B13,DF$1)</f>
        <v>1015</v>
      </c>
      <c r="DG13" cm="1">
        <f t="array" ref="DG13">_xll.EQNXTDZ($A$1,$B13,DG$1)</f>
        <v>1491</v>
      </c>
      <c r="DH13" cm="1">
        <f t="array" ref="DH13">_xll.EQNXTDZ($A$1,$B13,DH$1)</f>
        <v>1009.85</v>
      </c>
      <c r="DI13" cm="1">
        <f t="array" ref="DI13">_xll.EQNXTDZ($A$1,$B13,DI$1)</f>
        <v>897.1</v>
      </c>
      <c r="DJ13" cm="1">
        <f t="array" ref="DJ13">_xll.EQNXTDZ($A$1,$B13,DJ$1)</f>
        <v>1659.1</v>
      </c>
      <c r="DK13" cm="1">
        <f t="array" ref="DK13">_xll.EQNXTDZ($A$1,$B13,DK$1)</f>
        <v>1584</v>
      </c>
      <c r="DL13" cm="1">
        <f t="array" ref="DL13">_xll.EQNXTDZ($A$1,$B13,DL$1)</f>
        <v>1706</v>
      </c>
      <c r="DM13" cm="1">
        <f t="array" ref="DM13">_xll.EQNXTDZ($A$1,$B13,DM$1)</f>
        <v>1717.4</v>
      </c>
      <c r="DN13" cm="1">
        <f t="array" ref="DN13">_xll.EQNXTDZ($A$1,$B13,DN$1)</f>
        <v>1746</v>
      </c>
      <c r="DO13" cm="1">
        <f t="array" ref="DO13">_xll.EQNXTDZ($A$1,$B13,DO$1)</f>
        <v>1949</v>
      </c>
      <c r="DP13" cm="1">
        <f t="array" ref="DP13">_xll.EQNXTDZ($A$1,$B13,DP$1)</f>
        <v>2115.0500000000002</v>
      </c>
      <c r="DQ13" cm="1">
        <f t="array" ref="DQ13">_xll.EQNXTDZ($A$1,$B13,DQ$1)</f>
        <v>2375</v>
      </c>
      <c r="DR13" cm="1">
        <f t="array" ref="DR13">_xll.EQNXTDZ($A$1,$B13,DR$1)</f>
        <v>2781</v>
      </c>
      <c r="DS13" cm="1">
        <f t="array" ref="DS13">_xll.EQNXTDZ($A$1,$B13,DS$1)</f>
        <v>2012</v>
      </c>
      <c r="DT13" cm="1">
        <f t="array" ref="DT13">_xll.EQNXTDZ($A$1,$B13,DT$1)</f>
        <v>2500</v>
      </c>
      <c r="DU13" cm="1">
        <f t="array" ref="DU13">_xll.EQNXTDZ($A$1,$B13,DU$1)</f>
        <v>3129.9</v>
      </c>
      <c r="DV13" cm="1">
        <f t="array" ref="DV13">_xll.EQNXTDZ($A$1,$B13,DV$1)</f>
        <v>3972</v>
      </c>
      <c r="DW13" cm="1">
        <f t="array" ref="DW13">_xll.EQNXTDZ($A$1,$B13,DW$1)</f>
        <v>3304.65</v>
      </c>
      <c r="DX13" cm="1">
        <f t="array" ref="DX13">_xll.EQNXTDZ($A$1,$B13,DX$1)</f>
        <v>3345.05</v>
      </c>
      <c r="DY13" cm="1">
        <f t="array" ref="DY13">_xll.EQNXTDZ($A$1,$B13,DY$1)</f>
        <v>2966.2</v>
      </c>
      <c r="DZ13" cm="1">
        <f t="array" ref="DZ13">_xll.EQNXTDZ($A$1,$B13,DZ$1)</f>
        <v>2610</v>
      </c>
      <c r="EA13" cm="1">
        <f t="array" ref="EA13">_xll.EQNXTDZ($A$1,$B13,EA$1)</f>
        <v>1818.9</v>
      </c>
      <c r="EB13" cm="1">
        <f t="array" ref="EB13">_xll.EQNXTDZ($A$1,$B13,EB$1)</f>
        <v>630</v>
      </c>
      <c r="EC13" cm="1">
        <f t="array" ref="EC13">_xll.EQNXTDZ($A$1,$B13,EC$1)</f>
        <v>993.05</v>
      </c>
      <c r="ED13" cm="1">
        <f t="array" ref="ED13">_xll.EQNXTDZ($A$1,$B13,ED$1)</f>
        <v>1029</v>
      </c>
      <c r="EE13" cm="1">
        <f t="array" ref="EE13">_xll.EQNXTDZ($A$1,$B13,EE$1)</f>
        <v>816.4</v>
      </c>
      <c r="EF13" cm="1">
        <f t="array" ref="EF13">_xll.EQNXTDZ($A$1,$B13,EF$1)</f>
        <v>783.15</v>
      </c>
      <c r="EG13" cm="1">
        <f t="array" ref="EG13">_xll.EQNXTDZ($A$1,$B13,EG$1)</f>
        <v>821.9</v>
      </c>
      <c r="EH13" cm="1">
        <f t="array" ref="EH13">_xll.EQNXTDZ($A$1,$B13,EH$1)</f>
        <v>803.05</v>
      </c>
      <c r="EI13" cm="1">
        <f t="array" ref="EI13">_xll.EQNXTDZ($A$1,$B13,EI$1)</f>
        <v>815.05</v>
      </c>
      <c r="EJ13" cm="1">
        <f t="array" ref="EJ13">_xll.EQNXTDZ($A$1,$B13,EJ$1)</f>
        <v>770</v>
      </c>
      <c r="EK13" cm="1">
        <f t="array" ref="EK13">_xll.EQNXTDZ($A$1,$B13,EK$1)</f>
        <v>872.25</v>
      </c>
      <c r="EL13" cm="1">
        <f t="array" ref="EL13">_xll.EQNXTDZ($A$1,$B13,EL$1)</f>
        <v>1046</v>
      </c>
      <c r="EM13" cm="1">
        <f t="array" ref="EM13">_xll.EQNXTDZ($A$1,$B13,EM$1)</f>
        <v>1071.6500000000001</v>
      </c>
      <c r="EN13" cm="1">
        <f t="array" ref="EN13">_xll.EQNXTDZ($A$1,$B13,EN$1)</f>
        <v>1070.5</v>
      </c>
      <c r="EO13" cm="1">
        <f t="array" ref="EO13">_xll.EQNXTDZ($A$1,$B13,EO$1)</f>
        <v>1047.25</v>
      </c>
      <c r="EP13" cm="1">
        <f t="array" ref="EP13">_xll.EQNXTDZ($A$1,$B13,EP$1)</f>
        <v>1066.3499999999999</v>
      </c>
      <c r="EQ13" cm="1">
        <f t="array" ref="EQ13">_xll.EQNXTDZ($A$1,$B13,EQ$1)</f>
        <v>1228.0999999999999</v>
      </c>
      <c r="ER13" cm="1">
        <f t="array" ref="ER13">_xll.EQNXTDZ($A$1,$B13,ER$1)</f>
        <v>1001.3</v>
      </c>
      <c r="ES13" cm="1">
        <f t="array" ref="ES13">_xll.EQNXTDZ($A$1,$B13,ES$1)</f>
        <v>1137.4000000000001</v>
      </c>
      <c r="ET13" cm="1">
        <f t="array" ref="ET13">_xll.EQNXTDZ($A$1,$B13,ET$1)</f>
        <v>1012.25</v>
      </c>
      <c r="EU13" cm="1">
        <f t="array" ref="EU13">_xll.EQNXTDZ($A$1,$B13,EU$1)</f>
        <v>1010.05</v>
      </c>
      <c r="EV13" cm="1">
        <f t="array" ref="EV13">_xll.EQNXTDZ($A$1,$B13,EV$1)</f>
        <v>989.95</v>
      </c>
      <c r="EW13" cm="1">
        <f t="array" ref="EW13">_xll.EQNXTDZ($A$1,$B13,EW$1)</f>
        <v>847</v>
      </c>
      <c r="EX13" cm="1">
        <f t="array" ref="EX13">_xll.EQNXTDZ($A$1,$B13,EX$1)</f>
        <v>808.4</v>
      </c>
      <c r="EY13" cm="1">
        <f t="array" ref="EY13">_xll.EQNXTDZ($A$1,$B13,EY$1)</f>
        <v>759.85</v>
      </c>
      <c r="EZ13" cm="1">
        <f t="array" ref="EZ13">_xll.EQNXTDZ($A$1,$B13,EZ$1)</f>
        <v>652.20000000000005</v>
      </c>
      <c r="FA13" cm="1">
        <f t="array" ref="FA13">_xll.EQNXTDZ($A$1,$B13,FA$1)</f>
        <v>854.7</v>
      </c>
      <c r="FB13" cm="1">
        <f t="array" ref="FB13">_xll.EQNXTDZ($A$1,$B13,FB$1)</f>
        <v>902.75</v>
      </c>
      <c r="FC13" cm="1">
        <f t="array" ref="FC13">_xll.EQNXTDZ($A$1,$B13,FC$1)</f>
        <v>877.75</v>
      </c>
      <c r="FD13" cm="1">
        <f t="array" ref="FD13">_xll.EQNXTDZ($A$1,$B13,FD$1)</f>
        <v>883.05</v>
      </c>
      <c r="FE13" cm="1">
        <f t="array" ref="FE13">_xll.EQNXTDZ($A$1,$B13,FE$1)</f>
        <v>812.5</v>
      </c>
      <c r="FF13" cm="1">
        <f t="array" ref="FF13">_xll.EQNXTDZ($A$1,$B13,FF$1)</f>
        <v>778.65</v>
      </c>
      <c r="FG13" cm="1">
        <f t="array" ref="FG13">_xll.EQNXTDZ($A$1,$B13,FG$1)</f>
        <v>869.6</v>
      </c>
      <c r="FH13" cm="1">
        <f t="array" ref="FH13">_xll.EQNXTDZ($A$1,$B13,FH$1)</f>
        <v>989.95</v>
      </c>
      <c r="FI13" cm="1">
        <f t="array" ref="FI13">_xll.EQNXTDZ($A$1,$B13,FI$1)</f>
        <v>996.15</v>
      </c>
      <c r="FJ13" cm="1">
        <f t="array" ref="FJ13">_xll.EQNXTDZ($A$1,$B13,FJ$1)</f>
        <v>1027.45</v>
      </c>
      <c r="FK13" cm="1">
        <f t="array" ref="FK13">_xll.EQNXTDZ($A$1,$B13,FK$1)</f>
        <v>889.9</v>
      </c>
      <c r="FL13" cm="1">
        <f t="array" ref="FL13">_xll.EQNXTDZ($A$1,$B13,FL$1)</f>
        <v>925.4</v>
      </c>
      <c r="FM13" cm="1">
        <f t="array" ref="FM13">_xll.EQNXTDZ($A$1,$B13,FM$1)</f>
        <v>959.65</v>
      </c>
      <c r="FN13" cm="1">
        <f t="array" ref="FN13">_xll.EQNXTDZ($A$1,$B13,FN$1)</f>
        <v>1360</v>
      </c>
      <c r="FO13" cm="1">
        <f t="array" ref="FO13">_xll.EQNXTDZ($A$1,$B13,FO$1)</f>
        <v>1524.35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28.35</v>
      </c>
      <c r="AO14" s="116" cm="1">
        <f t="array" ref="AO14">_xll.EQNXTDZ($A$1,$B14,AO$1)</f>
        <v>42.5</v>
      </c>
      <c r="AP14" s="116" cm="1">
        <f t="array" ref="AP14">_xll.EQNXTDZ($A$1,$B14,AP$1)</f>
        <v>31</v>
      </c>
      <c r="AQ14" s="116" cm="1">
        <f t="array" ref="AQ14">_xll.EQNXTDZ($A$1,$B14,AQ$1)</f>
        <v>41.15</v>
      </c>
      <c r="AR14" s="116" cm="1">
        <f t="array" ref="AR14">_xll.EQNXTDZ($A$1,$B14,AR$1)</f>
        <v>40.5</v>
      </c>
      <c r="AS14" s="116" cm="1">
        <f t="array" ref="AS14">_xll.EQNXTDZ($A$1,$B14,AS$1)</f>
        <v>41.45</v>
      </c>
      <c r="AT14" s="116" cm="1">
        <f t="array" ref="AT14">_xll.EQNXTDZ($A$1,$B14,AT$1)</f>
        <v>42.6</v>
      </c>
      <c r="AU14" s="116" cm="1">
        <f t="array" ref="AU14">_xll.EQNXTDZ($A$1,$B14,AU$1)</f>
        <v>39.9</v>
      </c>
      <c r="AV14" s="116" cm="1">
        <f t="array" ref="AV14">_xll.EQNXTDZ($A$1,$B14,AV$1)</f>
        <v>35.200000000000003</v>
      </c>
      <c r="AW14" s="116" cm="1">
        <f t="array" ref="AW14">_xll.EQNXTDZ($A$1,$B14,AW$1)</f>
        <v>36.4</v>
      </c>
      <c r="AX14" s="116" cm="1">
        <f t="array" ref="AX14">_xll.EQNXTDZ($A$1,$B14,AX$1)</f>
        <v>33.25</v>
      </c>
      <c r="AY14" s="116" cm="1">
        <f t="array" ref="AY14">_xll.EQNXTDZ($A$1,$B14,AY$1)</f>
        <v>40.4</v>
      </c>
      <c r="AZ14" s="116" cm="1">
        <f t="array" ref="AZ14">_xll.EQNXTDZ($A$1,$B14,AZ$1)</f>
        <v>42.75</v>
      </c>
      <c r="BA14" s="116" cm="1">
        <f t="array" ref="BA14">_xll.EQNXTDZ($A$1,$B14,BA$1)</f>
        <v>42.6</v>
      </c>
      <c r="BB14" s="116" cm="1">
        <f t="array" ref="BB14">_xll.EQNXTDZ($A$1,$B14,BB$1)</f>
        <v>42.8</v>
      </c>
      <c r="BC14" s="116" cm="1">
        <f t="array" ref="BC14">_xll.EQNXTDZ($A$1,$B14,BC$1)</f>
        <v>46.35</v>
      </c>
      <c r="BD14" s="116" cm="1">
        <f t="array" ref="BD14">_xll.EQNXTDZ($A$1,$B14,BD$1)</f>
        <v>66</v>
      </c>
      <c r="BE14" s="116" cm="1">
        <f t="array" ref="BE14">_xll.EQNXTDZ($A$1,$B14,BE$1)</f>
        <v>62.4</v>
      </c>
      <c r="BF14" s="116" cm="1">
        <f t="array" ref="BF14">_xll.EQNXTDZ($A$1,$B14,BF$1)</f>
        <v>68.400000000000006</v>
      </c>
      <c r="BG14" s="116" cm="1">
        <f t="array" ref="BG14">_xll.EQNXTDZ($A$1,$B14,BG$1)</f>
        <v>69.7</v>
      </c>
      <c r="BH14" s="116" cm="1">
        <f t="array" ref="BH14">_xll.EQNXTDZ($A$1,$B14,BH$1)</f>
        <v>67.400000000000006</v>
      </c>
      <c r="BI14" s="116" cm="1">
        <f t="array" ref="BI14">_xll.EQNXTDZ($A$1,$B14,BI$1)</f>
        <v>96</v>
      </c>
      <c r="BJ14" s="116" cm="1">
        <f t="array" ref="BJ14">_xll.EQNXTDZ($A$1,$B14,BJ$1)</f>
        <v>120.45</v>
      </c>
      <c r="BK14" s="116" cm="1">
        <f t="array" ref="BK14">_xll.EQNXTDZ($A$1,$B14,BK$1)</f>
        <v>137</v>
      </c>
      <c r="BL14" s="116" cm="1">
        <f t="array" ref="BL14">_xll.EQNXTDZ($A$1,$B14,BL$1)</f>
        <v>135.5</v>
      </c>
      <c r="BM14" s="116" cm="1">
        <f t="array" ref="BM14">_xll.EQNXTDZ($A$1,$B14,BM$1)</f>
        <v>131.4</v>
      </c>
      <c r="BN14" s="116" cm="1">
        <f t="array" ref="BN14">_xll.EQNXTDZ($A$1,$B14,BN$1)</f>
        <v>156</v>
      </c>
      <c r="BO14" s="116" cm="1">
        <f t="array" ref="BO14">_xll.EQNXTDZ($A$1,$B14,BO$1)</f>
        <v>237.1</v>
      </c>
      <c r="BP14" s="116" cm="1">
        <f t="array" ref="BP14">_xll.EQNXTDZ($A$1,$B14,BP$1)</f>
        <v>222.35</v>
      </c>
      <c r="BQ14" s="116" cm="1">
        <f t="array" ref="BQ14">_xll.EQNXTDZ($A$1,$B14,BQ$1)</f>
        <v>247.75</v>
      </c>
      <c r="BR14" s="116" cm="1">
        <f t="array" ref="BR14">_xll.EQNXTDZ($A$1,$B14,BR$1)</f>
        <v>252</v>
      </c>
      <c r="BS14" s="116" cm="1">
        <f t="array" ref="BS14">_xll.EQNXTDZ($A$1,$B14,BS$1)</f>
        <v>218.75</v>
      </c>
      <c r="BT14" s="116" cm="1">
        <f t="array" ref="BT14">_xll.EQNXTDZ($A$1,$B14,BT$1)</f>
        <v>207.25</v>
      </c>
      <c r="BU14" s="116" cm="1">
        <f t="array" ref="BU14">_xll.EQNXTDZ($A$1,$B14,BU$1)</f>
        <v>198.9</v>
      </c>
      <c r="BV14" s="116" cm="1">
        <f t="array" ref="BV14">_xll.EQNXTDZ($A$1,$B14,BV$1)</f>
        <v>177.75</v>
      </c>
      <c r="BW14" s="116" cm="1">
        <f t="array" ref="BW14">_xll.EQNXTDZ($A$1,$B14,BW$1)</f>
        <v>170.5</v>
      </c>
      <c r="BX14" s="116" cm="1">
        <f t="array" ref="BX14">_xll.EQNXTDZ($A$1,$B14,BX$1)</f>
        <v>184.4</v>
      </c>
      <c r="BY14" s="116" cm="1">
        <f t="array" ref="BY14">_xll.EQNXTDZ($A$1,$B14,BY$1)</f>
        <v>245</v>
      </c>
      <c r="BZ14" s="116" cm="1">
        <f t="array" ref="BZ14">_xll.EQNXTDZ($A$1,$B14,BZ$1)</f>
        <v>231.5</v>
      </c>
      <c r="CA14" s="116" cm="1">
        <f t="array" ref="CA14">_xll.EQNXTDZ($A$1,$B14,CA$1)</f>
        <v>173.55</v>
      </c>
      <c r="CB14" s="116" cm="1">
        <f t="array" ref="CB14">_xll.EQNXTDZ($A$1,$B14,CB$1)</f>
        <v>256.3</v>
      </c>
      <c r="CC14" s="116" cm="1">
        <f t="array" ref="CC14">_xll.EQNXTDZ($A$1,$B14,CC$1)</f>
        <v>228</v>
      </c>
      <c r="CD14" s="116" cm="1">
        <f t="array" ref="CD14">_xll.EQNXTDZ($A$1,$B14,CD$1)</f>
        <v>231.25</v>
      </c>
      <c r="CE14" s="116" cm="1">
        <f t="array" ref="CE14">_xll.EQNXTDZ($A$1,$B14,CE$1)</f>
        <v>224.95</v>
      </c>
      <c r="CF14" s="116" cm="1">
        <f t="array" ref="CF14">_xll.EQNXTDZ($A$1,$B14,CF$1)</f>
        <v>242.5</v>
      </c>
      <c r="CG14" s="116" cm="1">
        <f t="array" ref="CG14">_xll.EQNXTDZ($A$1,$B14,CG$1)</f>
        <v>232.7</v>
      </c>
      <c r="CH14" s="116" cm="1">
        <f t="array" ref="CH14">_xll.EQNXTDZ($A$1,$B14,CH$1)</f>
        <v>253.05</v>
      </c>
      <c r="CI14" s="116" cm="1">
        <f t="array" ref="CI14">_xll.EQNXTDZ($A$1,$B14,CI$1)</f>
        <v>240</v>
      </c>
      <c r="CJ14" s="116" cm="1">
        <f t="array" ref="CJ14">_xll.EQNXTDZ($A$1,$B14,CJ$1)</f>
        <v>244.3</v>
      </c>
      <c r="CK14" s="116" cm="1">
        <f t="array" ref="CK14">_xll.EQNXTDZ($A$1,$B14,CK$1)</f>
        <v>240.25</v>
      </c>
      <c r="CL14" s="116" cm="1">
        <f t="array" ref="CL14">_xll.EQNXTDZ($A$1,$B14,CL$1)</f>
        <v>247</v>
      </c>
      <c r="CM14" s="116" cm="1">
        <f t="array" ref="CM14">_xll.EQNXTDZ($A$1,$B14,CM$1)</f>
        <v>279.5</v>
      </c>
      <c r="CN14" s="116" cm="1">
        <f t="array" ref="CN14">_xll.EQNXTDZ($A$1,$B14,CN$1)</f>
        <v>317.10000000000002</v>
      </c>
      <c r="CO14" s="116" cm="1">
        <f t="array" ref="CO14">_xll.EQNXTDZ($A$1,$B14,CO$1)</f>
        <v>350.05</v>
      </c>
      <c r="CP14" s="116" cm="1">
        <f t="array" ref="CP14">_xll.EQNXTDZ($A$1,$B14,CP$1)</f>
        <v>365.8</v>
      </c>
      <c r="CQ14" s="116" cm="1">
        <f t="array" ref="CQ14">_xll.EQNXTDZ($A$1,$B14,CQ$1)</f>
        <v>360</v>
      </c>
      <c r="CR14" s="116" cm="1">
        <f t="array" ref="CR14">_xll.EQNXTDZ($A$1,$B14,CR$1)</f>
        <v>273</v>
      </c>
      <c r="CS14" s="116" cm="1">
        <f t="array" ref="CS14">_xll.EQNXTDZ($A$1,$B14,CS$1)</f>
        <v>215</v>
      </c>
      <c r="CT14" s="116" cm="1">
        <f t="array" ref="CT14">_xll.EQNXTDZ($A$1,$B14,CT$1)</f>
        <v>207.1</v>
      </c>
      <c r="CU14" s="116" cm="1">
        <f t="array" ref="CU14">_xll.EQNXTDZ($A$1,$B14,CU$1)</f>
        <v>281.95</v>
      </c>
      <c r="CV14" s="116" cm="1">
        <f t="array" ref="CV14">_xll.EQNXTDZ($A$1,$B14,CV$1)</f>
        <v>273</v>
      </c>
      <c r="CW14" s="116" cm="1">
        <f t="array" ref="CW14">_xll.EQNXTDZ($A$1,$B14,CW$1)</f>
        <v>303.10000000000002</v>
      </c>
      <c r="CX14" s="116" cm="1">
        <f t="array" ref="CX14">_xll.EQNXTDZ($A$1,$B14,CX$1)</f>
        <v>282.39999999999998</v>
      </c>
      <c r="CY14" s="116" cm="1">
        <f t="array" ref="CY14">_xll.EQNXTDZ($A$1,$B14,CY$1)</f>
        <v>299.10000000000002</v>
      </c>
      <c r="CZ14" s="116" cm="1">
        <f t="array" ref="CZ14">_xll.EQNXTDZ($A$1,$B14,CZ$1)</f>
        <v>407.7</v>
      </c>
      <c r="DA14" s="116" cm="1">
        <f t="array" ref="DA14">_xll.EQNXTDZ($A$1,$B14,DA$1)</f>
        <v>455</v>
      </c>
      <c r="DB14" s="116" cm="1">
        <f t="array" ref="DB14">_xll.EQNXTDZ($A$1,$B14,DB$1)</f>
        <v>500</v>
      </c>
      <c r="DC14" s="116" cm="1">
        <f t="array" ref="DC14">_xll.EQNXTDZ($A$1,$B14,DC$1)</f>
        <v>820.05</v>
      </c>
      <c r="DD14" s="116" cm="1">
        <f t="array" ref="DD14">_xll.EQNXTDZ($A$1,$B14,DD$1)</f>
        <v>924.4</v>
      </c>
      <c r="DE14" s="116" cm="1">
        <f t="array" ref="DE14">_xll.EQNXTDZ($A$1,$B14,DE$1)</f>
        <v>1147</v>
      </c>
      <c r="DF14" s="116" cm="1">
        <f t="array" ref="DF14">_xll.EQNXTDZ($A$1,$B14,DF$1)</f>
        <v>1589.3</v>
      </c>
      <c r="DG14" s="116" cm="1">
        <f t="array" ref="DG14">_xll.EQNXTDZ($A$1,$B14,DG$1)</f>
        <v>1647.7</v>
      </c>
      <c r="DH14" s="116" cm="1">
        <f t="array" ref="DH14">_xll.EQNXTDZ($A$1,$B14,DH$1)</f>
        <v>1029</v>
      </c>
      <c r="DI14" s="116" cm="1">
        <f t="array" ref="DI14">_xll.EQNXTDZ($A$1,$B14,DI$1)</f>
        <v>1580.1</v>
      </c>
      <c r="DJ14" s="116" cm="1">
        <f t="array" ref="DJ14">_xll.EQNXTDZ($A$1,$B14,DJ$1)</f>
        <v>1990</v>
      </c>
      <c r="DK14" s="116" cm="1">
        <f t="array" ref="DK14">_xll.EQNXTDZ($A$1,$B14,DK$1)</f>
        <v>1920</v>
      </c>
      <c r="DL14" s="116" cm="1">
        <f t="array" ref="DL14">_xll.EQNXTDZ($A$1,$B14,DL$1)</f>
        <v>2030</v>
      </c>
      <c r="DM14" s="116" cm="1">
        <f t="array" ref="DM14">_xll.EQNXTDZ($A$1,$B14,DM$1)</f>
        <v>1928.2</v>
      </c>
      <c r="DN14" s="116" cm="1">
        <f t="array" ref="DN14">_xll.EQNXTDZ($A$1,$B14,DN$1)</f>
        <v>2150</v>
      </c>
      <c r="DO14" s="116" cm="1">
        <f t="array" ref="DO14">_xll.EQNXTDZ($A$1,$B14,DO$1)</f>
        <v>2136.8000000000002</v>
      </c>
      <c r="DP14" s="116" cm="1">
        <f t="array" ref="DP14">_xll.EQNXTDZ($A$1,$B14,DP$1)</f>
        <v>2577.65</v>
      </c>
      <c r="DQ14" s="116" cm="1">
        <f t="array" ref="DQ14">_xll.EQNXTDZ($A$1,$B14,DQ$1)</f>
        <v>3000</v>
      </c>
      <c r="DR14" s="116" cm="1">
        <f t="array" ref="DR14">_xll.EQNXTDZ($A$1,$B14,DR$1)</f>
        <v>2870</v>
      </c>
      <c r="DS14" s="116" cm="1">
        <f t="array" ref="DS14">_xll.EQNXTDZ($A$1,$B14,DS$1)</f>
        <v>2499</v>
      </c>
      <c r="DT14" s="116" cm="1">
        <f t="array" ref="DT14">_xll.EQNXTDZ($A$1,$B14,DT$1)</f>
        <v>3141.8</v>
      </c>
      <c r="DU14" s="116" cm="1">
        <f t="array" ref="DU14">_xll.EQNXTDZ($A$1,$B14,DU$1)</f>
        <v>4041.9</v>
      </c>
      <c r="DV14" s="116" cm="1">
        <f t="array" ref="DV14">_xll.EQNXTDZ($A$1,$B14,DV$1)</f>
        <v>4238.55</v>
      </c>
      <c r="DW14" s="116" cm="1">
        <f t="array" ref="DW14">_xll.EQNXTDZ($A$1,$B14,DW$1)</f>
        <v>3420.25</v>
      </c>
      <c r="DX14" s="116" cm="1">
        <f t="array" ref="DX14">_xll.EQNXTDZ($A$1,$B14,DX$1)</f>
        <v>3385.3</v>
      </c>
      <c r="DY14" s="116" cm="1">
        <f t="array" ref="DY14">_xll.EQNXTDZ($A$1,$B14,DY$1)</f>
        <v>3000</v>
      </c>
      <c r="DZ14" s="116" cm="1">
        <f t="array" ref="DZ14">_xll.EQNXTDZ($A$1,$B14,DZ$1)</f>
        <v>2798.6</v>
      </c>
      <c r="EA14" s="116" cm="1">
        <f t="array" ref="EA14">_xll.EQNXTDZ($A$1,$B14,EA$1)</f>
        <v>1825.95</v>
      </c>
      <c r="EB14" s="116" cm="1">
        <f t="array" ref="EB14">_xll.EQNXTDZ($A$1,$B14,EB$1)</f>
        <v>1168.3499999999999</v>
      </c>
      <c r="EC14" s="116" cm="1">
        <f t="array" ref="EC14">_xll.EQNXTDZ($A$1,$B14,EC$1)</f>
        <v>1098.75</v>
      </c>
      <c r="ED14" s="116" cm="1">
        <f t="array" ref="ED14">_xll.EQNXTDZ($A$1,$B14,ED$1)</f>
        <v>1077.3</v>
      </c>
      <c r="EE14" s="116" cm="1">
        <f t="array" ref="EE14">_xll.EQNXTDZ($A$1,$B14,EE$1)</f>
        <v>848.5</v>
      </c>
      <c r="EF14" s="116" cm="1">
        <f t="array" ref="EF14">_xll.EQNXTDZ($A$1,$B14,EF$1)</f>
        <v>843</v>
      </c>
      <c r="EG14" s="116" cm="1">
        <f t="array" ref="EG14">_xll.EQNXTDZ($A$1,$B14,EG$1)</f>
        <v>976.45</v>
      </c>
      <c r="EH14" s="116" cm="1">
        <f t="array" ref="EH14">_xll.EQNXTDZ($A$1,$B14,EH$1)</f>
        <v>888.95</v>
      </c>
      <c r="EI14" s="116" cm="1">
        <f t="array" ref="EI14">_xll.EQNXTDZ($A$1,$B14,EI$1)</f>
        <v>828.1</v>
      </c>
      <c r="EJ14" s="116" cm="1">
        <f t="array" ref="EJ14">_xll.EQNXTDZ($A$1,$B14,EJ$1)</f>
        <v>954.85</v>
      </c>
      <c r="EK14" s="116" cm="1">
        <f t="array" ref="EK14">_xll.EQNXTDZ($A$1,$B14,EK$1)</f>
        <v>1246</v>
      </c>
      <c r="EL14" s="116" cm="1">
        <f t="array" ref="EL14">_xll.EQNXTDZ($A$1,$B14,EL$1)</f>
        <v>1250</v>
      </c>
      <c r="EM14" s="116" cm="1">
        <f t="array" ref="EM14">_xll.EQNXTDZ($A$1,$B14,EM$1)</f>
        <v>1189.9000000000001</v>
      </c>
      <c r="EN14" s="116" cm="1">
        <f t="array" ref="EN14">_xll.EQNXTDZ($A$1,$B14,EN$1)</f>
        <v>1095.9000000000001</v>
      </c>
      <c r="EO14" s="116" cm="1">
        <f t="array" ref="EO14">_xll.EQNXTDZ($A$1,$B14,EO$1)</f>
        <v>1128.5</v>
      </c>
      <c r="EP14" s="116" cm="1">
        <f t="array" ref="EP14">_xll.EQNXTDZ($A$1,$B14,EP$1)</f>
        <v>1154.55</v>
      </c>
      <c r="EQ14" s="116" cm="1">
        <f t="array" ref="EQ14">_xll.EQNXTDZ($A$1,$B14,EQ$1)</f>
        <v>1249</v>
      </c>
      <c r="ER14" s="116" cm="1">
        <f t="array" ref="ER14">_xll.EQNXTDZ($A$1,$B14,ER$1)</f>
        <v>1169.4000000000001</v>
      </c>
      <c r="ES14" s="116" cm="1">
        <f t="array" ref="ES14">_xll.EQNXTDZ($A$1,$B14,ES$1)</f>
        <v>1347.9</v>
      </c>
      <c r="ET14" s="116" cm="1">
        <f t="array" ref="ET14">_xll.EQNXTDZ($A$1,$B14,ET$1)</f>
        <v>1067</v>
      </c>
      <c r="EU14" s="116" cm="1">
        <f t="array" ref="EU14">_xll.EQNXTDZ($A$1,$B14,EU$1)</f>
        <v>1053</v>
      </c>
      <c r="EV14" s="116" cm="1">
        <f t="array" ref="EV14">_xll.EQNXTDZ($A$1,$B14,EV$1)</f>
        <v>1090.6500000000001</v>
      </c>
      <c r="EW14" s="116" cm="1">
        <f t="array" ref="EW14">_xll.EQNXTDZ($A$1,$B14,EW$1)</f>
        <v>855</v>
      </c>
      <c r="EX14" s="116" cm="1">
        <f t="array" ref="EX14">_xll.EQNXTDZ($A$1,$B14,EX$1)</f>
        <v>832</v>
      </c>
      <c r="EY14" s="116" cm="1">
        <f t="array" ref="EY14">_xll.EQNXTDZ($A$1,$B14,EY$1)</f>
        <v>788</v>
      </c>
      <c r="EZ14" s="116" cm="1">
        <f t="array" ref="EZ14">_xll.EQNXTDZ($A$1,$B14,EZ$1)</f>
        <v>894.5</v>
      </c>
      <c r="FA14" s="116" cm="1">
        <f t="array" ref="FA14">_xll.EQNXTDZ($A$1,$B14,FA$1)</f>
        <v>981.95</v>
      </c>
      <c r="FB14" s="116" cm="1">
        <f t="array" ref="FB14">_xll.EQNXTDZ($A$1,$B14,FB$1)</f>
        <v>980.55</v>
      </c>
      <c r="FC14" s="116" cm="1">
        <f t="array" ref="FC14">_xll.EQNXTDZ($A$1,$B14,FC$1)</f>
        <v>924.15</v>
      </c>
      <c r="FD14" s="116" cm="1">
        <f t="array" ref="FD14">_xll.EQNXTDZ($A$1,$B14,FD$1)</f>
        <v>907.6</v>
      </c>
      <c r="FE14" s="116" cm="1">
        <f t="array" ref="FE14">_xll.EQNXTDZ($A$1,$B14,FE$1)</f>
        <v>834.05</v>
      </c>
      <c r="FF14" s="116" cm="1">
        <f t="array" ref="FF14">_xll.EQNXTDZ($A$1,$B14,FF$1)</f>
        <v>957.95</v>
      </c>
      <c r="FG14" s="116" cm="1">
        <f t="array" ref="FG14">_xll.EQNXTDZ($A$1,$B14,FG$1)</f>
        <v>1004.35</v>
      </c>
      <c r="FH14" s="116" cm="1">
        <f t="array" ref="FH14">_xll.EQNXTDZ($A$1,$B14,FH$1)</f>
        <v>1050</v>
      </c>
      <c r="FI14" s="116" cm="1">
        <f t="array" ref="FI14">_xll.EQNXTDZ($A$1,$B14,FI$1)</f>
        <v>1032.9000000000001</v>
      </c>
      <c r="FJ14" s="116" cm="1">
        <f t="array" ref="FJ14">_xll.EQNXTDZ($A$1,$B14,FJ$1)</f>
        <v>1067.3</v>
      </c>
      <c r="FK14" s="116" cm="1">
        <f t="array" ref="FK14">_xll.EQNXTDZ($A$1,$B14,FK$1)</f>
        <v>1051.2</v>
      </c>
      <c r="FL14" s="116" cm="1">
        <f t="array" ref="FL14">_xll.EQNXTDZ($A$1,$B14,FL$1)</f>
        <v>1043.05</v>
      </c>
      <c r="FM14" s="116" cm="1">
        <f t="array" ref="FM14">_xll.EQNXTDZ($A$1,$B14,FM$1)</f>
        <v>1463</v>
      </c>
      <c r="FN14" s="116" cm="1">
        <f t="array" ref="FN14">_xll.EQNXTDZ($A$1,$B14,FN$1)</f>
        <v>1578</v>
      </c>
      <c r="FO14" s="116" cm="1">
        <f t="array" ref="FO14">_xll.EQNXTDZ($A$1,$B14,FO$1)</f>
        <v>1614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42.5</v>
      </c>
      <c r="IC14" s="116">
        <f>+MAX(AQ14:AS14)</f>
        <v>41.45</v>
      </c>
      <c r="ID14" s="116">
        <f>+MAX(AT14:AV14)</f>
        <v>42.6</v>
      </c>
      <c r="IE14" s="116">
        <f>+MAX(AW14:AY14)</f>
        <v>40.4</v>
      </c>
      <c r="IF14" s="116">
        <f>+MAX(AZ14:BB14)</f>
        <v>42.8</v>
      </c>
      <c r="IG14" s="116">
        <f>+MAX(BC14:BE14)</f>
        <v>66</v>
      </c>
      <c r="IH14" s="116">
        <f>+MAX(BF14:BH14)</f>
        <v>69.7</v>
      </c>
      <c r="II14" s="116">
        <f>+MAX(BI14:BK14)</f>
        <v>137</v>
      </c>
      <c r="IJ14" s="116">
        <f>+MAX(BL14:BN14)</f>
        <v>156</v>
      </c>
      <c r="IK14" s="116">
        <f>+MAX(BO14:BQ14)</f>
        <v>247.75</v>
      </c>
      <c r="IL14" s="116">
        <f>+MAX(BR14:BT14)</f>
        <v>252</v>
      </c>
      <c r="IM14" s="116">
        <f>+MAX(BU14:BW14)</f>
        <v>198.9</v>
      </c>
      <c r="IN14" s="116">
        <f>+MAX(BX14:BZ14)</f>
        <v>245</v>
      </c>
      <c r="IO14" s="116">
        <f>+MAX(CA14:CC14)</f>
        <v>256.3</v>
      </c>
      <c r="IP14" s="116">
        <f>+MAX(CD14:CF14)</f>
        <v>242.5</v>
      </c>
      <c r="IQ14" s="116">
        <f>+MAX(CG14:CI14)</f>
        <v>253.05</v>
      </c>
      <c r="IR14" s="116">
        <f>+MAX(CJ14:CL14)</f>
        <v>247</v>
      </c>
      <c r="IS14" s="116">
        <f>+MAX(CM14:CO14)</f>
        <v>350.05</v>
      </c>
      <c r="IT14" s="116">
        <f>+MAX(CP14:CR14)</f>
        <v>365.8</v>
      </c>
      <c r="IU14" s="116">
        <f>+MAX(CS14:CU14)</f>
        <v>281.95</v>
      </c>
      <c r="IV14" s="116">
        <f>+MAX(CV14:CX14)</f>
        <v>303.10000000000002</v>
      </c>
      <c r="IW14" s="116">
        <f>+MAX(CY14:DA14)</f>
        <v>455</v>
      </c>
      <c r="IX14" s="116">
        <f>+MAX(DB14:DD14)</f>
        <v>924.4</v>
      </c>
      <c r="IY14" s="116">
        <f>+MAX(DE14:DG14)</f>
        <v>1647.7</v>
      </c>
      <c r="IZ14" s="116">
        <f>+MAX(DH14:DJ14)</f>
        <v>1990</v>
      </c>
      <c r="JA14" s="116">
        <f>+MAX(DK14:DM14)</f>
        <v>2030</v>
      </c>
      <c r="JB14" s="116">
        <f>+MAX(DN14:DP14)</f>
        <v>2577.65</v>
      </c>
      <c r="JC14" s="116">
        <f>+MAX(DQ14:DS14)</f>
        <v>3000</v>
      </c>
      <c r="JD14" s="116">
        <f>+MAX(DT14:DV14)</f>
        <v>4238.55</v>
      </c>
      <c r="JE14" s="116">
        <f>+MAX(DW14:DY14)</f>
        <v>3420.25</v>
      </c>
      <c r="JF14" s="116">
        <f>+MAX(DZ14:EB14)</f>
        <v>2798.6</v>
      </c>
      <c r="JG14" s="116">
        <f>+MAX(EC14:EE14)</f>
        <v>1098.75</v>
      </c>
      <c r="JH14" s="116">
        <f>+MAX(EF14:EH14)</f>
        <v>976.45</v>
      </c>
      <c r="JI14" s="116">
        <f>+MAX(EI14:EK14)</f>
        <v>1246</v>
      </c>
      <c r="JJ14" s="116">
        <f>+MAX(EL14:EN14)</f>
        <v>1250</v>
      </c>
      <c r="JK14" s="116">
        <f>MAX(EO14:EQ14)</f>
        <v>1249</v>
      </c>
      <c r="JL14" s="116">
        <f>MAX(ER14:ET14)</f>
        <v>1347.9</v>
      </c>
      <c r="JM14" s="116">
        <f>MAX(EU14:EW14)</f>
        <v>1090.6500000000001</v>
      </c>
      <c r="JN14" s="116">
        <f>MAX(EX14:EZ14)</f>
        <v>894.5</v>
      </c>
      <c r="JO14" s="116">
        <f>MAX(FA14:FC14)</f>
        <v>981.95</v>
      </c>
      <c r="JP14" s="116">
        <f>MAX(FD14:FF14)</f>
        <v>957.95</v>
      </c>
      <c r="JQ14" s="116">
        <f>MAX(FG14:FI14)</f>
        <v>1050</v>
      </c>
      <c r="JR14" s="116">
        <f>MAX(FJ14:FL14)</f>
        <v>1067.3</v>
      </c>
      <c r="JS14" s="116">
        <f>MAX(FM14:FO14)</f>
        <v>1614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25.65</v>
      </c>
      <c r="AO15" s="116" cm="1">
        <f t="array" ref="AO15">_xll.EQNXTDZ($A$1,$B15,AO$1)</f>
        <v>27</v>
      </c>
      <c r="AP15" s="116" cm="1">
        <f t="array" ref="AP15">_xll.EQNXTDZ($A$1,$B15,AP$1)</f>
        <v>25.25</v>
      </c>
      <c r="AQ15" s="116" cm="1">
        <f t="array" ref="AQ15">_xll.EQNXTDZ($A$1,$B15,AQ$1)</f>
        <v>26.6</v>
      </c>
      <c r="AR15" s="116" cm="1">
        <f t="array" ref="AR15">_xll.EQNXTDZ($A$1,$B15,AR$1)</f>
        <v>31.65</v>
      </c>
      <c r="AS15" s="116" cm="1">
        <f t="array" ref="AS15">_xll.EQNXTDZ($A$1,$B15,AS$1)</f>
        <v>33</v>
      </c>
      <c r="AT15" s="116" cm="1">
        <f t="array" ref="AT15">_xll.EQNXTDZ($A$1,$B15,AT$1)</f>
        <v>29.7</v>
      </c>
      <c r="AU15" s="116" cm="1">
        <f t="array" ref="AU15">_xll.EQNXTDZ($A$1,$B15,AU$1)</f>
        <v>26.3</v>
      </c>
      <c r="AV15" s="116" cm="1">
        <f t="array" ref="AV15">_xll.EQNXTDZ($A$1,$B15,AV$1)</f>
        <v>26.5</v>
      </c>
      <c r="AW15" s="116" cm="1">
        <f t="array" ref="AW15">_xll.EQNXTDZ($A$1,$B15,AW$1)</f>
        <v>31.25</v>
      </c>
      <c r="AX15" s="116" cm="1">
        <f t="array" ref="AX15">_xll.EQNXTDZ($A$1,$B15,AX$1)</f>
        <v>28.35</v>
      </c>
      <c r="AY15" s="116" cm="1">
        <f t="array" ref="AY15">_xll.EQNXTDZ($A$1,$B15,AY$1)</f>
        <v>30.3</v>
      </c>
      <c r="AZ15" s="116" cm="1">
        <f t="array" ref="AZ15">_xll.EQNXTDZ($A$1,$B15,AZ$1)</f>
        <v>36</v>
      </c>
      <c r="BA15" s="116" cm="1">
        <f t="array" ref="BA15">_xll.EQNXTDZ($A$1,$B15,BA$1)</f>
        <v>37.15</v>
      </c>
      <c r="BB15" s="116" cm="1">
        <f t="array" ref="BB15">_xll.EQNXTDZ($A$1,$B15,BB$1)</f>
        <v>34</v>
      </c>
      <c r="BC15" s="116" cm="1">
        <f t="array" ref="BC15">_xll.EQNXTDZ($A$1,$B15,BC$1)</f>
        <v>38.25</v>
      </c>
      <c r="BD15" s="116" cm="1">
        <f t="array" ref="BD15">_xll.EQNXTDZ($A$1,$B15,BD$1)</f>
        <v>40</v>
      </c>
      <c r="BE15" s="116" cm="1">
        <f t="array" ref="BE15">_xll.EQNXTDZ($A$1,$B15,BE$1)</f>
        <v>51.1</v>
      </c>
      <c r="BF15" s="116" cm="1">
        <f t="array" ref="BF15">_xll.EQNXTDZ($A$1,$B15,BF$1)</f>
        <v>56.3</v>
      </c>
      <c r="BG15" s="116" cm="1">
        <f t="array" ref="BG15">_xll.EQNXTDZ($A$1,$B15,BG$1)</f>
        <v>60.95</v>
      </c>
      <c r="BH15" s="116" cm="1">
        <f t="array" ref="BH15">_xll.EQNXTDZ($A$1,$B15,BH$1)</f>
        <v>60.5</v>
      </c>
      <c r="BI15" s="116" cm="1">
        <f t="array" ref="BI15">_xll.EQNXTDZ($A$1,$B15,BI$1)</f>
        <v>64.5</v>
      </c>
      <c r="BJ15" s="116" cm="1">
        <f t="array" ref="BJ15">_xll.EQNXTDZ($A$1,$B15,BJ$1)</f>
        <v>70.7</v>
      </c>
      <c r="BK15" s="116" cm="1">
        <f t="array" ref="BK15">_xll.EQNXTDZ($A$1,$B15,BK$1)</f>
        <v>108.35</v>
      </c>
      <c r="BL15" s="116" cm="1">
        <f t="array" ref="BL15">_xll.EQNXTDZ($A$1,$B15,BL$1)</f>
        <v>119.2</v>
      </c>
      <c r="BM15" s="116" cm="1">
        <f t="array" ref="BM15">_xll.EQNXTDZ($A$1,$B15,BM$1)</f>
        <v>103</v>
      </c>
      <c r="BN15" s="116" cm="1">
        <f t="array" ref="BN15">_xll.EQNXTDZ($A$1,$B15,BN$1)</f>
        <v>120.5</v>
      </c>
      <c r="BO15" s="116" cm="1">
        <f t="array" ref="BO15">_xll.EQNXTDZ($A$1,$B15,BO$1)</f>
        <v>153.05000000000001</v>
      </c>
      <c r="BP15" s="116" cm="1">
        <f t="array" ref="BP15">_xll.EQNXTDZ($A$1,$B15,BP$1)</f>
        <v>180.95</v>
      </c>
      <c r="BQ15" s="116" cm="1">
        <f t="array" ref="BQ15">_xll.EQNXTDZ($A$1,$B15,BQ$1)</f>
        <v>165.55</v>
      </c>
      <c r="BR15" s="116" cm="1">
        <f t="array" ref="BR15">_xll.EQNXTDZ($A$1,$B15,BR$1)</f>
        <v>206.55</v>
      </c>
      <c r="BS15" s="116" cm="1">
        <f t="array" ref="BS15">_xll.EQNXTDZ($A$1,$B15,BS$1)</f>
        <v>178</v>
      </c>
      <c r="BT15" s="116" cm="1">
        <f t="array" ref="BT15">_xll.EQNXTDZ($A$1,$B15,BT$1)</f>
        <v>154.80000000000001</v>
      </c>
      <c r="BU15" s="116" cm="1">
        <f t="array" ref="BU15">_xll.EQNXTDZ($A$1,$B15,BU$1)</f>
        <v>164</v>
      </c>
      <c r="BV15" s="116" cm="1">
        <f t="array" ref="BV15">_xll.EQNXTDZ($A$1,$B15,BV$1)</f>
        <v>115</v>
      </c>
      <c r="BW15" s="116" cm="1">
        <f t="array" ref="BW15">_xll.EQNXTDZ($A$1,$B15,BW$1)</f>
        <v>125.95</v>
      </c>
      <c r="BX15" s="116" cm="1">
        <f t="array" ref="BX15">_xll.EQNXTDZ($A$1,$B15,BX$1)</f>
        <v>145.65</v>
      </c>
      <c r="BY15" s="116" cm="1">
        <f t="array" ref="BY15">_xll.EQNXTDZ($A$1,$B15,BY$1)</f>
        <v>158.75</v>
      </c>
      <c r="BZ15" s="116" cm="1">
        <f t="array" ref="BZ15">_xll.EQNXTDZ($A$1,$B15,BZ$1)</f>
        <v>160.25</v>
      </c>
      <c r="CA15" s="116" cm="1">
        <f t="array" ref="CA15">_xll.EQNXTDZ($A$1,$B15,CA$1)</f>
        <v>141.35</v>
      </c>
      <c r="CB15" s="116" cm="1">
        <f t="array" ref="CB15">_xll.EQNXTDZ($A$1,$B15,CB$1)</f>
        <v>165.25</v>
      </c>
      <c r="CC15" s="116" cm="1">
        <f t="array" ref="CC15">_xll.EQNXTDZ($A$1,$B15,CC$1)</f>
        <v>194.5</v>
      </c>
      <c r="CD15" s="116" cm="1">
        <f t="array" ref="CD15">_xll.EQNXTDZ($A$1,$B15,CD$1)</f>
        <v>180</v>
      </c>
      <c r="CE15" s="116" cm="1">
        <f t="array" ref="CE15">_xll.EQNXTDZ($A$1,$B15,CE$1)</f>
        <v>192</v>
      </c>
      <c r="CF15" s="116" cm="1">
        <f t="array" ref="CF15">_xll.EQNXTDZ($A$1,$B15,CF$1)</f>
        <v>197</v>
      </c>
      <c r="CG15" s="116" cm="1">
        <f t="array" ref="CG15">_xll.EQNXTDZ($A$1,$B15,CG$1)</f>
        <v>211.45</v>
      </c>
      <c r="CH15" s="116" cm="1">
        <f t="array" ref="CH15">_xll.EQNXTDZ($A$1,$B15,CH$1)</f>
        <v>202.9</v>
      </c>
      <c r="CI15" s="116" cm="1">
        <f t="array" ref="CI15">_xll.EQNXTDZ($A$1,$B15,CI$1)</f>
        <v>203</v>
      </c>
      <c r="CJ15" s="116" cm="1">
        <f t="array" ref="CJ15">_xll.EQNXTDZ($A$1,$B15,CJ$1)</f>
        <v>198</v>
      </c>
      <c r="CK15" s="116" cm="1">
        <f t="array" ref="CK15">_xll.EQNXTDZ($A$1,$B15,CK$1)</f>
        <v>195.2</v>
      </c>
      <c r="CL15" s="116" cm="1">
        <f t="array" ref="CL15">_xll.EQNXTDZ($A$1,$B15,CL$1)</f>
        <v>193</v>
      </c>
      <c r="CM15" s="116" cm="1">
        <f t="array" ref="CM15">_xll.EQNXTDZ($A$1,$B15,CM$1)</f>
        <v>220.75</v>
      </c>
      <c r="CN15" s="116" cm="1">
        <f t="array" ref="CN15">_xll.EQNXTDZ($A$1,$B15,CN$1)</f>
        <v>257.7</v>
      </c>
      <c r="CO15" s="116" cm="1">
        <f t="array" ref="CO15">_xll.EQNXTDZ($A$1,$B15,CO$1)</f>
        <v>303.3</v>
      </c>
      <c r="CP15" s="116" cm="1">
        <f t="array" ref="CP15">_xll.EQNXTDZ($A$1,$B15,CP$1)</f>
        <v>317.60000000000002</v>
      </c>
      <c r="CQ15" s="116" cm="1">
        <f t="array" ref="CQ15">_xll.EQNXTDZ($A$1,$B15,CQ$1)</f>
        <v>225</v>
      </c>
      <c r="CR15" s="116" cm="1">
        <f t="array" ref="CR15">_xll.EQNXTDZ($A$1,$B15,CR$1)</f>
        <v>147.5</v>
      </c>
      <c r="CS15" s="116" cm="1">
        <f t="array" ref="CS15">_xll.EQNXTDZ($A$1,$B15,CS$1)</f>
        <v>181</v>
      </c>
      <c r="CT15" s="116" cm="1">
        <f t="array" ref="CT15">_xll.EQNXTDZ($A$1,$B15,CT$1)</f>
        <v>170.65</v>
      </c>
      <c r="CU15" s="116" cm="1">
        <f t="array" ref="CU15">_xll.EQNXTDZ($A$1,$B15,CU$1)</f>
        <v>167.2</v>
      </c>
      <c r="CV15" s="116" cm="1">
        <f t="array" ref="CV15">_xll.EQNXTDZ($A$1,$B15,CV$1)</f>
        <v>221</v>
      </c>
      <c r="CW15" s="116" cm="1">
        <f t="array" ref="CW15">_xll.EQNXTDZ($A$1,$B15,CW$1)</f>
        <v>228</v>
      </c>
      <c r="CX15" s="116" cm="1">
        <f t="array" ref="CX15">_xll.EQNXTDZ($A$1,$B15,CX$1)</f>
        <v>231.55</v>
      </c>
      <c r="CY15" s="116" cm="1">
        <f t="array" ref="CY15">_xll.EQNXTDZ($A$1,$B15,CY$1)</f>
        <v>241.65</v>
      </c>
      <c r="CZ15" s="116" cm="1">
        <f t="array" ref="CZ15">_xll.EQNXTDZ($A$1,$B15,CZ$1)</f>
        <v>284.14999999999998</v>
      </c>
      <c r="DA15" s="116" cm="1">
        <f t="array" ref="DA15">_xll.EQNXTDZ($A$1,$B15,DA$1)</f>
        <v>372</v>
      </c>
      <c r="DB15" s="116" cm="1">
        <f t="array" ref="DB15">_xll.EQNXTDZ($A$1,$B15,DB$1)</f>
        <v>400</v>
      </c>
      <c r="DC15" s="116" cm="1">
        <f t="array" ref="DC15">_xll.EQNXTDZ($A$1,$B15,DC$1)</f>
        <v>456.45</v>
      </c>
      <c r="DD15" s="116" cm="1">
        <f t="array" ref="DD15">_xll.EQNXTDZ($A$1,$B15,DD$1)</f>
        <v>715.6</v>
      </c>
      <c r="DE15" s="116" cm="1">
        <f t="array" ref="DE15">_xll.EQNXTDZ($A$1,$B15,DE$1)</f>
        <v>865.1</v>
      </c>
      <c r="DF15" s="116" cm="1">
        <f t="array" ref="DF15">_xll.EQNXTDZ($A$1,$B15,DF$1)</f>
        <v>1015</v>
      </c>
      <c r="DG15" s="116" cm="1">
        <f t="array" ref="DG15">_xll.EQNXTDZ($A$1,$B15,DG$1)</f>
        <v>1062.95</v>
      </c>
      <c r="DH15" s="116" cm="1">
        <f t="array" ref="DH15">_xll.EQNXTDZ($A$1,$B15,DH$1)</f>
        <v>865.9</v>
      </c>
      <c r="DI15" s="116" cm="1">
        <f t="array" ref="DI15">_xll.EQNXTDZ($A$1,$B15,DI$1)</f>
        <v>860.5</v>
      </c>
      <c r="DJ15" s="116" cm="1">
        <f t="array" ref="DJ15">_xll.EQNXTDZ($A$1,$B15,DJ$1)</f>
        <v>1474</v>
      </c>
      <c r="DK15" s="116" cm="1">
        <f t="array" ref="DK15">_xll.EQNXTDZ($A$1,$B15,DK$1)</f>
        <v>1511.4</v>
      </c>
      <c r="DL15" s="116" cm="1">
        <f t="array" ref="DL15">_xll.EQNXTDZ($A$1,$B15,DL$1)</f>
        <v>1685</v>
      </c>
      <c r="DM15" s="116" cm="1">
        <f t="array" ref="DM15">_xll.EQNXTDZ($A$1,$B15,DM$1)</f>
        <v>1652</v>
      </c>
      <c r="DN15" s="116" cm="1">
        <f t="array" ref="DN15">_xll.EQNXTDZ($A$1,$B15,DN$1)</f>
        <v>1670</v>
      </c>
      <c r="DO15" s="116" cm="1">
        <f t="array" ref="DO15">_xll.EQNXTDZ($A$1,$B15,DO$1)</f>
        <v>1815</v>
      </c>
      <c r="DP15" s="116" cm="1">
        <f t="array" ref="DP15">_xll.EQNXTDZ($A$1,$B15,DP$1)</f>
        <v>2107.25</v>
      </c>
      <c r="DQ15" s="116" cm="1">
        <f t="array" ref="DQ15">_xll.EQNXTDZ($A$1,$B15,DQ$1)</f>
        <v>2353.9</v>
      </c>
      <c r="DR15" s="116" cm="1">
        <f t="array" ref="DR15">_xll.EQNXTDZ($A$1,$B15,DR$1)</f>
        <v>1985</v>
      </c>
      <c r="DS15" s="116" cm="1">
        <f t="array" ref="DS15">_xll.EQNXTDZ($A$1,$B15,DS$1)</f>
        <v>1900</v>
      </c>
      <c r="DT15" s="116" cm="1">
        <f t="array" ref="DT15">_xll.EQNXTDZ($A$1,$B15,DT$1)</f>
        <v>2226.4</v>
      </c>
      <c r="DU15" s="116" cm="1">
        <f t="array" ref="DU15">_xll.EQNXTDZ($A$1,$B15,DU$1)</f>
        <v>3100.85</v>
      </c>
      <c r="DV15" s="116" cm="1">
        <f t="array" ref="DV15">_xll.EQNXTDZ($A$1,$B15,DV$1)</f>
        <v>3210.8</v>
      </c>
      <c r="DW15" s="116" cm="1">
        <f t="array" ref="DW15">_xll.EQNXTDZ($A$1,$B15,DW$1)</f>
        <v>2970.5</v>
      </c>
      <c r="DX15" s="116" cm="1">
        <f t="array" ref="DX15">_xll.EQNXTDZ($A$1,$B15,DX$1)</f>
        <v>2704.05</v>
      </c>
      <c r="DY15" s="116" cm="1">
        <f t="array" ref="DY15">_xll.EQNXTDZ($A$1,$B15,DY$1)</f>
        <v>2179.85</v>
      </c>
      <c r="DZ15" s="116" cm="1">
        <f t="array" ref="DZ15">_xll.EQNXTDZ($A$1,$B15,DZ$1)</f>
        <v>1562.55</v>
      </c>
      <c r="EA15" s="116" cm="1">
        <f t="array" ref="EA15">_xll.EQNXTDZ($A$1,$B15,EA$1)</f>
        <v>642.54999999999995</v>
      </c>
      <c r="EB15" s="116" cm="1">
        <f t="array" ref="EB15">_xll.EQNXTDZ($A$1,$B15,EB$1)</f>
        <v>630</v>
      </c>
      <c r="EC15" s="116" cm="1">
        <f t="array" ref="EC15">_xll.EQNXTDZ($A$1,$B15,EC$1)</f>
        <v>896.75</v>
      </c>
      <c r="ED15" s="116" cm="1">
        <f t="array" ref="ED15">_xll.EQNXTDZ($A$1,$B15,ED$1)</f>
        <v>713.8</v>
      </c>
      <c r="EE15" s="116" cm="1">
        <f t="array" ref="EE15">_xll.EQNXTDZ($A$1,$B15,EE$1)</f>
        <v>738.15</v>
      </c>
      <c r="EF15" s="116" cm="1">
        <f t="array" ref="EF15">_xll.EQNXTDZ($A$1,$B15,EF$1)</f>
        <v>738.15</v>
      </c>
      <c r="EG15" s="116" cm="1">
        <f t="array" ref="EG15">_xll.EQNXTDZ($A$1,$B15,EG$1)</f>
        <v>780</v>
      </c>
      <c r="EH15" s="116" cm="1">
        <f t="array" ref="EH15">_xll.EQNXTDZ($A$1,$B15,EH$1)</f>
        <v>793.5</v>
      </c>
      <c r="EI15" s="116" cm="1">
        <f t="array" ref="EI15">_xll.EQNXTDZ($A$1,$B15,EI$1)</f>
        <v>686.9</v>
      </c>
      <c r="EJ15" s="116" cm="1">
        <f t="array" ref="EJ15">_xll.EQNXTDZ($A$1,$B15,EJ$1)</f>
        <v>712.3</v>
      </c>
      <c r="EK15" s="116" cm="1">
        <f t="array" ref="EK15">_xll.EQNXTDZ($A$1,$B15,EK$1)</f>
        <v>850</v>
      </c>
      <c r="EL15" s="116" cm="1">
        <f t="array" ref="EL15">_xll.EQNXTDZ($A$1,$B15,EL$1)</f>
        <v>1029</v>
      </c>
      <c r="EM15" s="116" cm="1">
        <f t="array" ref="EM15">_xll.EQNXTDZ($A$1,$B15,EM$1)</f>
        <v>1005</v>
      </c>
      <c r="EN15" s="116" cm="1">
        <f t="array" ref="EN15">_xll.EQNXTDZ($A$1,$B15,EN$1)</f>
        <v>918.1</v>
      </c>
      <c r="EO15" s="116" cm="1">
        <f t="array" ref="EO15">_xll.EQNXTDZ($A$1,$B15,EO$1)</f>
        <v>1011.1</v>
      </c>
      <c r="EP15" s="116" cm="1">
        <f t="array" ref="EP15">_xll.EQNXTDZ($A$1,$B15,EP$1)</f>
        <v>971.9</v>
      </c>
      <c r="EQ15" s="116" cm="1">
        <f t="array" ref="EQ15">_xll.EQNXTDZ($A$1,$B15,EQ$1)</f>
        <v>832.2</v>
      </c>
      <c r="ER15" s="116" cm="1">
        <f t="array" ref="ER15">_xll.EQNXTDZ($A$1,$B15,ER$1)</f>
        <v>975</v>
      </c>
      <c r="ES15" s="116" cm="1">
        <f t="array" ref="ES15">_xll.EQNXTDZ($A$1,$B15,ES$1)</f>
        <v>915.7</v>
      </c>
      <c r="ET15" s="116" cm="1">
        <f t="array" ref="ET15">_xll.EQNXTDZ($A$1,$B15,ET$1)</f>
        <v>967.25</v>
      </c>
      <c r="EU15" s="116" cm="1">
        <f t="array" ref="EU15">_xll.EQNXTDZ($A$1,$B15,EU$1)</f>
        <v>891.1</v>
      </c>
      <c r="EV15" s="116" cm="1">
        <f t="array" ref="EV15">_xll.EQNXTDZ($A$1,$B15,EV$1)</f>
        <v>588.25</v>
      </c>
      <c r="EW15" s="116" cm="1">
        <f t="array" ref="EW15">_xll.EQNXTDZ($A$1,$B15,EW$1)</f>
        <v>762.25</v>
      </c>
      <c r="EX15" s="116" cm="1">
        <f t="array" ref="EX15">_xll.EQNXTDZ($A$1,$B15,EX$1)</f>
        <v>682.05</v>
      </c>
      <c r="EY15" s="116" cm="1">
        <f t="array" ref="EY15">_xll.EQNXTDZ($A$1,$B15,EY$1)</f>
        <v>648</v>
      </c>
      <c r="EZ15" s="116" cm="1">
        <f t="array" ref="EZ15">_xll.EQNXTDZ($A$1,$B15,EZ$1)</f>
        <v>639.35</v>
      </c>
      <c r="FA15" s="116" cm="1">
        <f t="array" ref="FA15">_xll.EQNXTDZ($A$1,$B15,FA$1)</f>
        <v>778.1</v>
      </c>
      <c r="FB15" s="116" cm="1">
        <f t="array" ref="FB15">_xll.EQNXTDZ($A$1,$B15,FB$1)</f>
        <v>802.2</v>
      </c>
      <c r="FC15" s="116" cm="1">
        <f t="array" ref="FC15">_xll.EQNXTDZ($A$1,$B15,FC$1)</f>
        <v>816.8</v>
      </c>
      <c r="FD15" s="116" cm="1">
        <f t="array" ref="FD15">_xll.EQNXTDZ($A$1,$B15,FD$1)</f>
        <v>800.05</v>
      </c>
      <c r="FE15" s="116" cm="1">
        <f t="array" ref="FE15">_xll.EQNXTDZ($A$1,$B15,FE$1)</f>
        <v>759.7</v>
      </c>
      <c r="FF15" s="116" cm="1">
        <f t="array" ref="FF15">_xll.EQNXTDZ($A$1,$B15,FF$1)</f>
        <v>745.45</v>
      </c>
      <c r="FG15" s="116" cm="1">
        <f t="array" ref="FG15">_xll.EQNXTDZ($A$1,$B15,FG$1)</f>
        <v>869.6</v>
      </c>
      <c r="FH15" s="116" cm="1">
        <f t="array" ref="FH15">_xll.EQNXTDZ($A$1,$B15,FH$1)</f>
        <v>945.1</v>
      </c>
      <c r="FI15" s="116" cm="1">
        <f t="array" ref="FI15">_xll.EQNXTDZ($A$1,$B15,FI$1)</f>
        <v>920.85</v>
      </c>
      <c r="FJ15" s="116" cm="1">
        <f t="array" ref="FJ15">_xll.EQNXTDZ($A$1,$B15,FJ$1)</f>
        <v>804.7</v>
      </c>
      <c r="FK15" s="116" cm="1">
        <f t="array" ref="FK15">_xll.EQNXTDZ($A$1,$B15,FK$1)</f>
        <v>842.15</v>
      </c>
      <c r="FL15" s="116" cm="1">
        <f t="array" ref="FL15">_xll.EQNXTDZ($A$1,$B15,FL$1)</f>
        <v>925.4</v>
      </c>
      <c r="FM15" s="116" cm="1">
        <f t="array" ref="FM15">_xll.EQNXTDZ($A$1,$B15,FM$1)</f>
        <v>903.25</v>
      </c>
      <c r="FN15" s="116" cm="1">
        <f t="array" ref="FN15">_xll.EQNXTDZ($A$1,$B15,FN$1)</f>
        <v>1237</v>
      </c>
      <c r="FO15" s="116" cm="1">
        <f t="array" ref="FO15">_xll.EQNXTDZ($A$1,$B15,FO$1)</f>
        <v>1445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25.25</v>
      </c>
      <c r="IC15" s="116">
        <f>+MIN(AQ15:AS15)</f>
        <v>26.6</v>
      </c>
      <c r="ID15" s="116">
        <f>+MIN(AT15:AV15)</f>
        <v>26.3</v>
      </c>
      <c r="IE15" s="116">
        <f>+MIN(AW15:AY15)</f>
        <v>28.35</v>
      </c>
      <c r="IF15" s="116">
        <f>+MIN(AZ15:BB15)</f>
        <v>34</v>
      </c>
      <c r="IG15" s="116">
        <f>+MIN(BC15:BE15)</f>
        <v>38.25</v>
      </c>
      <c r="IH15" s="116">
        <f>+MIN(BF15:BH15)</f>
        <v>56.3</v>
      </c>
      <c r="II15" s="116">
        <f>+MIN(BI15:BK15)</f>
        <v>64.5</v>
      </c>
      <c r="IJ15" s="116">
        <f>+MIN(BL15:BN15)</f>
        <v>103</v>
      </c>
      <c r="IK15" s="116">
        <f>+MIN(BO15:BQ15)</f>
        <v>153.05000000000001</v>
      </c>
      <c r="IL15" s="116">
        <f>+MIN(BR15:BT15)</f>
        <v>154.80000000000001</v>
      </c>
      <c r="IM15" s="116">
        <f>+MIN(BU15:BW15)</f>
        <v>115</v>
      </c>
      <c r="IN15" s="116">
        <f>+MIN(BX15:BZ15)</f>
        <v>145.65</v>
      </c>
      <c r="IO15" s="116">
        <f>+MIN(CA15:CC15)</f>
        <v>141.35</v>
      </c>
      <c r="IP15" s="116">
        <f>+MIN(CD15:CF15)</f>
        <v>180</v>
      </c>
      <c r="IQ15" s="116">
        <f>+MIN(CG15:CI15)</f>
        <v>202.9</v>
      </c>
      <c r="IR15" s="116">
        <f>+MIN(CJ15:CL15)</f>
        <v>193</v>
      </c>
      <c r="IS15" s="116">
        <f>+MIN(CM15:CO15)</f>
        <v>220.75</v>
      </c>
      <c r="IT15" s="116">
        <f>+MIN(CP15:CR15)</f>
        <v>147.5</v>
      </c>
      <c r="IU15" s="116">
        <f>+MIN(CS15:CU15)</f>
        <v>167.2</v>
      </c>
      <c r="IV15" s="116">
        <f>+MIN(CV15:CX15)</f>
        <v>221</v>
      </c>
      <c r="IW15" s="116">
        <f>+MIN(CY15:DA15)</f>
        <v>241.65</v>
      </c>
      <c r="IX15" s="116">
        <f>+MIN(DB15:DD15)</f>
        <v>400</v>
      </c>
      <c r="IY15" s="116">
        <f>+MIN(DE15:DG15)</f>
        <v>865.1</v>
      </c>
      <c r="IZ15" s="116">
        <f>+MIN(DH15:DJ15)</f>
        <v>860.5</v>
      </c>
      <c r="JA15" s="116">
        <f>+MIN(DK15:DM15)</f>
        <v>1511.4</v>
      </c>
      <c r="JB15" s="116">
        <f>+MIN(DN15:DP15)</f>
        <v>1670</v>
      </c>
      <c r="JC15" s="116">
        <f>+MIN(DQ15:DS15)</f>
        <v>1900</v>
      </c>
      <c r="JD15" s="116">
        <f>+MIN(DT15:DV15)</f>
        <v>2226.4</v>
      </c>
      <c r="JE15" s="116">
        <f>+MIN(DW15:DY15)</f>
        <v>2179.85</v>
      </c>
      <c r="JF15" s="116">
        <f>+MIN(DZ15:EB15)</f>
        <v>630</v>
      </c>
      <c r="JG15" s="116">
        <f>+MIN(EC15:EE15)</f>
        <v>713.8</v>
      </c>
      <c r="JH15" s="116">
        <f>+MIN(EF15:EH15)</f>
        <v>738.15</v>
      </c>
      <c r="JI15" s="116">
        <f>+MIN(EI15:EK15)</f>
        <v>686.9</v>
      </c>
      <c r="JJ15" s="116">
        <f>+MIN(EL15:EN15)</f>
        <v>918.1</v>
      </c>
      <c r="JK15" s="116">
        <f>MIN(EO15:EQ15)</f>
        <v>832.2</v>
      </c>
      <c r="JL15" s="116">
        <f>MIN(ER15:ET15)</f>
        <v>915.7</v>
      </c>
      <c r="JM15" s="116">
        <f>MIN(EU15:EW15)</f>
        <v>588.25</v>
      </c>
      <c r="JN15" s="116">
        <f>MIN(EX15:EZ15)</f>
        <v>639.35</v>
      </c>
      <c r="JO15" s="116">
        <f>MIN(FA15:FC15)</f>
        <v>778.1</v>
      </c>
      <c r="JP15" s="116">
        <f>MIN(FD15:FF15)</f>
        <v>745.45</v>
      </c>
      <c r="JQ15" s="116">
        <f>MIN(FG15:FI15)</f>
        <v>869.6</v>
      </c>
      <c r="JR15" s="116">
        <f>MIN(FJ15:FL15)</f>
        <v>804.7</v>
      </c>
      <c r="JS15" s="116">
        <f>MIN(FM15:FO15)</f>
        <v>903.25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28.35</v>
      </c>
      <c r="AO16" s="116" cm="1">
        <f t="array" ref="AO16">_xll.EQNXTDZ($A$1,$B16,AO$1)</f>
        <v>31.2</v>
      </c>
      <c r="AP16" s="116" cm="1">
        <f t="array" ref="AP16">_xll.EQNXTDZ($A$1,$B16,AP$1)</f>
        <v>26.85</v>
      </c>
      <c r="AQ16" s="116" cm="1">
        <f t="array" ref="AQ16">_xll.EQNXTDZ($A$1,$B16,AQ$1)</f>
        <v>36.25</v>
      </c>
      <c r="AR16" s="116" cm="1">
        <f t="array" ref="AR16">_xll.EQNXTDZ($A$1,$B16,AR$1)</f>
        <v>38.700000000000003</v>
      </c>
      <c r="AS16" s="116" cm="1">
        <f t="array" ref="AS16">_xll.EQNXTDZ($A$1,$B16,AS$1)</f>
        <v>36.85</v>
      </c>
      <c r="AT16" s="116" cm="1">
        <f t="array" ref="AT16">_xll.EQNXTDZ($A$1,$B16,AT$1)</f>
        <v>36.549999999999997</v>
      </c>
      <c r="AU16" s="116" cm="1">
        <f t="array" ref="AU16">_xll.EQNXTDZ($A$1,$B16,AU$1)</f>
        <v>26.6</v>
      </c>
      <c r="AV16" s="116" cm="1">
        <f t="array" ref="AV16">_xll.EQNXTDZ($A$1,$B16,AV$1)</f>
        <v>34.299999999999997</v>
      </c>
      <c r="AW16" s="116" cm="1">
        <f t="array" ref="AW16">_xll.EQNXTDZ($A$1,$B16,AW$1)</f>
        <v>31.7</v>
      </c>
      <c r="AX16" s="116" cm="1">
        <f t="array" ref="AX16">_xll.EQNXTDZ($A$1,$B16,AX$1)</f>
        <v>31.8</v>
      </c>
      <c r="AY16" s="116" cm="1">
        <f t="array" ref="AY16">_xll.EQNXTDZ($A$1,$B16,AY$1)</f>
        <v>38.549999999999997</v>
      </c>
      <c r="AZ16" s="116" cm="1">
        <f t="array" ref="AZ16">_xll.EQNXTDZ($A$1,$B16,AZ$1)</f>
        <v>39.299999999999997</v>
      </c>
      <c r="BA16" s="116" cm="1">
        <f t="array" ref="BA16">_xll.EQNXTDZ($A$1,$B16,BA$1)</f>
        <v>39.65</v>
      </c>
      <c r="BB16" s="116" cm="1">
        <f t="array" ref="BB16">_xll.EQNXTDZ($A$1,$B16,BB$1)</f>
        <v>38.1</v>
      </c>
      <c r="BC16" s="116" cm="1">
        <f t="array" ref="BC16">_xll.EQNXTDZ($A$1,$B16,BC$1)</f>
        <v>45.6</v>
      </c>
      <c r="BD16" s="116" cm="1">
        <f t="array" ref="BD16">_xll.EQNXTDZ($A$1,$B16,BD$1)</f>
        <v>58.25</v>
      </c>
      <c r="BE16" s="116" cm="1">
        <f t="array" ref="BE16">_xll.EQNXTDZ($A$1,$B16,BE$1)</f>
        <v>56.5</v>
      </c>
      <c r="BF16" s="116" cm="1">
        <f t="array" ref="BF16">_xll.EQNXTDZ($A$1,$B16,BF$1)</f>
        <v>63.35</v>
      </c>
      <c r="BG16" s="116" cm="1">
        <f t="array" ref="BG16">_xll.EQNXTDZ($A$1,$B16,BG$1)</f>
        <v>61.95</v>
      </c>
      <c r="BH16" s="116" cm="1">
        <f t="array" ref="BH16">_xll.EQNXTDZ($A$1,$B16,BH$1)</f>
        <v>64.349999999999994</v>
      </c>
      <c r="BI16" s="116" cm="1">
        <f t="array" ref="BI16">_xll.EQNXTDZ($A$1,$B16,BI$1)</f>
        <v>78</v>
      </c>
      <c r="BJ16" s="116" cm="1">
        <f t="array" ref="BJ16">_xll.EQNXTDZ($A$1,$B16,BJ$1)</f>
        <v>120.45</v>
      </c>
      <c r="BK16" s="116" cm="1">
        <f t="array" ref="BK16">_xll.EQNXTDZ($A$1,$B16,BK$1)</f>
        <v>123.9</v>
      </c>
      <c r="BL16" s="116" cm="1">
        <f t="array" ref="BL16">_xll.EQNXTDZ($A$1,$B16,BL$1)</f>
        <v>124.65</v>
      </c>
      <c r="BM16" s="116" cm="1">
        <f t="array" ref="BM16">_xll.EQNXTDZ($A$1,$B16,BM$1)</f>
        <v>126.75</v>
      </c>
      <c r="BN16" s="116" cm="1">
        <f t="array" ref="BN16">_xll.EQNXTDZ($A$1,$B16,BN$1)</f>
        <v>152.44999999999999</v>
      </c>
      <c r="BO16" s="116" cm="1">
        <f t="array" ref="BO16">_xll.EQNXTDZ($A$1,$B16,BO$1)</f>
        <v>207.45</v>
      </c>
      <c r="BP16" s="116" cm="1">
        <f t="array" ref="BP16">_xll.EQNXTDZ($A$1,$B16,BP$1)</f>
        <v>183.4</v>
      </c>
      <c r="BQ16" s="116" cm="1">
        <f t="array" ref="BQ16">_xll.EQNXTDZ($A$1,$B16,BQ$1)</f>
        <v>223.5</v>
      </c>
      <c r="BR16" s="116" cm="1">
        <f t="array" ref="BR16">_xll.EQNXTDZ($A$1,$B16,BR$1)</f>
        <v>209.25</v>
      </c>
      <c r="BS16" s="116" cm="1">
        <f t="array" ref="BS16">_xll.EQNXTDZ($A$1,$B16,BS$1)</f>
        <v>202.65</v>
      </c>
      <c r="BT16" s="116" cm="1">
        <f t="array" ref="BT16">_xll.EQNXTDZ($A$1,$B16,BT$1)</f>
        <v>191.25</v>
      </c>
      <c r="BU16" s="116" cm="1">
        <f t="array" ref="BU16">_xll.EQNXTDZ($A$1,$B16,BU$1)</f>
        <v>168.95</v>
      </c>
      <c r="BV16" s="116" cm="1">
        <f t="array" ref="BV16">_xll.EQNXTDZ($A$1,$B16,BV$1)</f>
        <v>135.85</v>
      </c>
      <c r="BW16" s="116" cm="1">
        <f t="array" ref="BW16">_xll.EQNXTDZ($A$1,$B16,BW$1)</f>
        <v>155.94999999999999</v>
      </c>
      <c r="BX16" s="116" cm="1">
        <f t="array" ref="BX16">_xll.EQNXTDZ($A$1,$B16,BX$1)</f>
        <v>169.5</v>
      </c>
      <c r="BY16" s="116" cm="1">
        <f t="array" ref="BY16">_xll.EQNXTDZ($A$1,$B16,BY$1)</f>
        <v>227.9</v>
      </c>
      <c r="BZ16" s="116" cm="1">
        <f t="array" ref="BZ16">_xll.EQNXTDZ($A$1,$B16,BZ$1)</f>
        <v>160.25</v>
      </c>
      <c r="CA16" s="116" cm="1">
        <f t="array" ref="CA16">_xll.EQNXTDZ($A$1,$B16,CA$1)</f>
        <v>166.65</v>
      </c>
      <c r="CB16" s="116" cm="1">
        <f t="array" ref="CB16">_xll.EQNXTDZ($A$1,$B16,CB$1)</f>
        <v>226.45</v>
      </c>
      <c r="CC16" s="116" cm="1">
        <f t="array" ref="CC16">_xll.EQNXTDZ($A$1,$B16,CC$1)</f>
        <v>198.9</v>
      </c>
      <c r="CD16" s="116" cm="1">
        <f t="array" ref="CD16">_xll.EQNXTDZ($A$1,$B16,CD$1)</f>
        <v>212.25</v>
      </c>
      <c r="CE16" s="116" cm="1">
        <f t="array" ref="CE16">_xll.EQNXTDZ($A$1,$B16,CE$1)</f>
        <v>203.55</v>
      </c>
      <c r="CF16" s="116" cm="1">
        <f t="array" ref="CF16">_xll.EQNXTDZ($A$1,$B16,CF$1)</f>
        <v>217.9</v>
      </c>
      <c r="CG16" s="116" cm="1">
        <f t="array" ref="CG16">_xll.EQNXTDZ($A$1,$B16,CG$1)</f>
        <v>217.05</v>
      </c>
      <c r="CH16" s="116" cm="1">
        <f t="array" ref="CH16">_xll.EQNXTDZ($A$1,$B16,CH$1)</f>
        <v>235.6</v>
      </c>
      <c r="CI16" s="116" cm="1">
        <f t="array" ref="CI16">_xll.EQNXTDZ($A$1,$B16,CI$1)</f>
        <v>224.35</v>
      </c>
      <c r="CJ16" s="116" cm="1">
        <f t="array" ref="CJ16">_xll.EQNXTDZ($A$1,$B16,CJ$1)</f>
        <v>206.95</v>
      </c>
      <c r="CK16" s="116" cm="1">
        <f t="array" ref="CK16">_xll.EQNXTDZ($A$1,$B16,CK$1)</f>
        <v>234.5</v>
      </c>
      <c r="CL16" s="116" cm="1">
        <f t="array" ref="CL16">_xll.EQNXTDZ($A$1,$B16,CL$1)</f>
        <v>228.6</v>
      </c>
      <c r="CM16" s="116" cm="1">
        <f t="array" ref="CM16">_xll.EQNXTDZ($A$1,$B16,CM$1)</f>
        <v>273.7</v>
      </c>
      <c r="CN16" s="116" cm="1">
        <f t="array" ref="CN16">_xll.EQNXTDZ($A$1,$B16,CN$1)</f>
        <v>309.7</v>
      </c>
      <c r="CO16" s="116" cm="1">
        <f t="array" ref="CO16">_xll.EQNXTDZ($A$1,$B16,CO$1)</f>
        <v>331.9</v>
      </c>
      <c r="CP16" s="116" cm="1">
        <f t="array" ref="CP16">_xll.EQNXTDZ($A$1,$B16,CP$1)</f>
        <v>331.95</v>
      </c>
      <c r="CQ16" s="116" cm="1">
        <f t="array" ref="CQ16">_xll.EQNXTDZ($A$1,$B16,CQ$1)</f>
        <v>253.05</v>
      </c>
      <c r="CR16" s="116" cm="1">
        <f t="array" ref="CR16">_xll.EQNXTDZ($A$1,$B16,CR$1)</f>
        <v>188.75</v>
      </c>
      <c r="CS16" s="116" cm="1">
        <f t="array" ref="CS16">_xll.EQNXTDZ($A$1,$B16,CS$1)</f>
        <v>206.7</v>
      </c>
      <c r="CT16" s="116" cm="1">
        <f t="array" ref="CT16">_xll.EQNXTDZ($A$1,$B16,CT$1)</f>
        <v>174.9</v>
      </c>
      <c r="CU16" s="116" cm="1">
        <f t="array" ref="CU16">_xll.EQNXTDZ($A$1,$B16,CU$1)</f>
        <v>259.7</v>
      </c>
      <c r="CV16" s="116" cm="1">
        <f t="array" ref="CV16">_xll.EQNXTDZ($A$1,$B16,CV$1)</f>
        <v>235.4</v>
      </c>
      <c r="CW16" s="116" cm="1">
        <f t="array" ref="CW16">_xll.EQNXTDZ($A$1,$B16,CW$1)</f>
        <v>253.7</v>
      </c>
      <c r="CX16" s="116" cm="1">
        <f t="array" ref="CX16">_xll.EQNXTDZ($A$1,$B16,CX$1)</f>
        <v>242.3</v>
      </c>
      <c r="CY16" s="116" cm="1">
        <f t="array" ref="CY16">_xll.EQNXTDZ($A$1,$B16,CY$1)</f>
        <v>290.3</v>
      </c>
      <c r="CZ16" s="116" cm="1">
        <f t="array" ref="CZ16">_xll.EQNXTDZ($A$1,$B16,CZ$1)</f>
        <v>377.15</v>
      </c>
      <c r="DA16" s="116" cm="1">
        <f t="array" ref="DA16">_xll.EQNXTDZ($A$1,$B16,DA$1)</f>
        <v>437.7</v>
      </c>
      <c r="DB16" s="116" cm="1">
        <f t="array" ref="DB16">_xll.EQNXTDZ($A$1,$B16,DB$1)</f>
        <v>461</v>
      </c>
      <c r="DC16" s="116" cm="1">
        <f t="array" ref="DC16">_xll.EQNXTDZ($A$1,$B16,DC$1)</f>
        <v>749.6</v>
      </c>
      <c r="DD16" s="116" cm="1">
        <f t="array" ref="DD16">_xll.EQNXTDZ($A$1,$B16,DD$1)</f>
        <v>908.35</v>
      </c>
      <c r="DE16" s="116" cm="1">
        <f t="array" ref="DE16">_xll.EQNXTDZ($A$1,$B16,DE$1)</f>
        <v>1049.8499999999999</v>
      </c>
      <c r="DF16" s="116" cm="1">
        <f t="array" ref="DF16">_xll.EQNXTDZ($A$1,$B16,DF$1)</f>
        <v>1474.55</v>
      </c>
      <c r="DG16" s="116" cm="1">
        <f t="array" ref="DG16">_xll.EQNXTDZ($A$1,$B16,DG$1)</f>
        <v>1062.95</v>
      </c>
      <c r="DH16" s="116" cm="1">
        <f t="array" ref="DH16">_xll.EQNXTDZ($A$1,$B16,DH$1)</f>
        <v>903.75</v>
      </c>
      <c r="DI16" s="116" cm="1">
        <f t="array" ref="DI16">_xll.EQNXTDZ($A$1,$B16,DI$1)</f>
        <v>1580.1</v>
      </c>
      <c r="DJ16" s="116" cm="1">
        <f t="array" ref="DJ16">_xll.EQNXTDZ($A$1,$B16,DJ$1)</f>
        <v>1552.35</v>
      </c>
      <c r="DK16" s="116" cm="1">
        <f t="array" ref="DK16">_xll.EQNXTDZ($A$1,$B16,DK$1)</f>
        <v>1786.85</v>
      </c>
      <c r="DL16" s="116" cm="1">
        <f t="array" ref="DL16">_xll.EQNXTDZ($A$1,$B16,DL$1)</f>
        <v>1807.75</v>
      </c>
      <c r="DM16" s="116" cm="1">
        <f t="array" ref="DM16">_xll.EQNXTDZ($A$1,$B16,DM$1)</f>
        <v>1732.85</v>
      </c>
      <c r="DN16" s="116" cm="1">
        <f t="array" ref="DN16">_xll.EQNXTDZ($A$1,$B16,DN$1)</f>
        <v>1982.9</v>
      </c>
      <c r="DO16" s="116" cm="1">
        <f t="array" ref="DO16">_xll.EQNXTDZ($A$1,$B16,DO$1)</f>
        <v>2136.65</v>
      </c>
      <c r="DP16" s="116" cm="1">
        <f t="array" ref="DP16">_xll.EQNXTDZ($A$1,$B16,DP$1)</f>
        <v>2372.3000000000002</v>
      </c>
      <c r="DQ16" s="116" cm="1">
        <f t="array" ref="DQ16">_xll.EQNXTDZ($A$1,$B16,DQ$1)</f>
        <v>2805.1</v>
      </c>
      <c r="DR16" s="116" cm="1">
        <f t="array" ref="DR16">_xll.EQNXTDZ($A$1,$B16,DR$1)</f>
        <v>2049.85</v>
      </c>
      <c r="DS16" s="116" cm="1">
        <f t="array" ref="DS16">_xll.EQNXTDZ($A$1,$B16,DS$1)</f>
        <v>2473.75</v>
      </c>
      <c r="DT16" s="116" cm="1">
        <f t="array" ref="DT16">_xll.EQNXTDZ($A$1,$B16,DT$1)</f>
        <v>3110.1</v>
      </c>
      <c r="DU16" s="116" cm="1">
        <f t="array" ref="DU16">_xll.EQNXTDZ($A$1,$B16,DU$1)</f>
        <v>3971.65</v>
      </c>
      <c r="DV16" s="116" cm="1">
        <f t="array" ref="DV16">_xll.EQNXTDZ($A$1,$B16,DV$1)</f>
        <v>3290.7</v>
      </c>
      <c r="DW16" s="116" cm="1">
        <f t="array" ref="DW16">_xll.EQNXTDZ($A$1,$B16,DW$1)</f>
        <v>3346.95</v>
      </c>
      <c r="DX16" s="116" cm="1">
        <f t="array" ref="DX16">_xll.EQNXTDZ($A$1,$B16,DX$1)</f>
        <v>2925.2</v>
      </c>
      <c r="DY16" s="116" cm="1">
        <f t="array" ref="DY16">_xll.EQNXTDZ($A$1,$B16,DY$1)</f>
        <v>2591.5500000000002</v>
      </c>
      <c r="DZ16" s="116" cm="1">
        <f t="array" ref="DZ16">_xll.EQNXTDZ($A$1,$B16,DZ$1)</f>
        <v>1773.95</v>
      </c>
      <c r="EA16" s="116" cm="1">
        <f t="array" ref="EA16">_xll.EQNXTDZ($A$1,$B16,EA$1)</f>
        <v>642.54999999999995</v>
      </c>
      <c r="EB16" s="116" cm="1">
        <f t="array" ref="EB16">_xll.EQNXTDZ($A$1,$B16,EB$1)</f>
        <v>997.9</v>
      </c>
      <c r="EC16" s="116" cm="1">
        <f t="array" ref="EC16">_xll.EQNXTDZ($A$1,$B16,EC$1)</f>
        <v>1027.3499999999999</v>
      </c>
      <c r="ED16" s="116" cm="1">
        <f t="array" ref="ED16">_xll.EQNXTDZ($A$1,$B16,ED$1)</f>
        <v>777.55</v>
      </c>
      <c r="EE16" s="116" cm="1">
        <f t="array" ref="EE16">_xll.EQNXTDZ($A$1,$B16,EE$1)</f>
        <v>767.5</v>
      </c>
      <c r="EF16" s="116" cm="1">
        <f t="array" ref="EF16">_xll.EQNXTDZ($A$1,$B16,EF$1)</f>
        <v>821.8</v>
      </c>
      <c r="EG16" s="116" cm="1">
        <f t="array" ref="EG16">_xll.EQNXTDZ($A$1,$B16,EG$1)</f>
        <v>812.15</v>
      </c>
      <c r="EH16" s="116" cm="1">
        <f t="array" ref="EH16">_xll.EQNXTDZ($A$1,$B16,EH$1)</f>
        <v>809</v>
      </c>
      <c r="EI16" s="116" cm="1">
        <f t="array" ref="EI16">_xll.EQNXTDZ($A$1,$B16,EI$1)</f>
        <v>769.7</v>
      </c>
      <c r="EJ16" s="116" cm="1">
        <f t="array" ref="EJ16">_xll.EQNXTDZ($A$1,$B16,EJ$1)</f>
        <v>872.5</v>
      </c>
      <c r="EK16" s="116" cm="1">
        <f t="array" ref="EK16">_xll.EQNXTDZ($A$1,$B16,EK$1)</f>
        <v>1046</v>
      </c>
      <c r="EL16" s="116" cm="1">
        <f t="array" ref="EL16">_xll.EQNXTDZ($A$1,$B16,EL$1)</f>
        <v>1067.5</v>
      </c>
      <c r="EM16" s="116" cm="1">
        <f t="array" ref="EM16">_xll.EQNXTDZ($A$1,$B16,EM$1)</f>
        <v>1065.5</v>
      </c>
      <c r="EN16" s="116" cm="1">
        <f t="array" ref="EN16">_xll.EQNXTDZ($A$1,$B16,EN$1)</f>
        <v>1025.8</v>
      </c>
      <c r="EO16" s="116" cm="1">
        <f t="array" ref="EO16">_xll.EQNXTDZ($A$1,$B16,EO$1)</f>
        <v>1064.6500000000001</v>
      </c>
      <c r="EP16" s="116" cm="1">
        <f t="array" ref="EP16">_xll.EQNXTDZ($A$1,$B16,EP$1)</f>
        <v>1122.8</v>
      </c>
      <c r="EQ16" s="116" cm="1">
        <f t="array" ref="EQ16">_xll.EQNXTDZ($A$1,$B16,EQ$1)</f>
        <v>997.95</v>
      </c>
      <c r="ER16" s="116" cm="1">
        <f t="array" ref="ER16">_xll.EQNXTDZ($A$1,$B16,ER$1)</f>
        <v>1137.5999999999999</v>
      </c>
      <c r="ES16" s="116" cm="1">
        <f t="array" ref="ES16">_xll.EQNXTDZ($A$1,$B16,ES$1)</f>
        <v>1007.85</v>
      </c>
      <c r="ET16" s="116" cm="1">
        <f t="array" ref="ET16">_xll.EQNXTDZ($A$1,$B16,ET$1)</f>
        <v>1009.65</v>
      </c>
      <c r="EU16" s="116" cm="1">
        <f t="array" ref="EU16">_xll.EQNXTDZ($A$1,$B16,EU$1)</f>
        <v>975.7</v>
      </c>
      <c r="EV16" s="116" cm="1">
        <f t="array" ref="EV16">_xll.EQNXTDZ($A$1,$B16,EV$1)</f>
        <v>840.55</v>
      </c>
      <c r="EW16" s="116" cm="1">
        <f t="array" ref="EW16">_xll.EQNXTDZ($A$1,$B16,EW$1)</f>
        <v>806.4</v>
      </c>
      <c r="EX16" s="116" cm="1">
        <f t="array" ref="EX16">_xll.EQNXTDZ($A$1,$B16,EX$1)</f>
        <v>753.1</v>
      </c>
      <c r="EY16" s="116" cm="1">
        <f t="array" ref="EY16">_xll.EQNXTDZ($A$1,$B16,EY$1)</f>
        <v>651.04999999999995</v>
      </c>
      <c r="EZ16" s="116" cm="1">
        <f t="array" ref="EZ16">_xll.EQNXTDZ($A$1,$B16,EZ$1)</f>
        <v>871.5</v>
      </c>
      <c r="FA16" s="116" cm="1">
        <f t="array" ref="FA16">_xll.EQNXTDZ($A$1,$B16,FA$1)</f>
        <v>898.5</v>
      </c>
      <c r="FB16" s="116" cm="1">
        <f t="array" ref="FB16">_xll.EQNXTDZ($A$1,$B16,FB$1)</f>
        <v>867.65</v>
      </c>
      <c r="FC16" s="116" cm="1">
        <f t="array" ref="FC16">_xll.EQNXTDZ($A$1,$B16,FC$1)</f>
        <v>881.8</v>
      </c>
      <c r="FD16" s="116" cm="1">
        <f t="array" ref="FD16">_xll.EQNXTDZ($A$1,$B16,FD$1)</f>
        <v>808.35</v>
      </c>
      <c r="FE16" s="116" cm="1">
        <f t="array" ref="FE16">_xll.EQNXTDZ($A$1,$B16,FE$1)</f>
        <v>763.7</v>
      </c>
      <c r="FF16" s="116" cm="1">
        <f t="array" ref="FF16">_xll.EQNXTDZ($A$1,$B16,FF$1)</f>
        <v>871.6</v>
      </c>
      <c r="FG16" s="116" cm="1">
        <f t="array" ref="FG16">_xll.EQNXTDZ($A$1,$B16,FG$1)</f>
        <v>986.05</v>
      </c>
      <c r="FH16" s="116" cm="1">
        <f t="array" ref="FH16">_xll.EQNXTDZ($A$1,$B16,FH$1)</f>
        <v>994.55</v>
      </c>
      <c r="FI16" s="116" cm="1">
        <f t="array" ref="FI16">_xll.EQNXTDZ($A$1,$B16,FI$1)</f>
        <v>1029.25</v>
      </c>
      <c r="FJ16" s="116" cm="1">
        <f t="array" ref="FJ16">_xll.EQNXTDZ($A$1,$B16,FJ$1)</f>
        <v>895.35</v>
      </c>
      <c r="FK16" s="116" cm="1">
        <f t="array" ref="FK16">_xll.EQNXTDZ($A$1,$B16,FK$1)</f>
        <v>1011.05</v>
      </c>
      <c r="FL16" s="116" cm="1">
        <f t="array" ref="FL16">_xll.EQNXTDZ($A$1,$B16,FL$1)</f>
        <v>934.2</v>
      </c>
      <c r="FM16" s="116" cm="1">
        <f t="array" ref="FM16">_xll.EQNXTDZ($A$1,$B16,FM$1)</f>
        <v>1342.15</v>
      </c>
      <c r="FN16" s="116" cm="1">
        <f t="array" ref="FN16">_xll.EQNXTDZ($A$1,$B16,FN$1)</f>
        <v>1513.15</v>
      </c>
      <c r="FO16" s="116" cm="1">
        <f t="array" ref="FO16">_xll.EQNXTDZ($A$1,$B16,FO$1)</f>
        <v>1491.7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26.85</v>
      </c>
      <c r="IC16" s="116">
        <f>+AS16</f>
        <v>36.85</v>
      </c>
      <c r="ID16" s="116">
        <f>+AV16</f>
        <v>34.299999999999997</v>
      </c>
      <c r="IE16" s="116">
        <f>+AY16</f>
        <v>38.549999999999997</v>
      </c>
      <c r="IF16" s="116">
        <f>+BB16</f>
        <v>38.1</v>
      </c>
      <c r="IG16" s="116">
        <f>+BE16</f>
        <v>56.5</v>
      </c>
      <c r="IH16" s="116">
        <f>+BH16</f>
        <v>64.349999999999994</v>
      </c>
      <c r="II16" s="116">
        <f>+BK16</f>
        <v>123.9</v>
      </c>
      <c r="IJ16" s="116">
        <f>+BN16</f>
        <v>152.44999999999999</v>
      </c>
      <c r="IK16" s="116">
        <f>+BQ16</f>
        <v>223.5</v>
      </c>
      <c r="IL16" s="116">
        <f>+BT16</f>
        <v>191.25</v>
      </c>
      <c r="IM16" s="116">
        <f>+BW16</f>
        <v>155.94999999999999</v>
      </c>
      <c r="IN16" s="116">
        <f>+BZ16</f>
        <v>160.25</v>
      </c>
      <c r="IO16" s="116">
        <f>+CC16</f>
        <v>198.9</v>
      </c>
      <c r="IP16" s="116">
        <f>+CF16</f>
        <v>217.9</v>
      </c>
      <c r="IQ16" s="116">
        <f>+CI16</f>
        <v>224.35</v>
      </c>
      <c r="IR16" s="116">
        <f>+CL16</f>
        <v>228.6</v>
      </c>
      <c r="IS16" s="116">
        <f>+CO16</f>
        <v>331.9</v>
      </c>
      <c r="IT16" s="116">
        <f>+CR16</f>
        <v>188.75</v>
      </c>
      <c r="IU16" s="116">
        <f>+CU16</f>
        <v>259.7</v>
      </c>
      <c r="IV16" s="116">
        <f>+CX16</f>
        <v>242.3</v>
      </c>
      <c r="IW16" s="116">
        <f>+DA16</f>
        <v>437.7</v>
      </c>
      <c r="IX16" s="116">
        <f>+DD16</f>
        <v>908.35</v>
      </c>
      <c r="IY16" s="116">
        <f>+DG16</f>
        <v>1062.95</v>
      </c>
      <c r="IZ16" s="116">
        <f>+DJ16</f>
        <v>1552.35</v>
      </c>
      <c r="JA16" s="116">
        <f>+DM16</f>
        <v>1732.85</v>
      </c>
      <c r="JB16" s="116">
        <f>+DP16</f>
        <v>2372.3000000000002</v>
      </c>
      <c r="JC16" s="116">
        <f>+DS16</f>
        <v>2473.75</v>
      </c>
      <c r="JD16" s="116">
        <f>+DV16</f>
        <v>3290.7</v>
      </c>
      <c r="JE16" s="116">
        <f>+DY16</f>
        <v>2591.5500000000002</v>
      </c>
      <c r="JF16" s="116">
        <f>+EB16</f>
        <v>997.9</v>
      </c>
      <c r="JG16" s="116">
        <f>+EE16</f>
        <v>767.5</v>
      </c>
      <c r="JH16" s="116">
        <f>+EH16</f>
        <v>809</v>
      </c>
      <c r="JI16" s="116">
        <f>+EK16</f>
        <v>1046</v>
      </c>
      <c r="JJ16" s="116">
        <f>+EN16</f>
        <v>1025.8</v>
      </c>
      <c r="JK16" s="116">
        <f>EQ16</f>
        <v>997.95</v>
      </c>
      <c r="JL16" s="116">
        <f>ET16</f>
        <v>1009.65</v>
      </c>
      <c r="JM16" s="116">
        <f>EW16</f>
        <v>806.4</v>
      </c>
      <c r="JN16" s="116">
        <f>EZ16</f>
        <v>871.5</v>
      </c>
      <c r="JO16" s="116">
        <f>FC16</f>
        <v>881.8</v>
      </c>
      <c r="JP16" s="116">
        <f>FF16</f>
        <v>871.6</v>
      </c>
      <c r="JQ16" s="116">
        <f>FI16</f>
        <v>1029.25</v>
      </c>
      <c r="JR16" s="116">
        <f>FL16</f>
        <v>934.2</v>
      </c>
      <c r="JS16" s="116">
        <f>FO16</f>
        <v>1491.7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42.5</v>
      </c>
      <c r="IC19" s="116">
        <f t="shared" si="1"/>
        <v>41.45</v>
      </c>
      <c r="ID19" s="116">
        <f t="shared" si="1"/>
        <v>42.6</v>
      </c>
      <c r="IE19" s="116">
        <f t="shared" si="1"/>
        <v>40.4</v>
      </c>
      <c r="IF19" s="116">
        <f t="shared" si="1"/>
        <v>42.8</v>
      </c>
      <c r="IG19" s="116">
        <f t="shared" si="1"/>
        <v>66</v>
      </c>
      <c r="IH19" s="116">
        <f t="shared" si="1"/>
        <v>69.7</v>
      </c>
      <c r="II19" s="116">
        <f t="shared" si="1"/>
        <v>137</v>
      </c>
      <c r="IJ19" s="116">
        <f t="shared" si="1"/>
        <v>156</v>
      </c>
      <c r="IK19" s="116">
        <f t="shared" si="1"/>
        <v>247.75</v>
      </c>
      <c r="IL19" s="116">
        <f t="shared" si="1"/>
        <v>252</v>
      </c>
      <c r="IM19" s="116">
        <f t="shared" si="1"/>
        <v>198.9</v>
      </c>
      <c r="IN19" s="116">
        <f t="shared" si="1"/>
        <v>245</v>
      </c>
      <c r="IO19" s="116">
        <f t="shared" si="1"/>
        <v>256.3</v>
      </c>
      <c r="IP19" s="116">
        <f t="shared" si="1"/>
        <v>242.5</v>
      </c>
      <c r="IQ19" s="116">
        <f t="shared" si="1"/>
        <v>253.05</v>
      </c>
      <c r="IR19" s="116">
        <f t="shared" si="1"/>
        <v>247</v>
      </c>
      <c r="IS19" s="116">
        <f t="shared" si="1"/>
        <v>350.05</v>
      </c>
      <c r="IT19" s="116">
        <f t="shared" si="1"/>
        <v>365.8</v>
      </c>
      <c r="IU19" s="116">
        <f t="shared" si="1"/>
        <v>281.95</v>
      </c>
      <c r="IV19" s="116">
        <f t="shared" si="1"/>
        <v>303.10000000000002</v>
      </c>
      <c r="IW19" s="116">
        <f t="shared" si="1"/>
        <v>455</v>
      </c>
      <c r="IX19" s="116">
        <f t="shared" si="1"/>
        <v>924.4</v>
      </c>
      <c r="IY19" s="116">
        <f t="shared" si="1"/>
        <v>1647.7</v>
      </c>
      <c r="IZ19" s="116">
        <f t="shared" si="1"/>
        <v>1990</v>
      </c>
      <c r="JA19" s="116">
        <f t="shared" si="1"/>
        <v>2030</v>
      </c>
      <c r="JB19" s="116">
        <f t="shared" si="1"/>
        <v>2577.65</v>
      </c>
      <c r="JC19" s="116">
        <f t="shared" si="1"/>
        <v>3000</v>
      </c>
      <c r="JD19" s="116">
        <f t="shared" si="1"/>
        <v>4238.55</v>
      </c>
      <c r="JE19" s="116">
        <f t="shared" si="1"/>
        <v>3420.25</v>
      </c>
      <c r="JF19" s="116">
        <f t="shared" si="1"/>
        <v>2798.6</v>
      </c>
      <c r="JG19" s="116">
        <f t="shared" si="1"/>
        <v>1098.75</v>
      </c>
      <c r="JH19" s="116">
        <f t="shared" si="1"/>
        <v>976.45</v>
      </c>
      <c r="JI19" s="116">
        <f t="shared" si="1"/>
        <v>1246</v>
      </c>
      <c r="JJ19" s="116">
        <f t="shared" ref="JJ19:JJ21" si="2">+IF(JJ14=0,JJ7,JJ14)</f>
        <v>1250</v>
      </c>
      <c r="JK19" s="116">
        <f t="shared" ref="JK19" si="3">+IF(JK14=0,JK7,JK14)</f>
        <v>1249</v>
      </c>
      <c r="JL19" s="116">
        <f t="shared" ref="JL19:JM19" si="4">+IF(JL14=0,JL7,JL14)</f>
        <v>1347.9</v>
      </c>
      <c r="JM19" s="116">
        <f t="shared" si="4"/>
        <v>1090.6500000000001</v>
      </c>
      <c r="JN19" s="116">
        <f t="shared" ref="JN19:JO19" si="5">+IF(JN14=0,JN7,JN14)</f>
        <v>894.5</v>
      </c>
      <c r="JO19" s="116">
        <f t="shared" si="5"/>
        <v>981.95</v>
      </c>
      <c r="JP19" s="116">
        <f t="shared" ref="JP19" si="6">+IF(JP14=0,JP7,JP14)</f>
        <v>957.95</v>
      </c>
      <c r="JQ19" s="116">
        <f t="shared" ref="JQ19:KH19" si="7">+IF(JQ14=0,JQ7,JQ14)</f>
        <v>1050</v>
      </c>
      <c r="JR19" s="116">
        <f t="shared" si="7"/>
        <v>1067.3</v>
      </c>
      <c r="JS19" s="116">
        <f t="shared" si="7"/>
        <v>1614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25.25</v>
      </c>
      <c r="IC20" s="116">
        <f t="shared" si="8"/>
        <v>26.6</v>
      </c>
      <c r="ID20" s="116">
        <f t="shared" si="8"/>
        <v>26.3</v>
      </c>
      <c r="IE20" s="116">
        <f t="shared" si="8"/>
        <v>28.35</v>
      </c>
      <c r="IF20" s="116">
        <f t="shared" si="1"/>
        <v>34</v>
      </c>
      <c r="IG20" s="116">
        <f t="shared" si="1"/>
        <v>38.25</v>
      </c>
      <c r="IH20" s="116">
        <f t="shared" si="1"/>
        <v>56.3</v>
      </c>
      <c r="II20" s="116">
        <f t="shared" si="1"/>
        <v>64.5</v>
      </c>
      <c r="IJ20" s="116">
        <f t="shared" si="1"/>
        <v>103</v>
      </c>
      <c r="IK20" s="116">
        <f t="shared" si="1"/>
        <v>153.05000000000001</v>
      </c>
      <c r="IL20" s="116">
        <f t="shared" si="1"/>
        <v>154.80000000000001</v>
      </c>
      <c r="IM20" s="116">
        <f t="shared" si="1"/>
        <v>115</v>
      </c>
      <c r="IN20" s="116">
        <f t="shared" si="1"/>
        <v>145.65</v>
      </c>
      <c r="IO20" s="116">
        <f t="shared" si="1"/>
        <v>141.35</v>
      </c>
      <c r="IP20" s="116">
        <f t="shared" si="1"/>
        <v>180</v>
      </c>
      <c r="IQ20" s="116">
        <f t="shared" si="1"/>
        <v>202.9</v>
      </c>
      <c r="IR20" s="116">
        <f t="shared" si="1"/>
        <v>193</v>
      </c>
      <c r="IS20" s="116">
        <f t="shared" si="1"/>
        <v>220.75</v>
      </c>
      <c r="IT20" s="116">
        <f t="shared" si="1"/>
        <v>147.5</v>
      </c>
      <c r="IU20" s="116">
        <f t="shared" si="1"/>
        <v>167.2</v>
      </c>
      <c r="IV20" s="116">
        <f t="shared" si="1"/>
        <v>221</v>
      </c>
      <c r="IW20" s="116">
        <f t="shared" si="1"/>
        <v>241.65</v>
      </c>
      <c r="IX20" s="116">
        <f t="shared" si="1"/>
        <v>400</v>
      </c>
      <c r="IY20" s="116">
        <f t="shared" si="1"/>
        <v>865.1</v>
      </c>
      <c r="IZ20" s="116">
        <f t="shared" si="1"/>
        <v>860.5</v>
      </c>
      <c r="JA20" s="116">
        <f t="shared" si="1"/>
        <v>1511.4</v>
      </c>
      <c r="JB20" s="116">
        <f t="shared" si="1"/>
        <v>1670</v>
      </c>
      <c r="JC20" s="116">
        <f t="shared" si="1"/>
        <v>1900</v>
      </c>
      <c r="JD20" s="116">
        <f t="shared" si="1"/>
        <v>2226.4</v>
      </c>
      <c r="JE20" s="116">
        <f t="shared" si="1"/>
        <v>2179.85</v>
      </c>
      <c r="JF20" s="116">
        <f t="shared" si="1"/>
        <v>630</v>
      </c>
      <c r="JG20" s="116">
        <f t="shared" si="1"/>
        <v>713.8</v>
      </c>
      <c r="JH20" s="116">
        <f t="shared" si="1"/>
        <v>738.15</v>
      </c>
      <c r="JI20" s="116">
        <f t="shared" si="1"/>
        <v>686.9</v>
      </c>
      <c r="JJ20" s="116">
        <f t="shared" si="2"/>
        <v>918.1</v>
      </c>
      <c r="JK20" s="116">
        <f t="shared" ref="JK20" si="9">+IF(JK15=0,JK8,JK15)</f>
        <v>832.2</v>
      </c>
      <c r="JL20" s="116">
        <f t="shared" ref="JL20:JM20" si="10">+IF(JL15=0,JL8,JL15)</f>
        <v>915.7</v>
      </c>
      <c r="JM20" s="116">
        <f t="shared" si="10"/>
        <v>588.25</v>
      </c>
      <c r="JN20" s="116">
        <f t="shared" ref="JN20:JO20" si="11">+IF(JN15=0,JN8,JN15)</f>
        <v>639.35</v>
      </c>
      <c r="JO20" s="116">
        <f t="shared" si="11"/>
        <v>778.1</v>
      </c>
      <c r="JP20" s="116">
        <f t="shared" ref="JP20" si="12">+IF(JP15=0,JP8,JP15)</f>
        <v>745.45</v>
      </c>
      <c r="JQ20" s="116">
        <f t="shared" ref="JQ20:KH20" si="13">+IF(JQ15=0,JQ8,JQ15)</f>
        <v>869.6</v>
      </c>
      <c r="JR20" s="116">
        <f t="shared" si="13"/>
        <v>804.7</v>
      </c>
      <c r="JS20" s="116">
        <f t="shared" si="13"/>
        <v>903.25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26.85</v>
      </c>
      <c r="IC21" s="116">
        <f t="shared" si="1"/>
        <v>36.85</v>
      </c>
      <c r="ID21" s="116">
        <f t="shared" si="1"/>
        <v>34.299999999999997</v>
      </c>
      <c r="IE21" s="116">
        <f t="shared" si="1"/>
        <v>38.549999999999997</v>
      </c>
      <c r="IF21" s="116">
        <f t="shared" si="1"/>
        <v>38.1</v>
      </c>
      <c r="IG21" s="116">
        <f t="shared" si="1"/>
        <v>56.5</v>
      </c>
      <c r="IH21" s="116">
        <f t="shared" si="1"/>
        <v>64.349999999999994</v>
      </c>
      <c r="II21" s="116">
        <f t="shared" si="1"/>
        <v>123.9</v>
      </c>
      <c r="IJ21" s="116">
        <f t="shared" si="1"/>
        <v>152.44999999999999</v>
      </c>
      <c r="IK21" s="116">
        <f t="shared" si="1"/>
        <v>223.5</v>
      </c>
      <c r="IL21" s="116">
        <f t="shared" si="1"/>
        <v>191.25</v>
      </c>
      <c r="IM21" s="116">
        <f t="shared" si="1"/>
        <v>155.94999999999999</v>
      </c>
      <c r="IN21" s="116">
        <f t="shared" si="1"/>
        <v>160.25</v>
      </c>
      <c r="IO21" s="116">
        <f t="shared" si="1"/>
        <v>198.9</v>
      </c>
      <c r="IP21" s="116">
        <f t="shared" si="1"/>
        <v>217.9</v>
      </c>
      <c r="IQ21" s="116">
        <f t="shared" si="1"/>
        <v>224.35</v>
      </c>
      <c r="IR21" s="116">
        <f t="shared" si="1"/>
        <v>228.6</v>
      </c>
      <c r="IS21" s="116">
        <f t="shared" si="1"/>
        <v>331.9</v>
      </c>
      <c r="IT21" s="116">
        <f t="shared" si="1"/>
        <v>188.75</v>
      </c>
      <c r="IU21" s="116">
        <f t="shared" si="1"/>
        <v>259.7</v>
      </c>
      <c r="IV21" s="116">
        <f t="shared" si="1"/>
        <v>242.3</v>
      </c>
      <c r="IW21" s="116">
        <f t="shared" si="1"/>
        <v>437.7</v>
      </c>
      <c r="IX21" s="116">
        <f t="shared" si="1"/>
        <v>908.35</v>
      </c>
      <c r="IY21" s="116">
        <f t="shared" si="1"/>
        <v>1062.95</v>
      </c>
      <c r="IZ21" s="116">
        <f t="shared" si="1"/>
        <v>1552.35</v>
      </c>
      <c r="JA21" s="116">
        <f t="shared" si="1"/>
        <v>1732.85</v>
      </c>
      <c r="JB21" s="116">
        <f t="shared" si="1"/>
        <v>2372.3000000000002</v>
      </c>
      <c r="JC21" s="116">
        <f t="shared" si="1"/>
        <v>2473.75</v>
      </c>
      <c r="JD21" s="116">
        <f t="shared" si="1"/>
        <v>3290.7</v>
      </c>
      <c r="JE21" s="116">
        <f t="shared" si="1"/>
        <v>2591.5500000000002</v>
      </c>
      <c r="JF21" s="116">
        <f t="shared" si="1"/>
        <v>997.9</v>
      </c>
      <c r="JG21" s="116">
        <f t="shared" si="1"/>
        <v>767.5</v>
      </c>
      <c r="JH21" s="116">
        <f t="shared" si="1"/>
        <v>809</v>
      </c>
      <c r="JI21" s="116">
        <f t="shared" si="1"/>
        <v>1046</v>
      </c>
      <c r="JJ21" s="116">
        <f t="shared" si="2"/>
        <v>1025.8</v>
      </c>
      <c r="JK21" s="116">
        <f t="shared" ref="JK21" si="14">+IF(JK16=0,JK9,JK16)</f>
        <v>997.95</v>
      </c>
      <c r="JL21" s="116">
        <f t="shared" ref="JL21:JM21" si="15">+IF(JL16=0,JL9,JL16)</f>
        <v>1009.65</v>
      </c>
      <c r="JM21" s="116">
        <f t="shared" si="15"/>
        <v>806.4</v>
      </c>
      <c r="JN21" s="116">
        <f t="shared" ref="JN21:JO21" si="16">+IF(JN16=0,JN9,JN16)</f>
        <v>871.5</v>
      </c>
      <c r="JO21" s="116">
        <f t="shared" si="16"/>
        <v>881.8</v>
      </c>
      <c r="JP21" s="116">
        <f t="shared" ref="JP21" si="17">+IF(JP16=0,JP9,JP16)</f>
        <v>871.6</v>
      </c>
      <c r="JQ21" s="116">
        <f t="shared" ref="JQ21:KH21" si="18">+IF(JQ16=0,JQ9,JQ16)</f>
        <v>1029.25</v>
      </c>
      <c r="JR21" s="116">
        <f t="shared" si="18"/>
        <v>934.2</v>
      </c>
      <c r="JS21" s="116">
        <f t="shared" si="18"/>
        <v>1491.7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271875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1099810083</v>
      </c>
      <c r="Q6" cm="1">
        <f t="array" ref="Q6">_xll.EQNXTDZ($A$1,$B6,Q$1)</f>
        <v>1099810083</v>
      </c>
      <c r="R6" cm="1">
        <f t="array" ref="R6">_xll.EQNXTDZ($A$1,$B6,R$1)</f>
        <v>1099810083</v>
      </c>
      <c r="S6" cm="1">
        <f t="array" ref="S6">_xll.EQNXTDZ($A$1,$B6,S$1)</f>
        <v>1099810083</v>
      </c>
      <c r="T6" cm="1">
        <f t="array" ref="T6">_xll.EQNXTDZ($A$1,$B6,T$1)</f>
        <v>1099810083</v>
      </c>
      <c r="U6" cm="1">
        <f t="array" ref="U6">_xll.EQNXTDZ($A$1,$B6,U$1)</f>
        <v>1099810083</v>
      </c>
      <c r="V6" cm="1">
        <f t="array" ref="V6">_xll.EQNXTDZ($A$1,$B6,V$1)</f>
        <v>1099810083</v>
      </c>
      <c r="W6" cm="1">
        <f t="array" ref="W6">_xll.EQNXTDZ($A$1,$B6,W$1)</f>
        <v>1099810083</v>
      </c>
      <c r="X6" cm="1">
        <f t="array" ref="X6">_xll.EQNXTDZ($A$1,$B6,X$1)</f>
        <v>1099810083</v>
      </c>
      <c r="Y6" cm="1">
        <f t="array" ref="Y6">_xll.EQNXTDZ($A$1,$B6,Y$1)</f>
        <v>1099810083</v>
      </c>
      <c r="Z6" cm="1">
        <f t="array" ref="Z6">_xll.EQNXTDZ($A$1,$B6,Z$1)</f>
        <v>1099810083</v>
      </c>
      <c r="AA6" cm="1">
        <f t="array" ref="AA6">_xll.EQNXTDZ($A$1,$B6,AA$1)</f>
        <v>1099810083</v>
      </c>
      <c r="AB6" cm="1">
        <f t="array" ref="AB6">_xll.EQNXTDZ($A$1,$B6,AB$1)</f>
        <v>1099810083</v>
      </c>
      <c r="AC6" cm="1">
        <f t="array" ref="AC6">_xll.EQNXTDZ($A$1,$B6,AC$1)</f>
        <v>1099810083</v>
      </c>
      <c r="AD6" cm="1">
        <f t="array" ref="AD6">_xll.EQNXTDZ($A$1,$B6,AD$1)</f>
        <v>1099810083</v>
      </c>
      <c r="AE6" cm="1">
        <f t="array" ref="AE6">_xll.EQNXTDZ($A$1,$B6,AE$1)</f>
        <v>1099810083</v>
      </c>
      <c r="AF6" cm="1">
        <f t="array" ref="AF6">_xll.EQNXTDZ($A$1,$B6,AF$1)</f>
        <v>1099810083</v>
      </c>
      <c r="AG6" cm="1">
        <f t="array" ref="AG6">_xll.EQNXTDZ($A$1,$B6,AG$1)</f>
        <v>1099810083</v>
      </c>
      <c r="AH6" cm="1">
        <f t="array" ref="AH6">_xll.EQNXTDZ($A$1,$B6,AH$1)</f>
        <v>1099810083</v>
      </c>
      <c r="AI6" cm="1">
        <f t="array" ref="AI6">_xll.EQNXTDZ($A$1,$B6,AI$1)</f>
        <v>1099810083</v>
      </c>
      <c r="AJ6" cm="1">
        <f t="array" ref="AJ6">_xll.EQNXTDZ($A$1,$B6,AJ$1)</f>
        <v>1099810083</v>
      </c>
      <c r="AK6" cm="1">
        <f t="array" ref="AK6">_xll.EQNXTDZ($A$1,$B6,AK$1)</f>
        <v>1099810083</v>
      </c>
      <c r="AL6" cm="1">
        <f t="array" ref="AL6">_xll.EQNXTDZ($A$1,$B6,AL$1)</f>
        <v>1099810083</v>
      </c>
      <c r="AM6" cm="1">
        <f t="array" ref="AM6">_xll.EQNXTDZ($A$1,$B6,AM$1)</f>
        <v>1099810083</v>
      </c>
      <c r="AN6" cm="1">
        <f t="array" ref="AN6">_xll.EQNXTDZ($A$1,$B6,AN$1)</f>
        <v>1099810083</v>
      </c>
      <c r="AO6" cm="1">
        <f t="array" ref="AO6">_xll.EQNXTDZ($A$1,$B6,AO$1)</f>
        <v>1099810083</v>
      </c>
      <c r="AP6" cm="1">
        <f t="array" ref="AP6">_xll.EQNXTDZ($A$1,$B6,AP$1)</f>
        <v>1099810083</v>
      </c>
      <c r="AQ6" cm="1">
        <f t="array" ref="AQ6">_xll.EQNXTDZ($A$1,$B6,AQ$1)</f>
        <v>1115492683</v>
      </c>
      <c r="AR6" cm="1">
        <f t="array" ref="AR6">_xll.EQNXTDZ($A$1,$B6,AR$1)</f>
        <v>1115492683</v>
      </c>
      <c r="AS6" cm="1">
        <f t="array" ref="AS6">_xll.EQNXTDZ($A$1,$B6,AS$1)</f>
        <v>1115492683</v>
      </c>
      <c r="AT6" cm="1">
        <f t="array" ref="AT6">_xll.EQNXTDZ($A$1,$B6,AT$1)</f>
        <v>1115492683</v>
      </c>
      <c r="AU6" cm="1">
        <f t="array" ref="AU6">_xll.EQNXTDZ($A$1,$B6,AU$1)</f>
        <v>1115492683</v>
      </c>
      <c r="AV6" cm="1">
        <f t="array" ref="AV6">_xll.EQNXTDZ($A$1,$B6,AV$1)</f>
        <v>1115492683</v>
      </c>
      <c r="AW6" cm="1">
        <f t="array" ref="AW6">_xll.EQNXTDZ($A$1,$B6,AW$1)</f>
        <v>1115492683</v>
      </c>
      <c r="AX6" cm="1">
        <f t="array" ref="AX6">_xll.EQNXTDZ($A$1,$B6,AX$1)</f>
        <v>1115492683</v>
      </c>
      <c r="AY6" cm="1">
        <f t="array" ref="AY6">_xll.EQNXTDZ($A$1,$B6,AY$1)</f>
        <v>1115492683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109.9810083</v>
      </c>
      <c r="Q7" s="100">
        <f t="shared" si="0"/>
        <v>109.9810083</v>
      </c>
      <c r="R7" s="100">
        <f t="shared" si="0"/>
        <v>109.9810083</v>
      </c>
      <c r="S7" s="100">
        <f t="shared" si="0"/>
        <v>109.9810083</v>
      </c>
      <c r="T7" s="100">
        <f t="shared" si="0"/>
        <v>109.9810083</v>
      </c>
      <c r="U7" s="100">
        <f t="shared" si="0"/>
        <v>109.9810083</v>
      </c>
      <c r="V7" s="100">
        <f t="shared" si="0"/>
        <v>109.9810083</v>
      </c>
      <c r="W7" s="100">
        <f t="shared" si="0"/>
        <v>109.9810083</v>
      </c>
      <c r="X7" s="100">
        <f t="shared" si="0"/>
        <v>109.9810083</v>
      </c>
      <c r="Y7" s="100">
        <f t="shared" ref="Y7:AS7" si="1">+Y6/10^7</f>
        <v>109.9810083</v>
      </c>
      <c r="Z7" s="100">
        <f t="shared" si="1"/>
        <v>109.9810083</v>
      </c>
      <c r="AA7" s="100">
        <f t="shared" si="1"/>
        <v>109.9810083</v>
      </c>
      <c r="AB7" s="100">
        <f t="shared" si="1"/>
        <v>109.9810083</v>
      </c>
      <c r="AC7" s="100">
        <f t="shared" si="1"/>
        <v>109.9810083</v>
      </c>
      <c r="AD7" s="100">
        <f t="shared" si="1"/>
        <v>109.9810083</v>
      </c>
      <c r="AE7" s="100">
        <f t="shared" si="1"/>
        <v>109.9810083</v>
      </c>
      <c r="AF7" s="100">
        <f t="shared" si="1"/>
        <v>109.9810083</v>
      </c>
      <c r="AG7" s="100">
        <f t="shared" si="1"/>
        <v>109.9810083</v>
      </c>
      <c r="AH7" s="100">
        <f t="shared" si="1"/>
        <v>109.9810083</v>
      </c>
      <c r="AI7" s="100">
        <f t="shared" si="1"/>
        <v>109.9810083</v>
      </c>
      <c r="AJ7" s="100">
        <f t="shared" si="1"/>
        <v>109.9810083</v>
      </c>
      <c r="AK7" s="100">
        <f t="shared" si="1"/>
        <v>109.9810083</v>
      </c>
      <c r="AL7" s="100">
        <f t="shared" si="1"/>
        <v>109.9810083</v>
      </c>
      <c r="AM7" s="100">
        <f t="shared" si="1"/>
        <v>109.9810083</v>
      </c>
      <c r="AN7" s="100">
        <f t="shared" si="1"/>
        <v>109.9810083</v>
      </c>
      <c r="AO7" s="100">
        <f t="shared" si="1"/>
        <v>109.9810083</v>
      </c>
      <c r="AP7" s="100">
        <f t="shared" si="1"/>
        <v>109.9810083</v>
      </c>
      <c r="AQ7" s="100">
        <f t="shared" si="1"/>
        <v>111.54926829999999</v>
      </c>
      <c r="AR7" s="100">
        <f t="shared" si="1"/>
        <v>111.54926829999999</v>
      </c>
      <c r="AS7" s="100">
        <f t="shared" si="1"/>
        <v>111.54926829999999</v>
      </c>
      <c r="AT7" s="100">
        <f t="shared" ref="AT7:AX7" si="2">+AT6/10^7</f>
        <v>111.54926829999999</v>
      </c>
      <c r="AU7" s="100">
        <f t="shared" si="2"/>
        <v>111.54926829999999</v>
      </c>
      <c r="AV7" s="100">
        <f t="shared" si="2"/>
        <v>111.54926829999999</v>
      </c>
      <c r="AW7" s="100">
        <f t="shared" si="2"/>
        <v>111.54926829999999</v>
      </c>
      <c r="AX7" s="100">
        <f t="shared" si="2"/>
        <v>111.54926829999999</v>
      </c>
      <c r="AY7" s="100">
        <f t="shared" ref="AY7" si="3">+AY6/10^7</f>
        <v>111.54926829999999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271875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42216</v>
      </c>
      <c r="B4" s="116">
        <v>28.35</v>
      </c>
      <c r="C4" s="116">
        <v>28.35</v>
      </c>
      <c r="D4" s="116">
        <v>25.65</v>
      </c>
      <c r="E4" s="116">
        <v>27</v>
      </c>
      <c r="F4" s="116">
        <v>28.35</v>
      </c>
      <c r="G4">
        <v>8571999</v>
      </c>
      <c r="H4" s="116"/>
      <c r="I4" s="116"/>
      <c r="L4" s="170">
        <v>42216</v>
      </c>
      <c r="M4" s="116">
        <v>27.6</v>
      </c>
      <c r="N4" s="116">
        <v>27.6</v>
      </c>
      <c r="O4" s="116">
        <v>26</v>
      </c>
      <c r="P4" s="116">
        <v>26.3</v>
      </c>
      <c r="Q4" s="116">
        <v>27.6</v>
      </c>
      <c r="R4">
        <v>1024657</v>
      </c>
    </row>
    <row r="5" spans="1:18" x14ac:dyDescent="0.25">
      <c r="A5" s="170">
        <v>42219</v>
      </c>
      <c r="B5" s="116">
        <v>29.75</v>
      </c>
      <c r="C5" s="116">
        <v>29.75</v>
      </c>
      <c r="D5" s="116">
        <v>27</v>
      </c>
      <c r="E5" s="116">
        <v>28.8</v>
      </c>
      <c r="F5" s="116">
        <v>29.75</v>
      </c>
      <c r="G5">
        <v>2911021</v>
      </c>
      <c r="H5" s="116"/>
      <c r="I5" s="116"/>
      <c r="L5" s="170">
        <v>42219</v>
      </c>
      <c r="M5" s="116">
        <v>28.95</v>
      </c>
      <c r="N5" s="116">
        <v>28.95</v>
      </c>
      <c r="O5" s="116">
        <v>27.7</v>
      </c>
      <c r="P5" s="116">
        <v>28.45</v>
      </c>
      <c r="Q5" s="116">
        <v>28.95</v>
      </c>
      <c r="R5">
        <v>1737709</v>
      </c>
    </row>
    <row r="6" spans="1:18" x14ac:dyDescent="0.25">
      <c r="A6" s="170">
        <v>42220</v>
      </c>
      <c r="B6" s="116">
        <v>31.2</v>
      </c>
      <c r="C6" s="116">
        <v>31.2</v>
      </c>
      <c r="D6" s="116">
        <v>31.2</v>
      </c>
      <c r="E6" s="116">
        <v>31.2</v>
      </c>
      <c r="F6" s="116">
        <v>31.2</v>
      </c>
      <c r="G6">
        <v>590269</v>
      </c>
      <c r="H6" s="116"/>
      <c r="I6" s="116"/>
      <c r="L6" s="170">
        <v>42220</v>
      </c>
      <c r="M6" s="116">
        <v>30.35</v>
      </c>
      <c r="N6" s="116">
        <v>30.35</v>
      </c>
      <c r="O6" s="116">
        <v>30.35</v>
      </c>
      <c r="P6" s="116">
        <v>30.35</v>
      </c>
      <c r="Q6" s="116">
        <v>30.35</v>
      </c>
      <c r="R6">
        <v>52219</v>
      </c>
    </row>
    <row r="7" spans="1:18" x14ac:dyDescent="0.25">
      <c r="A7" s="170">
        <v>42221</v>
      </c>
      <c r="B7" s="116">
        <v>32.75</v>
      </c>
      <c r="C7" s="116">
        <v>32.75</v>
      </c>
      <c r="D7" s="116">
        <v>32.75</v>
      </c>
      <c r="E7" s="116">
        <v>32.75</v>
      </c>
      <c r="F7" s="116">
        <v>32.75</v>
      </c>
      <c r="G7">
        <v>225728</v>
      </c>
      <c r="H7" s="116"/>
      <c r="I7" s="116"/>
      <c r="L7" s="170">
        <v>42221</v>
      </c>
      <c r="M7" s="116">
        <v>31.85</v>
      </c>
      <c r="N7" s="116">
        <v>31.85</v>
      </c>
      <c r="O7" s="116">
        <v>31.85</v>
      </c>
      <c r="P7" s="116">
        <v>31.85</v>
      </c>
      <c r="Q7" s="116">
        <v>31.85</v>
      </c>
      <c r="R7">
        <v>95349</v>
      </c>
    </row>
    <row r="8" spans="1:18" x14ac:dyDescent="0.25">
      <c r="A8" s="170">
        <v>42222</v>
      </c>
      <c r="B8" s="116">
        <v>34.35</v>
      </c>
      <c r="C8" s="116">
        <v>34.35</v>
      </c>
      <c r="D8" s="116">
        <v>33</v>
      </c>
      <c r="E8" s="116">
        <v>34.35</v>
      </c>
      <c r="F8" s="116">
        <v>34.35</v>
      </c>
      <c r="G8">
        <v>3059350</v>
      </c>
      <c r="H8" s="116"/>
      <c r="I8" s="116"/>
      <c r="L8" s="170">
        <v>42222</v>
      </c>
      <c r="M8" s="116">
        <v>33.4</v>
      </c>
      <c r="N8" s="116">
        <v>33.4</v>
      </c>
      <c r="O8" s="116">
        <v>33.4</v>
      </c>
      <c r="P8" s="116">
        <v>33.4</v>
      </c>
      <c r="Q8" s="116">
        <v>33.4</v>
      </c>
      <c r="R8">
        <v>472314</v>
      </c>
    </row>
    <row r="9" spans="1:18" x14ac:dyDescent="0.25">
      <c r="A9" s="170">
        <v>42223</v>
      </c>
      <c r="B9" s="116">
        <v>36.049999999999997</v>
      </c>
      <c r="C9" s="116">
        <v>36.049999999999997</v>
      </c>
      <c r="D9" s="116">
        <v>36.049999999999997</v>
      </c>
      <c r="E9" s="116">
        <v>36.049999999999997</v>
      </c>
      <c r="F9" s="116">
        <v>36.049999999999997</v>
      </c>
      <c r="G9">
        <v>142003</v>
      </c>
      <c r="H9" s="116"/>
      <c r="I9" s="116"/>
      <c r="L9" s="170">
        <v>42223</v>
      </c>
      <c r="M9" s="116">
        <v>35.049999999999997</v>
      </c>
      <c r="N9" s="116">
        <v>35.049999999999997</v>
      </c>
      <c r="O9" s="116">
        <v>35.049999999999997</v>
      </c>
      <c r="P9" s="116">
        <v>35.049999999999997</v>
      </c>
      <c r="Q9" s="116">
        <v>35.049999999999997</v>
      </c>
      <c r="R9">
        <v>144093</v>
      </c>
    </row>
    <row r="10" spans="1:18" x14ac:dyDescent="0.25">
      <c r="A10" s="170">
        <v>42226</v>
      </c>
      <c r="B10" s="116">
        <v>37.85</v>
      </c>
      <c r="C10" s="116">
        <v>35.75</v>
      </c>
      <c r="D10" s="116">
        <v>35</v>
      </c>
      <c r="E10" s="116">
        <v>37.85</v>
      </c>
      <c r="F10" s="116">
        <v>35.75</v>
      </c>
      <c r="G10">
        <v>4195970</v>
      </c>
      <c r="H10" s="116"/>
      <c r="I10" s="116"/>
      <c r="L10" s="170">
        <v>42226</v>
      </c>
      <c r="M10" s="116">
        <v>36.049999999999997</v>
      </c>
      <c r="N10" s="116">
        <v>36.799999999999997</v>
      </c>
      <c r="O10" s="116">
        <v>34.950000000000003</v>
      </c>
      <c r="P10" s="116">
        <v>36.799999999999997</v>
      </c>
      <c r="Q10" s="116">
        <v>36.049999999999997</v>
      </c>
      <c r="R10">
        <v>2275461</v>
      </c>
    </row>
    <row r="11" spans="1:18" x14ac:dyDescent="0.25">
      <c r="A11" s="170">
        <v>42227</v>
      </c>
      <c r="B11" s="116">
        <v>37.5</v>
      </c>
      <c r="C11" s="116">
        <v>37.450000000000003</v>
      </c>
      <c r="D11" s="116">
        <v>34</v>
      </c>
      <c r="E11" s="116">
        <v>35.9</v>
      </c>
      <c r="F11" s="116">
        <v>37.450000000000003</v>
      </c>
      <c r="G11">
        <v>711618</v>
      </c>
      <c r="H11" s="116"/>
      <c r="I11" s="116"/>
      <c r="L11" s="170">
        <v>42227</v>
      </c>
      <c r="M11" s="116">
        <v>37.450000000000003</v>
      </c>
      <c r="N11" s="116">
        <v>37.85</v>
      </c>
      <c r="O11" s="116">
        <v>34.25</v>
      </c>
      <c r="P11" s="116">
        <v>35.799999999999997</v>
      </c>
      <c r="Q11" s="116">
        <v>37.450000000000003</v>
      </c>
      <c r="R11">
        <v>1558964</v>
      </c>
    </row>
    <row r="12" spans="1:18" x14ac:dyDescent="0.25">
      <c r="A12" s="170">
        <v>42228</v>
      </c>
      <c r="B12" s="116">
        <v>37.75</v>
      </c>
      <c r="C12" s="116">
        <v>35.65</v>
      </c>
      <c r="D12" s="116">
        <v>35.6</v>
      </c>
      <c r="E12" s="116">
        <v>37.35</v>
      </c>
      <c r="F12" s="116">
        <v>35.65</v>
      </c>
      <c r="G12">
        <v>670025</v>
      </c>
      <c r="H12" s="116"/>
      <c r="I12" s="116"/>
      <c r="L12" s="170">
        <v>42228</v>
      </c>
      <c r="M12" s="116">
        <v>35.6</v>
      </c>
      <c r="N12" s="116">
        <v>37.450000000000003</v>
      </c>
      <c r="O12" s="116">
        <v>35.6</v>
      </c>
      <c r="P12" s="116">
        <v>37</v>
      </c>
      <c r="Q12" s="116">
        <v>35.6</v>
      </c>
      <c r="R12">
        <v>864261</v>
      </c>
    </row>
    <row r="13" spans="1:18" x14ac:dyDescent="0.25">
      <c r="A13" s="170">
        <v>42229</v>
      </c>
      <c r="B13" s="116">
        <v>36.6</v>
      </c>
      <c r="C13" s="116">
        <v>35.15</v>
      </c>
      <c r="D13" s="116">
        <v>33.950000000000003</v>
      </c>
      <c r="E13" s="116">
        <v>35.5</v>
      </c>
      <c r="F13" s="116">
        <v>35.15</v>
      </c>
      <c r="G13">
        <v>149070</v>
      </c>
      <c r="H13" s="116"/>
      <c r="I13" s="116"/>
      <c r="L13" s="170">
        <v>42229</v>
      </c>
      <c r="M13" s="116">
        <v>35.25</v>
      </c>
      <c r="N13" s="116">
        <v>36.700000000000003</v>
      </c>
      <c r="O13" s="116">
        <v>33.9</v>
      </c>
      <c r="P13" s="116">
        <v>35.5</v>
      </c>
      <c r="Q13" s="116">
        <v>35.25</v>
      </c>
      <c r="R13">
        <v>454471</v>
      </c>
    </row>
    <row r="14" spans="1:18" x14ac:dyDescent="0.25">
      <c r="A14" s="170">
        <v>42230</v>
      </c>
      <c r="B14" s="116">
        <v>40.700000000000003</v>
      </c>
      <c r="C14" s="116">
        <v>40.1</v>
      </c>
      <c r="D14" s="116">
        <v>34.5</v>
      </c>
      <c r="E14" s="116">
        <v>37</v>
      </c>
      <c r="F14" s="116">
        <v>40.1</v>
      </c>
      <c r="G14">
        <v>1132065</v>
      </c>
      <c r="H14" s="116"/>
      <c r="I14" s="116"/>
      <c r="L14" s="170">
        <v>42230</v>
      </c>
      <c r="M14" s="116">
        <v>39.950000000000003</v>
      </c>
      <c r="N14" s="116">
        <v>40.799999999999997</v>
      </c>
      <c r="O14" s="116">
        <v>34.450000000000003</v>
      </c>
      <c r="P14" s="116">
        <v>36.200000000000003</v>
      </c>
      <c r="Q14" s="116">
        <v>39.950000000000003</v>
      </c>
      <c r="R14">
        <v>2384960</v>
      </c>
    </row>
    <row r="15" spans="1:18" x14ac:dyDescent="0.25">
      <c r="A15" s="170">
        <v>42233</v>
      </c>
      <c r="B15" s="116">
        <v>42.5</v>
      </c>
      <c r="C15" s="116">
        <v>41.05</v>
      </c>
      <c r="D15" s="116">
        <v>40.25</v>
      </c>
      <c r="E15" s="116">
        <v>41</v>
      </c>
      <c r="F15" s="116">
        <v>41.05</v>
      </c>
      <c r="G15">
        <v>648026</v>
      </c>
      <c r="H15" s="116"/>
      <c r="I15" s="116"/>
      <c r="L15" s="170">
        <v>42233</v>
      </c>
      <c r="M15" s="116">
        <v>41</v>
      </c>
      <c r="N15" s="116">
        <v>42.8</v>
      </c>
      <c r="O15" s="116">
        <v>40.4</v>
      </c>
      <c r="P15" s="116">
        <v>40.65</v>
      </c>
      <c r="Q15" s="116">
        <v>41</v>
      </c>
      <c r="R15">
        <v>1353169</v>
      </c>
    </row>
    <row r="16" spans="1:18" x14ac:dyDescent="0.25">
      <c r="A16" s="170">
        <v>42234</v>
      </c>
      <c r="B16" s="116">
        <v>41.75</v>
      </c>
      <c r="C16" s="116">
        <v>40.9</v>
      </c>
      <c r="D16" s="116">
        <v>40.299999999999997</v>
      </c>
      <c r="E16" s="116">
        <v>41</v>
      </c>
      <c r="F16" s="116">
        <v>40.9</v>
      </c>
      <c r="G16">
        <v>351623</v>
      </c>
      <c r="H16" s="116"/>
      <c r="I16" s="116"/>
      <c r="L16" s="170">
        <v>42234</v>
      </c>
      <c r="M16" s="116">
        <v>40.9</v>
      </c>
      <c r="N16" s="116">
        <v>41.7</v>
      </c>
      <c r="O16" s="116">
        <v>40.5</v>
      </c>
      <c r="P16" s="116">
        <v>41</v>
      </c>
      <c r="Q16" s="116">
        <v>40.9</v>
      </c>
      <c r="R16">
        <v>711778</v>
      </c>
    </row>
    <row r="17" spans="1:18" x14ac:dyDescent="0.25">
      <c r="A17" s="170">
        <v>42235</v>
      </c>
      <c r="B17" s="116">
        <v>41.1</v>
      </c>
      <c r="C17" s="116">
        <v>40.1</v>
      </c>
      <c r="D17" s="116">
        <v>37.25</v>
      </c>
      <c r="E17" s="116">
        <v>41</v>
      </c>
      <c r="F17" s="116">
        <v>40.1</v>
      </c>
      <c r="G17">
        <v>324532</v>
      </c>
      <c r="H17" s="116"/>
      <c r="I17" s="116"/>
      <c r="L17" s="170">
        <v>42235</v>
      </c>
      <c r="M17" s="116">
        <v>40.200000000000003</v>
      </c>
      <c r="N17" s="116">
        <v>41.25</v>
      </c>
      <c r="O17" s="116">
        <v>38.1</v>
      </c>
      <c r="P17" s="116">
        <v>41.25</v>
      </c>
      <c r="Q17" s="116">
        <v>40.200000000000003</v>
      </c>
      <c r="R17">
        <v>770391</v>
      </c>
    </row>
    <row r="18" spans="1:18" x14ac:dyDescent="0.25">
      <c r="A18" s="170">
        <v>42236</v>
      </c>
      <c r="B18" s="116">
        <v>39.85</v>
      </c>
      <c r="C18" s="116">
        <v>38.450000000000003</v>
      </c>
      <c r="D18" s="116">
        <v>38.1</v>
      </c>
      <c r="E18" s="116">
        <v>39</v>
      </c>
      <c r="F18" s="116">
        <v>38.450000000000003</v>
      </c>
      <c r="G18">
        <v>258493</v>
      </c>
      <c r="H18" s="116"/>
      <c r="I18" s="116"/>
      <c r="L18" s="170">
        <v>42236</v>
      </c>
      <c r="M18" s="116">
        <v>38.049999999999997</v>
      </c>
      <c r="N18" s="116">
        <v>39.9</v>
      </c>
      <c r="O18" s="116">
        <v>37.75</v>
      </c>
      <c r="P18" s="116">
        <v>38.6</v>
      </c>
      <c r="Q18" s="116">
        <v>38.049999999999997</v>
      </c>
      <c r="R18">
        <v>782962</v>
      </c>
    </row>
    <row r="19" spans="1:18" x14ac:dyDescent="0.25">
      <c r="A19" s="170">
        <v>42237</v>
      </c>
      <c r="B19" s="116">
        <v>37.700000000000003</v>
      </c>
      <c r="C19" s="116">
        <v>36.35</v>
      </c>
      <c r="D19" s="116">
        <v>35.200000000000003</v>
      </c>
      <c r="E19" s="116">
        <v>37.700000000000003</v>
      </c>
      <c r="F19" s="116">
        <v>36.35</v>
      </c>
      <c r="G19">
        <v>207542</v>
      </c>
      <c r="H19" s="116"/>
      <c r="I19" s="116"/>
      <c r="L19" s="170">
        <v>42237</v>
      </c>
      <c r="M19" s="116">
        <v>36.799999999999997</v>
      </c>
      <c r="N19" s="116">
        <v>37.25</v>
      </c>
      <c r="O19" s="116">
        <v>35.15</v>
      </c>
      <c r="P19" s="116">
        <v>36.799999999999997</v>
      </c>
      <c r="Q19" s="116">
        <v>36.799999999999997</v>
      </c>
      <c r="R19">
        <v>416858</v>
      </c>
    </row>
    <row r="20" spans="1:18" x14ac:dyDescent="0.25">
      <c r="A20" s="170">
        <v>42240</v>
      </c>
      <c r="B20" s="116">
        <v>34.75</v>
      </c>
      <c r="C20" s="116">
        <v>33.1</v>
      </c>
      <c r="D20" s="116">
        <v>32.65</v>
      </c>
      <c r="E20" s="116">
        <v>34</v>
      </c>
      <c r="F20" s="116">
        <v>33.1</v>
      </c>
      <c r="G20">
        <v>212406</v>
      </c>
      <c r="H20" s="116"/>
      <c r="I20" s="116"/>
      <c r="L20" s="170">
        <v>42240</v>
      </c>
      <c r="M20" s="116">
        <v>32.950000000000003</v>
      </c>
      <c r="N20" s="116">
        <v>35</v>
      </c>
      <c r="O20" s="116">
        <v>32.200000000000003</v>
      </c>
      <c r="P20" s="116">
        <v>35</v>
      </c>
      <c r="Q20" s="116">
        <v>32.950000000000003</v>
      </c>
      <c r="R20">
        <v>698903</v>
      </c>
    </row>
    <row r="21" spans="1:18" x14ac:dyDescent="0.25">
      <c r="A21" s="170">
        <v>42241</v>
      </c>
      <c r="B21" s="116">
        <v>34.5</v>
      </c>
      <c r="C21" s="116">
        <v>33</v>
      </c>
      <c r="D21" s="116">
        <v>29.1</v>
      </c>
      <c r="E21" s="116">
        <v>33.25</v>
      </c>
      <c r="F21" s="116">
        <v>33</v>
      </c>
      <c r="G21">
        <v>409940</v>
      </c>
      <c r="H21" s="116"/>
      <c r="I21" s="116"/>
      <c r="L21" s="170">
        <v>42241</v>
      </c>
      <c r="M21" s="116">
        <v>32.85</v>
      </c>
      <c r="N21" s="116">
        <v>34.5</v>
      </c>
      <c r="O21" s="116">
        <v>28.5</v>
      </c>
      <c r="P21" s="116">
        <v>34</v>
      </c>
      <c r="Q21" s="116">
        <v>32.85</v>
      </c>
      <c r="R21">
        <v>1322129</v>
      </c>
    </row>
    <row r="22" spans="1:18" x14ac:dyDescent="0.25">
      <c r="A22" s="170">
        <v>42242</v>
      </c>
      <c r="B22" s="116">
        <v>33.700000000000003</v>
      </c>
      <c r="C22" s="116">
        <v>32.75</v>
      </c>
      <c r="D22" s="116">
        <v>31.25</v>
      </c>
      <c r="E22" s="116">
        <v>33.700000000000003</v>
      </c>
      <c r="F22" s="116">
        <v>32.75</v>
      </c>
      <c r="G22">
        <v>237637</v>
      </c>
      <c r="H22" s="116"/>
      <c r="I22" s="116"/>
      <c r="L22" s="170">
        <v>42242</v>
      </c>
      <c r="M22" s="116">
        <v>32.549999999999997</v>
      </c>
      <c r="N22" s="116">
        <v>33.5</v>
      </c>
      <c r="O22" s="116">
        <v>31.2</v>
      </c>
      <c r="P22" s="116">
        <v>32.799999999999997</v>
      </c>
      <c r="Q22" s="116">
        <v>32.549999999999997</v>
      </c>
      <c r="R22">
        <v>833673</v>
      </c>
    </row>
    <row r="23" spans="1:18" x14ac:dyDescent="0.25">
      <c r="A23" s="170">
        <v>42243</v>
      </c>
      <c r="B23" s="116">
        <v>34.799999999999997</v>
      </c>
      <c r="C23" s="116">
        <v>33.15</v>
      </c>
      <c r="D23" s="116">
        <v>32.5</v>
      </c>
      <c r="E23" s="116">
        <v>33.799999999999997</v>
      </c>
      <c r="F23" s="116">
        <v>33.15</v>
      </c>
      <c r="G23">
        <v>322792</v>
      </c>
      <c r="H23" s="116"/>
      <c r="I23" s="116"/>
      <c r="L23" s="170">
        <v>42243</v>
      </c>
      <c r="M23" s="116">
        <v>33.299999999999997</v>
      </c>
      <c r="N23" s="116">
        <v>35</v>
      </c>
      <c r="O23" s="116">
        <v>32.5</v>
      </c>
      <c r="P23" s="116">
        <v>33.4</v>
      </c>
      <c r="Q23" s="116">
        <v>33.299999999999997</v>
      </c>
      <c r="R23">
        <v>1243012</v>
      </c>
    </row>
    <row r="24" spans="1:18" x14ac:dyDescent="0.25">
      <c r="A24" s="170">
        <v>42244</v>
      </c>
      <c r="B24" s="116">
        <v>34.5</v>
      </c>
      <c r="C24" s="116">
        <v>32.549999999999997</v>
      </c>
      <c r="D24" s="116">
        <v>31.9</v>
      </c>
      <c r="E24" s="116">
        <v>33</v>
      </c>
      <c r="F24" s="116">
        <v>32.549999999999997</v>
      </c>
      <c r="G24">
        <v>327421</v>
      </c>
      <c r="H24" s="116"/>
      <c r="I24" s="116"/>
      <c r="L24" s="170">
        <v>42244</v>
      </c>
      <c r="M24" s="116">
        <v>32.35</v>
      </c>
      <c r="N24" s="116">
        <v>34.5</v>
      </c>
      <c r="O24" s="116">
        <v>31.55</v>
      </c>
      <c r="P24" s="116">
        <v>34.299999999999997</v>
      </c>
      <c r="Q24" s="116">
        <v>32.35</v>
      </c>
      <c r="R24">
        <v>1312051</v>
      </c>
    </row>
    <row r="25" spans="1:18" x14ac:dyDescent="0.25">
      <c r="A25" s="170">
        <v>42247</v>
      </c>
      <c r="B25" s="116">
        <v>32.35</v>
      </c>
      <c r="C25" s="116">
        <v>31.2</v>
      </c>
      <c r="D25" s="116">
        <v>31</v>
      </c>
      <c r="E25" s="116">
        <v>32.25</v>
      </c>
      <c r="F25" s="116">
        <v>31.2</v>
      </c>
      <c r="G25">
        <v>88176</v>
      </c>
      <c r="H25" s="116"/>
      <c r="I25" s="116"/>
      <c r="L25" s="170">
        <v>42247</v>
      </c>
      <c r="M25" s="116">
        <v>31.15</v>
      </c>
      <c r="N25" s="116">
        <v>32.35</v>
      </c>
      <c r="O25" s="116">
        <v>30.8</v>
      </c>
      <c r="P25" s="116">
        <v>32.35</v>
      </c>
      <c r="Q25" s="116">
        <v>31.15</v>
      </c>
      <c r="R25">
        <v>1032304</v>
      </c>
    </row>
    <row r="26" spans="1:18" x14ac:dyDescent="0.25">
      <c r="A26" s="170">
        <v>42248</v>
      </c>
      <c r="B26" s="116">
        <v>31</v>
      </c>
      <c r="C26" s="116">
        <v>29.2</v>
      </c>
      <c r="D26" s="116">
        <v>29</v>
      </c>
      <c r="E26" s="116">
        <v>31</v>
      </c>
      <c r="F26" s="116">
        <v>29.2</v>
      </c>
      <c r="G26">
        <v>90552</v>
      </c>
      <c r="H26" s="116"/>
      <c r="I26" s="116"/>
      <c r="L26" s="170">
        <v>42248</v>
      </c>
      <c r="M26" s="116">
        <v>29.1</v>
      </c>
      <c r="N26" s="116">
        <v>30.55</v>
      </c>
      <c r="O26" s="116">
        <v>28.9</v>
      </c>
      <c r="P26" s="116">
        <v>30.55</v>
      </c>
      <c r="Q26" s="116">
        <v>29.1</v>
      </c>
      <c r="R26">
        <v>684233</v>
      </c>
    </row>
    <row r="27" spans="1:18" x14ac:dyDescent="0.25">
      <c r="A27" s="170">
        <v>42249</v>
      </c>
      <c r="B27" s="116">
        <v>30.4</v>
      </c>
      <c r="C27" s="116">
        <v>29.2</v>
      </c>
      <c r="D27" s="116">
        <v>29.1</v>
      </c>
      <c r="E27" s="116">
        <v>29.7</v>
      </c>
      <c r="F27" s="116">
        <v>29.2</v>
      </c>
      <c r="G27">
        <v>141524</v>
      </c>
      <c r="H27" s="116"/>
      <c r="I27" s="116"/>
      <c r="L27" s="170">
        <v>42249</v>
      </c>
      <c r="M27" s="116">
        <v>29.3</v>
      </c>
      <c r="N27" s="116">
        <v>30.45</v>
      </c>
      <c r="O27" s="116">
        <v>29.1</v>
      </c>
      <c r="P27" s="116">
        <v>29.9</v>
      </c>
      <c r="Q27" s="116">
        <v>29.3</v>
      </c>
      <c r="R27">
        <v>441817</v>
      </c>
    </row>
    <row r="28" spans="1:18" x14ac:dyDescent="0.25">
      <c r="A28" s="170">
        <v>42250</v>
      </c>
      <c r="B28" s="116">
        <v>30.5</v>
      </c>
      <c r="C28" s="116">
        <v>29.3</v>
      </c>
      <c r="D28" s="116">
        <v>28.6</v>
      </c>
      <c r="E28" s="116">
        <v>29.7</v>
      </c>
      <c r="F28" s="116">
        <v>29.3</v>
      </c>
      <c r="G28">
        <v>215777</v>
      </c>
      <c r="H28" s="116"/>
      <c r="I28" s="116"/>
      <c r="L28" s="170">
        <v>42250</v>
      </c>
      <c r="M28" s="116">
        <v>29.15</v>
      </c>
      <c r="N28" s="116">
        <v>30.6</v>
      </c>
      <c r="O28" s="116">
        <v>28.5</v>
      </c>
      <c r="P28" s="116">
        <v>29.75</v>
      </c>
      <c r="Q28" s="116">
        <v>29.15</v>
      </c>
      <c r="R28">
        <v>747965</v>
      </c>
    </row>
    <row r="29" spans="1:18" x14ac:dyDescent="0.25">
      <c r="A29" s="170">
        <v>42251</v>
      </c>
      <c r="B29" s="116">
        <v>29.35</v>
      </c>
      <c r="C29" s="116">
        <v>28.5</v>
      </c>
      <c r="D29" s="116">
        <v>27.85</v>
      </c>
      <c r="E29" s="116">
        <v>29.35</v>
      </c>
      <c r="F29" s="116">
        <v>28.5</v>
      </c>
      <c r="G29">
        <v>263099</v>
      </c>
      <c r="H29" s="116"/>
      <c r="I29" s="116"/>
      <c r="L29" s="170">
        <v>42251</v>
      </c>
      <c r="M29" s="116">
        <v>28.45</v>
      </c>
      <c r="N29" s="116">
        <v>29.65</v>
      </c>
      <c r="O29" s="116">
        <v>27.3</v>
      </c>
      <c r="P29" s="116">
        <v>29.25</v>
      </c>
      <c r="Q29" s="116">
        <v>28.45</v>
      </c>
      <c r="R29">
        <v>2488542</v>
      </c>
    </row>
    <row r="30" spans="1:18" x14ac:dyDescent="0.25">
      <c r="A30" s="170">
        <v>42254</v>
      </c>
      <c r="B30" s="116">
        <v>28.6</v>
      </c>
      <c r="C30" s="116">
        <v>27.2</v>
      </c>
      <c r="D30" s="116">
        <v>26.5</v>
      </c>
      <c r="E30" s="116">
        <v>28.3</v>
      </c>
      <c r="F30" s="116">
        <v>27.2</v>
      </c>
      <c r="G30">
        <v>165286</v>
      </c>
      <c r="H30" s="116"/>
      <c r="I30" s="116"/>
      <c r="L30" s="170">
        <v>42254</v>
      </c>
      <c r="M30" s="116">
        <v>27</v>
      </c>
      <c r="N30" s="116">
        <v>28.8</v>
      </c>
      <c r="O30" s="116">
        <v>26.25</v>
      </c>
      <c r="P30" s="116">
        <v>28.5</v>
      </c>
      <c r="Q30" s="116">
        <v>27</v>
      </c>
      <c r="R30">
        <v>892334</v>
      </c>
    </row>
    <row r="31" spans="1:18" x14ac:dyDescent="0.25">
      <c r="A31" s="170">
        <v>42255</v>
      </c>
      <c r="B31" s="116">
        <v>27.2</v>
      </c>
      <c r="C31" s="116">
        <v>26.95</v>
      </c>
      <c r="D31" s="116">
        <v>25.5</v>
      </c>
      <c r="E31" s="116">
        <v>26.6</v>
      </c>
      <c r="F31" s="116">
        <v>26.95</v>
      </c>
      <c r="G31">
        <v>226644</v>
      </c>
      <c r="H31" s="116"/>
      <c r="I31" s="116"/>
      <c r="L31" s="170">
        <v>42255</v>
      </c>
      <c r="M31" s="116">
        <v>26.7</v>
      </c>
      <c r="N31" s="116">
        <v>27</v>
      </c>
      <c r="O31" s="116">
        <v>25.35</v>
      </c>
      <c r="P31" s="116">
        <v>27</v>
      </c>
      <c r="Q31" s="116">
        <v>26.7</v>
      </c>
      <c r="R31">
        <v>931451</v>
      </c>
    </row>
    <row r="32" spans="1:18" x14ac:dyDescent="0.25">
      <c r="A32" s="170">
        <v>42256</v>
      </c>
      <c r="B32" s="116">
        <v>27.95</v>
      </c>
      <c r="C32" s="116">
        <v>27.1</v>
      </c>
      <c r="D32" s="116">
        <v>26.5</v>
      </c>
      <c r="E32" s="116">
        <v>27.75</v>
      </c>
      <c r="F32" s="116">
        <v>27.1</v>
      </c>
      <c r="G32">
        <v>78059</v>
      </c>
      <c r="H32" s="116"/>
      <c r="I32" s="116"/>
      <c r="L32" s="170">
        <v>42256</v>
      </c>
      <c r="M32" s="116">
        <v>27.05</v>
      </c>
      <c r="N32" s="116">
        <v>28</v>
      </c>
      <c r="O32" s="116">
        <v>26.4</v>
      </c>
      <c r="P32" s="116">
        <v>27.2</v>
      </c>
      <c r="Q32" s="116">
        <v>27.05</v>
      </c>
      <c r="R32">
        <v>453469</v>
      </c>
    </row>
    <row r="33" spans="1:18" x14ac:dyDescent="0.25">
      <c r="A33" s="170">
        <v>42257</v>
      </c>
      <c r="B33" s="116">
        <v>26.95</v>
      </c>
      <c r="C33" s="116">
        <v>26.75</v>
      </c>
      <c r="D33" s="116">
        <v>25.5</v>
      </c>
      <c r="E33" s="116">
        <v>26.1</v>
      </c>
      <c r="F33" s="116">
        <v>26.75</v>
      </c>
      <c r="G33">
        <v>62355</v>
      </c>
      <c r="H33" s="116"/>
      <c r="I33" s="116"/>
      <c r="L33" s="170">
        <v>42257</v>
      </c>
      <c r="M33" s="116">
        <v>26.6</v>
      </c>
      <c r="N33" s="116">
        <v>27</v>
      </c>
      <c r="O33" s="116">
        <v>25.3</v>
      </c>
      <c r="P33" s="116">
        <v>25.6</v>
      </c>
      <c r="Q33" s="116">
        <v>26.6</v>
      </c>
      <c r="R33">
        <v>411981</v>
      </c>
    </row>
    <row r="34" spans="1:18" x14ac:dyDescent="0.25">
      <c r="A34" s="170">
        <v>42258</v>
      </c>
      <c r="B34" s="116">
        <v>28.2</v>
      </c>
      <c r="C34" s="116">
        <v>27.8</v>
      </c>
      <c r="D34" s="116">
        <v>26.7</v>
      </c>
      <c r="E34" s="116">
        <v>27.1</v>
      </c>
      <c r="F34" s="116">
        <v>27.8</v>
      </c>
      <c r="G34">
        <v>171403</v>
      </c>
      <c r="H34" s="116"/>
      <c r="I34" s="116"/>
      <c r="L34" s="170">
        <v>42258</v>
      </c>
      <c r="M34" s="116">
        <v>27.7</v>
      </c>
      <c r="N34" s="116">
        <v>28.1</v>
      </c>
      <c r="O34" s="116">
        <v>26.5</v>
      </c>
      <c r="P34" s="116">
        <v>26.7</v>
      </c>
      <c r="Q34" s="116">
        <v>27.7</v>
      </c>
      <c r="R34">
        <v>834240</v>
      </c>
    </row>
    <row r="35" spans="1:18" x14ac:dyDescent="0.25">
      <c r="A35" s="170">
        <v>42261</v>
      </c>
      <c r="B35" s="116">
        <v>29.05</v>
      </c>
      <c r="C35" s="116">
        <v>27.85</v>
      </c>
      <c r="D35" s="116">
        <v>27.1</v>
      </c>
      <c r="E35" s="116">
        <v>27.9</v>
      </c>
      <c r="F35" s="116">
        <v>27.85</v>
      </c>
      <c r="G35">
        <v>179830</v>
      </c>
      <c r="H35" s="116"/>
      <c r="I35" s="116"/>
      <c r="L35" s="170">
        <v>42261</v>
      </c>
      <c r="M35" s="116">
        <v>27.75</v>
      </c>
      <c r="N35" s="116">
        <v>28.9</v>
      </c>
      <c r="O35" s="116">
        <v>26.9</v>
      </c>
      <c r="P35" s="116">
        <v>28.15</v>
      </c>
      <c r="Q35" s="116">
        <v>27.75</v>
      </c>
      <c r="R35">
        <v>792460</v>
      </c>
    </row>
    <row r="36" spans="1:18" x14ac:dyDescent="0.25">
      <c r="A36" s="170">
        <v>42262</v>
      </c>
      <c r="B36" s="116">
        <v>27.75</v>
      </c>
      <c r="C36" s="116">
        <v>27.2</v>
      </c>
      <c r="D36" s="116">
        <v>26.5</v>
      </c>
      <c r="E36" s="116">
        <v>27.65</v>
      </c>
      <c r="F36" s="116">
        <v>27.2</v>
      </c>
      <c r="G36">
        <v>183387</v>
      </c>
      <c r="H36" s="116"/>
      <c r="I36" s="116"/>
      <c r="L36" s="170">
        <v>42262</v>
      </c>
      <c r="M36" s="116">
        <v>27.15</v>
      </c>
      <c r="N36" s="116">
        <v>28</v>
      </c>
      <c r="O36" s="116">
        <v>26.35</v>
      </c>
      <c r="P36" s="116">
        <v>28</v>
      </c>
      <c r="Q36" s="116">
        <v>27.15</v>
      </c>
      <c r="R36">
        <v>792528</v>
      </c>
    </row>
    <row r="37" spans="1:18" x14ac:dyDescent="0.25">
      <c r="A37" s="170">
        <v>42263</v>
      </c>
      <c r="B37" s="116">
        <v>28.2</v>
      </c>
      <c r="C37" s="116">
        <v>27.85</v>
      </c>
      <c r="D37" s="116">
        <v>27.05</v>
      </c>
      <c r="E37" s="116">
        <v>27.75</v>
      </c>
      <c r="F37" s="116">
        <v>27.85</v>
      </c>
      <c r="G37">
        <v>145637</v>
      </c>
      <c r="H37" s="116"/>
      <c r="I37" s="116"/>
      <c r="L37" s="170">
        <v>42263</v>
      </c>
      <c r="M37" s="116">
        <v>27.85</v>
      </c>
      <c r="N37" s="116">
        <v>28.1</v>
      </c>
      <c r="O37" s="116">
        <v>27</v>
      </c>
      <c r="P37" s="116">
        <v>27.25</v>
      </c>
      <c r="Q37" s="116">
        <v>27.85</v>
      </c>
      <c r="R37">
        <v>416405</v>
      </c>
    </row>
    <row r="38" spans="1:18" x14ac:dyDescent="0.25">
      <c r="A38" s="170">
        <v>42265</v>
      </c>
      <c r="B38" s="116">
        <v>28.5</v>
      </c>
      <c r="C38" s="116">
        <v>27.2</v>
      </c>
      <c r="D38" s="116">
        <v>26.7</v>
      </c>
      <c r="E38" s="116">
        <v>28.25</v>
      </c>
      <c r="F38" s="116">
        <v>27.2</v>
      </c>
      <c r="G38">
        <v>289457</v>
      </c>
      <c r="H38" s="116"/>
      <c r="I38" s="116"/>
      <c r="L38" s="170">
        <v>42265</v>
      </c>
      <c r="M38" s="116">
        <v>26.6</v>
      </c>
      <c r="N38" s="116">
        <v>28.7</v>
      </c>
      <c r="O38" s="116">
        <v>26.1</v>
      </c>
      <c r="P38" s="116">
        <v>28</v>
      </c>
      <c r="Q38" s="116">
        <v>26.6</v>
      </c>
      <c r="R38">
        <v>1892484</v>
      </c>
    </row>
    <row r="39" spans="1:18" x14ac:dyDescent="0.25">
      <c r="A39" s="170">
        <v>42268</v>
      </c>
      <c r="B39" s="116">
        <v>26.55</v>
      </c>
      <c r="C39" s="116">
        <v>26.1</v>
      </c>
      <c r="D39" s="116">
        <v>25.25</v>
      </c>
      <c r="E39" s="116">
        <v>25.6</v>
      </c>
      <c r="F39" s="116">
        <v>26.1</v>
      </c>
      <c r="G39">
        <v>239850</v>
      </c>
      <c r="H39" s="116"/>
      <c r="I39" s="116"/>
      <c r="L39" s="170">
        <v>42268</v>
      </c>
      <c r="M39" s="116">
        <v>26.05</v>
      </c>
      <c r="N39" s="116">
        <v>26.35</v>
      </c>
      <c r="O39" s="116">
        <v>25</v>
      </c>
      <c r="P39" s="116">
        <v>26.35</v>
      </c>
      <c r="Q39" s="116">
        <v>26.05</v>
      </c>
      <c r="R39">
        <v>874261</v>
      </c>
    </row>
    <row r="40" spans="1:18" x14ac:dyDescent="0.25">
      <c r="A40" s="170">
        <v>42269</v>
      </c>
      <c r="B40" s="116">
        <v>26.8</v>
      </c>
      <c r="C40" s="116">
        <v>26.55</v>
      </c>
      <c r="D40" s="116">
        <v>25.3</v>
      </c>
      <c r="E40" s="116">
        <v>26.45</v>
      </c>
      <c r="F40" s="116">
        <v>26.55</v>
      </c>
      <c r="G40">
        <v>254562</v>
      </c>
      <c r="H40" s="116"/>
      <c r="I40" s="116"/>
      <c r="L40" s="170">
        <v>42269</v>
      </c>
      <c r="M40" s="116">
        <v>26.4</v>
      </c>
      <c r="N40" s="116">
        <v>26.75</v>
      </c>
      <c r="O40" s="116">
        <v>25.15</v>
      </c>
      <c r="P40" s="116">
        <v>26.4</v>
      </c>
      <c r="Q40" s="116">
        <v>26.4</v>
      </c>
      <c r="R40">
        <v>1166032</v>
      </c>
    </row>
    <row r="41" spans="1:18" x14ac:dyDescent="0.25">
      <c r="A41" s="170">
        <v>42270</v>
      </c>
      <c r="B41" s="116">
        <v>26.7</v>
      </c>
      <c r="C41" s="116">
        <v>26.55</v>
      </c>
      <c r="D41" s="116">
        <v>25.85</v>
      </c>
      <c r="E41" s="116">
        <v>26.1</v>
      </c>
      <c r="F41" s="116">
        <v>26.55</v>
      </c>
      <c r="G41">
        <v>162717</v>
      </c>
      <c r="H41" s="116"/>
      <c r="I41" s="116"/>
      <c r="L41" s="170">
        <v>42270</v>
      </c>
      <c r="M41" s="116">
        <v>26.55</v>
      </c>
      <c r="N41" s="116">
        <v>26.75</v>
      </c>
      <c r="O41" s="116">
        <v>25.7</v>
      </c>
      <c r="P41" s="116">
        <v>26.05</v>
      </c>
      <c r="Q41" s="116">
        <v>26.55</v>
      </c>
      <c r="R41">
        <v>714089</v>
      </c>
    </row>
    <row r="42" spans="1:18" x14ac:dyDescent="0.25">
      <c r="A42" s="170">
        <v>42271</v>
      </c>
      <c r="B42" s="116">
        <v>28.8</v>
      </c>
      <c r="C42" s="116">
        <v>28.4</v>
      </c>
      <c r="D42" s="116">
        <v>26.45</v>
      </c>
      <c r="E42" s="116">
        <v>26.7</v>
      </c>
      <c r="F42" s="116">
        <v>28.4</v>
      </c>
      <c r="G42">
        <v>353986</v>
      </c>
      <c r="H42" s="116"/>
      <c r="I42" s="116"/>
      <c r="L42" s="170">
        <v>42271</v>
      </c>
      <c r="M42" s="116">
        <v>28.35</v>
      </c>
      <c r="N42" s="116">
        <v>28.7</v>
      </c>
      <c r="O42" s="116">
        <v>26.4</v>
      </c>
      <c r="P42" s="116">
        <v>26.4</v>
      </c>
      <c r="Q42" s="116">
        <v>28.35</v>
      </c>
      <c r="R42">
        <v>1773391</v>
      </c>
    </row>
    <row r="43" spans="1:18" x14ac:dyDescent="0.25">
      <c r="A43" s="170">
        <v>42275</v>
      </c>
      <c r="B43" s="116">
        <v>28.6</v>
      </c>
      <c r="C43" s="116">
        <v>27.15</v>
      </c>
      <c r="D43" s="116">
        <v>27</v>
      </c>
      <c r="E43" s="116">
        <v>28.6</v>
      </c>
      <c r="F43" s="116">
        <v>27.15</v>
      </c>
      <c r="G43">
        <v>138870</v>
      </c>
      <c r="H43" s="116"/>
      <c r="I43" s="116"/>
      <c r="L43" s="170">
        <v>42275</v>
      </c>
      <c r="M43" s="116">
        <v>27.3</v>
      </c>
      <c r="N43" s="116">
        <v>28.6</v>
      </c>
      <c r="O43" s="116">
        <v>27.1</v>
      </c>
      <c r="P43" s="116">
        <v>28.35</v>
      </c>
      <c r="Q43" s="116">
        <v>27.3</v>
      </c>
      <c r="R43">
        <v>320690</v>
      </c>
    </row>
    <row r="44" spans="1:18" x14ac:dyDescent="0.25">
      <c r="A44" s="170">
        <v>42276</v>
      </c>
      <c r="B44" s="116">
        <v>27.65</v>
      </c>
      <c r="C44" s="116">
        <v>27.15</v>
      </c>
      <c r="D44" s="116">
        <v>26.35</v>
      </c>
      <c r="E44" s="116">
        <v>26.6</v>
      </c>
      <c r="F44" s="116">
        <v>27.15</v>
      </c>
      <c r="G44">
        <v>81510</v>
      </c>
      <c r="H44" s="116"/>
      <c r="I44" s="116"/>
      <c r="L44" s="170">
        <v>42276</v>
      </c>
      <c r="M44" s="116">
        <v>27.1</v>
      </c>
      <c r="N44" s="116">
        <v>27.65</v>
      </c>
      <c r="O44" s="116">
        <v>26.25</v>
      </c>
      <c r="P44" s="116">
        <v>27.2</v>
      </c>
      <c r="Q44" s="116">
        <v>27.1</v>
      </c>
      <c r="R44">
        <v>467380</v>
      </c>
    </row>
    <row r="45" spans="1:18" x14ac:dyDescent="0.25">
      <c r="A45" s="170">
        <v>42277</v>
      </c>
      <c r="B45" s="116">
        <v>27.45</v>
      </c>
      <c r="C45" s="116">
        <v>26.85</v>
      </c>
      <c r="D45" s="116">
        <v>26.8</v>
      </c>
      <c r="E45" s="116">
        <v>27.15</v>
      </c>
      <c r="F45" s="116">
        <v>26.85</v>
      </c>
      <c r="G45">
        <v>49870</v>
      </c>
      <c r="H45" s="116"/>
      <c r="I45" s="116"/>
      <c r="L45" s="170">
        <v>42277</v>
      </c>
      <c r="M45" s="116">
        <v>26.85</v>
      </c>
      <c r="N45" s="116">
        <v>27.45</v>
      </c>
      <c r="O45" s="116">
        <v>26.7</v>
      </c>
      <c r="P45" s="116">
        <v>27</v>
      </c>
      <c r="Q45" s="116">
        <v>26.85</v>
      </c>
      <c r="R45">
        <v>190569</v>
      </c>
    </row>
    <row r="46" spans="1:18" x14ac:dyDescent="0.25">
      <c r="A46" s="170">
        <v>42278</v>
      </c>
      <c r="B46" s="116">
        <v>27.45</v>
      </c>
      <c r="C46" s="116">
        <v>26.7</v>
      </c>
      <c r="D46" s="116">
        <v>26.6</v>
      </c>
      <c r="E46" s="116">
        <v>27.05</v>
      </c>
      <c r="F46" s="116">
        <v>26.7</v>
      </c>
      <c r="G46">
        <v>145114</v>
      </c>
      <c r="H46" s="116"/>
      <c r="I46" s="116"/>
      <c r="L46" s="170">
        <v>42278</v>
      </c>
      <c r="M46" s="116">
        <v>26.65</v>
      </c>
      <c r="N46" s="116">
        <v>27.45</v>
      </c>
      <c r="O46" s="116">
        <v>26.55</v>
      </c>
      <c r="P46" s="116">
        <v>27.1</v>
      </c>
      <c r="Q46" s="116">
        <v>26.65</v>
      </c>
      <c r="R46">
        <v>508360</v>
      </c>
    </row>
    <row r="47" spans="1:18" x14ac:dyDescent="0.25">
      <c r="A47" s="170">
        <v>42282</v>
      </c>
      <c r="B47" s="116">
        <v>27.65</v>
      </c>
      <c r="C47" s="116">
        <v>27.5</v>
      </c>
      <c r="D47" s="116">
        <v>26.75</v>
      </c>
      <c r="E47" s="116">
        <v>27.1</v>
      </c>
      <c r="F47" s="116">
        <v>27.5</v>
      </c>
      <c r="G47">
        <v>189391</v>
      </c>
      <c r="H47" s="116"/>
      <c r="I47" s="116"/>
      <c r="L47" s="170">
        <v>42282</v>
      </c>
      <c r="M47" s="116">
        <v>27.45</v>
      </c>
      <c r="N47" s="116">
        <v>27.75</v>
      </c>
      <c r="O47" s="116">
        <v>26.65</v>
      </c>
      <c r="P47" s="116">
        <v>27</v>
      </c>
      <c r="Q47" s="116">
        <v>27.45</v>
      </c>
      <c r="R47">
        <v>573876</v>
      </c>
    </row>
    <row r="48" spans="1:18" x14ac:dyDescent="0.25">
      <c r="A48" s="170">
        <v>42283</v>
      </c>
      <c r="B48" s="116">
        <v>28.7</v>
      </c>
      <c r="C48" s="116">
        <v>28.2</v>
      </c>
      <c r="D48" s="116">
        <v>27.3</v>
      </c>
      <c r="E48" s="116">
        <v>27.65</v>
      </c>
      <c r="F48" s="116">
        <v>28.2</v>
      </c>
      <c r="G48">
        <v>289900</v>
      </c>
      <c r="H48" s="116"/>
      <c r="I48" s="116"/>
      <c r="L48" s="170">
        <v>42283</v>
      </c>
      <c r="M48" s="116">
        <v>28.2</v>
      </c>
      <c r="N48" s="116">
        <v>28.75</v>
      </c>
      <c r="O48" s="116">
        <v>27.3</v>
      </c>
      <c r="P48" s="116">
        <v>27.65</v>
      </c>
      <c r="Q48" s="116">
        <v>28.2</v>
      </c>
      <c r="R48">
        <v>984636</v>
      </c>
    </row>
    <row r="49" spans="1:18" x14ac:dyDescent="0.25">
      <c r="A49" s="170">
        <v>42284</v>
      </c>
      <c r="B49" s="116">
        <v>28.9</v>
      </c>
      <c r="C49" s="116">
        <v>28.5</v>
      </c>
      <c r="D49" s="116">
        <v>27.75</v>
      </c>
      <c r="E49" s="116">
        <v>28.25</v>
      </c>
      <c r="F49" s="116">
        <v>28.5</v>
      </c>
      <c r="G49">
        <v>213150</v>
      </c>
      <c r="H49" s="116"/>
      <c r="I49" s="116"/>
      <c r="L49" s="170">
        <v>42284</v>
      </c>
      <c r="M49" s="116">
        <v>28.55</v>
      </c>
      <c r="N49" s="116">
        <v>29</v>
      </c>
      <c r="O49" s="116">
        <v>27.6</v>
      </c>
      <c r="P49" s="116">
        <v>27.6</v>
      </c>
      <c r="Q49" s="116">
        <v>28.55</v>
      </c>
      <c r="R49">
        <v>644712</v>
      </c>
    </row>
    <row r="50" spans="1:18" x14ac:dyDescent="0.25">
      <c r="A50" s="170">
        <v>42285</v>
      </c>
      <c r="B50" s="116">
        <v>29.05</v>
      </c>
      <c r="C50" s="116">
        <v>28.05</v>
      </c>
      <c r="D50" s="116">
        <v>27.85</v>
      </c>
      <c r="E50" s="116">
        <v>28.9</v>
      </c>
      <c r="F50" s="116">
        <v>28.05</v>
      </c>
      <c r="G50">
        <v>178655</v>
      </c>
      <c r="H50" s="116"/>
      <c r="I50" s="116"/>
      <c r="L50" s="170">
        <v>42285</v>
      </c>
      <c r="M50" s="116">
        <v>28.05</v>
      </c>
      <c r="N50" s="116">
        <v>29.2</v>
      </c>
      <c r="O50" s="116">
        <v>27.9</v>
      </c>
      <c r="P50" s="116">
        <v>28.9</v>
      </c>
      <c r="Q50" s="116">
        <v>28.05</v>
      </c>
      <c r="R50">
        <v>544447</v>
      </c>
    </row>
    <row r="51" spans="1:18" x14ac:dyDescent="0.25">
      <c r="A51" s="170">
        <v>42286</v>
      </c>
      <c r="B51" s="116">
        <v>28.9</v>
      </c>
      <c r="C51" s="116">
        <v>28</v>
      </c>
      <c r="D51" s="116">
        <v>27.95</v>
      </c>
      <c r="E51" s="116">
        <v>28.6</v>
      </c>
      <c r="F51" s="116">
        <v>28</v>
      </c>
      <c r="G51">
        <v>91353</v>
      </c>
      <c r="H51" s="116"/>
      <c r="I51" s="116"/>
      <c r="L51" s="170">
        <v>42286</v>
      </c>
      <c r="M51" s="116">
        <v>28</v>
      </c>
      <c r="N51" s="116">
        <v>28.9</v>
      </c>
      <c r="O51" s="116">
        <v>27.9</v>
      </c>
      <c r="P51" s="116">
        <v>28.6</v>
      </c>
      <c r="Q51" s="116">
        <v>28</v>
      </c>
      <c r="R51">
        <v>310090</v>
      </c>
    </row>
    <row r="52" spans="1:18" x14ac:dyDescent="0.25">
      <c r="A52" s="170">
        <v>42289</v>
      </c>
      <c r="B52" s="116">
        <v>29.9</v>
      </c>
      <c r="C52" s="116">
        <v>28.8</v>
      </c>
      <c r="D52" s="116">
        <v>27.95</v>
      </c>
      <c r="E52" s="116">
        <v>28.35</v>
      </c>
      <c r="F52" s="116">
        <v>28.8</v>
      </c>
      <c r="G52">
        <v>414311</v>
      </c>
      <c r="H52" s="116"/>
      <c r="I52" s="116"/>
      <c r="L52" s="170">
        <v>42289</v>
      </c>
      <c r="M52" s="116">
        <v>28.8</v>
      </c>
      <c r="N52" s="116">
        <v>29.9</v>
      </c>
      <c r="O52" s="116">
        <v>28</v>
      </c>
      <c r="P52" s="116">
        <v>28.15</v>
      </c>
      <c r="Q52" s="116">
        <v>28.8</v>
      </c>
      <c r="R52">
        <v>1123712</v>
      </c>
    </row>
    <row r="53" spans="1:18" x14ac:dyDescent="0.25">
      <c r="A53" s="170">
        <v>42290</v>
      </c>
      <c r="B53" s="116">
        <v>29.2</v>
      </c>
      <c r="C53" s="116">
        <v>28.75</v>
      </c>
      <c r="D53" s="116">
        <v>28.4</v>
      </c>
      <c r="E53" s="116">
        <v>29.1</v>
      </c>
      <c r="F53" s="116">
        <v>28.75</v>
      </c>
      <c r="G53">
        <v>152104</v>
      </c>
      <c r="H53" s="116"/>
      <c r="I53" s="116"/>
      <c r="L53" s="170">
        <v>42290</v>
      </c>
      <c r="M53" s="116">
        <v>28.8</v>
      </c>
      <c r="N53" s="116">
        <v>29.15</v>
      </c>
      <c r="O53" s="116">
        <v>28.5</v>
      </c>
      <c r="P53" s="116">
        <v>28.8</v>
      </c>
      <c r="Q53" s="116">
        <v>28.8</v>
      </c>
      <c r="R53">
        <v>472335</v>
      </c>
    </row>
    <row r="54" spans="1:18" x14ac:dyDescent="0.25">
      <c r="A54" s="170">
        <v>42291</v>
      </c>
      <c r="B54" s="116">
        <v>28.9</v>
      </c>
      <c r="C54" s="116">
        <v>28.35</v>
      </c>
      <c r="D54" s="116">
        <v>28.15</v>
      </c>
      <c r="E54" s="116">
        <v>28.5</v>
      </c>
      <c r="F54" s="116">
        <v>28.35</v>
      </c>
      <c r="G54">
        <v>95773</v>
      </c>
      <c r="H54" s="116"/>
      <c r="I54" s="116"/>
      <c r="L54" s="170">
        <v>42291</v>
      </c>
      <c r="M54" s="116">
        <v>28.25</v>
      </c>
      <c r="N54" s="116">
        <v>29</v>
      </c>
      <c r="O54" s="116">
        <v>28.1</v>
      </c>
      <c r="P54" s="116">
        <v>28.95</v>
      </c>
      <c r="Q54" s="116">
        <v>28.25</v>
      </c>
      <c r="R54">
        <v>640881</v>
      </c>
    </row>
    <row r="55" spans="1:18" x14ac:dyDescent="0.25">
      <c r="A55" s="170">
        <v>42292</v>
      </c>
      <c r="B55" s="116">
        <v>31.2</v>
      </c>
      <c r="C55" s="116">
        <v>30</v>
      </c>
      <c r="D55" s="116">
        <v>28.5</v>
      </c>
      <c r="E55" s="116">
        <v>28.5</v>
      </c>
      <c r="F55" s="116">
        <v>30</v>
      </c>
      <c r="G55">
        <v>763112</v>
      </c>
      <c r="H55" s="116"/>
      <c r="I55" s="116"/>
      <c r="L55" s="170">
        <v>42292</v>
      </c>
      <c r="M55" s="116">
        <v>29.85</v>
      </c>
      <c r="N55" s="116">
        <v>31.25</v>
      </c>
      <c r="O55" s="116">
        <v>28.6</v>
      </c>
      <c r="P55" s="116">
        <v>28.6</v>
      </c>
      <c r="Q55" s="116">
        <v>29.85</v>
      </c>
      <c r="R55">
        <v>2729746</v>
      </c>
    </row>
    <row r="56" spans="1:18" x14ac:dyDescent="0.25">
      <c r="A56" s="170">
        <v>42293</v>
      </c>
      <c r="B56" s="116">
        <v>30.4</v>
      </c>
      <c r="C56" s="116">
        <v>28.8</v>
      </c>
      <c r="D56" s="116">
        <v>28</v>
      </c>
      <c r="E56" s="116">
        <v>30.4</v>
      </c>
      <c r="F56" s="116">
        <v>28.8</v>
      </c>
      <c r="G56">
        <v>552588</v>
      </c>
      <c r="H56" s="116"/>
      <c r="I56" s="116"/>
      <c r="L56" s="170">
        <v>42293</v>
      </c>
      <c r="M56" s="116">
        <v>28.7</v>
      </c>
      <c r="N56" s="116">
        <v>30.25</v>
      </c>
      <c r="O56" s="116">
        <v>27.9</v>
      </c>
      <c r="P56" s="116">
        <v>30.25</v>
      </c>
      <c r="Q56" s="116">
        <v>28.7</v>
      </c>
      <c r="R56">
        <v>1835487</v>
      </c>
    </row>
    <row r="57" spans="1:18" x14ac:dyDescent="0.25">
      <c r="A57" s="170">
        <v>42296</v>
      </c>
      <c r="B57" s="116">
        <v>29.7</v>
      </c>
      <c r="C57" s="116">
        <v>29.15</v>
      </c>
      <c r="D57" s="116">
        <v>28.1</v>
      </c>
      <c r="E57" s="116">
        <v>28.1</v>
      </c>
      <c r="F57" s="116">
        <v>29.15</v>
      </c>
      <c r="G57">
        <v>4187677</v>
      </c>
      <c r="H57" s="116"/>
      <c r="I57" s="116"/>
      <c r="L57" s="170">
        <v>42296</v>
      </c>
      <c r="M57" s="116">
        <v>29.05</v>
      </c>
      <c r="N57" s="116">
        <v>29.8</v>
      </c>
      <c r="O57" s="116">
        <v>28.2</v>
      </c>
      <c r="P57" s="116">
        <v>29.1</v>
      </c>
      <c r="Q57" s="116">
        <v>29.05</v>
      </c>
      <c r="R57">
        <v>7644416</v>
      </c>
    </row>
    <row r="58" spans="1:18" x14ac:dyDescent="0.25">
      <c r="A58" s="170">
        <v>42297</v>
      </c>
      <c r="B58" s="116">
        <v>34.950000000000003</v>
      </c>
      <c r="C58" s="116">
        <v>34.950000000000003</v>
      </c>
      <c r="D58" s="116">
        <v>29.4</v>
      </c>
      <c r="E58" s="116">
        <v>29.65</v>
      </c>
      <c r="F58" s="116">
        <v>34.950000000000003</v>
      </c>
      <c r="G58">
        <v>7462633</v>
      </c>
      <c r="H58" s="116"/>
      <c r="I58" s="116"/>
      <c r="L58" s="170">
        <v>42297</v>
      </c>
      <c r="M58" s="116">
        <v>34.85</v>
      </c>
      <c r="N58" s="116">
        <v>34.85</v>
      </c>
      <c r="O58" s="116">
        <v>29.4</v>
      </c>
      <c r="P58" s="116">
        <v>29.4</v>
      </c>
      <c r="Q58" s="116">
        <v>34.85</v>
      </c>
      <c r="R58">
        <v>23772317</v>
      </c>
    </row>
    <row r="59" spans="1:18" x14ac:dyDescent="0.25">
      <c r="A59" s="170">
        <v>42298</v>
      </c>
      <c r="B59" s="116">
        <v>38.549999999999997</v>
      </c>
      <c r="C59" s="116">
        <v>36.5</v>
      </c>
      <c r="D59" s="116">
        <v>35.5</v>
      </c>
      <c r="E59" s="116">
        <v>36</v>
      </c>
      <c r="F59" s="116">
        <v>36.5</v>
      </c>
      <c r="G59">
        <v>3995837</v>
      </c>
      <c r="H59" s="116"/>
      <c r="I59" s="116"/>
      <c r="L59" s="170">
        <v>42298</v>
      </c>
      <c r="M59" s="116">
        <v>36.25</v>
      </c>
      <c r="N59" s="116">
        <v>38.4</v>
      </c>
      <c r="O59" s="116">
        <v>35.5</v>
      </c>
      <c r="P59" s="116">
        <v>36</v>
      </c>
      <c r="Q59" s="116">
        <v>36.25</v>
      </c>
      <c r="R59">
        <v>11987644</v>
      </c>
    </row>
    <row r="60" spans="1:18" x14ac:dyDescent="0.25">
      <c r="A60" s="170">
        <v>42300</v>
      </c>
      <c r="B60" s="116">
        <v>41.15</v>
      </c>
      <c r="C60" s="116">
        <v>38.6</v>
      </c>
      <c r="D60" s="116">
        <v>35.1</v>
      </c>
      <c r="E60" s="116">
        <v>36.6</v>
      </c>
      <c r="F60" s="116">
        <v>38.6</v>
      </c>
      <c r="G60">
        <v>3645880</v>
      </c>
      <c r="H60" s="116"/>
      <c r="I60" s="116"/>
      <c r="L60" s="170">
        <v>42300</v>
      </c>
      <c r="M60" s="116">
        <v>38.6</v>
      </c>
      <c r="N60" s="116">
        <v>41.15</v>
      </c>
      <c r="O60" s="116">
        <v>35.1</v>
      </c>
      <c r="P60" s="116">
        <v>36.950000000000003</v>
      </c>
      <c r="Q60" s="116">
        <v>38.6</v>
      </c>
      <c r="R60">
        <v>12531071</v>
      </c>
    </row>
    <row r="61" spans="1:18" x14ac:dyDescent="0.25">
      <c r="A61" s="170">
        <v>42303</v>
      </c>
      <c r="B61" s="116">
        <v>40.1</v>
      </c>
      <c r="C61" s="116">
        <v>38.15</v>
      </c>
      <c r="D61" s="116">
        <v>37.6</v>
      </c>
      <c r="E61" s="116">
        <v>38.950000000000003</v>
      </c>
      <c r="F61" s="116">
        <v>38.15</v>
      </c>
      <c r="G61">
        <v>1205317</v>
      </c>
      <c r="H61" s="116"/>
      <c r="I61" s="116"/>
      <c r="L61" s="170">
        <v>42303</v>
      </c>
      <c r="M61" s="116">
        <v>38.200000000000003</v>
      </c>
      <c r="N61" s="116">
        <v>40.1</v>
      </c>
      <c r="O61" s="116">
        <v>37.4</v>
      </c>
      <c r="P61" s="116">
        <v>38.9</v>
      </c>
      <c r="Q61" s="116">
        <v>38.200000000000003</v>
      </c>
      <c r="R61">
        <v>4105268</v>
      </c>
    </row>
    <row r="62" spans="1:18" x14ac:dyDescent="0.25">
      <c r="A62" s="170">
        <v>42304</v>
      </c>
      <c r="B62" s="116">
        <v>38.9</v>
      </c>
      <c r="C62" s="116">
        <v>38.4</v>
      </c>
      <c r="D62" s="116">
        <v>37.200000000000003</v>
      </c>
      <c r="E62" s="116">
        <v>37.6</v>
      </c>
      <c r="F62" s="116">
        <v>38.4</v>
      </c>
      <c r="G62">
        <v>825206</v>
      </c>
      <c r="H62" s="116"/>
      <c r="I62" s="116"/>
      <c r="L62" s="170">
        <v>42304</v>
      </c>
      <c r="M62" s="116">
        <v>38.4</v>
      </c>
      <c r="N62" s="116">
        <v>38.75</v>
      </c>
      <c r="O62" s="116">
        <v>37.1</v>
      </c>
      <c r="P62" s="116">
        <v>38</v>
      </c>
      <c r="Q62" s="116">
        <v>38.4</v>
      </c>
      <c r="R62">
        <v>2773293</v>
      </c>
    </row>
    <row r="63" spans="1:18" x14ac:dyDescent="0.25">
      <c r="A63" s="170">
        <v>42305</v>
      </c>
      <c r="B63" s="116">
        <v>40.4</v>
      </c>
      <c r="C63" s="116">
        <v>38.549999999999997</v>
      </c>
      <c r="D63" s="116">
        <v>38.1</v>
      </c>
      <c r="E63" s="116">
        <v>38.65</v>
      </c>
      <c r="F63" s="116">
        <v>38.549999999999997</v>
      </c>
      <c r="G63">
        <v>737371</v>
      </c>
      <c r="H63" s="116"/>
      <c r="I63" s="116"/>
      <c r="L63" s="170">
        <v>42305</v>
      </c>
      <c r="M63" s="116">
        <v>38.6</v>
      </c>
      <c r="N63" s="116">
        <v>40.299999999999997</v>
      </c>
      <c r="O63" s="116">
        <v>38.1</v>
      </c>
      <c r="P63" s="116">
        <v>38.5</v>
      </c>
      <c r="Q63" s="116">
        <v>38.6</v>
      </c>
      <c r="R63">
        <v>2917736</v>
      </c>
    </row>
    <row r="64" spans="1:18" x14ac:dyDescent="0.25">
      <c r="A64" s="170">
        <v>42306</v>
      </c>
      <c r="B64" s="116">
        <v>39.450000000000003</v>
      </c>
      <c r="C64" s="116">
        <v>38.4</v>
      </c>
      <c r="D64" s="116">
        <v>38.200000000000003</v>
      </c>
      <c r="E64" s="116">
        <v>38.9</v>
      </c>
      <c r="F64" s="116">
        <v>38.4</v>
      </c>
      <c r="G64">
        <v>282013</v>
      </c>
      <c r="H64" s="116"/>
      <c r="I64" s="116"/>
      <c r="L64" s="170">
        <v>42306</v>
      </c>
      <c r="M64" s="116">
        <v>38.35</v>
      </c>
      <c r="N64" s="116">
        <v>39.4</v>
      </c>
      <c r="O64" s="116">
        <v>38.200000000000003</v>
      </c>
      <c r="P64" s="116">
        <v>38.799999999999997</v>
      </c>
      <c r="Q64" s="116">
        <v>38.35</v>
      </c>
      <c r="R64">
        <v>1423841</v>
      </c>
    </row>
    <row r="65" spans="1:18" x14ac:dyDescent="0.25">
      <c r="A65" s="170">
        <v>42307</v>
      </c>
      <c r="B65" s="116">
        <v>39.4</v>
      </c>
      <c r="C65" s="116">
        <v>36.25</v>
      </c>
      <c r="D65" s="116">
        <v>35.700000000000003</v>
      </c>
      <c r="E65" s="116">
        <v>38.799999999999997</v>
      </c>
      <c r="F65" s="116">
        <v>36.25</v>
      </c>
      <c r="G65">
        <v>662623</v>
      </c>
      <c r="H65" s="116"/>
      <c r="I65" s="116"/>
      <c r="L65" s="170">
        <v>42307</v>
      </c>
      <c r="M65" s="116">
        <v>36.35</v>
      </c>
      <c r="N65" s="116">
        <v>39.4</v>
      </c>
      <c r="O65" s="116">
        <v>35.65</v>
      </c>
      <c r="P65" s="116">
        <v>38.65</v>
      </c>
      <c r="Q65" s="116">
        <v>36.35</v>
      </c>
      <c r="R65">
        <v>2251527</v>
      </c>
    </row>
    <row r="66" spans="1:18" x14ac:dyDescent="0.25">
      <c r="A66" s="170">
        <v>42310</v>
      </c>
      <c r="B66" s="116">
        <v>37.049999999999997</v>
      </c>
      <c r="C66" s="116">
        <v>36.6</v>
      </c>
      <c r="D66" s="116">
        <v>35.1</v>
      </c>
      <c r="E66" s="116">
        <v>36.25</v>
      </c>
      <c r="F66" s="116">
        <v>36.6</v>
      </c>
      <c r="G66">
        <v>406212</v>
      </c>
      <c r="H66" s="116"/>
      <c r="I66" s="116"/>
      <c r="L66" s="170">
        <v>42310</v>
      </c>
      <c r="M66" s="116">
        <v>36.549999999999997</v>
      </c>
      <c r="N66" s="116">
        <v>37.049999999999997</v>
      </c>
      <c r="O66" s="116">
        <v>35.1</v>
      </c>
      <c r="P66" s="116">
        <v>36.5</v>
      </c>
      <c r="Q66" s="116">
        <v>36.549999999999997</v>
      </c>
      <c r="R66">
        <v>1464806</v>
      </c>
    </row>
    <row r="67" spans="1:18" x14ac:dyDescent="0.25">
      <c r="A67" s="170">
        <v>42311</v>
      </c>
      <c r="B67" s="116">
        <v>37</v>
      </c>
      <c r="C67" s="116">
        <v>35.65</v>
      </c>
      <c r="D67" s="116">
        <v>35.5</v>
      </c>
      <c r="E67" s="116">
        <v>36.950000000000003</v>
      </c>
      <c r="F67" s="116">
        <v>35.65</v>
      </c>
      <c r="G67">
        <v>303611</v>
      </c>
      <c r="H67" s="116"/>
      <c r="I67" s="116"/>
      <c r="L67" s="170">
        <v>42311</v>
      </c>
      <c r="M67" s="116">
        <v>35.65</v>
      </c>
      <c r="N67" s="116">
        <v>37</v>
      </c>
      <c r="O67" s="116">
        <v>35.5</v>
      </c>
      <c r="P67" s="116">
        <v>36.950000000000003</v>
      </c>
      <c r="Q67" s="116">
        <v>35.65</v>
      </c>
      <c r="R67">
        <v>1083700</v>
      </c>
    </row>
    <row r="68" spans="1:18" x14ac:dyDescent="0.25">
      <c r="A68" s="170">
        <v>42312</v>
      </c>
      <c r="B68" s="116">
        <v>36.5</v>
      </c>
      <c r="C68" s="116">
        <v>35.25</v>
      </c>
      <c r="D68" s="116">
        <v>35.1</v>
      </c>
      <c r="E68" s="116">
        <v>36</v>
      </c>
      <c r="F68" s="116">
        <v>35.25</v>
      </c>
      <c r="G68">
        <v>260730</v>
      </c>
      <c r="H68" s="116"/>
      <c r="I68" s="116"/>
      <c r="L68" s="170">
        <v>42312</v>
      </c>
      <c r="M68" s="116">
        <v>35.15</v>
      </c>
      <c r="N68" s="116">
        <v>36.5</v>
      </c>
      <c r="O68" s="116">
        <v>35.049999999999997</v>
      </c>
      <c r="P68" s="116">
        <v>36.049999999999997</v>
      </c>
      <c r="Q68" s="116">
        <v>35.15</v>
      </c>
      <c r="R68">
        <v>837076</v>
      </c>
    </row>
    <row r="69" spans="1:18" x14ac:dyDescent="0.25">
      <c r="A69" s="170">
        <v>42313</v>
      </c>
      <c r="B69" s="116">
        <v>35.4</v>
      </c>
      <c r="C69" s="116">
        <v>34.15</v>
      </c>
      <c r="D69" s="116">
        <v>34</v>
      </c>
      <c r="E69" s="116">
        <v>35.4</v>
      </c>
      <c r="F69" s="116">
        <v>34.15</v>
      </c>
      <c r="G69">
        <v>368097</v>
      </c>
      <c r="H69" s="116"/>
      <c r="I69" s="116"/>
      <c r="L69" s="170">
        <v>42313</v>
      </c>
      <c r="M69" s="116">
        <v>34.200000000000003</v>
      </c>
      <c r="N69" s="116">
        <v>35.4</v>
      </c>
      <c r="O69" s="116">
        <v>34</v>
      </c>
      <c r="P69" s="116">
        <v>35.4</v>
      </c>
      <c r="Q69" s="116">
        <v>34.200000000000003</v>
      </c>
      <c r="R69">
        <v>855808</v>
      </c>
    </row>
    <row r="70" spans="1:18" x14ac:dyDescent="0.25">
      <c r="A70" s="170">
        <v>42314</v>
      </c>
      <c r="B70" s="116">
        <v>35.450000000000003</v>
      </c>
      <c r="C70" s="116">
        <v>34.299999999999997</v>
      </c>
      <c r="D70" s="116">
        <v>34.049999999999997</v>
      </c>
      <c r="E70" s="116">
        <v>34.450000000000003</v>
      </c>
      <c r="F70" s="116">
        <v>34.299999999999997</v>
      </c>
      <c r="G70">
        <v>191890</v>
      </c>
      <c r="H70" s="116"/>
      <c r="I70" s="116"/>
      <c r="L70" s="170">
        <v>42314</v>
      </c>
      <c r="M70" s="116">
        <v>34.35</v>
      </c>
      <c r="N70" s="116">
        <v>35.4</v>
      </c>
      <c r="O70" s="116">
        <v>34</v>
      </c>
      <c r="P70" s="116">
        <v>34.200000000000003</v>
      </c>
      <c r="Q70" s="116">
        <v>34.35</v>
      </c>
      <c r="R70">
        <v>726968</v>
      </c>
    </row>
    <row r="71" spans="1:18" x14ac:dyDescent="0.25">
      <c r="A71" s="170">
        <v>42317</v>
      </c>
      <c r="B71" s="116">
        <v>35.85</v>
      </c>
      <c r="C71" s="116">
        <v>35.450000000000003</v>
      </c>
      <c r="D71" s="116">
        <v>31.65</v>
      </c>
      <c r="E71" s="116">
        <v>33.85</v>
      </c>
      <c r="F71" s="116">
        <v>35.450000000000003</v>
      </c>
      <c r="G71">
        <v>704478</v>
      </c>
      <c r="H71" s="116"/>
      <c r="I71" s="116"/>
      <c r="L71" s="170">
        <v>42317</v>
      </c>
      <c r="M71" s="116">
        <v>35.15</v>
      </c>
      <c r="N71" s="116">
        <v>35.700000000000003</v>
      </c>
      <c r="O71" s="116">
        <v>31.6</v>
      </c>
      <c r="P71" s="116">
        <v>33</v>
      </c>
      <c r="Q71" s="116">
        <v>35.15</v>
      </c>
      <c r="R71">
        <v>1932610</v>
      </c>
    </row>
    <row r="72" spans="1:18" x14ac:dyDescent="0.25">
      <c r="A72" s="170">
        <v>42318</v>
      </c>
      <c r="B72" s="116">
        <v>35.35</v>
      </c>
      <c r="C72" s="116">
        <v>33.85</v>
      </c>
      <c r="D72" s="116">
        <v>33.65</v>
      </c>
      <c r="E72" s="116">
        <v>35.35</v>
      </c>
      <c r="F72" s="116">
        <v>33.85</v>
      </c>
      <c r="G72">
        <v>230291</v>
      </c>
      <c r="H72" s="116"/>
      <c r="I72" s="116"/>
      <c r="L72" s="170">
        <v>42318</v>
      </c>
      <c r="M72" s="116">
        <v>33.799999999999997</v>
      </c>
      <c r="N72" s="116">
        <v>35.35</v>
      </c>
      <c r="O72" s="116">
        <v>33.65</v>
      </c>
      <c r="P72" s="116">
        <v>35.35</v>
      </c>
      <c r="Q72" s="116">
        <v>33.799999999999997</v>
      </c>
      <c r="R72">
        <v>675385</v>
      </c>
    </row>
    <row r="73" spans="1:18" x14ac:dyDescent="0.25">
      <c r="A73" s="170">
        <v>42319</v>
      </c>
      <c r="B73" s="116">
        <v>35.1</v>
      </c>
      <c r="C73" s="116">
        <v>34.799999999999997</v>
      </c>
      <c r="D73" s="116">
        <v>34</v>
      </c>
      <c r="E73" s="116">
        <v>34</v>
      </c>
      <c r="F73" s="116">
        <v>34.799999999999997</v>
      </c>
      <c r="G73">
        <v>130954</v>
      </c>
      <c r="H73" s="116"/>
      <c r="I73" s="116"/>
      <c r="L73" s="170">
        <v>42319</v>
      </c>
      <c r="M73" s="116">
        <v>34.75</v>
      </c>
      <c r="N73" s="116">
        <v>34.950000000000003</v>
      </c>
      <c r="O73" s="116">
        <v>34.15</v>
      </c>
      <c r="P73" s="116">
        <v>34.25</v>
      </c>
      <c r="Q73" s="116">
        <v>34.75</v>
      </c>
      <c r="R73">
        <v>277713</v>
      </c>
    </row>
    <row r="74" spans="1:18" x14ac:dyDescent="0.25">
      <c r="A74" s="170">
        <v>42321</v>
      </c>
      <c r="B74" s="116">
        <v>34.5</v>
      </c>
      <c r="C74" s="116">
        <v>33.85</v>
      </c>
      <c r="D74" s="116">
        <v>33.700000000000003</v>
      </c>
      <c r="E74" s="116">
        <v>34.450000000000003</v>
      </c>
      <c r="F74" s="116">
        <v>33.85</v>
      </c>
      <c r="G74">
        <v>170476</v>
      </c>
      <c r="H74" s="116"/>
      <c r="I74" s="116"/>
      <c r="L74" s="170">
        <v>42321</v>
      </c>
      <c r="M74" s="116">
        <v>33.85</v>
      </c>
      <c r="N74" s="116">
        <v>34.75</v>
      </c>
      <c r="O74" s="116">
        <v>33.75</v>
      </c>
      <c r="P74" s="116">
        <v>34.75</v>
      </c>
      <c r="Q74" s="116">
        <v>33.85</v>
      </c>
      <c r="R74">
        <v>630586</v>
      </c>
    </row>
    <row r="75" spans="1:18" x14ac:dyDescent="0.25">
      <c r="A75" s="170">
        <v>42324</v>
      </c>
      <c r="B75" s="116">
        <v>35.15</v>
      </c>
      <c r="C75" s="116">
        <v>34.299999999999997</v>
      </c>
      <c r="D75" s="116">
        <v>33.4</v>
      </c>
      <c r="E75" s="116">
        <v>34.1</v>
      </c>
      <c r="F75" s="116">
        <v>34.299999999999997</v>
      </c>
      <c r="G75">
        <v>226256</v>
      </c>
      <c r="H75" s="116"/>
      <c r="I75" s="116"/>
      <c r="L75" s="170">
        <v>42324</v>
      </c>
      <c r="M75" s="116">
        <v>34.4</v>
      </c>
      <c r="N75" s="116">
        <v>35.200000000000003</v>
      </c>
      <c r="O75" s="116">
        <v>33.5</v>
      </c>
      <c r="P75" s="116">
        <v>34</v>
      </c>
      <c r="Q75" s="116">
        <v>34.4</v>
      </c>
      <c r="R75">
        <v>820537</v>
      </c>
    </row>
    <row r="76" spans="1:18" x14ac:dyDescent="0.25">
      <c r="A76" s="170">
        <v>42325</v>
      </c>
      <c r="B76" s="116">
        <v>36.1</v>
      </c>
      <c r="C76" s="116">
        <v>35.049999999999997</v>
      </c>
      <c r="D76" s="116">
        <v>34.25</v>
      </c>
      <c r="E76" s="116">
        <v>34.799999999999997</v>
      </c>
      <c r="F76" s="116">
        <v>35.049999999999997</v>
      </c>
      <c r="G76">
        <v>465863</v>
      </c>
      <c r="H76" s="116"/>
      <c r="I76" s="116"/>
      <c r="L76" s="170">
        <v>42325</v>
      </c>
      <c r="M76" s="116">
        <v>34.9</v>
      </c>
      <c r="N76" s="116">
        <v>36.1</v>
      </c>
      <c r="O76" s="116">
        <v>34.25</v>
      </c>
      <c r="P76" s="116">
        <v>34.9</v>
      </c>
      <c r="Q76" s="116">
        <v>34.9</v>
      </c>
      <c r="R76">
        <v>1620029</v>
      </c>
    </row>
    <row r="77" spans="1:18" x14ac:dyDescent="0.25">
      <c r="A77" s="170">
        <v>42326</v>
      </c>
      <c r="B77" s="116">
        <v>35.700000000000003</v>
      </c>
      <c r="C77" s="116">
        <v>34.299999999999997</v>
      </c>
      <c r="D77" s="116">
        <v>34.1</v>
      </c>
      <c r="E77" s="116">
        <v>35.1</v>
      </c>
      <c r="F77" s="116">
        <v>34.299999999999997</v>
      </c>
      <c r="G77">
        <v>266190</v>
      </c>
      <c r="H77" s="116"/>
      <c r="I77" s="116"/>
      <c r="L77" s="170">
        <v>42326</v>
      </c>
      <c r="M77" s="116">
        <v>34.25</v>
      </c>
      <c r="N77" s="116">
        <v>35.6</v>
      </c>
      <c r="O77" s="116">
        <v>34.049999999999997</v>
      </c>
      <c r="P77" s="116">
        <v>35</v>
      </c>
      <c r="Q77" s="116">
        <v>34.25</v>
      </c>
      <c r="R77">
        <v>1093499</v>
      </c>
    </row>
    <row r="78" spans="1:18" x14ac:dyDescent="0.25">
      <c r="A78" s="170">
        <v>42327</v>
      </c>
      <c r="B78" s="116">
        <v>35.25</v>
      </c>
      <c r="C78" s="116">
        <v>34.65</v>
      </c>
      <c r="D78" s="116">
        <v>34.200000000000003</v>
      </c>
      <c r="E78" s="116">
        <v>34.65</v>
      </c>
      <c r="F78" s="116">
        <v>34.65</v>
      </c>
      <c r="G78">
        <v>179060</v>
      </c>
      <c r="H78" s="116"/>
      <c r="I78" s="116"/>
      <c r="L78" s="170">
        <v>42327</v>
      </c>
      <c r="M78" s="116">
        <v>34.549999999999997</v>
      </c>
      <c r="N78" s="116">
        <v>35.299999999999997</v>
      </c>
      <c r="O78" s="116">
        <v>34.15</v>
      </c>
      <c r="P78" s="116">
        <v>34.75</v>
      </c>
      <c r="Q78" s="116">
        <v>34.549999999999997</v>
      </c>
      <c r="R78">
        <v>697290</v>
      </c>
    </row>
    <row r="79" spans="1:18" x14ac:dyDescent="0.25">
      <c r="A79" s="170">
        <v>42328</v>
      </c>
      <c r="B79" s="116">
        <v>37.5</v>
      </c>
      <c r="C79" s="116">
        <v>36.1</v>
      </c>
      <c r="D79" s="116">
        <v>34.4</v>
      </c>
      <c r="E79" s="116">
        <v>34.4</v>
      </c>
      <c r="F79" s="116">
        <v>36.1</v>
      </c>
      <c r="G79">
        <v>830433</v>
      </c>
      <c r="H79" s="116"/>
      <c r="I79" s="116"/>
      <c r="L79" s="170">
        <v>42328</v>
      </c>
      <c r="M79" s="116">
        <v>36.15</v>
      </c>
      <c r="N79" s="116">
        <v>37.450000000000003</v>
      </c>
      <c r="O79" s="116">
        <v>34.299999999999997</v>
      </c>
      <c r="P79" s="116">
        <v>34.799999999999997</v>
      </c>
      <c r="Q79" s="116">
        <v>36.15</v>
      </c>
      <c r="R79">
        <v>2743834</v>
      </c>
    </row>
    <row r="80" spans="1:18" x14ac:dyDescent="0.25">
      <c r="A80" s="170">
        <v>42331</v>
      </c>
      <c r="B80" s="116">
        <v>39.4</v>
      </c>
      <c r="C80" s="116">
        <v>39.049999999999997</v>
      </c>
      <c r="D80" s="116">
        <v>36.35</v>
      </c>
      <c r="E80" s="116">
        <v>36.6</v>
      </c>
      <c r="F80" s="116">
        <v>39.049999999999997</v>
      </c>
      <c r="G80">
        <v>1749154</v>
      </c>
      <c r="H80" s="116"/>
      <c r="I80" s="116"/>
      <c r="L80" s="170">
        <v>42331</v>
      </c>
      <c r="M80" s="116">
        <v>39</v>
      </c>
      <c r="N80" s="116">
        <v>39.4</v>
      </c>
      <c r="O80" s="116">
        <v>36.299999999999997</v>
      </c>
      <c r="P80" s="116">
        <v>36.549999999999997</v>
      </c>
      <c r="Q80" s="116">
        <v>39</v>
      </c>
      <c r="R80">
        <v>4134942</v>
      </c>
    </row>
    <row r="81" spans="1:18" x14ac:dyDescent="0.25">
      <c r="A81" s="170">
        <v>42332</v>
      </c>
      <c r="B81" s="116">
        <v>40.5</v>
      </c>
      <c r="C81" s="116">
        <v>38.65</v>
      </c>
      <c r="D81" s="116">
        <v>37.85</v>
      </c>
      <c r="E81" s="116">
        <v>39.200000000000003</v>
      </c>
      <c r="F81" s="116">
        <v>38.65</v>
      </c>
      <c r="G81">
        <v>900448</v>
      </c>
      <c r="H81" s="116"/>
      <c r="I81" s="116"/>
      <c r="L81" s="170">
        <v>42332</v>
      </c>
      <c r="M81" s="116">
        <v>38.65</v>
      </c>
      <c r="N81" s="116">
        <v>40.5</v>
      </c>
      <c r="O81" s="116">
        <v>37.700000000000003</v>
      </c>
      <c r="P81" s="116">
        <v>39.1</v>
      </c>
      <c r="Q81" s="116">
        <v>38.65</v>
      </c>
      <c r="R81">
        <v>3133797</v>
      </c>
    </row>
    <row r="82" spans="1:18" x14ac:dyDescent="0.25">
      <c r="A82" s="170">
        <v>42334</v>
      </c>
      <c r="B82" s="116">
        <v>40.450000000000003</v>
      </c>
      <c r="C82" s="116">
        <v>38.5</v>
      </c>
      <c r="D82" s="116">
        <v>37.85</v>
      </c>
      <c r="E82" s="116">
        <v>39.950000000000003</v>
      </c>
      <c r="F82" s="116">
        <v>38.5</v>
      </c>
      <c r="G82">
        <v>788755</v>
      </c>
      <c r="H82" s="116"/>
      <c r="I82" s="116"/>
      <c r="L82" s="170">
        <v>42334</v>
      </c>
      <c r="M82" s="116">
        <v>38.549999999999997</v>
      </c>
      <c r="N82" s="116">
        <v>40.5</v>
      </c>
      <c r="O82" s="116">
        <v>37.85</v>
      </c>
      <c r="P82" s="116">
        <v>40.200000000000003</v>
      </c>
      <c r="Q82" s="116">
        <v>38.549999999999997</v>
      </c>
      <c r="R82">
        <v>2475738</v>
      </c>
    </row>
    <row r="83" spans="1:18" x14ac:dyDescent="0.25">
      <c r="A83" s="170">
        <v>42335</v>
      </c>
      <c r="B83" s="116">
        <v>40</v>
      </c>
      <c r="C83" s="116">
        <v>39.25</v>
      </c>
      <c r="D83" s="116">
        <v>38.450000000000003</v>
      </c>
      <c r="E83" s="116">
        <v>38.799999999999997</v>
      </c>
      <c r="F83" s="116">
        <v>39.25</v>
      </c>
      <c r="G83">
        <v>723929</v>
      </c>
      <c r="H83" s="116"/>
      <c r="I83" s="116"/>
      <c r="L83" s="170">
        <v>42335</v>
      </c>
      <c r="M83" s="116">
        <v>39.299999999999997</v>
      </c>
      <c r="N83" s="116">
        <v>39.9</v>
      </c>
      <c r="O83" s="116">
        <v>38.25</v>
      </c>
      <c r="P83" s="116">
        <v>38.75</v>
      </c>
      <c r="Q83" s="116">
        <v>39.299999999999997</v>
      </c>
      <c r="R83">
        <v>2322465</v>
      </c>
    </row>
    <row r="84" spans="1:18" x14ac:dyDescent="0.25">
      <c r="A84" s="170">
        <v>42338</v>
      </c>
      <c r="B84" s="116">
        <v>39.65</v>
      </c>
      <c r="C84" s="116">
        <v>38.700000000000003</v>
      </c>
      <c r="D84" s="116">
        <v>38.5</v>
      </c>
      <c r="E84" s="116">
        <v>39.299999999999997</v>
      </c>
      <c r="F84" s="116">
        <v>38.700000000000003</v>
      </c>
      <c r="G84">
        <v>360873</v>
      </c>
      <c r="H84" s="116"/>
      <c r="I84" s="116"/>
      <c r="L84" s="170">
        <v>42338</v>
      </c>
      <c r="M84" s="116">
        <v>38.700000000000003</v>
      </c>
      <c r="N84" s="116">
        <v>39.65</v>
      </c>
      <c r="O84" s="116">
        <v>38.4</v>
      </c>
      <c r="P84" s="116">
        <v>39.15</v>
      </c>
      <c r="Q84" s="116">
        <v>38.700000000000003</v>
      </c>
      <c r="R84">
        <v>2320151</v>
      </c>
    </row>
    <row r="85" spans="1:18" x14ac:dyDescent="0.25">
      <c r="A85" s="170">
        <v>42339</v>
      </c>
      <c r="B85" s="116">
        <v>38.9</v>
      </c>
      <c r="C85" s="116">
        <v>37.9</v>
      </c>
      <c r="D85" s="116">
        <v>37.75</v>
      </c>
      <c r="E85" s="116">
        <v>38.799999999999997</v>
      </c>
      <c r="F85" s="116">
        <v>37.9</v>
      </c>
      <c r="G85">
        <v>337875</v>
      </c>
      <c r="H85" s="116"/>
      <c r="I85" s="116"/>
      <c r="L85" s="170">
        <v>42339</v>
      </c>
      <c r="M85" s="116">
        <v>37.9</v>
      </c>
      <c r="N85" s="116">
        <v>38.9</v>
      </c>
      <c r="O85" s="116">
        <v>37.75</v>
      </c>
      <c r="P85" s="116">
        <v>38.799999999999997</v>
      </c>
      <c r="Q85" s="116">
        <v>37.9</v>
      </c>
      <c r="R85">
        <v>958420</v>
      </c>
    </row>
    <row r="86" spans="1:18" x14ac:dyDescent="0.25">
      <c r="A86" s="170">
        <v>42340</v>
      </c>
      <c r="B86" s="116">
        <v>39.450000000000003</v>
      </c>
      <c r="C86" s="116">
        <v>38.4</v>
      </c>
      <c r="D86" s="116">
        <v>37.549999999999997</v>
      </c>
      <c r="E86" s="116">
        <v>38.1</v>
      </c>
      <c r="F86" s="116">
        <v>38.4</v>
      </c>
      <c r="G86">
        <v>493751</v>
      </c>
      <c r="H86" s="116"/>
      <c r="I86" s="116"/>
      <c r="L86" s="170">
        <v>42340</v>
      </c>
      <c r="M86" s="116">
        <v>38.5</v>
      </c>
      <c r="N86" s="116">
        <v>39.5</v>
      </c>
      <c r="O86" s="116">
        <v>37.5</v>
      </c>
      <c r="P86" s="116">
        <v>38.299999999999997</v>
      </c>
      <c r="Q86" s="116">
        <v>38.5</v>
      </c>
      <c r="R86">
        <v>1653651</v>
      </c>
    </row>
    <row r="87" spans="1:18" x14ac:dyDescent="0.25">
      <c r="A87" s="170">
        <v>42341</v>
      </c>
      <c r="B87" s="116">
        <v>38.75</v>
      </c>
      <c r="C87" s="116">
        <v>37.5</v>
      </c>
      <c r="D87" s="116">
        <v>37.299999999999997</v>
      </c>
      <c r="E87" s="116">
        <v>38</v>
      </c>
      <c r="F87" s="116">
        <v>37.5</v>
      </c>
      <c r="G87">
        <v>312262</v>
      </c>
      <c r="H87" s="116"/>
      <c r="I87" s="116"/>
      <c r="L87" s="170">
        <v>42341</v>
      </c>
      <c r="M87" s="116">
        <v>37.549999999999997</v>
      </c>
      <c r="N87" s="116">
        <v>38.75</v>
      </c>
      <c r="O87" s="116">
        <v>37.450000000000003</v>
      </c>
      <c r="P87" s="116">
        <v>38.049999999999997</v>
      </c>
      <c r="Q87" s="116">
        <v>37.549999999999997</v>
      </c>
      <c r="R87">
        <v>861040</v>
      </c>
    </row>
    <row r="88" spans="1:18" x14ac:dyDescent="0.25">
      <c r="A88" s="170">
        <v>42342</v>
      </c>
      <c r="B88" s="116">
        <v>38.700000000000003</v>
      </c>
      <c r="C88" s="116">
        <v>37.4</v>
      </c>
      <c r="D88" s="116">
        <v>37</v>
      </c>
      <c r="E88" s="116">
        <v>37.1</v>
      </c>
      <c r="F88" s="116">
        <v>37.4</v>
      </c>
      <c r="G88">
        <v>397200</v>
      </c>
      <c r="H88" s="116"/>
      <c r="I88" s="116"/>
      <c r="L88" s="170">
        <v>42342</v>
      </c>
      <c r="M88" s="116">
        <v>37.4</v>
      </c>
      <c r="N88" s="116">
        <v>38.75</v>
      </c>
      <c r="O88" s="116">
        <v>36.799999999999997</v>
      </c>
      <c r="P88" s="116">
        <v>36.799999999999997</v>
      </c>
      <c r="Q88" s="116">
        <v>37.4</v>
      </c>
      <c r="R88">
        <v>1060666</v>
      </c>
    </row>
    <row r="89" spans="1:18" x14ac:dyDescent="0.25">
      <c r="A89" s="170">
        <v>42345</v>
      </c>
      <c r="B89" s="116">
        <v>38</v>
      </c>
      <c r="C89" s="116">
        <v>36.700000000000003</v>
      </c>
      <c r="D89" s="116">
        <v>36.6</v>
      </c>
      <c r="E89" s="116">
        <v>38</v>
      </c>
      <c r="F89" s="116">
        <v>36.700000000000003</v>
      </c>
      <c r="G89">
        <v>245280</v>
      </c>
      <c r="H89" s="116"/>
      <c r="I89" s="116"/>
      <c r="L89" s="170">
        <v>42345</v>
      </c>
      <c r="M89" s="116">
        <v>36.65</v>
      </c>
      <c r="N89" s="116">
        <v>38</v>
      </c>
      <c r="O89" s="116">
        <v>36.5</v>
      </c>
      <c r="P89" s="116">
        <v>37.9</v>
      </c>
      <c r="Q89" s="116">
        <v>36.65</v>
      </c>
      <c r="R89">
        <v>641233</v>
      </c>
    </row>
    <row r="90" spans="1:18" x14ac:dyDescent="0.25">
      <c r="A90" s="170">
        <v>42346</v>
      </c>
      <c r="B90" s="116">
        <v>36.9</v>
      </c>
      <c r="C90" s="116">
        <v>34.549999999999997</v>
      </c>
      <c r="D90" s="116">
        <v>34.35</v>
      </c>
      <c r="E90" s="116">
        <v>36.549999999999997</v>
      </c>
      <c r="F90" s="116">
        <v>34.549999999999997</v>
      </c>
      <c r="G90">
        <v>365556</v>
      </c>
      <c r="H90" s="116"/>
      <c r="I90" s="116"/>
      <c r="L90" s="170">
        <v>42346</v>
      </c>
      <c r="M90" s="116">
        <v>34.65</v>
      </c>
      <c r="N90" s="116">
        <v>36.9</v>
      </c>
      <c r="O90" s="116">
        <v>34.5</v>
      </c>
      <c r="P90" s="116">
        <v>36.6</v>
      </c>
      <c r="Q90" s="116">
        <v>34.65</v>
      </c>
      <c r="R90">
        <v>1152493</v>
      </c>
    </row>
    <row r="91" spans="1:18" x14ac:dyDescent="0.25">
      <c r="A91" s="170">
        <v>42347</v>
      </c>
      <c r="B91" s="116">
        <v>41.45</v>
      </c>
      <c r="C91" s="116">
        <v>33.6</v>
      </c>
      <c r="D91" s="116">
        <v>33</v>
      </c>
      <c r="E91" s="116">
        <v>35</v>
      </c>
      <c r="F91" s="116">
        <v>33.6</v>
      </c>
      <c r="G91">
        <v>1033780</v>
      </c>
      <c r="H91" s="116"/>
      <c r="I91" s="116"/>
      <c r="L91" s="170">
        <v>42347</v>
      </c>
      <c r="M91" s="116">
        <v>33.549999999999997</v>
      </c>
      <c r="N91" s="116">
        <v>35.9</v>
      </c>
      <c r="O91" s="116">
        <v>32.85</v>
      </c>
      <c r="P91" s="116">
        <v>34.5</v>
      </c>
      <c r="Q91" s="116">
        <v>33.549999999999997</v>
      </c>
      <c r="R91">
        <v>3502960</v>
      </c>
    </row>
    <row r="92" spans="1:18" x14ac:dyDescent="0.25">
      <c r="A92" s="170">
        <v>42348</v>
      </c>
      <c r="B92" s="116">
        <v>35.65</v>
      </c>
      <c r="C92" s="116">
        <v>35.200000000000003</v>
      </c>
      <c r="D92" s="116">
        <v>33.65</v>
      </c>
      <c r="E92" s="116">
        <v>33.65</v>
      </c>
      <c r="F92" s="116">
        <v>35.200000000000003</v>
      </c>
      <c r="G92">
        <v>663863</v>
      </c>
      <c r="H92" s="116"/>
      <c r="I92" s="116"/>
      <c r="L92" s="170">
        <v>42348</v>
      </c>
      <c r="M92" s="116">
        <v>35.25</v>
      </c>
      <c r="N92" s="116">
        <v>35.65</v>
      </c>
      <c r="O92" s="116">
        <v>33.799999999999997</v>
      </c>
      <c r="P92" s="116">
        <v>34.1</v>
      </c>
      <c r="Q92" s="116">
        <v>35.25</v>
      </c>
      <c r="R92">
        <v>1366533</v>
      </c>
    </row>
    <row r="93" spans="1:18" x14ac:dyDescent="0.25">
      <c r="A93" s="170">
        <v>42349</v>
      </c>
      <c r="B93" s="116">
        <v>36.85</v>
      </c>
      <c r="C93" s="116">
        <v>35.4</v>
      </c>
      <c r="D93" s="116">
        <v>34.549999999999997</v>
      </c>
      <c r="E93" s="116">
        <v>35.5</v>
      </c>
      <c r="F93" s="116">
        <v>35.4</v>
      </c>
      <c r="G93">
        <v>518383</v>
      </c>
      <c r="H93" s="116"/>
      <c r="I93" s="116"/>
      <c r="L93" s="170">
        <v>42349</v>
      </c>
      <c r="M93" s="116">
        <v>35.25</v>
      </c>
      <c r="N93" s="116">
        <v>36.85</v>
      </c>
      <c r="O93" s="116">
        <v>34.549999999999997</v>
      </c>
      <c r="P93" s="116">
        <v>35.6</v>
      </c>
      <c r="Q93" s="116">
        <v>35.25</v>
      </c>
      <c r="R93">
        <v>1576582</v>
      </c>
    </row>
    <row r="94" spans="1:18" x14ac:dyDescent="0.25">
      <c r="A94" s="170">
        <v>42352</v>
      </c>
      <c r="B94" s="116">
        <v>38.5</v>
      </c>
      <c r="C94" s="116">
        <v>37.700000000000003</v>
      </c>
      <c r="D94" s="116">
        <v>34.700000000000003</v>
      </c>
      <c r="E94" s="116">
        <v>36</v>
      </c>
      <c r="F94" s="116">
        <v>37.700000000000003</v>
      </c>
      <c r="G94">
        <v>689112</v>
      </c>
      <c r="H94" s="116"/>
      <c r="I94" s="116"/>
      <c r="L94" s="170">
        <v>42352</v>
      </c>
      <c r="M94" s="116">
        <v>37.75</v>
      </c>
      <c r="N94" s="116">
        <v>38.25</v>
      </c>
      <c r="O94" s="116">
        <v>34.75</v>
      </c>
      <c r="P94" s="116">
        <v>35</v>
      </c>
      <c r="Q94" s="116">
        <v>37.75</v>
      </c>
      <c r="R94">
        <v>2131811</v>
      </c>
    </row>
    <row r="95" spans="1:18" x14ac:dyDescent="0.25">
      <c r="A95" s="170">
        <v>42353</v>
      </c>
      <c r="B95" s="116">
        <v>39.35</v>
      </c>
      <c r="C95" s="116">
        <v>38.1</v>
      </c>
      <c r="D95" s="116">
        <v>37.6</v>
      </c>
      <c r="E95" s="116">
        <v>38.1</v>
      </c>
      <c r="F95" s="116">
        <v>38.1</v>
      </c>
      <c r="G95">
        <v>699155</v>
      </c>
      <c r="H95" s="116"/>
      <c r="I95" s="116"/>
      <c r="L95" s="170">
        <v>42353</v>
      </c>
      <c r="M95" s="116">
        <v>38.200000000000003</v>
      </c>
      <c r="N95" s="116">
        <v>39.4</v>
      </c>
      <c r="O95" s="116">
        <v>37.6</v>
      </c>
      <c r="P95" s="116">
        <v>38.25</v>
      </c>
      <c r="Q95" s="116">
        <v>38.200000000000003</v>
      </c>
      <c r="R95">
        <v>1984761</v>
      </c>
    </row>
    <row r="96" spans="1:18" x14ac:dyDescent="0.25">
      <c r="A96" s="170">
        <v>42354</v>
      </c>
      <c r="B96" s="116">
        <v>38.700000000000003</v>
      </c>
      <c r="C96" s="116">
        <v>37.35</v>
      </c>
      <c r="D96" s="116">
        <v>37.25</v>
      </c>
      <c r="E96" s="116">
        <v>38.700000000000003</v>
      </c>
      <c r="F96" s="116">
        <v>37.35</v>
      </c>
      <c r="G96">
        <v>335628</v>
      </c>
      <c r="H96" s="116"/>
      <c r="I96" s="116"/>
      <c r="L96" s="170">
        <v>42354</v>
      </c>
      <c r="M96" s="116">
        <v>37.4</v>
      </c>
      <c r="N96" s="116">
        <v>38.5</v>
      </c>
      <c r="O96" s="116">
        <v>37.25</v>
      </c>
      <c r="P96" s="116">
        <v>38.4</v>
      </c>
      <c r="Q96" s="116">
        <v>37.4</v>
      </c>
      <c r="R96">
        <v>1025038</v>
      </c>
    </row>
    <row r="97" spans="1:18" x14ac:dyDescent="0.25">
      <c r="A97" s="170">
        <v>42355</v>
      </c>
      <c r="B97" s="116">
        <v>38.85</v>
      </c>
      <c r="C97" s="116">
        <v>38</v>
      </c>
      <c r="D97" s="116">
        <v>37.65</v>
      </c>
      <c r="E97" s="116">
        <v>37.75</v>
      </c>
      <c r="F97" s="116">
        <v>38</v>
      </c>
      <c r="G97">
        <v>386021</v>
      </c>
      <c r="H97" s="116"/>
      <c r="I97" s="116"/>
      <c r="L97" s="170">
        <v>42355</v>
      </c>
      <c r="M97" s="116">
        <v>38.049999999999997</v>
      </c>
      <c r="N97" s="116">
        <v>38.799999999999997</v>
      </c>
      <c r="O97" s="116">
        <v>37.6</v>
      </c>
      <c r="P97" s="116">
        <v>37.6</v>
      </c>
      <c r="Q97" s="116">
        <v>38.049999999999997</v>
      </c>
      <c r="R97">
        <v>1086913</v>
      </c>
    </row>
    <row r="98" spans="1:18" x14ac:dyDescent="0.25">
      <c r="A98" s="170">
        <v>42356</v>
      </c>
      <c r="B98" s="116">
        <v>38.35</v>
      </c>
      <c r="C98" s="116">
        <v>36.200000000000003</v>
      </c>
      <c r="D98" s="116">
        <v>35.799999999999997</v>
      </c>
      <c r="E98" s="116">
        <v>38</v>
      </c>
      <c r="F98" s="116">
        <v>36.200000000000003</v>
      </c>
      <c r="G98">
        <v>540199</v>
      </c>
      <c r="H98" s="116"/>
      <c r="I98" s="116"/>
      <c r="L98" s="170">
        <v>42356</v>
      </c>
      <c r="M98" s="116">
        <v>36.1</v>
      </c>
      <c r="N98" s="116">
        <v>38.35</v>
      </c>
      <c r="O98" s="116">
        <v>35.799999999999997</v>
      </c>
      <c r="P98" s="116">
        <v>38</v>
      </c>
      <c r="Q98" s="116">
        <v>36.1</v>
      </c>
      <c r="R98">
        <v>2491122</v>
      </c>
    </row>
    <row r="99" spans="1:18" x14ac:dyDescent="0.25">
      <c r="A99" s="170">
        <v>42359</v>
      </c>
      <c r="B99" s="116">
        <v>37.450000000000003</v>
      </c>
      <c r="C99" s="116">
        <v>36.549999999999997</v>
      </c>
      <c r="D99" s="116">
        <v>36.15</v>
      </c>
      <c r="E99" s="116">
        <v>36.299999999999997</v>
      </c>
      <c r="F99" s="116">
        <v>36.549999999999997</v>
      </c>
      <c r="G99">
        <v>471364</v>
      </c>
      <c r="H99" s="116"/>
      <c r="I99" s="116"/>
      <c r="L99" s="170">
        <v>42359</v>
      </c>
      <c r="M99" s="116">
        <v>36.549999999999997</v>
      </c>
      <c r="N99" s="116">
        <v>37.4</v>
      </c>
      <c r="O99" s="116">
        <v>36.15</v>
      </c>
      <c r="P99" s="116">
        <v>36.200000000000003</v>
      </c>
      <c r="Q99" s="116">
        <v>36.549999999999997</v>
      </c>
      <c r="R99">
        <v>1583247</v>
      </c>
    </row>
    <row r="100" spans="1:18" x14ac:dyDescent="0.25">
      <c r="A100" s="170">
        <v>42360</v>
      </c>
      <c r="B100" s="116">
        <v>37.450000000000003</v>
      </c>
      <c r="C100" s="116">
        <v>36.950000000000003</v>
      </c>
      <c r="D100" s="116">
        <v>36.5</v>
      </c>
      <c r="E100" s="116">
        <v>36.700000000000003</v>
      </c>
      <c r="F100" s="116">
        <v>36.950000000000003</v>
      </c>
      <c r="G100">
        <v>298467</v>
      </c>
      <c r="H100" s="116"/>
      <c r="I100" s="116"/>
      <c r="L100" s="170">
        <v>42360</v>
      </c>
      <c r="M100" s="116">
        <v>36.950000000000003</v>
      </c>
      <c r="N100" s="116">
        <v>37.35</v>
      </c>
      <c r="O100" s="116">
        <v>36.5</v>
      </c>
      <c r="P100" s="116">
        <v>36.9</v>
      </c>
      <c r="Q100" s="116">
        <v>36.950000000000003</v>
      </c>
      <c r="R100">
        <v>1508416</v>
      </c>
    </row>
    <row r="101" spans="1:18" x14ac:dyDescent="0.25">
      <c r="A101" s="170">
        <v>42361</v>
      </c>
      <c r="B101" s="116">
        <v>37.15</v>
      </c>
      <c r="C101" s="116">
        <v>36.200000000000003</v>
      </c>
      <c r="D101" s="116">
        <v>36</v>
      </c>
      <c r="E101" s="116">
        <v>37.15</v>
      </c>
      <c r="F101" s="116">
        <v>36.200000000000003</v>
      </c>
      <c r="G101">
        <v>351835</v>
      </c>
      <c r="H101" s="116"/>
      <c r="I101" s="116"/>
      <c r="L101" s="170">
        <v>42361</v>
      </c>
      <c r="M101" s="116">
        <v>36.15</v>
      </c>
      <c r="N101" s="116">
        <v>37.200000000000003</v>
      </c>
      <c r="O101" s="116">
        <v>36</v>
      </c>
      <c r="P101" s="116">
        <v>37.1</v>
      </c>
      <c r="Q101" s="116">
        <v>36.15</v>
      </c>
      <c r="R101">
        <v>990217</v>
      </c>
    </row>
    <row r="102" spans="1:18" x14ac:dyDescent="0.25">
      <c r="A102" s="170">
        <v>42362</v>
      </c>
      <c r="B102" s="116">
        <v>37.5</v>
      </c>
      <c r="C102" s="116">
        <v>36.950000000000003</v>
      </c>
      <c r="D102" s="116">
        <v>35.549999999999997</v>
      </c>
      <c r="E102" s="116">
        <v>36.5</v>
      </c>
      <c r="F102" s="116">
        <v>36.950000000000003</v>
      </c>
      <c r="G102">
        <v>344173</v>
      </c>
      <c r="H102" s="116"/>
      <c r="I102" s="116"/>
      <c r="L102" s="170">
        <v>42362</v>
      </c>
      <c r="M102" s="116">
        <v>36.799999999999997</v>
      </c>
      <c r="N102" s="116">
        <v>37.4</v>
      </c>
      <c r="O102" s="116">
        <v>35.6</v>
      </c>
      <c r="P102" s="116">
        <v>36.299999999999997</v>
      </c>
      <c r="Q102" s="116">
        <v>36.799999999999997</v>
      </c>
      <c r="R102">
        <v>1374335</v>
      </c>
    </row>
    <row r="103" spans="1:18" x14ac:dyDescent="0.25">
      <c r="A103" s="170">
        <v>42366</v>
      </c>
      <c r="B103" s="116">
        <v>37.700000000000003</v>
      </c>
      <c r="C103" s="116">
        <v>36.799999999999997</v>
      </c>
      <c r="D103" s="116">
        <v>36.65</v>
      </c>
      <c r="E103" s="116">
        <v>36.950000000000003</v>
      </c>
      <c r="F103" s="116">
        <v>36.799999999999997</v>
      </c>
      <c r="G103">
        <v>304906</v>
      </c>
      <c r="H103" s="116"/>
      <c r="I103" s="116"/>
      <c r="L103" s="170">
        <v>42366</v>
      </c>
      <c r="M103" s="116">
        <v>36.799999999999997</v>
      </c>
      <c r="N103" s="116">
        <v>37.65</v>
      </c>
      <c r="O103" s="116">
        <v>36.6</v>
      </c>
      <c r="P103" s="116">
        <v>37.1</v>
      </c>
      <c r="Q103" s="116">
        <v>36.799999999999997</v>
      </c>
      <c r="R103">
        <v>876915</v>
      </c>
    </row>
    <row r="104" spans="1:18" x14ac:dyDescent="0.25">
      <c r="A104" s="170">
        <v>42367</v>
      </c>
      <c r="B104" s="116">
        <v>37</v>
      </c>
      <c r="C104" s="116">
        <v>35.9</v>
      </c>
      <c r="D104" s="116">
        <v>35.5</v>
      </c>
      <c r="E104" s="116">
        <v>36.65</v>
      </c>
      <c r="F104" s="116">
        <v>35.9</v>
      </c>
      <c r="G104">
        <v>403221</v>
      </c>
      <c r="H104" s="116"/>
      <c r="I104" s="116"/>
      <c r="L104" s="170">
        <v>42367</v>
      </c>
      <c r="M104" s="116">
        <v>35.9</v>
      </c>
      <c r="N104" s="116">
        <v>37</v>
      </c>
      <c r="O104" s="116">
        <v>35.5</v>
      </c>
      <c r="P104" s="116">
        <v>36.700000000000003</v>
      </c>
      <c r="Q104" s="116">
        <v>35.9</v>
      </c>
      <c r="R104">
        <v>1174493</v>
      </c>
    </row>
    <row r="105" spans="1:18" x14ac:dyDescent="0.25">
      <c r="A105" s="170">
        <v>42368</v>
      </c>
      <c r="B105" s="116">
        <v>37.049999999999997</v>
      </c>
      <c r="C105" s="116">
        <v>36.450000000000003</v>
      </c>
      <c r="D105" s="116">
        <v>36</v>
      </c>
      <c r="E105" s="116">
        <v>36</v>
      </c>
      <c r="F105" s="116">
        <v>36.450000000000003</v>
      </c>
      <c r="G105">
        <v>437203</v>
      </c>
      <c r="H105" s="116"/>
      <c r="I105" s="116"/>
      <c r="L105" s="170">
        <v>42368</v>
      </c>
      <c r="M105" s="116">
        <v>36.450000000000003</v>
      </c>
      <c r="N105" s="116">
        <v>37</v>
      </c>
      <c r="O105" s="116">
        <v>36</v>
      </c>
      <c r="P105" s="116">
        <v>36.1</v>
      </c>
      <c r="Q105" s="116">
        <v>36.450000000000003</v>
      </c>
      <c r="R105">
        <v>1137440</v>
      </c>
    </row>
    <row r="106" spans="1:18" x14ac:dyDescent="0.25">
      <c r="A106" s="170">
        <v>42369</v>
      </c>
      <c r="B106" s="116">
        <v>37.700000000000003</v>
      </c>
      <c r="C106" s="116">
        <v>36.85</v>
      </c>
      <c r="D106" s="116">
        <v>36.450000000000003</v>
      </c>
      <c r="E106" s="116">
        <v>36.65</v>
      </c>
      <c r="F106" s="116">
        <v>36.85</v>
      </c>
      <c r="G106">
        <v>475293</v>
      </c>
      <c r="H106" s="116"/>
      <c r="I106" s="116"/>
      <c r="L106" s="170">
        <v>42369</v>
      </c>
      <c r="M106" s="116">
        <v>36.9</v>
      </c>
      <c r="N106" s="116">
        <v>37.5</v>
      </c>
      <c r="O106" s="116">
        <v>36.299999999999997</v>
      </c>
      <c r="P106" s="116">
        <v>36.549999999999997</v>
      </c>
      <c r="Q106" s="116">
        <v>36.9</v>
      </c>
      <c r="R106">
        <v>1573101</v>
      </c>
    </row>
    <row r="107" spans="1:18" x14ac:dyDescent="0.25">
      <c r="A107" s="170">
        <v>42370</v>
      </c>
      <c r="B107" s="116">
        <v>42.6</v>
      </c>
      <c r="C107" s="116">
        <v>40.950000000000003</v>
      </c>
      <c r="D107" s="116">
        <v>36.75</v>
      </c>
      <c r="E107" s="116">
        <v>36.799999999999997</v>
      </c>
      <c r="F107" s="116">
        <v>40.950000000000003</v>
      </c>
      <c r="G107">
        <v>2563430</v>
      </c>
      <c r="H107" s="116"/>
      <c r="I107" s="116"/>
      <c r="L107" s="170">
        <v>42370</v>
      </c>
      <c r="M107" s="116">
        <v>41.05</v>
      </c>
      <c r="N107" s="116">
        <v>42.7</v>
      </c>
      <c r="O107" s="116">
        <v>36.75</v>
      </c>
      <c r="P107" s="116">
        <v>36.950000000000003</v>
      </c>
      <c r="Q107" s="116">
        <v>41.05</v>
      </c>
      <c r="R107">
        <v>10569317</v>
      </c>
    </row>
    <row r="108" spans="1:18" x14ac:dyDescent="0.25">
      <c r="A108" s="170">
        <v>42373</v>
      </c>
      <c r="B108" s="116">
        <v>41.35</v>
      </c>
      <c r="C108" s="116">
        <v>38.700000000000003</v>
      </c>
      <c r="D108" s="116">
        <v>37.9</v>
      </c>
      <c r="E108" s="116">
        <v>41</v>
      </c>
      <c r="F108" s="116">
        <v>38.700000000000003</v>
      </c>
      <c r="G108">
        <v>1674790</v>
      </c>
      <c r="H108" s="116"/>
      <c r="I108" s="116"/>
      <c r="L108" s="170">
        <v>42373</v>
      </c>
      <c r="M108" s="116">
        <v>38.65</v>
      </c>
      <c r="N108" s="116">
        <v>41.3</v>
      </c>
      <c r="O108" s="116">
        <v>37.799999999999997</v>
      </c>
      <c r="P108" s="116">
        <v>40.65</v>
      </c>
      <c r="Q108" s="116">
        <v>38.65</v>
      </c>
      <c r="R108">
        <v>5640439</v>
      </c>
    </row>
    <row r="109" spans="1:18" x14ac:dyDescent="0.25">
      <c r="A109" s="170">
        <v>42374</v>
      </c>
      <c r="B109" s="116">
        <v>39.65</v>
      </c>
      <c r="C109" s="116">
        <v>38.85</v>
      </c>
      <c r="D109" s="116">
        <v>38.35</v>
      </c>
      <c r="E109" s="116">
        <v>39.1</v>
      </c>
      <c r="F109" s="116">
        <v>38.85</v>
      </c>
      <c r="G109">
        <v>818793</v>
      </c>
      <c r="H109" s="116"/>
      <c r="I109" s="116"/>
      <c r="L109" s="170">
        <v>42374</v>
      </c>
      <c r="M109" s="116">
        <v>38.799999999999997</v>
      </c>
      <c r="N109" s="116">
        <v>39.700000000000003</v>
      </c>
      <c r="O109" s="116">
        <v>38.299999999999997</v>
      </c>
      <c r="P109" s="116">
        <v>38.9</v>
      </c>
      <c r="Q109" s="116">
        <v>38.799999999999997</v>
      </c>
      <c r="R109">
        <v>3159929</v>
      </c>
    </row>
    <row r="110" spans="1:18" x14ac:dyDescent="0.25">
      <c r="A110" s="170">
        <v>42375</v>
      </c>
      <c r="B110" s="116">
        <v>40.299999999999997</v>
      </c>
      <c r="C110" s="116">
        <v>38.4</v>
      </c>
      <c r="D110" s="116">
        <v>38.1</v>
      </c>
      <c r="E110" s="116">
        <v>38.75</v>
      </c>
      <c r="F110" s="116">
        <v>38.4</v>
      </c>
      <c r="G110">
        <v>981667</v>
      </c>
      <c r="H110" s="116"/>
      <c r="I110" s="116"/>
      <c r="L110" s="170">
        <v>42375</v>
      </c>
      <c r="M110" s="116">
        <v>38.35</v>
      </c>
      <c r="N110" s="116">
        <v>40.4</v>
      </c>
      <c r="O110" s="116">
        <v>38.1</v>
      </c>
      <c r="P110" s="116">
        <v>38.799999999999997</v>
      </c>
      <c r="Q110" s="116">
        <v>38.35</v>
      </c>
      <c r="R110">
        <v>3768229</v>
      </c>
    </row>
    <row r="111" spans="1:18" x14ac:dyDescent="0.25">
      <c r="A111" s="170">
        <v>42376</v>
      </c>
      <c r="B111" s="116">
        <v>37.700000000000003</v>
      </c>
      <c r="C111" s="116">
        <v>37</v>
      </c>
      <c r="D111" s="116">
        <v>36</v>
      </c>
      <c r="E111" s="116">
        <v>37.5</v>
      </c>
      <c r="F111" s="116">
        <v>37</v>
      </c>
      <c r="G111">
        <v>716304</v>
      </c>
      <c r="H111" s="116"/>
      <c r="I111" s="116"/>
      <c r="L111" s="170">
        <v>42376</v>
      </c>
      <c r="M111" s="116">
        <v>37.15</v>
      </c>
      <c r="N111" s="116">
        <v>37.65</v>
      </c>
      <c r="O111" s="116">
        <v>35.950000000000003</v>
      </c>
      <c r="P111" s="116">
        <v>37.25</v>
      </c>
      <c r="Q111" s="116">
        <v>37.15</v>
      </c>
      <c r="R111">
        <v>2764988</v>
      </c>
    </row>
    <row r="112" spans="1:18" x14ac:dyDescent="0.25">
      <c r="A112" s="170">
        <v>42377</v>
      </c>
      <c r="B112" s="116">
        <v>38.25</v>
      </c>
      <c r="C112" s="116">
        <v>37.6</v>
      </c>
      <c r="D112" s="116">
        <v>37.15</v>
      </c>
      <c r="E112" s="116">
        <v>37.549999999999997</v>
      </c>
      <c r="F112" s="116">
        <v>37.6</v>
      </c>
      <c r="G112">
        <v>587274</v>
      </c>
      <c r="H112" s="116"/>
      <c r="I112" s="116"/>
      <c r="L112" s="170">
        <v>42377</v>
      </c>
      <c r="M112" s="116">
        <v>37.6</v>
      </c>
      <c r="N112" s="116">
        <v>38.25</v>
      </c>
      <c r="O112" s="116">
        <v>37.15</v>
      </c>
      <c r="P112" s="116">
        <v>37.4</v>
      </c>
      <c r="Q112" s="116">
        <v>37.6</v>
      </c>
      <c r="R112">
        <v>1627562</v>
      </c>
    </row>
    <row r="113" spans="1:18" x14ac:dyDescent="0.25">
      <c r="A113" s="170">
        <v>42380</v>
      </c>
      <c r="B113" s="116">
        <v>37.75</v>
      </c>
      <c r="C113" s="116">
        <v>37.200000000000003</v>
      </c>
      <c r="D113" s="116">
        <v>36.299999999999997</v>
      </c>
      <c r="E113" s="116">
        <v>37</v>
      </c>
      <c r="F113" s="116">
        <v>37.200000000000003</v>
      </c>
      <c r="G113">
        <v>535011</v>
      </c>
      <c r="H113" s="116"/>
      <c r="I113" s="116"/>
      <c r="L113" s="170">
        <v>42380</v>
      </c>
      <c r="M113" s="116">
        <v>37.299999999999997</v>
      </c>
      <c r="N113" s="116">
        <v>37.9</v>
      </c>
      <c r="O113" s="116">
        <v>36.299999999999997</v>
      </c>
      <c r="P113" s="116">
        <v>36.299999999999997</v>
      </c>
      <c r="Q113" s="116">
        <v>37.299999999999997</v>
      </c>
      <c r="R113">
        <v>1506955</v>
      </c>
    </row>
    <row r="114" spans="1:18" x14ac:dyDescent="0.25">
      <c r="A114" s="170">
        <v>42381</v>
      </c>
      <c r="B114" s="116">
        <v>37.65</v>
      </c>
      <c r="C114" s="116">
        <v>36.299999999999997</v>
      </c>
      <c r="D114" s="116">
        <v>36.1</v>
      </c>
      <c r="E114" s="116">
        <v>37.35</v>
      </c>
      <c r="F114" s="116">
        <v>36.299999999999997</v>
      </c>
      <c r="G114">
        <v>432132</v>
      </c>
      <c r="H114" s="116"/>
      <c r="I114" s="116"/>
      <c r="L114" s="170">
        <v>42381</v>
      </c>
      <c r="M114" s="116">
        <v>36.299999999999997</v>
      </c>
      <c r="N114" s="116">
        <v>37.65</v>
      </c>
      <c r="O114" s="116">
        <v>36.1</v>
      </c>
      <c r="P114" s="116">
        <v>37.4</v>
      </c>
      <c r="Q114" s="116">
        <v>36.299999999999997</v>
      </c>
      <c r="R114">
        <v>1124985</v>
      </c>
    </row>
    <row r="115" spans="1:18" x14ac:dyDescent="0.25">
      <c r="A115" s="170">
        <v>42382</v>
      </c>
      <c r="B115" s="116">
        <v>37</v>
      </c>
      <c r="C115" s="116">
        <v>35.549999999999997</v>
      </c>
      <c r="D115" s="116">
        <v>33.4</v>
      </c>
      <c r="E115" s="116">
        <v>36.6</v>
      </c>
      <c r="F115" s="116">
        <v>35.549999999999997</v>
      </c>
      <c r="G115">
        <v>871396</v>
      </c>
      <c r="H115" s="116"/>
      <c r="I115" s="116"/>
      <c r="L115" s="170">
        <v>42382</v>
      </c>
      <c r="M115" s="116">
        <v>35.549999999999997</v>
      </c>
      <c r="N115" s="116">
        <v>37.049999999999997</v>
      </c>
      <c r="O115" s="116">
        <v>33.049999999999997</v>
      </c>
      <c r="P115" s="116">
        <v>36.75</v>
      </c>
      <c r="Q115" s="116">
        <v>35.549999999999997</v>
      </c>
      <c r="R115">
        <v>2976513</v>
      </c>
    </row>
    <row r="116" spans="1:18" x14ac:dyDescent="0.25">
      <c r="A116" s="170">
        <v>42383</v>
      </c>
      <c r="B116" s="116">
        <v>36.700000000000003</v>
      </c>
      <c r="C116" s="116">
        <v>35.75</v>
      </c>
      <c r="D116" s="116">
        <v>34</v>
      </c>
      <c r="E116" s="116">
        <v>34.200000000000003</v>
      </c>
      <c r="F116" s="116">
        <v>35.75</v>
      </c>
      <c r="G116">
        <v>469771</v>
      </c>
      <c r="H116" s="116"/>
      <c r="I116" s="116"/>
      <c r="L116" s="170">
        <v>42383</v>
      </c>
      <c r="M116" s="116">
        <v>35.75</v>
      </c>
      <c r="N116" s="116">
        <v>36.65</v>
      </c>
      <c r="O116" s="116">
        <v>34.25</v>
      </c>
      <c r="P116" s="116">
        <v>34.450000000000003</v>
      </c>
      <c r="Q116" s="116">
        <v>35.75</v>
      </c>
      <c r="R116">
        <v>1464282</v>
      </c>
    </row>
    <row r="117" spans="1:18" x14ac:dyDescent="0.25">
      <c r="A117" s="170">
        <v>42384</v>
      </c>
      <c r="B117" s="116">
        <v>36.200000000000003</v>
      </c>
      <c r="C117" s="116">
        <v>34.299999999999997</v>
      </c>
      <c r="D117" s="116">
        <v>33.85</v>
      </c>
      <c r="E117" s="116">
        <v>36.1</v>
      </c>
      <c r="F117" s="116">
        <v>34.299999999999997</v>
      </c>
      <c r="G117">
        <v>455180</v>
      </c>
      <c r="H117" s="116"/>
      <c r="I117" s="116"/>
      <c r="L117" s="170">
        <v>42384</v>
      </c>
      <c r="M117" s="116">
        <v>34.35</v>
      </c>
      <c r="N117" s="116">
        <v>36.4</v>
      </c>
      <c r="O117" s="116">
        <v>33.9</v>
      </c>
      <c r="P117" s="116">
        <v>36.200000000000003</v>
      </c>
      <c r="Q117" s="116">
        <v>34.35</v>
      </c>
      <c r="R117">
        <v>1465571</v>
      </c>
    </row>
    <row r="118" spans="1:18" x14ac:dyDescent="0.25">
      <c r="A118" s="170">
        <v>42387</v>
      </c>
      <c r="B118" s="116">
        <v>34.5</v>
      </c>
      <c r="C118" s="116">
        <v>32.15</v>
      </c>
      <c r="D118" s="116">
        <v>31.6</v>
      </c>
      <c r="E118" s="116">
        <v>34</v>
      </c>
      <c r="F118" s="116">
        <v>32.15</v>
      </c>
      <c r="G118">
        <v>444536</v>
      </c>
      <c r="H118" s="116"/>
      <c r="I118" s="116"/>
      <c r="L118" s="170">
        <v>42387</v>
      </c>
      <c r="M118" s="116">
        <v>31.95</v>
      </c>
      <c r="N118" s="116">
        <v>34.700000000000003</v>
      </c>
      <c r="O118" s="116">
        <v>31.35</v>
      </c>
      <c r="P118" s="116">
        <v>34.700000000000003</v>
      </c>
      <c r="Q118" s="116">
        <v>31.95</v>
      </c>
      <c r="R118">
        <v>1414472</v>
      </c>
    </row>
    <row r="119" spans="1:18" x14ac:dyDescent="0.25">
      <c r="A119" s="170">
        <v>42388</v>
      </c>
      <c r="B119" s="116">
        <v>33.85</v>
      </c>
      <c r="C119" s="116">
        <v>33.6</v>
      </c>
      <c r="D119" s="116">
        <v>32.1</v>
      </c>
      <c r="E119" s="116">
        <v>32.1</v>
      </c>
      <c r="F119" s="116">
        <v>33.6</v>
      </c>
      <c r="G119">
        <v>262192</v>
      </c>
      <c r="H119" s="116"/>
      <c r="I119" s="116"/>
      <c r="L119" s="170">
        <v>42388</v>
      </c>
      <c r="M119" s="116">
        <v>33.65</v>
      </c>
      <c r="N119" s="116">
        <v>34</v>
      </c>
      <c r="O119" s="116">
        <v>32.049999999999997</v>
      </c>
      <c r="P119" s="116">
        <v>32.25</v>
      </c>
      <c r="Q119" s="116">
        <v>33.65</v>
      </c>
      <c r="R119">
        <v>1030979</v>
      </c>
    </row>
    <row r="120" spans="1:18" x14ac:dyDescent="0.25">
      <c r="A120" s="170">
        <v>42389</v>
      </c>
      <c r="B120" s="116">
        <v>33</v>
      </c>
      <c r="C120" s="116">
        <v>31.4</v>
      </c>
      <c r="D120" s="116">
        <v>29.7</v>
      </c>
      <c r="E120" s="116">
        <v>33</v>
      </c>
      <c r="F120" s="116">
        <v>31.4</v>
      </c>
      <c r="G120">
        <v>305605</v>
      </c>
      <c r="H120" s="116"/>
      <c r="I120" s="116"/>
      <c r="L120" s="170">
        <v>42389</v>
      </c>
      <c r="M120" s="116">
        <v>31.15</v>
      </c>
      <c r="N120" s="116">
        <v>32.799999999999997</v>
      </c>
      <c r="O120" s="116">
        <v>29.7</v>
      </c>
      <c r="P120" s="116">
        <v>32.799999999999997</v>
      </c>
      <c r="Q120" s="116">
        <v>31.15</v>
      </c>
      <c r="R120">
        <v>1613776</v>
      </c>
    </row>
    <row r="121" spans="1:18" x14ac:dyDescent="0.25">
      <c r="A121" s="170">
        <v>42390</v>
      </c>
      <c r="B121" s="116">
        <v>32.9</v>
      </c>
      <c r="C121" s="116">
        <v>32.15</v>
      </c>
      <c r="D121" s="116">
        <v>31.1</v>
      </c>
      <c r="E121" s="116">
        <v>32.1</v>
      </c>
      <c r="F121" s="116">
        <v>32.15</v>
      </c>
      <c r="G121">
        <v>254271</v>
      </c>
      <c r="H121" s="116"/>
      <c r="I121" s="116"/>
      <c r="L121" s="170">
        <v>42390</v>
      </c>
      <c r="M121" s="116">
        <v>32</v>
      </c>
      <c r="N121" s="116">
        <v>32.549999999999997</v>
      </c>
      <c r="O121" s="116">
        <v>31</v>
      </c>
      <c r="P121" s="116">
        <v>31.75</v>
      </c>
      <c r="Q121" s="116">
        <v>32</v>
      </c>
      <c r="R121">
        <v>978984</v>
      </c>
    </row>
    <row r="122" spans="1:18" x14ac:dyDescent="0.25">
      <c r="A122" s="170">
        <v>42391</v>
      </c>
      <c r="B122" s="116">
        <v>33.6</v>
      </c>
      <c r="C122" s="116">
        <v>33.1</v>
      </c>
      <c r="D122" s="116">
        <v>32.200000000000003</v>
      </c>
      <c r="E122" s="116">
        <v>32.6</v>
      </c>
      <c r="F122" s="116">
        <v>33.1</v>
      </c>
      <c r="G122">
        <v>210636</v>
      </c>
      <c r="H122" s="116"/>
      <c r="I122" s="116"/>
      <c r="L122" s="170">
        <v>42391</v>
      </c>
      <c r="M122" s="116">
        <v>33</v>
      </c>
      <c r="N122" s="116">
        <v>33.6</v>
      </c>
      <c r="O122" s="116">
        <v>32.15</v>
      </c>
      <c r="P122" s="116">
        <v>32.75</v>
      </c>
      <c r="Q122" s="116">
        <v>33</v>
      </c>
      <c r="R122">
        <v>716348</v>
      </c>
    </row>
    <row r="123" spans="1:18" x14ac:dyDescent="0.25">
      <c r="A123" s="170">
        <v>42394</v>
      </c>
      <c r="B123" s="116">
        <v>34.35</v>
      </c>
      <c r="C123" s="116">
        <v>33.75</v>
      </c>
      <c r="D123" s="116">
        <v>33.4</v>
      </c>
      <c r="E123" s="116">
        <v>33.799999999999997</v>
      </c>
      <c r="F123" s="116">
        <v>33.75</v>
      </c>
      <c r="G123">
        <v>196572</v>
      </c>
      <c r="H123" s="116"/>
      <c r="I123" s="116"/>
      <c r="L123" s="170">
        <v>42394</v>
      </c>
      <c r="M123" s="116">
        <v>33.75</v>
      </c>
      <c r="N123" s="116">
        <v>34.35</v>
      </c>
      <c r="O123" s="116">
        <v>33.299999999999997</v>
      </c>
      <c r="P123" s="116">
        <v>33.6</v>
      </c>
      <c r="Q123" s="116">
        <v>33.75</v>
      </c>
      <c r="R123">
        <v>600136</v>
      </c>
    </row>
    <row r="124" spans="1:18" x14ac:dyDescent="0.25">
      <c r="A124" s="170">
        <v>42396</v>
      </c>
      <c r="B124" s="116">
        <v>34.5</v>
      </c>
      <c r="C124" s="116">
        <v>34.049999999999997</v>
      </c>
      <c r="D124" s="116">
        <v>33.4</v>
      </c>
      <c r="E124" s="116">
        <v>34</v>
      </c>
      <c r="F124" s="116">
        <v>34.049999999999997</v>
      </c>
      <c r="G124">
        <v>148469</v>
      </c>
      <c r="H124" s="116"/>
      <c r="I124" s="116"/>
      <c r="L124" s="170">
        <v>42396</v>
      </c>
      <c r="M124" s="116">
        <v>34.049999999999997</v>
      </c>
      <c r="N124" s="116">
        <v>34.200000000000003</v>
      </c>
      <c r="O124" s="116">
        <v>33.4</v>
      </c>
      <c r="P124" s="116">
        <v>34.1</v>
      </c>
      <c r="Q124" s="116">
        <v>34.049999999999997</v>
      </c>
      <c r="R124">
        <v>407408</v>
      </c>
    </row>
    <row r="125" spans="1:18" x14ac:dyDescent="0.25">
      <c r="A125" s="170">
        <v>42397</v>
      </c>
      <c r="B125" s="116">
        <v>36.700000000000003</v>
      </c>
      <c r="C125" s="116">
        <v>36.1</v>
      </c>
      <c r="D125" s="116">
        <v>34</v>
      </c>
      <c r="E125" s="116">
        <v>34.1</v>
      </c>
      <c r="F125" s="116">
        <v>36.1</v>
      </c>
      <c r="G125">
        <v>286871</v>
      </c>
      <c r="H125" s="116"/>
      <c r="I125" s="116"/>
      <c r="L125" s="170">
        <v>42397</v>
      </c>
      <c r="M125" s="116">
        <v>36.200000000000003</v>
      </c>
      <c r="N125" s="116">
        <v>36.799999999999997</v>
      </c>
      <c r="O125" s="116">
        <v>34</v>
      </c>
      <c r="P125" s="116">
        <v>34.1</v>
      </c>
      <c r="Q125" s="116">
        <v>36.200000000000003</v>
      </c>
      <c r="R125">
        <v>1241564</v>
      </c>
    </row>
    <row r="126" spans="1:18" x14ac:dyDescent="0.25">
      <c r="A126" s="170">
        <v>42398</v>
      </c>
      <c r="B126" s="116">
        <v>37.15</v>
      </c>
      <c r="C126" s="116">
        <v>36.549999999999997</v>
      </c>
      <c r="D126" s="116">
        <v>35.6</v>
      </c>
      <c r="E126" s="116">
        <v>36.049999999999997</v>
      </c>
      <c r="F126" s="116">
        <v>36.549999999999997</v>
      </c>
      <c r="G126">
        <v>303926</v>
      </c>
      <c r="H126" s="116"/>
      <c r="I126" s="116"/>
      <c r="L126" s="170">
        <v>42398</v>
      </c>
      <c r="M126" s="116">
        <v>36.75</v>
      </c>
      <c r="N126" s="116">
        <v>37.200000000000003</v>
      </c>
      <c r="O126" s="116">
        <v>35.549999999999997</v>
      </c>
      <c r="P126" s="116">
        <v>35.950000000000003</v>
      </c>
      <c r="Q126" s="116">
        <v>36.75</v>
      </c>
      <c r="R126">
        <v>1128573</v>
      </c>
    </row>
    <row r="127" spans="1:18" x14ac:dyDescent="0.25">
      <c r="A127" s="170">
        <v>42401</v>
      </c>
      <c r="B127" s="116">
        <v>39.35</v>
      </c>
      <c r="C127" s="116">
        <v>39.1</v>
      </c>
      <c r="D127" s="116">
        <v>36.5</v>
      </c>
      <c r="E127" s="116">
        <v>37</v>
      </c>
      <c r="F127" s="116">
        <v>39.1</v>
      </c>
      <c r="G127">
        <v>617560</v>
      </c>
      <c r="H127" s="116"/>
      <c r="I127" s="116"/>
      <c r="L127" s="170">
        <v>42401</v>
      </c>
      <c r="M127" s="116">
        <v>39.1</v>
      </c>
      <c r="N127" s="116">
        <v>39.450000000000003</v>
      </c>
      <c r="O127" s="116">
        <v>36.5</v>
      </c>
      <c r="P127" s="116">
        <v>37.450000000000003</v>
      </c>
      <c r="Q127" s="116">
        <v>39.1</v>
      </c>
      <c r="R127">
        <v>2927257</v>
      </c>
    </row>
    <row r="128" spans="1:18" x14ac:dyDescent="0.25">
      <c r="A128" s="170">
        <v>42402</v>
      </c>
      <c r="B128" s="116">
        <v>39.9</v>
      </c>
      <c r="C128" s="116">
        <v>34.4</v>
      </c>
      <c r="D128" s="116">
        <v>34.049999999999997</v>
      </c>
      <c r="E128" s="116">
        <v>39.25</v>
      </c>
      <c r="F128" s="116">
        <v>34.4</v>
      </c>
      <c r="G128">
        <v>1374359</v>
      </c>
      <c r="H128" s="116"/>
      <c r="I128" s="116"/>
      <c r="L128" s="170">
        <v>42402</v>
      </c>
      <c r="M128" s="116">
        <v>34.299999999999997</v>
      </c>
      <c r="N128" s="116">
        <v>39.85</v>
      </c>
      <c r="O128" s="116">
        <v>33.9</v>
      </c>
      <c r="P128" s="116">
        <v>39.4</v>
      </c>
      <c r="Q128" s="116">
        <v>34.299999999999997</v>
      </c>
      <c r="R128">
        <v>5527944</v>
      </c>
    </row>
    <row r="129" spans="1:18" x14ac:dyDescent="0.25">
      <c r="A129" s="170">
        <v>42403</v>
      </c>
      <c r="B129" s="116">
        <v>33.9</v>
      </c>
      <c r="C129" s="116">
        <v>32.450000000000003</v>
      </c>
      <c r="D129" s="116">
        <v>31.5</v>
      </c>
      <c r="E129" s="116">
        <v>33.75</v>
      </c>
      <c r="F129" s="116">
        <v>32.450000000000003</v>
      </c>
      <c r="G129">
        <v>471323</v>
      </c>
      <c r="H129" s="116"/>
      <c r="I129" s="116"/>
      <c r="L129" s="170">
        <v>42403</v>
      </c>
      <c r="M129" s="116">
        <v>32.450000000000003</v>
      </c>
      <c r="N129" s="116">
        <v>33.799999999999997</v>
      </c>
      <c r="O129" s="116">
        <v>31.2</v>
      </c>
      <c r="P129" s="116">
        <v>33.200000000000003</v>
      </c>
      <c r="Q129" s="116">
        <v>32.450000000000003</v>
      </c>
      <c r="R129">
        <v>1285355</v>
      </c>
    </row>
    <row r="130" spans="1:18" x14ac:dyDescent="0.25">
      <c r="A130" s="170">
        <v>42404</v>
      </c>
      <c r="B130" s="116">
        <v>33.799999999999997</v>
      </c>
      <c r="C130" s="116">
        <v>32.4</v>
      </c>
      <c r="D130" s="116">
        <v>31.7</v>
      </c>
      <c r="E130" s="116">
        <v>33.35</v>
      </c>
      <c r="F130" s="116">
        <v>32.4</v>
      </c>
      <c r="G130">
        <v>282559</v>
      </c>
      <c r="H130" s="116"/>
      <c r="I130" s="116"/>
      <c r="L130" s="170">
        <v>42404</v>
      </c>
      <c r="M130" s="116">
        <v>32.35</v>
      </c>
      <c r="N130" s="116">
        <v>33.75</v>
      </c>
      <c r="O130" s="116">
        <v>31.8</v>
      </c>
      <c r="P130" s="116">
        <v>33.15</v>
      </c>
      <c r="Q130" s="116">
        <v>32.35</v>
      </c>
      <c r="R130">
        <v>712273</v>
      </c>
    </row>
    <row r="131" spans="1:18" x14ac:dyDescent="0.25">
      <c r="A131" s="170">
        <v>42405</v>
      </c>
      <c r="B131" s="116">
        <v>33.5</v>
      </c>
      <c r="C131" s="116">
        <v>33.200000000000003</v>
      </c>
      <c r="D131" s="116">
        <v>32.25</v>
      </c>
      <c r="E131" s="116">
        <v>32.5</v>
      </c>
      <c r="F131" s="116">
        <v>33.200000000000003</v>
      </c>
      <c r="G131">
        <v>165939</v>
      </c>
      <c r="H131" s="116"/>
      <c r="I131" s="116"/>
      <c r="L131" s="170">
        <v>42405</v>
      </c>
      <c r="M131" s="116">
        <v>33.25</v>
      </c>
      <c r="N131" s="116">
        <v>33.5</v>
      </c>
      <c r="O131" s="116">
        <v>32.299999999999997</v>
      </c>
      <c r="P131" s="116">
        <v>32.5</v>
      </c>
      <c r="Q131" s="116">
        <v>33.25</v>
      </c>
      <c r="R131">
        <v>535910</v>
      </c>
    </row>
    <row r="132" spans="1:18" x14ac:dyDescent="0.25">
      <c r="A132" s="170">
        <v>42408</v>
      </c>
      <c r="B132" s="116">
        <v>34.75</v>
      </c>
      <c r="C132" s="116">
        <v>32.950000000000003</v>
      </c>
      <c r="D132" s="116">
        <v>32.700000000000003</v>
      </c>
      <c r="E132" s="116">
        <v>33.450000000000003</v>
      </c>
      <c r="F132" s="116">
        <v>32.950000000000003</v>
      </c>
      <c r="G132">
        <v>145212</v>
      </c>
      <c r="H132" s="116"/>
      <c r="I132" s="116"/>
      <c r="L132" s="170">
        <v>42408</v>
      </c>
      <c r="M132" s="116">
        <v>33.049999999999997</v>
      </c>
      <c r="N132" s="116">
        <v>34.65</v>
      </c>
      <c r="O132" s="116">
        <v>32.799999999999997</v>
      </c>
      <c r="P132" s="116">
        <v>33.4</v>
      </c>
      <c r="Q132" s="116">
        <v>33.049999999999997</v>
      </c>
      <c r="R132">
        <v>662283</v>
      </c>
    </row>
    <row r="133" spans="1:18" x14ac:dyDescent="0.25">
      <c r="A133" s="170">
        <v>42409</v>
      </c>
      <c r="B133" s="116">
        <v>33.15</v>
      </c>
      <c r="C133" s="116">
        <v>32.700000000000003</v>
      </c>
      <c r="D133" s="116">
        <v>32.25</v>
      </c>
      <c r="E133" s="116">
        <v>32.950000000000003</v>
      </c>
      <c r="F133" s="116">
        <v>32.700000000000003</v>
      </c>
      <c r="G133">
        <v>122075</v>
      </c>
      <c r="H133" s="116"/>
      <c r="I133" s="116"/>
      <c r="L133" s="170">
        <v>42409</v>
      </c>
      <c r="M133" s="116">
        <v>32.799999999999997</v>
      </c>
      <c r="N133" s="116">
        <v>33.200000000000003</v>
      </c>
      <c r="O133" s="116">
        <v>32.200000000000003</v>
      </c>
      <c r="P133" s="116">
        <v>32.85</v>
      </c>
      <c r="Q133" s="116">
        <v>32.799999999999997</v>
      </c>
      <c r="R133">
        <v>397333</v>
      </c>
    </row>
    <row r="134" spans="1:18" x14ac:dyDescent="0.25">
      <c r="A134" s="170">
        <v>42410</v>
      </c>
      <c r="B134" s="116">
        <v>33.200000000000003</v>
      </c>
      <c r="C134" s="116">
        <v>32.1</v>
      </c>
      <c r="D134" s="116">
        <v>31.7</v>
      </c>
      <c r="E134" s="116">
        <v>32.6</v>
      </c>
      <c r="F134" s="116">
        <v>32.1</v>
      </c>
      <c r="G134">
        <v>181800</v>
      </c>
      <c r="H134" s="116"/>
      <c r="I134" s="116"/>
      <c r="L134" s="170">
        <v>42410</v>
      </c>
      <c r="M134" s="116">
        <v>31.9</v>
      </c>
      <c r="N134" s="116">
        <v>33.25</v>
      </c>
      <c r="O134" s="116">
        <v>31.6</v>
      </c>
      <c r="P134" s="116">
        <v>32.75</v>
      </c>
      <c r="Q134" s="116">
        <v>31.9</v>
      </c>
      <c r="R134">
        <v>653943</v>
      </c>
    </row>
    <row r="135" spans="1:18" x14ac:dyDescent="0.25">
      <c r="A135" s="170">
        <v>42411</v>
      </c>
      <c r="B135" s="116">
        <v>32.35</v>
      </c>
      <c r="C135" s="116">
        <v>29.55</v>
      </c>
      <c r="D135" s="116">
        <v>29</v>
      </c>
      <c r="E135" s="116">
        <v>31.9</v>
      </c>
      <c r="F135" s="116">
        <v>29.55</v>
      </c>
      <c r="G135">
        <v>219704</v>
      </c>
      <c r="H135" s="116"/>
      <c r="I135" s="116"/>
      <c r="L135" s="170">
        <v>42411</v>
      </c>
      <c r="M135" s="116">
        <v>29.65</v>
      </c>
      <c r="N135" s="116">
        <v>32.35</v>
      </c>
      <c r="O135" s="116">
        <v>29.25</v>
      </c>
      <c r="P135" s="116">
        <v>31.9</v>
      </c>
      <c r="Q135" s="116">
        <v>29.65</v>
      </c>
      <c r="R135">
        <v>805656</v>
      </c>
    </row>
    <row r="136" spans="1:18" x14ac:dyDescent="0.25">
      <c r="A136" s="170">
        <v>42412</v>
      </c>
      <c r="B136" s="116">
        <v>29.95</v>
      </c>
      <c r="C136" s="116">
        <v>28.8</v>
      </c>
      <c r="D136" s="116">
        <v>27.1</v>
      </c>
      <c r="E136" s="116">
        <v>29.85</v>
      </c>
      <c r="F136" s="116">
        <v>28.8</v>
      </c>
      <c r="G136">
        <v>446701</v>
      </c>
      <c r="H136" s="116"/>
      <c r="I136" s="116"/>
      <c r="L136" s="170">
        <v>42412</v>
      </c>
      <c r="M136" s="116">
        <v>28.75</v>
      </c>
      <c r="N136" s="116">
        <v>30.1</v>
      </c>
      <c r="O136" s="116">
        <v>27.2</v>
      </c>
      <c r="P136" s="116">
        <v>29.65</v>
      </c>
      <c r="Q136" s="116">
        <v>28.75</v>
      </c>
      <c r="R136">
        <v>1504398</v>
      </c>
    </row>
    <row r="137" spans="1:18" x14ac:dyDescent="0.25">
      <c r="A137" s="170">
        <v>42415</v>
      </c>
      <c r="B137" s="116">
        <v>31.15</v>
      </c>
      <c r="C137" s="116">
        <v>30.5</v>
      </c>
      <c r="D137" s="116">
        <v>29.4</v>
      </c>
      <c r="E137" s="116">
        <v>29.75</v>
      </c>
      <c r="F137" s="116">
        <v>30.5</v>
      </c>
      <c r="G137">
        <v>179793</v>
      </c>
      <c r="H137" s="116"/>
      <c r="I137" s="116"/>
      <c r="L137" s="170">
        <v>42415</v>
      </c>
      <c r="M137" s="116">
        <v>30.45</v>
      </c>
      <c r="N137" s="116">
        <v>31.1</v>
      </c>
      <c r="O137" s="116">
        <v>29.2</v>
      </c>
      <c r="P137" s="116">
        <v>29.2</v>
      </c>
      <c r="Q137" s="116">
        <v>30.45</v>
      </c>
      <c r="R137">
        <v>649918</v>
      </c>
    </row>
    <row r="138" spans="1:18" x14ac:dyDescent="0.25">
      <c r="A138" s="170">
        <v>42416</v>
      </c>
      <c r="B138" s="116">
        <v>31.8</v>
      </c>
      <c r="C138" s="116">
        <v>30.2</v>
      </c>
      <c r="D138" s="116">
        <v>29.9</v>
      </c>
      <c r="E138" s="116">
        <v>31.75</v>
      </c>
      <c r="F138" s="116">
        <v>30.2</v>
      </c>
      <c r="G138">
        <v>353048</v>
      </c>
      <c r="H138" s="116"/>
      <c r="I138" s="116"/>
      <c r="L138" s="170">
        <v>42416</v>
      </c>
      <c r="M138" s="116">
        <v>30.25</v>
      </c>
      <c r="N138" s="116">
        <v>31.8</v>
      </c>
      <c r="O138" s="116">
        <v>30</v>
      </c>
      <c r="P138" s="116">
        <v>30.95</v>
      </c>
      <c r="Q138" s="116">
        <v>30.25</v>
      </c>
      <c r="R138">
        <v>538867</v>
      </c>
    </row>
    <row r="139" spans="1:18" x14ac:dyDescent="0.25">
      <c r="A139" s="170">
        <v>42417</v>
      </c>
      <c r="B139" s="116">
        <v>30.75</v>
      </c>
      <c r="C139" s="116">
        <v>30.4</v>
      </c>
      <c r="D139" s="116">
        <v>28.85</v>
      </c>
      <c r="E139" s="116">
        <v>29.95</v>
      </c>
      <c r="F139" s="116">
        <v>30.4</v>
      </c>
      <c r="G139">
        <v>243700</v>
      </c>
      <c r="H139" s="116"/>
      <c r="I139" s="116"/>
      <c r="L139" s="170">
        <v>42417</v>
      </c>
      <c r="M139" s="116">
        <v>30.55</v>
      </c>
      <c r="N139" s="116">
        <v>31</v>
      </c>
      <c r="O139" s="116">
        <v>28.85</v>
      </c>
      <c r="P139" s="116">
        <v>30.45</v>
      </c>
      <c r="Q139" s="116">
        <v>30.55</v>
      </c>
      <c r="R139">
        <v>550473</v>
      </c>
    </row>
    <row r="140" spans="1:18" x14ac:dyDescent="0.25">
      <c r="A140" s="170">
        <v>42418</v>
      </c>
      <c r="B140" s="116">
        <v>31.85</v>
      </c>
      <c r="C140" s="116">
        <v>30.55</v>
      </c>
      <c r="D140" s="116">
        <v>30.25</v>
      </c>
      <c r="E140" s="116">
        <v>30.9</v>
      </c>
      <c r="F140" s="116">
        <v>30.55</v>
      </c>
      <c r="G140">
        <v>140470</v>
      </c>
      <c r="H140" s="116"/>
      <c r="I140" s="116"/>
      <c r="L140" s="170">
        <v>42418</v>
      </c>
      <c r="M140" s="116">
        <v>30.5</v>
      </c>
      <c r="N140" s="116">
        <v>31.9</v>
      </c>
      <c r="O140" s="116">
        <v>30.25</v>
      </c>
      <c r="P140" s="116">
        <v>30.7</v>
      </c>
      <c r="Q140" s="116">
        <v>30.5</v>
      </c>
      <c r="R140">
        <v>306505</v>
      </c>
    </row>
    <row r="141" spans="1:18" x14ac:dyDescent="0.25">
      <c r="A141" s="170">
        <v>42419</v>
      </c>
      <c r="B141" s="116">
        <v>30.9</v>
      </c>
      <c r="C141" s="116">
        <v>30.55</v>
      </c>
      <c r="D141" s="116">
        <v>29.9</v>
      </c>
      <c r="E141" s="116">
        <v>30.55</v>
      </c>
      <c r="F141" s="116">
        <v>30.55</v>
      </c>
      <c r="G141">
        <v>107410</v>
      </c>
      <c r="H141" s="116"/>
      <c r="I141" s="116"/>
      <c r="L141" s="170">
        <v>42419</v>
      </c>
      <c r="M141" s="116">
        <v>30.75</v>
      </c>
      <c r="N141" s="116">
        <v>31</v>
      </c>
      <c r="O141" s="116">
        <v>29.9</v>
      </c>
      <c r="P141" s="116">
        <v>30.65</v>
      </c>
      <c r="Q141" s="116">
        <v>30.75</v>
      </c>
      <c r="R141">
        <v>224243</v>
      </c>
    </row>
    <row r="142" spans="1:18" x14ac:dyDescent="0.25">
      <c r="A142" s="170">
        <v>42422</v>
      </c>
      <c r="B142" s="116">
        <v>31.2</v>
      </c>
      <c r="C142" s="116">
        <v>30.5</v>
      </c>
      <c r="D142" s="116">
        <v>30.4</v>
      </c>
      <c r="E142" s="116">
        <v>31</v>
      </c>
      <c r="F142" s="116">
        <v>30.5</v>
      </c>
      <c r="G142">
        <v>276156</v>
      </c>
      <c r="H142" s="116"/>
      <c r="I142" s="116"/>
      <c r="L142" s="170">
        <v>42422</v>
      </c>
      <c r="M142" s="116">
        <v>30.55</v>
      </c>
      <c r="N142" s="116">
        <v>31.25</v>
      </c>
      <c r="O142" s="116">
        <v>30.4</v>
      </c>
      <c r="P142" s="116">
        <v>31</v>
      </c>
      <c r="Q142" s="116">
        <v>30.55</v>
      </c>
      <c r="R142">
        <v>328968</v>
      </c>
    </row>
    <row r="143" spans="1:18" x14ac:dyDescent="0.25">
      <c r="A143" s="170">
        <v>42423</v>
      </c>
      <c r="B143" s="116">
        <v>30.55</v>
      </c>
      <c r="C143" s="116">
        <v>29.9</v>
      </c>
      <c r="D143" s="116">
        <v>29.75</v>
      </c>
      <c r="E143" s="116">
        <v>30.55</v>
      </c>
      <c r="F143" s="116">
        <v>29.9</v>
      </c>
      <c r="G143">
        <v>52108</v>
      </c>
      <c r="H143" s="116"/>
      <c r="I143" s="116"/>
      <c r="L143" s="170">
        <v>42423</v>
      </c>
      <c r="M143" s="116">
        <v>29.95</v>
      </c>
      <c r="N143" s="116">
        <v>30.8</v>
      </c>
      <c r="O143" s="116">
        <v>29.85</v>
      </c>
      <c r="P143" s="116">
        <v>30.8</v>
      </c>
      <c r="Q143" s="116">
        <v>29.95</v>
      </c>
      <c r="R143">
        <v>226136</v>
      </c>
    </row>
    <row r="144" spans="1:18" x14ac:dyDescent="0.25">
      <c r="A144" s="170">
        <v>42424</v>
      </c>
      <c r="B144" s="116">
        <v>29.95</v>
      </c>
      <c r="C144" s="116">
        <v>29.1</v>
      </c>
      <c r="D144" s="116">
        <v>28.95</v>
      </c>
      <c r="E144" s="116">
        <v>29.95</v>
      </c>
      <c r="F144" s="116">
        <v>29.1</v>
      </c>
      <c r="G144">
        <v>107137</v>
      </c>
      <c r="H144" s="116"/>
      <c r="I144" s="116"/>
      <c r="L144" s="170">
        <v>42424</v>
      </c>
      <c r="M144" s="116">
        <v>29.15</v>
      </c>
      <c r="N144" s="116">
        <v>29.95</v>
      </c>
      <c r="O144" s="116">
        <v>29.05</v>
      </c>
      <c r="P144" s="116">
        <v>29.95</v>
      </c>
      <c r="Q144" s="116">
        <v>29.15</v>
      </c>
      <c r="R144">
        <v>224024</v>
      </c>
    </row>
    <row r="145" spans="1:18" x14ac:dyDescent="0.25">
      <c r="A145" s="170">
        <v>42425</v>
      </c>
      <c r="B145" s="116">
        <v>29.6</v>
      </c>
      <c r="C145" s="116">
        <v>28.45</v>
      </c>
      <c r="D145" s="116">
        <v>28.35</v>
      </c>
      <c r="E145" s="116">
        <v>29.3</v>
      </c>
      <c r="F145" s="116">
        <v>28.45</v>
      </c>
      <c r="G145">
        <v>96707</v>
      </c>
      <c r="H145" s="116"/>
      <c r="I145" s="116"/>
      <c r="L145" s="170">
        <v>42425</v>
      </c>
      <c r="M145" s="116">
        <v>28.5</v>
      </c>
      <c r="N145" s="116">
        <v>29.6</v>
      </c>
      <c r="O145" s="116">
        <v>28.35</v>
      </c>
      <c r="P145" s="116">
        <v>29.3</v>
      </c>
      <c r="Q145" s="116">
        <v>28.5</v>
      </c>
      <c r="R145">
        <v>477480</v>
      </c>
    </row>
    <row r="146" spans="1:18" x14ac:dyDescent="0.25">
      <c r="A146" s="170">
        <v>42426</v>
      </c>
      <c r="B146" s="116">
        <v>29.45</v>
      </c>
      <c r="C146" s="116">
        <v>28.15</v>
      </c>
      <c r="D146" s="116">
        <v>28.05</v>
      </c>
      <c r="E146" s="116">
        <v>28.8</v>
      </c>
      <c r="F146" s="116">
        <v>28.15</v>
      </c>
      <c r="G146">
        <v>150315</v>
      </c>
      <c r="H146" s="116"/>
      <c r="I146" s="116"/>
      <c r="L146" s="170">
        <v>42426</v>
      </c>
      <c r="M146" s="116">
        <v>28.25</v>
      </c>
      <c r="N146" s="116">
        <v>29.7</v>
      </c>
      <c r="O146" s="116">
        <v>28.05</v>
      </c>
      <c r="P146" s="116">
        <v>28.95</v>
      </c>
      <c r="Q146" s="116">
        <v>28.25</v>
      </c>
      <c r="R146">
        <v>566645</v>
      </c>
    </row>
    <row r="147" spans="1:18" x14ac:dyDescent="0.25">
      <c r="A147" s="170">
        <v>42429</v>
      </c>
      <c r="B147" s="116">
        <v>28.65</v>
      </c>
      <c r="C147" s="116">
        <v>26.6</v>
      </c>
      <c r="D147" s="116">
        <v>26.3</v>
      </c>
      <c r="E147" s="116">
        <v>28.45</v>
      </c>
      <c r="F147" s="116">
        <v>26.6</v>
      </c>
      <c r="G147">
        <v>267936</v>
      </c>
      <c r="H147" s="116"/>
      <c r="I147" s="116"/>
      <c r="L147" s="170">
        <v>42429</v>
      </c>
      <c r="M147" s="116">
        <v>26.55</v>
      </c>
      <c r="N147" s="116">
        <v>28.6</v>
      </c>
      <c r="O147" s="116">
        <v>26.3</v>
      </c>
      <c r="P147" s="116">
        <v>28.35</v>
      </c>
      <c r="Q147" s="116">
        <v>26.55</v>
      </c>
      <c r="R147">
        <v>838445</v>
      </c>
    </row>
    <row r="148" spans="1:18" x14ac:dyDescent="0.25">
      <c r="A148" s="170">
        <v>42430</v>
      </c>
      <c r="B148" s="116">
        <v>29.4</v>
      </c>
      <c r="C148" s="116">
        <v>29.05</v>
      </c>
      <c r="D148" s="116">
        <v>26.5</v>
      </c>
      <c r="E148" s="116">
        <v>26.5</v>
      </c>
      <c r="F148" s="116">
        <v>29.05</v>
      </c>
      <c r="G148">
        <v>247255</v>
      </c>
      <c r="H148" s="116"/>
      <c r="I148" s="116"/>
      <c r="L148" s="170">
        <v>42430</v>
      </c>
      <c r="M148" s="116">
        <v>29.15</v>
      </c>
      <c r="N148" s="116">
        <v>29.45</v>
      </c>
      <c r="O148" s="116">
        <v>26.6</v>
      </c>
      <c r="P148" s="116">
        <v>26.7</v>
      </c>
      <c r="Q148" s="116">
        <v>29.15</v>
      </c>
      <c r="R148">
        <v>1178556</v>
      </c>
    </row>
    <row r="149" spans="1:18" x14ac:dyDescent="0.25">
      <c r="A149" s="170">
        <v>42431</v>
      </c>
      <c r="B149" s="116">
        <v>31.1</v>
      </c>
      <c r="C149" s="116">
        <v>30.6</v>
      </c>
      <c r="D149" s="116">
        <v>29.5</v>
      </c>
      <c r="E149" s="116">
        <v>29.9</v>
      </c>
      <c r="F149" s="116">
        <v>30.6</v>
      </c>
      <c r="G149">
        <v>234204</v>
      </c>
      <c r="H149" s="116"/>
      <c r="I149" s="116"/>
      <c r="L149" s="170">
        <v>42431</v>
      </c>
      <c r="M149" s="116">
        <v>30.5</v>
      </c>
      <c r="N149" s="116">
        <v>31.1</v>
      </c>
      <c r="O149" s="116">
        <v>29.5</v>
      </c>
      <c r="P149" s="116">
        <v>30</v>
      </c>
      <c r="Q149" s="116">
        <v>30.5</v>
      </c>
      <c r="R149">
        <v>869086</v>
      </c>
    </row>
    <row r="150" spans="1:18" x14ac:dyDescent="0.25">
      <c r="A150" s="170">
        <v>42432</v>
      </c>
      <c r="B150" s="116">
        <v>32.1</v>
      </c>
      <c r="C150" s="116">
        <v>31.95</v>
      </c>
      <c r="D150" s="116">
        <v>30.35</v>
      </c>
      <c r="E150" s="116">
        <v>30.95</v>
      </c>
      <c r="F150" s="116">
        <v>31.95</v>
      </c>
      <c r="G150">
        <v>227385</v>
      </c>
      <c r="H150" s="116"/>
      <c r="I150" s="116"/>
      <c r="L150" s="170">
        <v>42432</v>
      </c>
      <c r="M150" s="116">
        <v>32.049999999999997</v>
      </c>
      <c r="N150" s="116">
        <v>32.200000000000003</v>
      </c>
      <c r="O150" s="116">
        <v>30.3</v>
      </c>
      <c r="P150" s="116">
        <v>30.9</v>
      </c>
      <c r="Q150" s="116">
        <v>32.049999999999997</v>
      </c>
      <c r="R150">
        <v>822801</v>
      </c>
    </row>
    <row r="151" spans="1:18" x14ac:dyDescent="0.25">
      <c r="A151" s="170">
        <v>42433</v>
      </c>
      <c r="B151" s="116">
        <v>32.25</v>
      </c>
      <c r="C151" s="116">
        <v>31.05</v>
      </c>
      <c r="D151" s="116">
        <v>30.55</v>
      </c>
      <c r="E151" s="116">
        <v>32.25</v>
      </c>
      <c r="F151" s="116">
        <v>31.05</v>
      </c>
      <c r="G151">
        <v>176911</v>
      </c>
      <c r="H151" s="116"/>
      <c r="I151" s="116"/>
      <c r="L151" s="170">
        <v>42433</v>
      </c>
      <c r="M151" s="116">
        <v>31.1</v>
      </c>
      <c r="N151" s="116">
        <v>32.15</v>
      </c>
      <c r="O151" s="116">
        <v>30.5</v>
      </c>
      <c r="P151" s="116">
        <v>32.049999999999997</v>
      </c>
      <c r="Q151" s="116">
        <v>31.1</v>
      </c>
      <c r="R151">
        <v>593219</v>
      </c>
    </row>
    <row r="152" spans="1:18" x14ac:dyDescent="0.25">
      <c r="A152" s="170">
        <v>42437</v>
      </c>
      <c r="B152" s="116">
        <v>32</v>
      </c>
      <c r="C152" s="116">
        <v>30.85</v>
      </c>
      <c r="D152" s="116">
        <v>30.7</v>
      </c>
      <c r="E152" s="116">
        <v>31.15</v>
      </c>
      <c r="F152" s="116">
        <v>30.85</v>
      </c>
      <c r="G152">
        <v>110883</v>
      </c>
      <c r="H152" s="116"/>
      <c r="I152" s="116"/>
      <c r="L152" s="170">
        <v>42437</v>
      </c>
      <c r="M152" s="116">
        <v>30.8</v>
      </c>
      <c r="N152" s="116">
        <v>31.95</v>
      </c>
      <c r="O152" s="116">
        <v>30.7</v>
      </c>
      <c r="P152" s="116">
        <v>31.2</v>
      </c>
      <c r="Q152" s="116">
        <v>30.8</v>
      </c>
      <c r="R152">
        <v>420371</v>
      </c>
    </row>
    <row r="153" spans="1:18" x14ac:dyDescent="0.25">
      <c r="A153" s="170">
        <v>42438</v>
      </c>
      <c r="B153" s="116">
        <v>31.15</v>
      </c>
      <c r="C153" s="116">
        <v>31.05</v>
      </c>
      <c r="D153" s="116">
        <v>30.45</v>
      </c>
      <c r="E153" s="116">
        <v>30.85</v>
      </c>
      <c r="F153" s="116">
        <v>31.05</v>
      </c>
      <c r="G153">
        <v>73282</v>
      </c>
      <c r="H153" s="116"/>
      <c r="I153" s="116"/>
      <c r="L153" s="170">
        <v>42438</v>
      </c>
      <c r="M153" s="116">
        <v>31.05</v>
      </c>
      <c r="N153" s="116">
        <v>31.1</v>
      </c>
      <c r="O153" s="116">
        <v>30.35</v>
      </c>
      <c r="P153" s="116">
        <v>30.35</v>
      </c>
      <c r="Q153" s="116">
        <v>31.05</v>
      </c>
      <c r="R153">
        <v>273653</v>
      </c>
    </row>
    <row r="154" spans="1:18" x14ac:dyDescent="0.25">
      <c r="A154" s="170">
        <v>42439</v>
      </c>
      <c r="B154" s="116">
        <v>31.4</v>
      </c>
      <c r="C154" s="116">
        <v>30.65</v>
      </c>
      <c r="D154" s="116">
        <v>30.5</v>
      </c>
      <c r="E154" s="116">
        <v>31.1</v>
      </c>
      <c r="F154" s="116">
        <v>30.65</v>
      </c>
      <c r="G154">
        <v>105086</v>
      </c>
      <c r="H154" s="116"/>
      <c r="I154" s="116"/>
      <c r="L154" s="170">
        <v>42439</v>
      </c>
      <c r="M154" s="116">
        <v>30.6</v>
      </c>
      <c r="N154" s="116">
        <v>31.4</v>
      </c>
      <c r="O154" s="116">
        <v>30.4</v>
      </c>
      <c r="P154" s="116">
        <v>31.3</v>
      </c>
      <c r="Q154" s="116">
        <v>30.6</v>
      </c>
      <c r="R154">
        <v>307363</v>
      </c>
    </row>
    <row r="155" spans="1:18" x14ac:dyDescent="0.25">
      <c r="A155" s="170">
        <v>42440</v>
      </c>
      <c r="B155" s="116">
        <v>31.5</v>
      </c>
      <c r="C155" s="116">
        <v>30.7</v>
      </c>
      <c r="D155" s="116">
        <v>30.3</v>
      </c>
      <c r="E155" s="116">
        <v>30.35</v>
      </c>
      <c r="F155" s="116">
        <v>30.7</v>
      </c>
      <c r="G155">
        <v>206384</v>
      </c>
      <c r="H155" s="116"/>
      <c r="I155" s="116"/>
      <c r="L155" s="170">
        <v>42440</v>
      </c>
      <c r="M155" s="116">
        <v>30.7</v>
      </c>
      <c r="N155" s="116">
        <v>31.6</v>
      </c>
      <c r="O155" s="116">
        <v>30.3</v>
      </c>
      <c r="P155" s="116">
        <v>30.5</v>
      </c>
      <c r="Q155" s="116">
        <v>30.7</v>
      </c>
      <c r="R155">
        <v>626900</v>
      </c>
    </row>
    <row r="156" spans="1:18" x14ac:dyDescent="0.25">
      <c r="A156" s="170">
        <v>42443</v>
      </c>
      <c r="B156" s="116">
        <v>31.5</v>
      </c>
      <c r="C156" s="116">
        <v>31.45</v>
      </c>
      <c r="D156" s="116">
        <v>30.95</v>
      </c>
      <c r="E156" s="116">
        <v>31</v>
      </c>
      <c r="F156" s="116">
        <v>31.45</v>
      </c>
      <c r="G156">
        <v>152264</v>
      </c>
      <c r="H156" s="116"/>
      <c r="I156" s="116"/>
      <c r="L156" s="170">
        <v>42443</v>
      </c>
      <c r="M156" s="116">
        <v>31.4</v>
      </c>
      <c r="N156" s="116">
        <v>31.5</v>
      </c>
      <c r="O156" s="116">
        <v>30.9</v>
      </c>
      <c r="P156" s="116">
        <v>31.2</v>
      </c>
      <c r="Q156" s="116">
        <v>31.4</v>
      </c>
      <c r="R156">
        <v>847359</v>
      </c>
    </row>
    <row r="157" spans="1:18" x14ac:dyDescent="0.25">
      <c r="A157" s="170">
        <v>42444</v>
      </c>
      <c r="B157" s="116">
        <v>32.200000000000003</v>
      </c>
      <c r="C157" s="116">
        <v>31.65</v>
      </c>
      <c r="D157" s="116">
        <v>31</v>
      </c>
      <c r="E157" s="116">
        <v>31.15</v>
      </c>
      <c r="F157" s="116">
        <v>31.65</v>
      </c>
      <c r="G157">
        <v>227314</v>
      </c>
      <c r="H157" s="116"/>
      <c r="I157" s="116"/>
      <c r="L157" s="170">
        <v>42444</v>
      </c>
      <c r="M157" s="116">
        <v>31.65</v>
      </c>
      <c r="N157" s="116">
        <v>32.200000000000003</v>
      </c>
      <c r="O157" s="116">
        <v>31.15</v>
      </c>
      <c r="P157" s="116">
        <v>31.5</v>
      </c>
      <c r="Q157" s="116">
        <v>31.65</v>
      </c>
      <c r="R157">
        <v>690570</v>
      </c>
    </row>
    <row r="158" spans="1:18" x14ac:dyDescent="0.25">
      <c r="A158" s="170">
        <v>42445</v>
      </c>
      <c r="B158" s="116">
        <v>32.5</v>
      </c>
      <c r="C158" s="116">
        <v>31.7</v>
      </c>
      <c r="D158" s="116">
        <v>31.15</v>
      </c>
      <c r="E158" s="116">
        <v>31.55</v>
      </c>
      <c r="F158" s="116">
        <v>31.7</v>
      </c>
      <c r="G158">
        <v>196753</v>
      </c>
      <c r="H158" s="116"/>
      <c r="I158" s="116"/>
      <c r="L158" s="170">
        <v>42445</v>
      </c>
      <c r="M158" s="116">
        <v>31.9</v>
      </c>
      <c r="N158" s="116">
        <v>32.299999999999997</v>
      </c>
      <c r="O158" s="116">
        <v>31.4</v>
      </c>
      <c r="P158" s="116">
        <v>31.75</v>
      </c>
      <c r="Q158" s="116">
        <v>31.9</v>
      </c>
      <c r="R158">
        <v>944322</v>
      </c>
    </row>
    <row r="159" spans="1:18" x14ac:dyDescent="0.25">
      <c r="A159" s="170">
        <v>42446</v>
      </c>
      <c r="B159" s="116">
        <v>32.799999999999997</v>
      </c>
      <c r="C159" s="116">
        <v>31.95</v>
      </c>
      <c r="D159" s="116">
        <v>31.8</v>
      </c>
      <c r="E159" s="116">
        <v>32.299999999999997</v>
      </c>
      <c r="F159" s="116">
        <v>31.95</v>
      </c>
      <c r="G159">
        <v>194700</v>
      </c>
      <c r="H159" s="116"/>
      <c r="I159" s="116"/>
      <c r="L159" s="170">
        <v>42446</v>
      </c>
      <c r="M159" s="116">
        <v>32</v>
      </c>
      <c r="N159" s="116">
        <v>32.700000000000003</v>
      </c>
      <c r="O159" s="116">
        <v>31.8</v>
      </c>
      <c r="P159" s="116">
        <v>32.299999999999997</v>
      </c>
      <c r="Q159" s="116">
        <v>32</v>
      </c>
      <c r="R159">
        <v>676543</v>
      </c>
    </row>
    <row r="160" spans="1:18" x14ac:dyDescent="0.25">
      <c r="A160" s="170">
        <v>42447</v>
      </c>
      <c r="B160" s="116">
        <v>34.700000000000003</v>
      </c>
      <c r="C160" s="116">
        <v>33.799999999999997</v>
      </c>
      <c r="D160" s="116">
        <v>31.95</v>
      </c>
      <c r="E160" s="116">
        <v>32.200000000000003</v>
      </c>
      <c r="F160" s="116">
        <v>33.799999999999997</v>
      </c>
      <c r="G160">
        <v>413732</v>
      </c>
      <c r="H160" s="116"/>
      <c r="I160" s="116"/>
      <c r="L160" s="170">
        <v>42447</v>
      </c>
      <c r="M160" s="116">
        <v>33.950000000000003</v>
      </c>
      <c r="N160" s="116">
        <v>34.85</v>
      </c>
      <c r="O160" s="116">
        <v>31.95</v>
      </c>
      <c r="P160" s="116">
        <v>32.4</v>
      </c>
      <c r="Q160" s="116">
        <v>33.950000000000003</v>
      </c>
      <c r="R160">
        <v>2433386</v>
      </c>
    </row>
    <row r="161" spans="1:18" x14ac:dyDescent="0.25">
      <c r="A161" s="170">
        <v>42450</v>
      </c>
      <c r="B161" s="116">
        <v>34.35</v>
      </c>
      <c r="C161" s="116">
        <v>33.799999999999997</v>
      </c>
      <c r="D161" s="116">
        <v>33.049999999999997</v>
      </c>
      <c r="E161" s="116">
        <v>33.200000000000003</v>
      </c>
      <c r="F161" s="116">
        <v>33.799999999999997</v>
      </c>
      <c r="G161">
        <v>218387</v>
      </c>
      <c r="H161" s="116"/>
      <c r="I161" s="116"/>
      <c r="L161" s="170">
        <v>42450</v>
      </c>
      <c r="M161" s="116">
        <v>33.799999999999997</v>
      </c>
      <c r="N161" s="116">
        <v>34.35</v>
      </c>
      <c r="O161" s="116">
        <v>33.1</v>
      </c>
      <c r="P161" s="116">
        <v>33.1</v>
      </c>
      <c r="Q161" s="116">
        <v>33.799999999999997</v>
      </c>
      <c r="R161">
        <v>582307</v>
      </c>
    </row>
    <row r="162" spans="1:18" x14ac:dyDescent="0.25">
      <c r="A162" s="170">
        <v>42451</v>
      </c>
      <c r="B162" s="116">
        <v>34.85</v>
      </c>
      <c r="C162" s="116">
        <v>34.25</v>
      </c>
      <c r="D162" s="116">
        <v>33.5</v>
      </c>
      <c r="E162" s="116">
        <v>33.9</v>
      </c>
      <c r="F162" s="116">
        <v>34.25</v>
      </c>
      <c r="G162">
        <v>217171</v>
      </c>
      <c r="H162" s="116"/>
      <c r="I162" s="116"/>
      <c r="L162" s="170">
        <v>42451</v>
      </c>
      <c r="M162" s="116">
        <v>34.450000000000003</v>
      </c>
      <c r="N162" s="116">
        <v>34.75</v>
      </c>
      <c r="O162" s="116">
        <v>33.5</v>
      </c>
      <c r="P162" s="116">
        <v>33.799999999999997</v>
      </c>
      <c r="Q162" s="116">
        <v>34.450000000000003</v>
      </c>
      <c r="R162">
        <v>636623</v>
      </c>
    </row>
    <row r="163" spans="1:18" x14ac:dyDescent="0.25">
      <c r="A163" s="170">
        <v>42452</v>
      </c>
      <c r="B163" s="116">
        <v>34.950000000000003</v>
      </c>
      <c r="C163" s="116">
        <v>34.200000000000003</v>
      </c>
      <c r="D163" s="116">
        <v>33.75</v>
      </c>
      <c r="E163" s="116">
        <v>34.6</v>
      </c>
      <c r="F163" s="116">
        <v>34.200000000000003</v>
      </c>
      <c r="G163">
        <v>220898</v>
      </c>
      <c r="H163" s="116"/>
      <c r="I163" s="116"/>
      <c r="L163" s="170">
        <v>42452</v>
      </c>
      <c r="M163" s="116">
        <v>34.15</v>
      </c>
      <c r="N163" s="116">
        <v>35</v>
      </c>
      <c r="O163" s="116">
        <v>33.700000000000003</v>
      </c>
      <c r="P163" s="116">
        <v>34.65</v>
      </c>
      <c r="Q163" s="116">
        <v>34.15</v>
      </c>
      <c r="R163">
        <v>757650</v>
      </c>
    </row>
    <row r="164" spans="1:18" x14ac:dyDescent="0.25">
      <c r="A164" s="170">
        <v>42457</v>
      </c>
      <c r="B164" s="116">
        <v>34.6</v>
      </c>
      <c r="C164" s="116">
        <v>31.75</v>
      </c>
      <c r="D164" s="116">
        <v>30.95</v>
      </c>
      <c r="E164" s="116">
        <v>34.450000000000003</v>
      </c>
      <c r="F164" s="116">
        <v>31.75</v>
      </c>
      <c r="G164">
        <v>430012</v>
      </c>
      <c r="H164" s="116"/>
      <c r="I164" s="116"/>
      <c r="L164" s="170">
        <v>42457</v>
      </c>
      <c r="M164" s="116">
        <v>32.200000000000003</v>
      </c>
      <c r="N164" s="116">
        <v>34.65</v>
      </c>
      <c r="O164" s="116">
        <v>32</v>
      </c>
      <c r="P164" s="116">
        <v>34</v>
      </c>
      <c r="Q164" s="116">
        <v>32.200000000000003</v>
      </c>
      <c r="R164">
        <v>654487</v>
      </c>
    </row>
    <row r="165" spans="1:18" x14ac:dyDescent="0.25">
      <c r="A165" s="170">
        <v>42458</v>
      </c>
      <c r="B165" s="116">
        <v>33.799999999999997</v>
      </c>
      <c r="C165" s="116">
        <v>32.950000000000003</v>
      </c>
      <c r="D165" s="116">
        <v>31.8</v>
      </c>
      <c r="E165" s="116">
        <v>32.299999999999997</v>
      </c>
      <c r="F165" s="116">
        <v>32.950000000000003</v>
      </c>
      <c r="G165">
        <v>227489</v>
      </c>
      <c r="H165" s="116"/>
      <c r="I165" s="116"/>
      <c r="L165" s="170">
        <v>42458</v>
      </c>
      <c r="M165" s="116">
        <v>33.049999999999997</v>
      </c>
      <c r="N165" s="116">
        <v>33.799999999999997</v>
      </c>
      <c r="O165" s="116">
        <v>31.75</v>
      </c>
      <c r="P165" s="116">
        <v>32.299999999999997</v>
      </c>
      <c r="Q165" s="116">
        <v>33.049999999999997</v>
      </c>
      <c r="R165">
        <v>672619</v>
      </c>
    </row>
    <row r="166" spans="1:18" x14ac:dyDescent="0.25">
      <c r="A166" s="170">
        <v>42459</v>
      </c>
      <c r="B166" s="116">
        <v>35.200000000000003</v>
      </c>
      <c r="C166" s="116">
        <v>34.799999999999997</v>
      </c>
      <c r="D166" s="116">
        <v>34.1</v>
      </c>
      <c r="E166" s="116">
        <v>34.5</v>
      </c>
      <c r="F166" s="116">
        <v>34.799999999999997</v>
      </c>
      <c r="G166">
        <v>312037</v>
      </c>
      <c r="H166" s="116"/>
      <c r="I166" s="116"/>
      <c r="L166" s="170">
        <v>42459</v>
      </c>
      <c r="M166" s="116">
        <v>34.75</v>
      </c>
      <c r="N166" s="116">
        <v>35.35</v>
      </c>
      <c r="O166" s="116">
        <v>34.049999999999997</v>
      </c>
      <c r="P166" s="116">
        <v>35</v>
      </c>
      <c r="Q166" s="116">
        <v>34.75</v>
      </c>
      <c r="R166">
        <v>1486610</v>
      </c>
    </row>
    <row r="167" spans="1:18" x14ac:dyDescent="0.25">
      <c r="A167" s="170">
        <v>42460</v>
      </c>
      <c r="B167" s="116">
        <v>35</v>
      </c>
      <c r="C167" s="116">
        <v>34.299999999999997</v>
      </c>
      <c r="D167" s="116">
        <v>34</v>
      </c>
      <c r="E167" s="116">
        <v>34.549999999999997</v>
      </c>
      <c r="F167" s="116">
        <v>34.299999999999997</v>
      </c>
      <c r="G167">
        <v>155095</v>
      </c>
      <c r="H167" s="116"/>
      <c r="I167" s="116"/>
      <c r="L167" s="170">
        <v>42460</v>
      </c>
      <c r="M167" s="116">
        <v>34.35</v>
      </c>
      <c r="N167" s="116">
        <v>34.85</v>
      </c>
      <c r="O167" s="116">
        <v>33.85</v>
      </c>
      <c r="P167" s="116">
        <v>34.799999999999997</v>
      </c>
      <c r="Q167" s="116">
        <v>34.35</v>
      </c>
      <c r="R167">
        <v>577019</v>
      </c>
    </row>
    <row r="168" spans="1:18" x14ac:dyDescent="0.25">
      <c r="A168" s="170">
        <v>42461</v>
      </c>
      <c r="B168" s="116">
        <v>36.4</v>
      </c>
      <c r="C168" s="116">
        <v>35.15</v>
      </c>
      <c r="D168" s="116">
        <v>33.950000000000003</v>
      </c>
      <c r="E168" s="116">
        <v>34.15</v>
      </c>
      <c r="F168" s="116">
        <v>35.15</v>
      </c>
      <c r="G168">
        <v>304385</v>
      </c>
      <c r="H168" s="116"/>
      <c r="I168" s="116"/>
      <c r="L168" s="170">
        <v>42461</v>
      </c>
      <c r="M168" s="116">
        <v>35.049999999999997</v>
      </c>
      <c r="N168" s="116">
        <v>36.5</v>
      </c>
      <c r="O168" s="116">
        <v>33.75</v>
      </c>
      <c r="P168" s="116">
        <v>34.049999999999997</v>
      </c>
      <c r="Q168" s="116">
        <v>35.049999999999997</v>
      </c>
      <c r="R168">
        <v>1170422</v>
      </c>
    </row>
    <row r="169" spans="1:18" x14ac:dyDescent="0.25">
      <c r="A169" s="170">
        <v>42464</v>
      </c>
      <c r="B169" s="116">
        <v>36.1</v>
      </c>
      <c r="C169" s="116">
        <v>35.9</v>
      </c>
      <c r="D169" s="116">
        <v>35</v>
      </c>
      <c r="E169" s="116">
        <v>35.799999999999997</v>
      </c>
      <c r="F169" s="116">
        <v>35.9</v>
      </c>
      <c r="G169">
        <v>161000</v>
      </c>
      <c r="H169" s="116"/>
      <c r="I169" s="116"/>
      <c r="L169" s="170">
        <v>42464</v>
      </c>
      <c r="M169" s="116">
        <v>35.9</v>
      </c>
      <c r="N169" s="116">
        <v>36.1</v>
      </c>
      <c r="O169" s="116">
        <v>35</v>
      </c>
      <c r="P169" s="116">
        <v>35.6</v>
      </c>
      <c r="Q169" s="116">
        <v>35.9</v>
      </c>
      <c r="R169">
        <v>523887</v>
      </c>
    </row>
    <row r="170" spans="1:18" x14ac:dyDescent="0.25">
      <c r="A170" s="170">
        <v>42465</v>
      </c>
      <c r="B170" s="116">
        <v>35.549999999999997</v>
      </c>
      <c r="C170" s="116">
        <v>34.15</v>
      </c>
      <c r="D170" s="116">
        <v>33.450000000000003</v>
      </c>
      <c r="E170" s="116">
        <v>35.299999999999997</v>
      </c>
      <c r="F170" s="116">
        <v>34.15</v>
      </c>
      <c r="G170">
        <v>160379</v>
      </c>
      <c r="H170" s="116"/>
      <c r="I170" s="116"/>
      <c r="L170" s="170">
        <v>42465</v>
      </c>
      <c r="M170" s="116">
        <v>34.200000000000003</v>
      </c>
      <c r="N170" s="116">
        <v>35.799999999999997</v>
      </c>
      <c r="O170" s="116">
        <v>33.35</v>
      </c>
      <c r="P170" s="116">
        <v>35.799999999999997</v>
      </c>
      <c r="Q170" s="116">
        <v>34.200000000000003</v>
      </c>
      <c r="R170">
        <v>619291</v>
      </c>
    </row>
    <row r="171" spans="1:18" x14ac:dyDescent="0.25">
      <c r="A171" s="170">
        <v>42466</v>
      </c>
      <c r="B171" s="116">
        <v>34.35</v>
      </c>
      <c r="C171" s="116">
        <v>34.1</v>
      </c>
      <c r="D171" s="116">
        <v>33.450000000000003</v>
      </c>
      <c r="E171" s="116">
        <v>33.950000000000003</v>
      </c>
      <c r="F171" s="116">
        <v>34.1</v>
      </c>
      <c r="G171">
        <v>122013</v>
      </c>
      <c r="H171" s="116"/>
      <c r="I171" s="116"/>
      <c r="L171" s="170">
        <v>42466</v>
      </c>
      <c r="M171" s="116">
        <v>34.15</v>
      </c>
      <c r="N171" s="116">
        <v>34.4</v>
      </c>
      <c r="O171" s="116">
        <v>33.35</v>
      </c>
      <c r="P171" s="116">
        <v>34.299999999999997</v>
      </c>
      <c r="Q171" s="116">
        <v>34.15</v>
      </c>
      <c r="R171">
        <v>621540</v>
      </c>
    </row>
    <row r="172" spans="1:18" x14ac:dyDescent="0.25">
      <c r="A172" s="170">
        <v>42467</v>
      </c>
      <c r="B172" s="116">
        <v>34.5</v>
      </c>
      <c r="C172" s="116">
        <v>33.299999999999997</v>
      </c>
      <c r="D172" s="116">
        <v>33.15</v>
      </c>
      <c r="E172" s="116">
        <v>34.5</v>
      </c>
      <c r="F172" s="116">
        <v>33.299999999999997</v>
      </c>
      <c r="G172">
        <v>146663</v>
      </c>
      <c r="H172" s="116"/>
      <c r="I172" s="116"/>
      <c r="L172" s="170">
        <v>42467</v>
      </c>
      <c r="M172" s="116">
        <v>33.299999999999997</v>
      </c>
      <c r="N172" s="116">
        <v>34.6</v>
      </c>
      <c r="O172" s="116">
        <v>33.1</v>
      </c>
      <c r="P172" s="116">
        <v>34.6</v>
      </c>
      <c r="Q172" s="116">
        <v>33.299999999999997</v>
      </c>
      <c r="R172">
        <v>563257</v>
      </c>
    </row>
    <row r="173" spans="1:18" x14ac:dyDescent="0.25">
      <c r="A173" s="170">
        <v>42468</v>
      </c>
      <c r="B173" s="116">
        <v>33.85</v>
      </c>
      <c r="C173" s="116">
        <v>33.450000000000003</v>
      </c>
      <c r="D173" s="116">
        <v>32.950000000000003</v>
      </c>
      <c r="E173" s="116">
        <v>33.5</v>
      </c>
      <c r="F173" s="116">
        <v>33.450000000000003</v>
      </c>
      <c r="G173">
        <v>102790</v>
      </c>
      <c r="H173" s="116"/>
      <c r="I173" s="116"/>
      <c r="L173" s="170">
        <v>42468</v>
      </c>
      <c r="M173" s="116">
        <v>33.4</v>
      </c>
      <c r="N173" s="116">
        <v>33.75</v>
      </c>
      <c r="O173" s="116">
        <v>32.9</v>
      </c>
      <c r="P173" s="116">
        <v>33.1</v>
      </c>
      <c r="Q173" s="116">
        <v>33.4</v>
      </c>
      <c r="R173">
        <v>431240</v>
      </c>
    </row>
    <row r="174" spans="1:18" x14ac:dyDescent="0.25">
      <c r="A174" s="170">
        <v>42471</v>
      </c>
      <c r="B174" s="116">
        <v>34.299999999999997</v>
      </c>
      <c r="C174" s="116">
        <v>33.75</v>
      </c>
      <c r="D174" s="116">
        <v>33.35</v>
      </c>
      <c r="E174" s="116">
        <v>33.4</v>
      </c>
      <c r="F174" s="116">
        <v>33.75</v>
      </c>
      <c r="G174">
        <v>91000</v>
      </c>
      <c r="H174" s="116"/>
      <c r="I174" s="116"/>
      <c r="L174" s="170">
        <v>42471</v>
      </c>
      <c r="M174" s="116">
        <v>33.700000000000003</v>
      </c>
      <c r="N174" s="116">
        <v>34.4</v>
      </c>
      <c r="O174" s="116">
        <v>33.25</v>
      </c>
      <c r="P174" s="116">
        <v>33.35</v>
      </c>
      <c r="Q174" s="116">
        <v>33.700000000000003</v>
      </c>
      <c r="R174">
        <v>462335</v>
      </c>
    </row>
    <row r="175" spans="1:18" x14ac:dyDescent="0.25">
      <c r="A175" s="170">
        <v>42472</v>
      </c>
      <c r="B175" s="116">
        <v>34.25</v>
      </c>
      <c r="C175" s="116">
        <v>33.85</v>
      </c>
      <c r="D175" s="116">
        <v>33.6</v>
      </c>
      <c r="E175" s="116">
        <v>34</v>
      </c>
      <c r="F175" s="116">
        <v>33.85</v>
      </c>
      <c r="G175">
        <v>82321</v>
      </c>
      <c r="H175" s="116"/>
      <c r="I175" s="116"/>
      <c r="L175" s="170">
        <v>42472</v>
      </c>
      <c r="M175" s="116">
        <v>33.799999999999997</v>
      </c>
      <c r="N175" s="116">
        <v>34.25</v>
      </c>
      <c r="O175" s="116">
        <v>33.700000000000003</v>
      </c>
      <c r="P175" s="116">
        <v>33.75</v>
      </c>
      <c r="Q175" s="116">
        <v>33.799999999999997</v>
      </c>
      <c r="R175">
        <v>327039</v>
      </c>
    </row>
    <row r="176" spans="1:18" x14ac:dyDescent="0.25">
      <c r="A176" s="170">
        <v>42473</v>
      </c>
      <c r="B176" s="116">
        <v>36.15</v>
      </c>
      <c r="C176" s="116">
        <v>34.799999999999997</v>
      </c>
      <c r="D176" s="116">
        <v>33.799999999999997</v>
      </c>
      <c r="E176" s="116">
        <v>34.25</v>
      </c>
      <c r="F176" s="116">
        <v>34.799999999999997</v>
      </c>
      <c r="G176">
        <v>2441169</v>
      </c>
      <c r="H176" s="116"/>
      <c r="I176" s="116"/>
      <c r="L176" s="170">
        <v>42473</v>
      </c>
      <c r="M176" s="116">
        <v>34.700000000000003</v>
      </c>
      <c r="N176" s="116">
        <v>36.200000000000003</v>
      </c>
      <c r="O176" s="116">
        <v>33.85</v>
      </c>
      <c r="P176" s="116">
        <v>34.200000000000003</v>
      </c>
      <c r="Q176" s="116">
        <v>34.700000000000003</v>
      </c>
      <c r="R176">
        <v>5705090</v>
      </c>
    </row>
    <row r="177" spans="1:18" x14ac:dyDescent="0.25">
      <c r="A177" s="170">
        <v>42478</v>
      </c>
      <c r="B177" s="116">
        <v>35</v>
      </c>
      <c r="C177" s="116">
        <v>34.6</v>
      </c>
      <c r="D177" s="116">
        <v>34.25</v>
      </c>
      <c r="E177" s="116">
        <v>35</v>
      </c>
      <c r="F177" s="116">
        <v>34.6</v>
      </c>
      <c r="G177">
        <v>103531</v>
      </c>
      <c r="H177" s="116"/>
      <c r="I177" s="116"/>
      <c r="L177" s="170">
        <v>42478</v>
      </c>
      <c r="M177" s="116">
        <v>34.549999999999997</v>
      </c>
      <c r="N177" s="116">
        <v>35</v>
      </c>
      <c r="O177" s="116">
        <v>34.200000000000003</v>
      </c>
      <c r="P177" s="116">
        <v>35</v>
      </c>
      <c r="Q177" s="116">
        <v>34.549999999999997</v>
      </c>
      <c r="R177">
        <v>507858</v>
      </c>
    </row>
    <row r="178" spans="1:18" x14ac:dyDescent="0.25">
      <c r="A178" s="170">
        <v>42480</v>
      </c>
      <c r="B178" s="116">
        <v>34.950000000000003</v>
      </c>
      <c r="C178" s="116">
        <v>34.35</v>
      </c>
      <c r="D178" s="116">
        <v>33.75</v>
      </c>
      <c r="E178" s="116">
        <v>34.5</v>
      </c>
      <c r="F178" s="116">
        <v>34.35</v>
      </c>
      <c r="G178">
        <v>156314</v>
      </c>
      <c r="H178" s="116"/>
      <c r="I178" s="116"/>
      <c r="L178" s="170">
        <v>42480</v>
      </c>
      <c r="M178" s="116">
        <v>34.35</v>
      </c>
      <c r="N178" s="116">
        <v>34.950000000000003</v>
      </c>
      <c r="O178" s="116">
        <v>33.75</v>
      </c>
      <c r="P178" s="116">
        <v>34.700000000000003</v>
      </c>
      <c r="Q178" s="116">
        <v>34.35</v>
      </c>
      <c r="R178">
        <v>5222961</v>
      </c>
    </row>
    <row r="179" spans="1:18" x14ac:dyDescent="0.25">
      <c r="A179" s="170">
        <v>42481</v>
      </c>
      <c r="B179" s="116">
        <v>34.799999999999997</v>
      </c>
      <c r="C179" s="116">
        <v>33.5</v>
      </c>
      <c r="D179" s="116">
        <v>33.200000000000003</v>
      </c>
      <c r="E179" s="116">
        <v>34.6</v>
      </c>
      <c r="F179" s="116">
        <v>33.5</v>
      </c>
      <c r="G179">
        <v>172223</v>
      </c>
      <c r="H179" s="116"/>
      <c r="I179" s="116"/>
      <c r="L179" s="170">
        <v>42481</v>
      </c>
      <c r="M179" s="116">
        <v>33.450000000000003</v>
      </c>
      <c r="N179" s="116">
        <v>34.700000000000003</v>
      </c>
      <c r="O179" s="116">
        <v>33.15</v>
      </c>
      <c r="P179" s="116">
        <v>34.549999999999997</v>
      </c>
      <c r="Q179" s="116">
        <v>33.450000000000003</v>
      </c>
      <c r="R179">
        <v>3096973</v>
      </c>
    </row>
    <row r="180" spans="1:18" x14ac:dyDescent="0.25">
      <c r="A180" s="170">
        <v>42482</v>
      </c>
      <c r="B180" s="116">
        <v>33.85</v>
      </c>
      <c r="C180" s="116">
        <v>33.4</v>
      </c>
      <c r="D180" s="116">
        <v>33.15</v>
      </c>
      <c r="E180" s="116">
        <v>33.799999999999997</v>
      </c>
      <c r="F180" s="116">
        <v>33.4</v>
      </c>
      <c r="G180">
        <v>215169</v>
      </c>
      <c r="H180" s="116"/>
      <c r="I180" s="116"/>
      <c r="L180" s="170">
        <v>42482</v>
      </c>
      <c r="M180" s="116">
        <v>33.35</v>
      </c>
      <c r="N180" s="116">
        <v>33.950000000000003</v>
      </c>
      <c r="O180" s="116">
        <v>33.15</v>
      </c>
      <c r="P180" s="116">
        <v>33.75</v>
      </c>
      <c r="Q180" s="116">
        <v>33.35</v>
      </c>
      <c r="R180">
        <v>699729</v>
      </c>
    </row>
    <row r="181" spans="1:18" x14ac:dyDescent="0.25">
      <c r="A181" s="170">
        <v>42485</v>
      </c>
      <c r="B181" s="116">
        <v>33.700000000000003</v>
      </c>
      <c r="C181" s="116">
        <v>33.049999999999997</v>
      </c>
      <c r="D181" s="116">
        <v>32.85</v>
      </c>
      <c r="E181" s="116">
        <v>33.200000000000003</v>
      </c>
      <c r="F181" s="116">
        <v>33.049999999999997</v>
      </c>
      <c r="G181">
        <v>2254539</v>
      </c>
      <c r="H181" s="116"/>
      <c r="I181" s="116"/>
      <c r="L181" s="170">
        <v>42485</v>
      </c>
      <c r="M181" s="116">
        <v>33.1</v>
      </c>
      <c r="N181" s="116">
        <v>33.799999999999997</v>
      </c>
      <c r="O181" s="116">
        <v>32.75</v>
      </c>
      <c r="P181" s="116">
        <v>33.700000000000003</v>
      </c>
      <c r="Q181" s="116">
        <v>33.1</v>
      </c>
      <c r="R181">
        <v>3729851</v>
      </c>
    </row>
    <row r="182" spans="1:18" x14ac:dyDescent="0.25">
      <c r="A182" s="170">
        <v>42486</v>
      </c>
      <c r="B182" s="116">
        <v>33.6</v>
      </c>
      <c r="C182" s="116">
        <v>32.950000000000003</v>
      </c>
      <c r="D182" s="116">
        <v>32.75</v>
      </c>
      <c r="E182" s="116">
        <v>33.1</v>
      </c>
      <c r="F182" s="116">
        <v>32.950000000000003</v>
      </c>
      <c r="G182">
        <v>80802</v>
      </c>
      <c r="H182" s="116"/>
      <c r="I182" s="116"/>
      <c r="L182" s="170">
        <v>42486</v>
      </c>
      <c r="M182" s="116">
        <v>32.950000000000003</v>
      </c>
      <c r="N182" s="116">
        <v>33.6</v>
      </c>
      <c r="O182" s="116">
        <v>32.65</v>
      </c>
      <c r="P182" s="116">
        <v>33.35</v>
      </c>
      <c r="Q182" s="116">
        <v>32.950000000000003</v>
      </c>
      <c r="R182">
        <v>441653</v>
      </c>
    </row>
    <row r="183" spans="1:18" x14ac:dyDescent="0.25">
      <c r="A183" s="170">
        <v>42487</v>
      </c>
      <c r="B183" s="116">
        <v>33.299999999999997</v>
      </c>
      <c r="C183" s="116">
        <v>32.299999999999997</v>
      </c>
      <c r="D183" s="116">
        <v>32.200000000000003</v>
      </c>
      <c r="E183" s="116">
        <v>33</v>
      </c>
      <c r="F183" s="116">
        <v>32.299999999999997</v>
      </c>
      <c r="G183">
        <v>128028</v>
      </c>
      <c r="H183" s="116"/>
      <c r="I183" s="116"/>
      <c r="L183" s="170">
        <v>42487</v>
      </c>
      <c r="M183" s="116">
        <v>32.25</v>
      </c>
      <c r="N183" s="116">
        <v>33.25</v>
      </c>
      <c r="O183" s="116">
        <v>32.200000000000003</v>
      </c>
      <c r="P183" s="116">
        <v>33.1</v>
      </c>
      <c r="Q183" s="116">
        <v>32.25</v>
      </c>
      <c r="R183">
        <v>587125</v>
      </c>
    </row>
    <row r="184" spans="1:18" x14ac:dyDescent="0.25">
      <c r="A184" s="170">
        <v>42488</v>
      </c>
      <c r="B184" s="116">
        <v>33</v>
      </c>
      <c r="C184" s="116">
        <v>32.25</v>
      </c>
      <c r="D184" s="116">
        <v>32.1</v>
      </c>
      <c r="E184" s="116">
        <v>32.1</v>
      </c>
      <c r="F184" s="116">
        <v>32.25</v>
      </c>
      <c r="G184">
        <v>186867</v>
      </c>
      <c r="H184" s="116"/>
      <c r="I184" s="116"/>
      <c r="L184" s="170">
        <v>42488</v>
      </c>
      <c r="M184" s="116">
        <v>32.25</v>
      </c>
      <c r="N184" s="116">
        <v>33</v>
      </c>
      <c r="O184" s="116">
        <v>32.049999999999997</v>
      </c>
      <c r="P184" s="116">
        <v>32.549999999999997</v>
      </c>
      <c r="Q184" s="116">
        <v>32.25</v>
      </c>
      <c r="R184">
        <v>886684</v>
      </c>
    </row>
    <row r="185" spans="1:18" x14ac:dyDescent="0.25">
      <c r="A185" s="170">
        <v>42489</v>
      </c>
      <c r="B185" s="116">
        <v>32.5</v>
      </c>
      <c r="C185" s="116">
        <v>31.7</v>
      </c>
      <c r="D185" s="116">
        <v>31.25</v>
      </c>
      <c r="E185" s="116">
        <v>32.5</v>
      </c>
      <c r="F185" s="116">
        <v>31.7</v>
      </c>
      <c r="G185">
        <v>163872</v>
      </c>
      <c r="H185" s="116"/>
      <c r="I185" s="116"/>
      <c r="L185" s="170">
        <v>42489</v>
      </c>
      <c r="M185" s="116">
        <v>31.6</v>
      </c>
      <c r="N185" s="116">
        <v>32.4</v>
      </c>
      <c r="O185" s="116">
        <v>31.25</v>
      </c>
      <c r="P185" s="116">
        <v>32.299999999999997</v>
      </c>
      <c r="Q185" s="116">
        <v>31.6</v>
      </c>
      <c r="R185">
        <v>562433</v>
      </c>
    </row>
    <row r="186" spans="1:18" x14ac:dyDescent="0.25">
      <c r="A186" s="170">
        <v>42492</v>
      </c>
      <c r="B186" s="116">
        <v>32</v>
      </c>
      <c r="C186" s="116">
        <v>31.4</v>
      </c>
      <c r="D186" s="116">
        <v>31.25</v>
      </c>
      <c r="E186" s="116">
        <v>31.6</v>
      </c>
      <c r="F186" s="116">
        <v>31.4</v>
      </c>
      <c r="G186">
        <v>131886</v>
      </c>
      <c r="H186" s="116"/>
      <c r="I186" s="116"/>
      <c r="L186" s="170">
        <v>42492</v>
      </c>
      <c r="M186" s="116">
        <v>31.35</v>
      </c>
      <c r="N186" s="116">
        <v>32</v>
      </c>
      <c r="O186" s="116">
        <v>31.25</v>
      </c>
      <c r="P186" s="116">
        <v>31.95</v>
      </c>
      <c r="Q186" s="116">
        <v>31.35</v>
      </c>
      <c r="R186">
        <v>342007</v>
      </c>
    </row>
    <row r="187" spans="1:18" x14ac:dyDescent="0.25">
      <c r="A187" s="170">
        <v>42493</v>
      </c>
      <c r="B187" s="116">
        <v>33.25</v>
      </c>
      <c r="C187" s="116">
        <v>32.450000000000003</v>
      </c>
      <c r="D187" s="116">
        <v>31.2</v>
      </c>
      <c r="E187" s="116">
        <v>31.7</v>
      </c>
      <c r="F187" s="116">
        <v>32.450000000000003</v>
      </c>
      <c r="G187">
        <v>296319</v>
      </c>
      <c r="H187" s="116"/>
      <c r="I187" s="116"/>
      <c r="L187" s="170">
        <v>42493</v>
      </c>
      <c r="M187" s="116">
        <v>32.450000000000003</v>
      </c>
      <c r="N187" s="116">
        <v>33.25</v>
      </c>
      <c r="O187" s="116">
        <v>31.25</v>
      </c>
      <c r="P187" s="116">
        <v>31.6</v>
      </c>
      <c r="Q187" s="116">
        <v>32.450000000000003</v>
      </c>
      <c r="R187">
        <v>1279536</v>
      </c>
    </row>
    <row r="188" spans="1:18" x14ac:dyDescent="0.25">
      <c r="A188" s="170">
        <v>42494</v>
      </c>
      <c r="B188" s="116">
        <v>32.6</v>
      </c>
      <c r="C188" s="116">
        <v>31.4</v>
      </c>
      <c r="D188" s="116">
        <v>31.1</v>
      </c>
      <c r="E188" s="116">
        <v>32.6</v>
      </c>
      <c r="F188" s="116">
        <v>31.4</v>
      </c>
      <c r="G188">
        <v>128619</v>
      </c>
      <c r="H188" s="116"/>
      <c r="I188" s="116"/>
      <c r="L188" s="170">
        <v>42494</v>
      </c>
      <c r="M188" s="116">
        <v>31.35</v>
      </c>
      <c r="N188" s="116">
        <v>32.5</v>
      </c>
      <c r="O188" s="116">
        <v>31.2</v>
      </c>
      <c r="P188" s="116">
        <v>32.25</v>
      </c>
      <c r="Q188" s="116">
        <v>31.35</v>
      </c>
      <c r="R188">
        <v>378896</v>
      </c>
    </row>
    <row r="189" spans="1:18" x14ac:dyDescent="0.25">
      <c r="A189" s="170">
        <v>42495</v>
      </c>
      <c r="B189" s="116">
        <v>31.7</v>
      </c>
      <c r="C189" s="116">
        <v>30.55</v>
      </c>
      <c r="D189" s="116">
        <v>30.25</v>
      </c>
      <c r="E189" s="116">
        <v>31.7</v>
      </c>
      <c r="F189" s="116">
        <v>30.55</v>
      </c>
      <c r="G189">
        <v>123677</v>
      </c>
      <c r="H189" s="116"/>
      <c r="I189" s="116"/>
      <c r="L189" s="170">
        <v>42495</v>
      </c>
      <c r="M189" s="116">
        <v>30.55</v>
      </c>
      <c r="N189" s="116">
        <v>31.8</v>
      </c>
      <c r="O189" s="116">
        <v>30.3</v>
      </c>
      <c r="P189" s="116">
        <v>31.8</v>
      </c>
      <c r="Q189" s="116">
        <v>30.55</v>
      </c>
      <c r="R189">
        <v>523909</v>
      </c>
    </row>
    <row r="190" spans="1:18" x14ac:dyDescent="0.25">
      <c r="A190" s="170">
        <v>42496</v>
      </c>
      <c r="B190" s="116">
        <v>30.85</v>
      </c>
      <c r="C190" s="116">
        <v>30.05</v>
      </c>
      <c r="D190" s="116">
        <v>29.95</v>
      </c>
      <c r="E190" s="116">
        <v>30.25</v>
      </c>
      <c r="F190" s="116">
        <v>30.05</v>
      </c>
      <c r="G190">
        <v>154913</v>
      </c>
      <c r="H190" s="116"/>
      <c r="I190" s="116"/>
      <c r="L190" s="170">
        <v>42496</v>
      </c>
      <c r="M190" s="116">
        <v>30.15</v>
      </c>
      <c r="N190" s="116">
        <v>30.8</v>
      </c>
      <c r="O190" s="116">
        <v>29.9</v>
      </c>
      <c r="P190" s="116">
        <v>30.35</v>
      </c>
      <c r="Q190" s="116">
        <v>30.15</v>
      </c>
      <c r="R190">
        <v>654762</v>
      </c>
    </row>
    <row r="191" spans="1:18" x14ac:dyDescent="0.25">
      <c r="A191" s="170">
        <v>42499</v>
      </c>
      <c r="B191" s="116">
        <v>31</v>
      </c>
      <c r="C191" s="116">
        <v>30.4</v>
      </c>
      <c r="D191" s="116">
        <v>30.2</v>
      </c>
      <c r="E191" s="116">
        <v>31</v>
      </c>
      <c r="F191" s="116">
        <v>30.4</v>
      </c>
      <c r="G191">
        <v>135480</v>
      </c>
      <c r="H191" s="116"/>
      <c r="I191" s="116"/>
      <c r="L191" s="170">
        <v>42499</v>
      </c>
      <c r="M191" s="116">
        <v>30.35</v>
      </c>
      <c r="N191" s="116">
        <v>30.85</v>
      </c>
      <c r="O191" s="116">
        <v>30.05</v>
      </c>
      <c r="P191" s="116">
        <v>30.85</v>
      </c>
      <c r="Q191" s="116">
        <v>30.35</v>
      </c>
      <c r="R191">
        <v>673390</v>
      </c>
    </row>
    <row r="192" spans="1:18" x14ac:dyDescent="0.25">
      <c r="A192" s="170">
        <v>42500</v>
      </c>
      <c r="B192" s="116">
        <v>30.65</v>
      </c>
      <c r="C192" s="116">
        <v>29.95</v>
      </c>
      <c r="D192" s="116">
        <v>29.6</v>
      </c>
      <c r="E192" s="116">
        <v>30.25</v>
      </c>
      <c r="F192" s="116">
        <v>29.95</v>
      </c>
      <c r="G192">
        <v>164453</v>
      </c>
      <c r="H192" s="116"/>
      <c r="I192" s="116"/>
      <c r="L192" s="170">
        <v>42500</v>
      </c>
      <c r="M192" s="116">
        <v>29.85</v>
      </c>
      <c r="N192" s="116">
        <v>30.7</v>
      </c>
      <c r="O192" s="116">
        <v>29.75</v>
      </c>
      <c r="P192" s="116">
        <v>30.7</v>
      </c>
      <c r="Q192" s="116">
        <v>29.85</v>
      </c>
      <c r="R192">
        <v>1428223</v>
      </c>
    </row>
    <row r="193" spans="1:18" x14ac:dyDescent="0.25">
      <c r="A193" s="170">
        <v>42501</v>
      </c>
      <c r="B193" s="116">
        <v>30</v>
      </c>
      <c r="C193" s="116">
        <v>29.6</v>
      </c>
      <c r="D193" s="116">
        <v>29.3</v>
      </c>
      <c r="E193" s="116">
        <v>29.55</v>
      </c>
      <c r="F193" s="116">
        <v>29.6</v>
      </c>
      <c r="G193">
        <v>119627</v>
      </c>
      <c r="H193" s="116"/>
      <c r="I193" s="116"/>
      <c r="L193" s="170">
        <v>42501</v>
      </c>
      <c r="M193" s="116">
        <v>29.6</v>
      </c>
      <c r="N193" s="116">
        <v>30</v>
      </c>
      <c r="O193" s="116">
        <v>29.2</v>
      </c>
      <c r="P193" s="116">
        <v>29.35</v>
      </c>
      <c r="Q193" s="116">
        <v>29.6</v>
      </c>
      <c r="R193">
        <v>393792</v>
      </c>
    </row>
    <row r="194" spans="1:18" x14ac:dyDescent="0.25">
      <c r="A194" s="170">
        <v>42502</v>
      </c>
      <c r="B194" s="116">
        <v>30</v>
      </c>
      <c r="C194" s="116">
        <v>30</v>
      </c>
      <c r="D194" s="116">
        <v>29.55</v>
      </c>
      <c r="E194" s="116">
        <v>29.9</v>
      </c>
      <c r="F194" s="116">
        <v>30</v>
      </c>
      <c r="G194">
        <v>171916</v>
      </c>
      <c r="H194" s="116"/>
      <c r="I194" s="116"/>
      <c r="L194" s="170">
        <v>42502</v>
      </c>
      <c r="M194" s="116">
        <v>29.9</v>
      </c>
      <c r="N194" s="116">
        <v>30</v>
      </c>
      <c r="O194" s="116">
        <v>29.55</v>
      </c>
      <c r="P194" s="116">
        <v>29.85</v>
      </c>
      <c r="Q194" s="116">
        <v>29.9</v>
      </c>
      <c r="R194">
        <v>488443</v>
      </c>
    </row>
    <row r="195" spans="1:18" x14ac:dyDescent="0.25">
      <c r="A195" s="170">
        <v>42503</v>
      </c>
      <c r="B195" s="116">
        <v>30.9</v>
      </c>
      <c r="C195" s="116">
        <v>29.45</v>
      </c>
      <c r="D195" s="116">
        <v>29.1</v>
      </c>
      <c r="E195" s="116">
        <v>30</v>
      </c>
      <c r="F195" s="116">
        <v>29.45</v>
      </c>
      <c r="G195">
        <v>389779</v>
      </c>
      <c r="H195" s="116"/>
      <c r="I195" s="116"/>
      <c r="L195" s="170">
        <v>42503</v>
      </c>
      <c r="M195" s="116">
        <v>29.5</v>
      </c>
      <c r="N195" s="116">
        <v>30.9</v>
      </c>
      <c r="O195" s="116">
        <v>29.15</v>
      </c>
      <c r="P195" s="116">
        <v>29.7</v>
      </c>
      <c r="Q195" s="116">
        <v>29.5</v>
      </c>
      <c r="R195">
        <v>1037753</v>
      </c>
    </row>
    <row r="196" spans="1:18" x14ac:dyDescent="0.25">
      <c r="A196" s="170">
        <v>42506</v>
      </c>
      <c r="B196" s="116">
        <v>30.1</v>
      </c>
      <c r="C196" s="116">
        <v>29.95</v>
      </c>
      <c r="D196" s="116">
        <v>29.2</v>
      </c>
      <c r="E196" s="116">
        <v>29.6</v>
      </c>
      <c r="F196" s="116">
        <v>29.95</v>
      </c>
      <c r="G196">
        <v>130504</v>
      </c>
      <c r="H196" s="116"/>
      <c r="I196" s="116"/>
      <c r="L196" s="170">
        <v>42506</v>
      </c>
      <c r="M196" s="116">
        <v>29.95</v>
      </c>
      <c r="N196" s="116">
        <v>30.1</v>
      </c>
      <c r="O196" s="116">
        <v>29.05</v>
      </c>
      <c r="P196" s="116">
        <v>29.7</v>
      </c>
      <c r="Q196" s="116">
        <v>29.95</v>
      </c>
      <c r="R196">
        <v>379712</v>
      </c>
    </row>
    <row r="197" spans="1:18" x14ac:dyDescent="0.25">
      <c r="A197" s="170">
        <v>42507</v>
      </c>
      <c r="B197" s="116">
        <v>30.05</v>
      </c>
      <c r="C197" s="116">
        <v>29.6</v>
      </c>
      <c r="D197" s="116">
        <v>29.35</v>
      </c>
      <c r="E197" s="116">
        <v>29.9</v>
      </c>
      <c r="F197" s="116">
        <v>29.6</v>
      </c>
      <c r="G197">
        <v>54013</v>
      </c>
      <c r="H197" s="116"/>
      <c r="I197" s="116"/>
      <c r="L197" s="170">
        <v>42507</v>
      </c>
      <c r="M197" s="116">
        <v>29.65</v>
      </c>
      <c r="N197" s="116">
        <v>30.1</v>
      </c>
      <c r="O197" s="116">
        <v>29.5</v>
      </c>
      <c r="P197" s="116">
        <v>30.05</v>
      </c>
      <c r="Q197" s="116">
        <v>29.65</v>
      </c>
      <c r="R197">
        <v>201929</v>
      </c>
    </row>
    <row r="198" spans="1:18" x14ac:dyDescent="0.25">
      <c r="A198" s="170">
        <v>42508</v>
      </c>
      <c r="B198" s="116">
        <v>29.95</v>
      </c>
      <c r="C198" s="116">
        <v>29.65</v>
      </c>
      <c r="D198" s="116">
        <v>29.3</v>
      </c>
      <c r="E198" s="116">
        <v>29.5</v>
      </c>
      <c r="F198" s="116">
        <v>29.65</v>
      </c>
      <c r="G198">
        <v>38649</v>
      </c>
      <c r="H198" s="116"/>
      <c r="I198" s="116"/>
      <c r="L198" s="170">
        <v>42508</v>
      </c>
      <c r="M198" s="116">
        <v>29.7</v>
      </c>
      <c r="N198" s="116">
        <v>30</v>
      </c>
      <c r="O198" s="116">
        <v>29.4</v>
      </c>
      <c r="P198" s="116">
        <v>29.6</v>
      </c>
      <c r="Q198" s="116">
        <v>29.7</v>
      </c>
      <c r="R198">
        <v>323526</v>
      </c>
    </row>
    <row r="199" spans="1:18" x14ac:dyDescent="0.25">
      <c r="A199" s="170">
        <v>42509</v>
      </c>
      <c r="B199" s="116">
        <v>29.95</v>
      </c>
      <c r="C199" s="116">
        <v>28.95</v>
      </c>
      <c r="D199" s="116">
        <v>28.85</v>
      </c>
      <c r="E199" s="116">
        <v>29.6</v>
      </c>
      <c r="F199" s="116">
        <v>28.95</v>
      </c>
      <c r="G199">
        <v>37304</v>
      </c>
      <c r="H199" s="116"/>
      <c r="I199" s="116"/>
      <c r="L199" s="170">
        <v>42509</v>
      </c>
      <c r="M199" s="116">
        <v>28.9</v>
      </c>
      <c r="N199" s="116">
        <v>29.85</v>
      </c>
      <c r="O199" s="116">
        <v>28.8</v>
      </c>
      <c r="P199" s="116">
        <v>29.75</v>
      </c>
      <c r="Q199" s="116">
        <v>28.9</v>
      </c>
      <c r="R199">
        <v>199836</v>
      </c>
    </row>
    <row r="200" spans="1:18" x14ac:dyDescent="0.25">
      <c r="A200" s="170">
        <v>42510</v>
      </c>
      <c r="B200" s="116">
        <v>29.2</v>
      </c>
      <c r="C200" s="116">
        <v>28.55</v>
      </c>
      <c r="D200" s="116">
        <v>28.35</v>
      </c>
      <c r="E200" s="116">
        <v>28.85</v>
      </c>
      <c r="F200" s="116">
        <v>28.55</v>
      </c>
      <c r="G200">
        <v>85756</v>
      </c>
      <c r="H200" s="116"/>
      <c r="I200" s="116"/>
      <c r="L200" s="170">
        <v>42510</v>
      </c>
      <c r="M200" s="116">
        <v>28.65</v>
      </c>
      <c r="N200" s="116">
        <v>29.15</v>
      </c>
      <c r="O200" s="116">
        <v>28.5</v>
      </c>
      <c r="P200" s="116">
        <v>28.65</v>
      </c>
      <c r="Q200" s="116">
        <v>28.65</v>
      </c>
      <c r="R200">
        <v>314693</v>
      </c>
    </row>
    <row r="201" spans="1:18" x14ac:dyDescent="0.25">
      <c r="A201" s="170">
        <v>42513</v>
      </c>
      <c r="B201" s="116">
        <v>30.25</v>
      </c>
      <c r="C201" s="116">
        <v>29.95</v>
      </c>
      <c r="D201" s="116">
        <v>28.65</v>
      </c>
      <c r="E201" s="116">
        <v>28.85</v>
      </c>
      <c r="F201" s="116">
        <v>29.95</v>
      </c>
      <c r="G201">
        <v>262248</v>
      </c>
      <c r="H201" s="116"/>
      <c r="I201" s="116"/>
      <c r="L201" s="170">
        <v>42513</v>
      </c>
      <c r="M201" s="116">
        <v>29.85</v>
      </c>
      <c r="N201" s="116">
        <v>30.25</v>
      </c>
      <c r="O201" s="116">
        <v>28.75</v>
      </c>
      <c r="P201" s="116">
        <v>28.8</v>
      </c>
      <c r="Q201" s="116">
        <v>29.85</v>
      </c>
      <c r="R201">
        <v>766832</v>
      </c>
    </row>
    <row r="202" spans="1:18" x14ac:dyDescent="0.25">
      <c r="A202" s="170">
        <v>42514</v>
      </c>
      <c r="B202" s="116">
        <v>30.4</v>
      </c>
      <c r="C202" s="116">
        <v>29.65</v>
      </c>
      <c r="D202" s="116">
        <v>29.45</v>
      </c>
      <c r="E202" s="116">
        <v>29.95</v>
      </c>
      <c r="F202" s="116">
        <v>29.65</v>
      </c>
      <c r="G202">
        <v>302891</v>
      </c>
      <c r="H202" s="116"/>
      <c r="I202" s="116"/>
      <c r="L202" s="170">
        <v>42514</v>
      </c>
      <c r="M202" s="116">
        <v>29.6</v>
      </c>
      <c r="N202" s="116">
        <v>30.45</v>
      </c>
      <c r="O202" s="116">
        <v>29.3</v>
      </c>
      <c r="P202" s="116">
        <v>29.75</v>
      </c>
      <c r="Q202" s="116">
        <v>29.6</v>
      </c>
      <c r="R202">
        <v>815017</v>
      </c>
    </row>
    <row r="203" spans="1:18" x14ac:dyDescent="0.25">
      <c r="A203" s="170">
        <v>42515</v>
      </c>
      <c r="B203" s="116">
        <v>30.25</v>
      </c>
      <c r="C203" s="116">
        <v>29.95</v>
      </c>
      <c r="D203" s="116">
        <v>29.8</v>
      </c>
      <c r="E203" s="116">
        <v>30.25</v>
      </c>
      <c r="F203" s="116">
        <v>29.95</v>
      </c>
      <c r="G203">
        <v>74361</v>
      </c>
      <c r="H203" s="116"/>
      <c r="I203" s="116"/>
      <c r="L203" s="170">
        <v>42515</v>
      </c>
      <c r="M203" s="116">
        <v>29.95</v>
      </c>
      <c r="N203" s="116">
        <v>30.2</v>
      </c>
      <c r="O203" s="116">
        <v>29.8</v>
      </c>
      <c r="P203" s="116">
        <v>30.05</v>
      </c>
      <c r="Q203" s="116">
        <v>29.95</v>
      </c>
      <c r="R203">
        <v>333375</v>
      </c>
    </row>
    <row r="204" spans="1:18" x14ac:dyDescent="0.25">
      <c r="A204" s="170">
        <v>42516</v>
      </c>
      <c r="B204" s="116">
        <v>32.4</v>
      </c>
      <c r="C204" s="116">
        <v>30.65</v>
      </c>
      <c r="D204" s="116">
        <v>29.8</v>
      </c>
      <c r="E204" s="116">
        <v>30</v>
      </c>
      <c r="F204" s="116">
        <v>30.65</v>
      </c>
      <c r="G204">
        <v>925115</v>
      </c>
      <c r="H204" s="116"/>
      <c r="I204" s="116"/>
      <c r="L204" s="170">
        <v>42516</v>
      </c>
      <c r="M204" s="116">
        <v>30.65</v>
      </c>
      <c r="N204" s="116">
        <v>32.299999999999997</v>
      </c>
      <c r="O204" s="116">
        <v>29.6</v>
      </c>
      <c r="P204" s="116">
        <v>30.35</v>
      </c>
      <c r="Q204" s="116">
        <v>30.65</v>
      </c>
      <c r="R204">
        <v>4279194</v>
      </c>
    </row>
    <row r="205" spans="1:18" x14ac:dyDescent="0.25">
      <c r="A205" s="170">
        <v>42517</v>
      </c>
      <c r="B205" s="116">
        <v>31.2</v>
      </c>
      <c r="C205" s="116">
        <v>30.5</v>
      </c>
      <c r="D205" s="116">
        <v>30.2</v>
      </c>
      <c r="E205" s="116">
        <v>30.4</v>
      </c>
      <c r="F205" s="116">
        <v>30.5</v>
      </c>
      <c r="G205">
        <v>118529</v>
      </c>
      <c r="H205" s="116"/>
      <c r="I205" s="116"/>
      <c r="L205" s="170">
        <v>42517</v>
      </c>
      <c r="M205" s="116">
        <v>30.55</v>
      </c>
      <c r="N205" s="116">
        <v>31.2</v>
      </c>
      <c r="O205" s="116">
        <v>30.15</v>
      </c>
      <c r="P205" s="116">
        <v>30.95</v>
      </c>
      <c r="Q205" s="116">
        <v>30.55</v>
      </c>
      <c r="R205">
        <v>3194830</v>
      </c>
    </row>
    <row r="206" spans="1:18" x14ac:dyDescent="0.25">
      <c r="A206" s="170">
        <v>42520</v>
      </c>
      <c r="B206" s="116">
        <v>31.8</v>
      </c>
      <c r="C206" s="116">
        <v>31.25</v>
      </c>
      <c r="D206" s="116">
        <v>30.2</v>
      </c>
      <c r="E206" s="116">
        <v>30.95</v>
      </c>
      <c r="F206" s="116">
        <v>31.25</v>
      </c>
      <c r="G206">
        <v>183687</v>
      </c>
      <c r="H206" s="116"/>
      <c r="I206" s="116"/>
      <c r="L206" s="170">
        <v>42520</v>
      </c>
      <c r="M206" s="116">
        <v>31.3</v>
      </c>
      <c r="N206" s="116">
        <v>31.75</v>
      </c>
      <c r="O206" s="116">
        <v>30.15</v>
      </c>
      <c r="P206" s="116">
        <v>31</v>
      </c>
      <c r="Q206" s="116">
        <v>31.3</v>
      </c>
      <c r="R206">
        <v>1475373</v>
      </c>
    </row>
    <row r="207" spans="1:18" x14ac:dyDescent="0.25">
      <c r="A207" s="170">
        <v>42521</v>
      </c>
      <c r="B207" s="116">
        <v>32.200000000000003</v>
      </c>
      <c r="C207" s="116">
        <v>31.8</v>
      </c>
      <c r="D207" s="116">
        <v>31.05</v>
      </c>
      <c r="E207" s="116">
        <v>31.7</v>
      </c>
      <c r="F207" s="116">
        <v>31.8</v>
      </c>
      <c r="G207">
        <v>353104</v>
      </c>
      <c r="H207" s="116"/>
      <c r="I207" s="116"/>
      <c r="L207" s="170">
        <v>42521</v>
      </c>
      <c r="M207" s="116">
        <v>31.9</v>
      </c>
      <c r="N207" s="116">
        <v>32.4</v>
      </c>
      <c r="O207" s="116">
        <v>31.1</v>
      </c>
      <c r="P207" s="116">
        <v>31.5</v>
      </c>
      <c r="Q207" s="116">
        <v>31.9</v>
      </c>
      <c r="R207">
        <v>3253179</v>
      </c>
    </row>
    <row r="208" spans="1:18" x14ac:dyDescent="0.25">
      <c r="A208" s="170">
        <v>42522</v>
      </c>
      <c r="B208" s="116">
        <v>32.549999999999997</v>
      </c>
      <c r="C208" s="116">
        <v>32</v>
      </c>
      <c r="D208" s="116">
        <v>31.3</v>
      </c>
      <c r="E208" s="116">
        <v>31.3</v>
      </c>
      <c r="F208" s="116">
        <v>32</v>
      </c>
      <c r="G208">
        <v>170367</v>
      </c>
      <c r="H208" s="116"/>
      <c r="I208" s="116"/>
      <c r="L208" s="170">
        <v>42522</v>
      </c>
      <c r="M208" s="116">
        <v>32.049999999999997</v>
      </c>
      <c r="N208" s="116">
        <v>32.5</v>
      </c>
      <c r="O208" s="116">
        <v>31.55</v>
      </c>
      <c r="P208" s="116">
        <v>31.75</v>
      </c>
      <c r="Q208" s="116">
        <v>32.049999999999997</v>
      </c>
      <c r="R208">
        <v>782877</v>
      </c>
    </row>
    <row r="209" spans="1:18" x14ac:dyDescent="0.25">
      <c r="A209" s="170">
        <v>42523</v>
      </c>
      <c r="B209" s="116">
        <v>32.4</v>
      </c>
      <c r="C209" s="116">
        <v>32.200000000000003</v>
      </c>
      <c r="D209" s="116">
        <v>31.55</v>
      </c>
      <c r="E209" s="116">
        <v>32.1</v>
      </c>
      <c r="F209" s="116">
        <v>32.200000000000003</v>
      </c>
      <c r="G209">
        <v>91998</v>
      </c>
      <c r="H209" s="116"/>
      <c r="I209" s="116"/>
      <c r="L209" s="170">
        <v>42523</v>
      </c>
      <c r="M209" s="116">
        <v>32.200000000000003</v>
      </c>
      <c r="N209" s="116">
        <v>32.4</v>
      </c>
      <c r="O209" s="116">
        <v>31.65</v>
      </c>
      <c r="P209" s="116">
        <v>32.299999999999997</v>
      </c>
      <c r="Q209" s="116">
        <v>32.200000000000003</v>
      </c>
      <c r="R209">
        <v>393881</v>
      </c>
    </row>
    <row r="210" spans="1:18" x14ac:dyDescent="0.25">
      <c r="A210" s="170">
        <v>42524</v>
      </c>
      <c r="B210" s="116">
        <v>32.5</v>
      </c>
      <c r="C210" s="116">
        <v>31.7</v>
      </c>
      <c r="D210" s="116">
        <v>31.5</v>
      </c>
      <c r="E210" s="116">
        <v>32.450000000000003</v>
      </c>
      <c r="F210" s="116">
        <v>31.7</v>
      </c>
      <c r="G210">
        <v>106375</v>
      </c>
      <c r="H210" s="116"/>
      <c r="I210" s="116"/>
      <c r="L210" s="170">
        <v>42524</v>
      </c>
      <c r="M210" s="116">
        <v>31.75</v>
      </c>
      <c r="N210" s="116">
        <v>32.5</v>
      </c>
      <c r="O210" s="116">
        <v>31.6</v>
      </c>
      <c r="P210" s="116">
        <v>32.5</v>
      </c>
      <c r="Q210" s="116">
        <v>31.75</v>
      </c>
      <c r="R210">
        <v>415776</v>
      </c>
    </row>
    <row r="211" spans="1:18" x14ac:dyDescent="0.25">
      <c r="A211" s="170">
        <v>42527</v>
      </c>
      <c r="B211" s="116">
        <v>31.65</v>
      </c>
      <c r="C211" s="116">
        <v>31.55</v>
      </c>
      <c r="D211" s="116">
        <v>30.7</v>
      </c>
      <c r="E211" s="116">
        <v>31.3</v>
      </c>
      <c r="F211" s="116">
        <v>31.55</v>
      </c>
      <c r="G211">
        <v>152806</v>
      </c>
      <c r="H211" s="116"/>
      <c r="I211" s="116"/>
      <c r="L211" s="170">
        <v>42527</v>
      </c>
      <c r="M211" s="116">
        <v>31.6</v>
      </c>
      <c r="N211" s="116">
        <v>31.7</v>
      </c>
      <c r="O211" s="116">
        <v>30.75</v>
      </c>
      <c r="P211" s="116">
        <v>31.5</v>
      </c>
      <c r="Q211" s="116">
        <v>31.6</v>
      </c>
      <c r="R211">
        <v>511308</v>
      </c>
    </row>
    <row r="212" spans="1:18" x14ac:dyDescent="0.25">
      <c r="A212" s="170">
        <v>42528</v>
      </c>
      <c r="B212" s="116">
        <v>32.299999999999997</v>
      </c>
      <c r="C212" s="116">
        <v>32.049999999999997</v>
      </c>
      <c r="D212" s="116">
        <v>31.05</v>
      </c>
      <c r="E212" s="116">
        <v>31.6</v>
      </c>
      <c r="F212" s="116">
        <v>32.049999999999997</v>
      </c>
      <c r="G212">
        <v>133691</v>
      </c>
      <c r="H212" s="116"/>
      <c r="I212" s="116"/>
      <c r="L212" s="170">
        <v>42528</v>
      </c>
      <c r="M212" s="116">
        <v>32.15</v>
      </c>
      <c r="N212" s="116">
        <v>32.4</v>
      </c>
      <c r="O212" s="116">
        <v>31.05</v>
      </c>
      <c r="P212" s="116">
        <v>31.15</v>
      </c>
      <c r="Q212" s="116">
        <v>32.15</v>
      </c>
      <c r="R212">
        <v>602419</v>
      </c>
    </row>
    <row r="213" spans="1:18" x14ac:dyDescent="0.25">
      <c r="A213" s="170">
        <v>42529</v>
      </c>
      <c r="B213" s="116">
        <v>32.9</v>
      </c>
      <c r="C213" s="116">
        <v>32.65</v>
      </c>
      <c r="D213" s="116">
        <v>31.95</v>
      </c>
      <c r="E213" s="116">
        <v>32.15</v>
      </c>
      <c r="F213" s="116">
        <v>32.65</v>
      </c>
      <c r="G213">
        <v>198781</v>
      </c>
      <c r="H213" s="116"/>
      <c r="I213" s="116"/>
      <c r="L213" s="170">
        <v>42529</v>
      </c>
      <c r="M213" s="116">
        <v>32.549999999999997</v>
      </c>
      <c r="N213" s="116">
        <v>33</v>
      </c>
      <c r="O213" s="116">
        <v>31.8</v>
      </c>
      <c r="P213" s="116">
        <v>31.8</v>
      </c>
      <c r="Q213" s="116">
        <v>32.549999999999997</v>
      </c>
      <c r="R213">
        <v>926361</v>
      </c>
    </row>
    <row r="214" spans="1:18" x14ac:dyDescent="0.25">
      <c r="A214" s="170">
        <v>42530</v>
      </c>
      <c r="B214" s="116">
        <v>33.700000000000003</v>
      </c>
      <c r="C214" s="116">
        <v>33.4</v>
      </c>
      <c r="D214" s="116">
        <v>30.3</v>
      </c>
      <c r="E214" s="116">
        <v>30.3</v>
      </c>
      <c r="F214" s="116">
        <v>33.4</v>
      </c>
      <c r="G214">
        <v>157560</v>
      </c>
      <c r="H214" s="116"/>
      <c r="I214" s="116"/>
      <c r="L214" s="170">
        <v>42530</v>
      </c>
      <c r="M214" s="116">
        <v>33.35</v>
      </c>
      <c r="N214" s="116">
        <v>33.65</v>
      </c>
      <c r="O214" s="116">
        <v>32.5</v>
      </c>
      <c r="P214" s="116">
        <v>32.5</v>
      </c>
      <c r="Q214" s="116">
        <v>33.35</v>
      </c>
      <c r="R214">
        <v>754519</v>
      </c>
    </row>
    <row r="215" spans="1:18" x14ac:dyDescent="0.25">
      <c r="A215" s="170">
        <v>42531</v>
      </c>
      <c r="B215" s="116">
        <v>33.75</v>
      </c>
      <c r="C215" s="116">
        <v>33.25</v>
      </c>
      <c r="D215" s="116">
        <v>33</v>
      </c>
      <c r="E215" s="116">
        <v>33</v>
      </c>
      <c r="F215" s="116">
        <v>33.25</v>
      </c>
      <c r="G215">
        <v>172237</v>
      </c>
      <c r="H215" s="116"/>
      <c r="I215" s="116"/>
      <c r="L215" s="170">
        <v>42531</v>
      </c>
      <c r="M215" s="116">
        <v>33.450000000000003</v>
      </c>
      <c r="N215" s="116">
        <v>33.75</v>
      </c>
      <c r="O215" s="116">
        <v>33.1</v>
      </c>
      <c r="P215" s="116">
        <v>33.299999999999997</v>
      </c>
      <c r="Q215" s="116">
        <v>33.450000000000003</v>
      </c>
      <c r="R215">
        <v>576188</v>
      </c>
    </row>
    <row r="216" spans="1:18" x14ac:dyDescent="0.25">
      <c r="A216" s="170">
        <v>42534</v>
      </c>
      <c r="B216" s="116">
        <v>33.15</v>
      </c>
      <c r="C216" s="116">
        <v>33</v>
      </c>
      <c r="D216" s="116">
        <v>32.5</v>
      </c>
      <c r="E216" s="116">
        <v>32.9</v>
      </c>
      <c r="F216" s="116">
        <v>33</v>
      </c>
      <c r="G216">
        <v>66853</v>
      </c>
      <c r="H216" s="116"/>
      <c r="I216" s="116"/>
      <c r="L216" s="170">
        <v>42534</v>
      </c>
      <c r="M216" s="116">
        <v>33.049999999999997</v>
      </c>
      <c r="N216" s="116">
        <v>33.25</v>
      </c>
      <c r="O216" s="116">
        <v>32.450000000000003</v>
      </c>
      <c r="P216" s="116">
        <v>32.450000000000003</v>
      </c>
      <c r="Q216" s="116">
        <v>33.049999999999997</v>
      </c>
      <c r="R216">
        <v>310120</v>
      </c>
    </row>
    <row r="217" spans="1:18" x14ac:dyDescent="0.25">
      <c r="A217" s="170">
        <v>42535</v>
      </c>
      <c r="B217" s="116">
        <v>34.299999999999997</v>
      </c>
      <c r="C217" s="116">
        <v>34.049999999999997</v>
      </c>
      <c r="D217" s="116">
        <v>33.1</v>
      </c>
      <c r="E217" s="116">
        <v>33.5</v>
      </c>
      <c r="F217" s="116">
        <v>34.049999999999997</v>
      </c>
      <c r="G217">
        <v>167870</v>
      </c>
      <c r="H217" s="116"/>
      <c r="I217" s="116"/>
      <c r="L217" s="170">
        <v>42535</v>
      </c>
      <c r="M217" s="116">
        <v>33.950000000000003</v>
      </c>
      <c r="N217" s="116">
        <v>34.200000000000003</v>
      </c>
      <c r="O217" s="116">
        <v>33.049999999999997</v>
      </c>
      <c r="P217" s="116">
        <v>33.700000000000003</v>
      </c>
      <c r="Q217" s="116">
        <v>33.950000000000003</v>
      </c>
      <c r="R217">
        <v>763427</v>
      </c>
    </row>
    <row r="218" spans="1:18" x14ac:dyDescent="0.25">
      <c r="A218" s="170">
        <v>42536</v>
      </c>
      <c r="B218" s="116">
        <v>35.299999999999997</v>
      </c>
      <c r="C218" s="116">
        <v>34.299999999999997</v>
      </c>
      <c r="D218" s="116">
        <v>34</v>
      </c>
      <c r="E218" s="116">
        <v>34.15</v>
      </c>
      <c r="F218" s="116">
        <v>34.299999999999997</v>
      </c>
      <c r="G218">
        <v>323012</v>
      </c>
      <c r="H218" s="116"/>
      <c r="I218" s="116"/>
      <c r="L218" s="170">
        <v>42536</v>
      </c>
      <c r="M218" s="116">
        <v>34.35</v>
      </c>
      <c r="N218" s="116">
        <v>35.299999999999997</v>
      </c>
      <c r="O218" s="116">
        <v>34.1</v>
      </c>
      <c r="P218" s="116">
        <v>34.200000000000003</v>
      </c>
      <c r="Q218" s="116">
        <v>34.35</v>
      </c>
      <c r="R218">
        <v>1262991</v>
      </c>
    </row>
    <row r="219" spans="1:18" x14ac:dyDescent="0.25">
      <c r="A219" s="170">
        <v>42537</v>
      </c>
      <c r="B219" s="116">
        <v>34.35</v>
      </c>
      <c r="C219" s="116">
        <v>33.799999999999997</v>
      </c>
      <c r="D219" s="116">
        <v>33.1</v>
      </c>
      <c r="E219" s="116">
        <v>34.35</v>
      </c>
      <c r="F219" s="116">
        <v>33.799999999999997</v>
      </c>
      <c r="G219">
        <v>154913</v>
      </c>
      <c r="H219" s="116"/>
      <c r="I219" s="116"/>
      <c r="L219" s="170">
        <v>42537</v>
      </c>
      <c r="M219" s="116">
        <v>33.9</v>
      </c>
      <c r="N219" s="116">
        <v>34.450000000000003</v>
      </c>
      <c r="O219" s="116">
        <v>33.1</v>
      </c>
      <c r="P219" s="116">
        <v>34.4</v>
      </c>
      <c r="Q219" s="116">
        <v>33.9</v>
      </c>
      <c r="R219">
        <v>637027</v>
      </c>
    </row>
    <row r="220" spans="1:18" x14ac:dyDescent="0.25">
      <c r="A220" s="170">
        <v>42538</v>
      </c>
      <c r="B220" s="116">
        <v>34.700000000000003</v>
      </c>
      <c r="C220" s="116">
        <v>34.450000000000003</v>
      </c>
      <c r="D220" s="116">
        <v>33.700000000000003</v>
      </c>
      <c r="E220" s="116">
        <v>34.299999999999997</v>
      </c>
      <c r="F220" s="116">
        <v>34.450000000000003</v>
      </c>
      <c r="G220">
        <v>85104</v>
      </c>
      <c r="H220" s="116"/>
      <c r="I220" s="116"/>
      <c r="L220" s="170">
        <v>42538</v>
      </c>
      <c r="M220" s="116">
        <v>34.549999999999997</v>
      </c>
      <c r="N220" s="116">
        <v>34.799999999999997</v>
      </c>
      <c r="O220" s="116">
        <v>33.6</v>
      </c>
      <c r="P220" s="116">
        <v>34.25</v>
      </c>
      <c r="Q220" s="116">
        <v>34.549999999999997</v>
      </c>
      <c r="R220">
        <v>787683</v>
      </c>
    </row>
    <row r="221" spans="1:18" x14ac:dyDescent="0.25">
      <c r="A221" s="170">
        <v>42541</v>
      </c>
      <c r="B221" s="116">
        <v>35</v>
      </c>
      <c r="C221" s="116">
        <v>34.6</v>
      </c>
      <c r="D221" s="116">
        <v>34.25</v>
      </c>
      <c r="E221" s="116">
        <v>34.299999999999997</v>
      </c>
      <c r="F221" s="116">
        <v>34.6</v>
      </c>
      <c r="G221">
        <v>99225</v>
      </c>
      <c r="H221" s="116"/>
      <c r="I221" s="116"/>
      <c r="L221" s="170">
        <v>42541</v>
      </c>
      <c r="M221" s="116">
        <v>34.75</v>
      </c>
      <c r="N221" s="116">
        <v>34.950000000000003</v>
      </c>
      <c r="O221" s="116">
        <v>34</v>
      </c>
      <c r="P221" s="116">
        <v>34</v>
      </c>
      <c r="Q221" s="116">
        <v>34.75</v>
      </c>
      <c r="R221">
        <v>313279</v>
      </c>
    </row>
    <row r="222" spans="1:18" x14ac:dyDescent="0.25">
      <c r="A222" s="170">
        <v>42542</v>
      </c>
      <c r="B222" s="116">
        <v>35.25</v>
      </c>
      <c r="C222" s="116">
        <v>34.450000000000003</v>
      </c>
      <c r="D222" s="116">
        <v>34.200000000000003</v>
      </c>
      <c r="E222" s="116">
        <v>34.700000000000003</v>
      </c>
      <c r="F222" s="116">
        <v>34.450000000000003</v>
      </c>
      <c r="G222">
        <v>119910</v>
      </c>
      <c r="H222" s="116"/>
      <c r="I222" s="116"/>
      <c r="L222" s="170">
        <v>42542</v>
      </c>
      <c r="M222" s="116">
        <v>34.65</v>
      </c>
      <c r="N222" s="116">
        <v>35.35</v>
      </c>
      <c r="O222" s="116">
        <v>34.5</v>
      </c>
      <c r="P222" s="116">
        <v>34.950000000000003</v>
      </c>
      <c r="Q222" s="116">
        <v>34.65</v>
      </c>
      <c r="R222">
        <v>382058</v>
      </c>
    </row>
    <row r="223" spans="1:18" x14ac:dyDescent="0.25">
      <c r="A223" s="170">
        <v>42543</v>
      </c>
      <c r="B223" s="116">
        <v>34.799999999999997</v>
      </c>
      <c r="C223" s="116">
        <v>33.700000000000003</v>
      </c>
      <c r="D223" s="116">
        <v>33.5</v>
      </c>
      <c r="E223" s="116">
        <v>34.65</v>
      </c>
      <c r="F223" s="116">
        <v>33.700000000000003</v>
      </c>
      <c r="G223">
        <v>74637</v>
      </c>
      <c r="H223" s="116"/>
      <c r="I223" s="116"/>
      <c r="L223" s="170">
        <v>42543</v>
      </c>
      <c r="M223" s="116">
        <v>33.700000000000003</v>
      </c>
      <c r="N223" s="116">
        <v>34.950000000000003</v>
      </c>
      <c r="O223" s="116">
        <v>33.5</v>
      </c>
      <c r="P223" s="116">
        <v>34.4</v>
      </c>
      <c r="Q223" s="116">
        <v>33.700000000000003</v>
      </c>
      <c r="R223">
        <v>289453</v>
      </c>
    </row>
    <row r="224" spans="1:18" x14ac:dyDescent="0.25">
      <c r="A224" s="170">
        <v>42544</v>
      </c>
      <c r="B224" s="116">
        <v>34.950000000000003</v>
      </c>
      <c r="C224" s="116">
        <v>34.799999999999997</v>
      </c>
      <c r="D224" s="116">
        <v>33.049999999999997</v>
      </c>
      <c r="E224" s="116">
        <v>33.549999999999997</v>
      </c>
      <c r="F224" s="116">
        <v>34.799999999999997</v>
      </c>
      <c r="G224">
        <v>132597</v>
      </c>
      <c r="H224" s="116"/>
      <c r="I224" s="116"/>
      <c r="L224" s="170">
        <v>42544</v>
      </c>
      <c r="M224" s="116">
        <v>34.9</v>
      </c>
      <c r="N224" s="116">
        <v>35.1</v>
      </c>
      <c r="O224" s="116">
        <v>33.15</v>
      </c>
      <c r="P224" s="116">
        <v>34</v>
      </c>
      <c r="Q224" s="116">
        <v>34.9</v>
      </c>
      <c r="R224">
        <v>499288</v>
      </c>
    </row>
    <row r="225" spans="1:18" x14ac:dyDescent="0.25">
      <c r="A225" s="170">
        <v>42545</v>
      </c>
      <c r="B225" s="116">
        <v>35.049999999999997</v>
      </c>
      <c r="C225" s="116">
        <v>34.700000000000003</v>
      </c>
      <c r="D225" s="116">
        <v>33</v>
      </c>
      <c r="E225" s="116">
        <v>33.6</v>
      </c>
      <c r="F225" s="116">
        <v>34.700000000000003</v>
      </c>
      <c r="G225">
        <v>329426</v>
      </c>
      <c r="H225" s="116"/>
      <c r="I225" s="116"/>
      <c r="L225" s="170">
        <v>42545</v>
      </c>
      <c r="M225" s="116">
        <v>35.1</v>
      </c>
      <c r="N225" s="116">
        <v>36</v>
      </c>
      <c r="O225" s="116">
        <v>33</v>
      </c>
      <c r="P225" s="116">
        <v>34.25</v>
      </c>
      <c r="Q225" s="116">
        <v>35.1</v>
      </c>
      <c r="R225">
        <v>1503887</v>
      </c>
    </row>
    <row r="226" spans="1:18" x14ac:dyDescent="0.25">
      <c r="A226" s="170">
        <v>42548</v>
      </c>
      <c r="B226" s="116">
        <v>35.700000000000003</v>
      </c>
      <c r="C226" s="116">
        <v>35.549999999999997</v>
      </c>
      <c r="D226" s="116">
        <v>34.5</v>
      </c>
      <c r="E226" s="116">
        <v>34.65</v>
      </c>
      <c r="F226" s="116">
        <v>35.549999999999997</v>
      </c>
      <c r="G226">
        <v>206951</v>
      </c>
      <c r="H226" s="116"/>
      <c r="I226" s="116"/>
      <c r="L226" s="170">
        <v>42548</v>
      </c>
      <c r="M226" s="116">
        <v>35.549999999999997</v>
      </c>
      <c r="N226" s="116">
        <v>35.75</v>
      </c>
      <c r="O226" s="116">
        <v>34.5</v>
      </c>
      <c r="P226" s="116">
        <v>35</v>
      </c>
      <c r="Q226" s="116">
        <v>35.549999999999997</v>
      </c>
      <c r="R226">
        <v>592121</v>
      </c>
    </row>
    <row r="227" spans="1:18" x14ac:dyDescent="0.25">
      <c r="A227" s="170">
        <v>42549</v>
      </c>
      <c r="B227" s="116">
        <v>37</v>
      </c>
      <c r="C227" s="116">
        <v>36.450000000000003</v>
      </c>
      <c r="D227" s="116">
        <v>34.799999999999997</v>
      </c>
      <c r="E227" s="116">
        <v>35.5</v>
      </c>
      <c r="F227" s="116">
        <v>36.450000000000003</v>
      </c>
      <c r="G227">
        <v>370600</v>
      </c>
      <c r="H227" s="116"/>
      <c r="I227" s="116"/>
      <c r="L227" s="170">
        <v>42549</v>
      </c>
      <c r="M227" s="116">
        <v>36.4</v>
      </c>
      <c r="N227" s="116">
        <v>37.200000000000003</v>
      </c>
      <c r="O227" s="116">
        <v>34.6</v>
      </c>
      <c r="P227" s="116">
        <v>35.1</v>
      </c>
      <c r="Q227" s="116">
        <v>36.4</v>
      </c>
      <c r="R227">
        <v>1359082</v>
      </c>
    </row>
    <row r="228" spans="1:18" x14ac:dyDescent="0.25">
      <c r="A228" s="170">
        <v>42550</v>
      </c>
      <c r="B228" s="116">
        <v>39.299999999999997</v>
      </c>
      <c r="C228" s="116">
        <v>38.9</v>
      </c>
      <c r="D228" s="116">
        <v>36.5</v>
      </c>
      <c r="E228" s="116">
        <v>36.799999999999997</v>
      </c>
      <c r="F228" s="116">
        <v>38.9</v>
      </c>
      <c r="G228">
        <v>774606</v>
      </c>
      <c r="H228" s="116"/>
      <c r="I228" s="116"/>
      <c r="L228" s="170">
        <v>42550</v>
      </c>
      <c r="M228" s="116">
        <v>38.85</v>
      </c>
      <c r="N228" s="116">
        <v>39.5</v>
      </c>
      <c r="O228" s="116">
        <v>36.450000000000003</v>
      </c>
      <c r="P228" s="116">
        <v>36.700000000000003</v>
      </c>
      <c r="Q228" s="116">
        <v>38.85</v>
      </c>
      <c r="R228">
        <v>2972557</v>
      </c>
    </row>
    <row r="229" spans="1:18" x14ac:dyDescent="0.25">
      <c r="A229" s="170">
        <v>42551</v>
      </c>
      <c r="B229" s="116">
        <v>40.4</v>
      </c>
      <c r="C229" s="116">
        <v>38.549999999999997</v>
      </c>
      <c r="D229" s="116">
        <v>38.4</v>
      </c>
      <c r="E229" s="116">
        <v>39.5</v>
      </c>
      <c r="F229" s="116">
        <v>38.549999999999997</v>
      </c>
      <c r="G229">
        <v>551228</v>
      </c>
      <c r="H229" s="116"/>
      <c r="I229" s="116"/>
      <c r="L229" s="170">
        <v>42551</v>
      </c>
      <c r="M229" s="116">
        <v>38.700000000000003</v>
      </c>
      <c r="N229" s="116">
        <v>40.5</v>
      </c>
      <c r="O229" s="116">
        <v>38.5</v>
      </c>
      <c r="P229" s="116">
        <v>39.5</v>
      </c>
      <c r="Q229" s="116">
        <v>38.700000000000003</v>
      </c>
      <c r="R229">
        <v>2492651</v>
      </c>
    </row>
    <row r="230" spans="1:18" x14ac:dyDescent="0.25">
      <c r="A230" s="170">
        <v>42552</v>
      </c>
      <c r="B230" s="116">
        <v>41.5</v>
      </c>
      <c r="C230" s="116">
        <v>39.049999999999997</v>
      </c>
      <c r="D230" s="116">
        <v>38.85</v>
      </c>
      <c r="E230" s="116">
        <v>39</v>
      </c>
      <c r="F230" s="116">
        <v>39.049999999999997</v>
      </c>
      <c r="G230">
        <v>694137</v>
      </c>
      <c r="H230" s="116"/>
      <c r="I230" s="116"/>
      <c r="L230" s="170">
        <v>42552</v>
      </c>
      <c r="M230" s="116">
        <v>39.15</v>
      </c>
      <c r="N230" s="116">
        <v>41.8</v>
      </c>
      <c r="O230" s="116">
        <v>38.799999999999997</v>
      </c>
      <c r="P230" s="116">
        <v>39.1</v>
      </c>
      <c r="Q230" s="116">
        <v>39.15</v>
      </c>
      <c r="R230">
        <v>3057336</v>
      </c>
    </row>
    <row r="231" spans="1:18" x14ac:dyDescent="0.25">
      <c r="A231" s="170">
        <v>42555</v>
      </c>
      <c r="B231" s="116">
        <v>40</v>
      </c>
      <c r="C231" s="116">
        <v>38.75</v>
      </c>
      <c r="D231" s="116">
        <v>38.5</v>
      </c>
      <c r="E231" s="116">
        <v>39.950000000000003</v>
      </c>
      <c r="F231" s="116">
        <v>38.75</v>
      </c>
      <c r="G231">
        <v>259362</v>
      </c>
      <c r="H231" s="116"/>
      <c r="I231" s="116"/>
      <c r="L231" s="170">
        <v>42555</v>
      </c>
      <c r="M231" s="116">
        <v>38.700000000000003</v>
      </c>
      <c r="N231" s="116">
        <v>40</v>
      </c>
      <c r="O231" s="116">
        <v>38.5</v>
      </c>
      <c r="P231" s="116">
        <v>39.85</v>
      </c>
      <c r="Q231" s="116">
        <v>38.700000000000003</v>
      </c>
      <c r="R231">
        <v>935735</v>
      </c>
    </row>
    <row r="232" spans="1:18" x14ac:dyDescent="0.25">
      <c r="A232" s="170">
        <v>42556</v>
      </c>
      <c r="B232" s="116">
        <v>38.75</v>
      </c>
      <c r="C232" s="116">
        <v>37.85</v>
      </c>
      <c r="D232" s="116">
        <v>37.4</v>
      </c>
      <c r="E232" s="116">
        <v>38.700000000000003</v>
      </c>
      <c r="F232" s="116">
        <v>37.85</v>
      </c>
      <c r="G232">
        <v>185103</v>
      </c>
      <c r="H232" s="116"/>
      <c r="I232" s="116"/>
      <c r="L232" s="170">
        <v>42556</v>
      </c>
      <c r="M232" s="116">
        <v>37.65</v>
      </c>
      <c r="N232" s="116">
        <v>38.799999999999997</v>
      </c>
      <c r="O232" s="116">
        <v>37.200000000000003</v>
      </c>
      <c r="P232" s="116">
        <v>38.25</v>
      </c>
      <c r="Q232" s="116">
        <v>37.65</v>
      </c>
      <c r="R232">
        <v>872700</v>
      </c>
    </row>
    <row r="233" spans="1:18" x14ac:dyDescent="0.25">
      <c r="A233" s="170">
        <v>42558</v>
      </c>
      <c r="B233" s="116">
        <v>38.5</v>
      </c>
      <c r="C233" s="116">
        <v>37.450000000000003</v>
      </c>
      <c r="D233" s="116">
        <v>37.25</v>
      </c>
      <c r="E233" s="116">
        <v>37.9</v>
      </c>
      <c r="F233" s="116">
        <v>37.450000000000003</v>
      </c>
      <c r="G233">
        <v>100304</v>
      </c>
      <c r="H233" s="116"/>
      <c r="I233" s="116"/>
      <c r="L233" s="170">
        <v>42558</v>
      </c>
      <c r="M233" s="116">
        <v>37.450000000000003</v>
      </c>
      <c r="N233" s="116">
        <v>38.6</v>
      </c>
      <c r="O233" s="116">
        <v>37.200000000000003</v>
      </c>
      <c r="P233" s="116">
        <v>37.9</v>
      </c>
      <c r="Q233" s="116">
        <v>37.450000000000003</v>
      </c>
      <c r="R233">
        <v>535456</v>
      </c>
    </row>
    <row r="234" spans="1:18" x14ac:dyDescent="0.25">
      <c r="A234" s="170">
        <v>42559</v>
      </c>
      <c r="B234" s="116">
        <v>38.75</v>
      </c>
      <c r="C234" s="116">
        <v>38.35</v>
      </c>
      <c r="D234" s="116">
        <v>36.6</v>
      </c>
      <c r="E234" s="116">
        <v>37.5</v>
      </c>
      <c r="F234" s="116">
        <v>38.35</v>
      </c>
      <c r="G234">
        <v>218059</v>
      </c>
      <c r="H234" s="116"/>
      <c r="I234" s="116"/>
      <c r="L234" s="170">
        <v>42559</v>
      </c>
      <c r="M234" s="116">
        <v>38.299999999999997</v>
      </c>
      <c r="N234" s="116">
        <v>38.700000000000003</v>
      </c>
      <c r="O234" s="116">
        <v>36.549999999999997</v>
      </c>
      <c r="P234" s="116">
        <v>37.4</v>
      </c>
      <c r="Q234" s="116">
        <v>38.299999999999997</v>
      </c>
      <c r="R234">
        <v>561008</v>
      </c>
    </row>
    <row r="235" spans="1:18" x14ac:dyDescent="0.25">
      <c r="A235" s="170">
        <v>42562</v>
      </c>
      <c r="B235" s="116">
        <v>40</v>
      </c>
      <c r="C235" s="116">
        <v>38.65</v>
      </c>
      <c r="D235" s="116">
        <v>38.450000000000003</v>
      </c>
      <c r="E235" s="116">
        <v>40</v>
      </c>
      <c r="F235" s="116">
        <v>38.65</v>
      </c>
      <c r="G235">
        <v>232121</v>
      </c>
      <c r="H235" s="116"/>
      <c r="I235" s="116"/>
      <c r="L235" s="170">
        <v>42562</v>
      </c>
      <c r="M235" s="116">
        <v>38.65</v>
      </c>
      <c r="N235" s="116">
        <v>40.15</v>
      </c>
      <c r="O235" s="116">
        <v>38.5</v>
      </c>
      <c r="P235" s="116">
        <v>39.799999999999997</v>
      </c>
      <c r="Q235" s="116">
        <v>38.65</v>
      </c>
      <c r="R235">
        <v>853502</v>
      </c>
    </row>
    <row r="236" spans="1:18" x14ac:dyDescent="0.25">
      <c r="A236" s="170">
        <v>42563</v>
      </c>
      <c r="B236" s="116">
        <v>39</v>
      </c>
      <c r="C236" s="116">
        <v>38.4</v>
      </c>
      <c r="D236" s="116">
        <v>37.75</v>
      </c>
      <c r="E236" s="116">
        <v>38.549999999999997</v>
      </c>
      <c r="F236" s="116">
        <v>38.4</v>
      </c>
      <c r="G236">
        <v>117983</v>
      </c>
      <c r="H236" s="116"/>
      <c r="I236" s="116"/>
      <c r="L236" s="170">
        <v>42563</v>
      </c>
      <c r="M236" s="116">
        <v>38.4</v>
      </c>
      <c r="N236" s="116">
        <v>38.950000000000003</v>
      </c>
      <c r="O236" s="116">
        <v>37.799999999999997</v>
      </c>
      <c r="P236" s="116">
        <v>38.9</v>
      </c>
      <c r="Q236" s="116">
        <v>38.4</v>
      </c>
      <c r="R236">
        <v>564429</v>
      </c>
    </row>
    <row r="237" spans="1:18" x14ac:dyDescent="0.25">
      <c r="A237" s="170">
        <v>42564</v>
      </c>
      <c r="B237" s="116">
        <v>38.299999999999997</v>
      </c>
      <c r="C237" s="116">
        <v>37.6</v>
      </c>
      <c r="D237" s="116">
        <v>37.5</v>
      </c>
      <c r="E237" s="116">
        <v>38.1</v>
      </c>
      <c r="F237" s="116">
        <v>37.6</v>
      </c>
      <c r="G237">
        <v>99100</v>
      </c>
      <c r="H237" s="116"/>
      <c r="I237" s="116"/>
      <c r="L237" s="170">
        <v>42564</v>
      </c>
      <c r="M237" s="116">
        <v>37.549999999999997</v>
      </c>
      <c r="N237" s="116">
        <v>38.35</v>
      </c>
      <c r="O237" s="116">
        <v>37.35</v>
      </c>
      <c r="P237" s="116">
        <v>38.1</v>
      </c>
      <c r="Q237" s="116">
        <v>37.549999999999997</v>
      </c>
      <c r="R237">
        <v>414101</v>
      </c>
    </row>
    <row r="238" spans="1:18" x14ac:dyDescent="0.25">
      <c r="A238" s="170">
        <v>42565</v>
      </c>
      <c r="B238" s="116">
        <v>38</v>
      </c>
      <c r="C238" s="116">
        <v>37</v>
      </c>
      <c r="D238" s="116">
        <v>36.75</v>
      </c>
      <c r="E238" s="116">
        <v>38</v>
      </c>
      <c r="F238" s="116">
        <v>37</v>
      </c>
      <c r="G238">
        <v>117353</v>
      </c>
      <c r="H238" s="116"/>
      <c r="I238" s="116"/>
      <c r="L238" s="170">
        <v>42565</v>
      </c>
      <c r="M238" s="116">
        <v>37</v>
      </c>
      <c r="N238" s="116">
        <v>37.950000000000003</v>
      </c>
      <c r="O238" s="116">
        <v>36.75</v>
      </c>
      <c r="P238" s="116">
        <v>37.9</v>
      </c>
      <c r="Q238" s="116">
        <v>37</v>
      </c>
      <c r="R238">
        <v>489464</v>
      </c>
    </row>
    <row r="239" spans="1:18" x14ac:dyDescent="0.25">
      <c r="A239" s="170">
        <v>42566</v>
      </c>
      <c r="B239" s="116">
        <v>37.5</v>
      </c>
      <c r="C239" s="116">
        <v>37</v>
      </c>
      <c r="D239" s="116">
        <v>36.6</v>
      </c>
      <c r="E239" s="116">
        <v>37.299999999999997</v>
      </c>
      <c r="F239" s="116">
        <v>37</v>
      </c>
      <c r="G239">
        <v>103221</v>
      </c>
      <c r="H239" s="116"/>
      <c r="I239" s="116"/>
      <c r="L239" s="170">
        <v>42566</v>
      </c>
      <c r="M239" s="116">
        <v>36.75</v>
      </c>
      <c r="N239" s="116">
        <v>37.549999999999997</v>
      </c>
      <c r="O239" s="116">
        <v>36.5</v>
      </c>
      <c r="P239" s="116">
        <v>37.15</v>
      </c>
      <c r="Q239" s="116">
        <v>36.75</v>
      </c>
      <c r="R239">
        <v>480688</v>
      </c>
    </row>
    <row r="240" spans="1:18" x14ac:dyDescent="0.25">
      <c r="A240" s="170">
        <v>42569</v>
      </c>
      <c r="B240" s="116">
        <v>37.4</v>
      </c>
      <c r="C240" s="116">
        <v>36.6</v>
      </c>
      <c r="D240" s="116">
        <v>36.4</v>
      </c>
      <c r="E240" s="116">
        <v>37.1</v>
      </c>
      <c r="F240" s="116">
        <v>36.6</v>
      </c>
      <c r="G240">
        <v>100838</v>
      </c>
      <c r="H240" s="116"/>
      <c r="I240" s="116"/>
      <c r="L240" s="170">
        <v>42569</v>
      </c>
      <c r="M240" s="116">
        <v>36.35</v>
      </c>
      <c r="N240" s="116">
        <v>37.5</v>
      </c>
      <c r="O240" s="116">
        <v>36.25</v>
      </c>
      <c r="P240" s="116">
        <v>36.75</v>
      </c>
      <c r="Q240" s="116">
        <v>36.35</v>
      </c>
      <c r="R240">
        <v>510951</v>
      </c>
    </row>
    <row r="241" spans="1:18" x14ac:dyDescent="0.25">
      <c r="A241" s="170">
        <v>42570</v>
      </c>
      <c r="B241" s="116">
        <v>37.25</v>
      </c>
      <c r="C241" s="116">
        <v>36.700000000000003</v>
      </c>
      <c r="D241" s="116">
        <v>36</v>
      </c>
      <c r="E241" s="116">
        <v>36.4</v>
      </c>
      <c r="F241" s="116">
        <v>36.700000000000003</v>
      </c>
      <c r="G241">
        <v>66756</v>
      </c>
      <c r="H241" s="116"/>
      <c r="I241" s="116"/>
      <c r="L241" s="170">
        <v>42570</v>
      </c>
      <c r="M241" s="116">
        <v>36.6</v>
      </c>
      <c r="N241" s="116">
        <v>37.1</v>
      </c>
      <c r="O241" s="116">
        <v>36</v>
      </c>
      <c r="P241" s="116">
        <v>36.35</v>
      </c>
      <c r="Q241" s="116">
        <v>36.6</v>
      </c>
      <c r="R241">
        <v>343748</v>
      </c>
    </row>
    <row r="242" spans="1:18" x14ac:dyDescent="0.25">
      <c r="A242" s="170">
        <v>42571</v>
      </c>
      <c r="B242" s="116">
        <v>38.9</v>
      </c>
      <c r="C242" s="116">
        <v>37.700000000000003</v>
      </c>
      <c r="D242" s="116">
        <v>37</v>
      </c>
      <c r="E242" s="116">
        <v>37</v>
      </c>
      <c r="F242" s="116">
        <v>37.700000000000003</v>
      </c>
      <c r="G242">
        <v>221632</v>
      </c>
      <c r="H242" s="116"/>
      <c r="I242" s="116"/>
      <c r="L242" s="170">
        <v>42571</v>
      </c>
      <c r="M242" s="116">
        <v>37.549999999999997</v>
      </c>
      <c r="N242" s="116">
        <v>39</v>
      </c>
      <c r="O242" s="116">
        <v>36.950000000000003</v>
      </c>
      <c r="P242" s="116">
        <v>36.950000000000003</v>
      </c>
      <c r="Q242" s="116">
        <v>37.549999999999997</v>
      </c>
      <c r="R242">
        <v>1553573</v>
      </c>
    </row>
    <row r="243" spans="1:18" x14ac:dyDescent="0.25">
      <c r="A243" s="170">
        <v>42572</v>
      </c>
      <c r="B243" s="116">
        <v>38.450000000000003</v>
      </c>
      <c r="C243" s="116">
        <v>37.450000000000003</v>
      </c>
      <c r="D243" s="116">
        <v>37.25</v>
      </c>
      <c r="E243" s="116">
        <v>37.950000000000003</v>
      </c>
      <c r="F243" s="116">
        <v>37.450000000000003</v>
      </c>
      <c r="G243">
        <v>124163</v>
      </c>
      <c r="H243" s="116"/>
      <c r="I243" s="116"/>
      <c r="L243" s="170">
        <v>42572</v>
      </c>
      <c r="M243" s="116">
        <v>37.4</v>
      </c>
      <c r="N243" s="116">
        <v>38.5</v>
      </c>
      <c r="O243" s="116">
        <v>37.25</v>
      </c>
      <c r="P243" s="116">
        <v>37.65</v>
      </c>
      <c r="Q243" s="116">
        <v>37.4</v>
      </c>
      <c r="R243">
        <v>709753</v>
      </c>
    </row>
    <row r="244" spans="1:18" x14ac:dyDescent="0.25">
      <c r="A244" s="170">
        <v>42573</v>
      </c>
      <c r="B244" s="116">
        <v>38.799999999999997</v>
      </c>
      <c r="C244" s="116">
        <v>37.799999999999997</v>
      </c>
      <c r="D244" s="116">
        <v>37.200000000000003</v>
      </c>
      <c r="E244" s="116">
        <v>37.65</v>
      </c>
      <c r="F244" s="116">
        <v>37.799999999999997</v>
      </c>
      <c r="G244">
        <v>191123</v>
      </c>
      <c r="H244" s="116"/>
      <c r="I244" s="116"/>
      <c r="L244" s="170">
        <v>42573</v>
      </c>
      <c r="M244" s="116">
        <v>37.85</v>
      </c>
      <c r="N244" s="116">
        <v>38.9</v>
      </c>
      <c r="O244" s="116">
        <v>37.200000000000003</v>
      </c>
      <c r="P244" s="116">
        <v>37.950000000000003</v>
      </c>
      <c r="Q244" s="116">
        <v>37.85</v>
      </c>
      <c r="R244">
        <v>857869</v>
      </c>
    </row>
    <row r="245" spans="1:18" x14ac:dyDescent="0.25">
      <c r="A245" s="170">
        <v>42576</v>
      </c>
      <c r="B245" s="116">
        <v>39.1</v>
      </c>
      <c r="C245" s="116">
        <v>38.5</v>
      </c>
      <c r="D245" s="116">
        <v>37.6</v>
      </c>
      <c r="E245" s="116">
        <v>37.6</v>
      </c>
      <c r="F245" s="116">
        <v>38.5</v>
      </c>
      <c r="G245">
        <v>279664</v>
      </c>
      <c r="H245" s="116"/>
      <c r="I245" s="116"/>
      <c r="L245" s="170">
        <v>42576</v>
      </c>
      <c r="M245" s="116">
        <v>38.549999999999997</v>
      </c>
      <c r="N245" s="116">
        <v>39.200000000000003</v>
      </c>
      <c r="O245" s="116">
        <v>37.6</v>
      </c>
      <c r="P245" s="116">
        <v>37.799999999999997</v>
      </c>
      <c r="Q245" s="116">
        <v>38.549999999999997</v>
      </c>
      <c r="R245">
        <v>1306528</v>
      </c>
    </row>
    <row r="246" spans="1:18" x14ac:dyDescent="0.25">
      <c r="A246" s="170">
        <v>42577</v>
      </c>
      <c r="B246" s="116">
        <v>42.75</v>
      </c>
      <c r="C246" s="116">
        <v>40.299999999999997</v>
      </c>
      <c r="D246" s="116">
        <v>39.85</v>
      </c>
      <c r="E246" s="116">
        <v>40.9</v>
      </c>
      <c r="F246" s="116">
        <v>40.299999999999997</v>
      </c>
      <c r="G246">
        <v>1487279</v>
      </c>
      <c r="H246" s="116"/>
      <c r="I246" s="116"/>
      <c r="L246" s="170">
        <v>42577</v>
      </c>
      <c r="M246" s="116">
        <v>40.049999999999997</v>
      </c>
      <c r="N246" s="116">
        <v>42.8</v>
      </c>
      <c r="O246" s="116">
        <v>39.65</v>
      </c>
      <c r="P246" s="116">
        <v>41</v>
      </c>
      <c r="Q246" s="116">
        <v>40.049999999999997</v>
      </c>
      <c r="R246">
        <v>7818019</v>
      </c>
    </row>
    <row r="247" spans="1:18" x14ac:dyDescent="0.25">
      <c r="A247" s="170">
        <v>42578</v>
      </c>
      <c r="B247" s="116">
        <v>41.15</v>
      </c>
      <c r="C247" s="116">
        <v>40.5</v>
      </c>
      <c r="D247" s="116">
        <v>40.1</v>
      </c>
      <c r="E247" s="116">
        <v>40.700000000000003</v>
      </c>
      <c r="F247" s="116">
        <v>40.5</v>
      </c>
      <c r="G247">
        <v>449329</v>
      </c>
      <c r="H247" s="116"/>
      <c r="I247" s="116"/>
      <c r="L247" s="170">
        <v>42578</v>
      </c>
      <c r="M247" s="116">
        <v>40.200000000000003</v>
      </c>
      <c r="N247" s="116">
        <v>41.05</v>
      </c>
      <c r="O247" s="116">
        <v>40</v>
      </c>
      <c r="P247" s="116">
        <v>40.799999999999997</v>
      </c>
      <c r="Q247" s="116">
        <v>40.200000000000003</v>
      </c>
      <c r="R247">
        <v>2109347</v>
      </c>
    </row>
    <row r="248" spans="1:18" x14ac:dyDescent="0.25">
      <c r="A248" s="170">
        <v>42579</v>
      </c>
      <c r="B248" s="116">
        <v>40.799999999999997</v>
      </c>
      <c r="C248" s="116">
        <v>39</v>
      </c>
      <c r="D248" s="116">
        <v>38.799999999999997</v>
      </c>
      <c r="E248" s="116">
        <v>40.549999999999997</v>
      </c>
      <c r="F248" s="116">
        <v>39</v>
      </c>
      <c r="G248">
        <v>322468</v>
      </c>
      <c r="H248" s="116"/>
      <c r="I248" s="116"/>
      <c r="L248" s="170">
        <v>42579</v>
      </c>
      <c r="M248" s="116">
        <v>38.950000000000003</v>
      </c>
      <c r="N248" s="116">
        <v>40.75</v>
      </c>
      <c r="O248" s="116">
        <v>38.700000000000003</v>
      </c>
      <c r="P248" s="116">
        <v>40.450000000000003</v>
      </c>
      <c r="Q248" s="116">
        <v>38.950000000000003</v>
      </c>
      <c r="R248">
        <v>2056606</v>
      </c>
    </row>
    <row r="249" spans="1:18" x14ac:dyDescent="0.25">
      <c r="A249" s="170">
        <v>42580</v>
      </c>
      <c r="B249" s="116">
        <v>39.799999999999997</v>
      </c>
      <c r="C249" s="116">
        <v>39.299999999999997</v>
      </c>
      <c r="D249" s="116">
        <v>39</v>
      </c>
      <c r="E249" s="116">
        <v>39.799999999999997</v>
      </c>
      <c r="F249" s="116">
        <v>39.299999999999997</v>
      </c>
      <c r="G249">
        <v>272266</v>
      </c>
      <c r="H249" s="116"/>
      <c r="I249" s="116"/>
      <c r="L249" s="170">
        <v>42580</v>
      </c>
      <c r="M249" s="116">
        <v>39.200000000000003</v>
      </c>
      <c r="N249" s="116">
        <v>39.799999999999997</v>
      </c>
      <c r="O249" s="116">
        <v>38.75</v>
      </c>
      <c r="P249" s="116">
        <v>39.25</v>
      </c>
      <c r="Q249" s="116">
        <v>39.200000000000003</v>
      </c>
      <c r="R249">
        <v>1417424</v>
      </c>
    </row>
    <row r="250" spans="1:18" x14ac:dyDescent="0.25">
      <c r="A250" s="170">
        <v>42583</v>
      </c>
      <c r="B250" s="116">
        <v>39.65</v>
      </c>
      <c r="C250" s="116">
        <v>38.85</v>
      </c>
      <c r="D250" s="116">
        <v>38.200000000000003</v>
      </c>
      <c r="E250" s="116">
        <v>39.35</v>
      </c>
      <c r="F250" s="116">
        <v>38.85</v>
      </c>
      <c r="G250">
        <v>221980</v>
      </c>
      <c r="H250" s="116"/>
      <c r="I250" s="116"/>
      <c r="L250" s="170">
        <v>42583</v>
      </c>
      <c r="M250" s="116">
        <v>38.700000000000003</v>
      </c>
      <c r="N250" s="116">
        <v>39.6</v>
      </c>
      <c r="O250" s="116">
        <v>38.1</v>
      </c>
      <c r="P250" s="116">
        <v>39.299999999999997</v>
      </c>
      <c r="Q250" s="116">
        <v>38.700000000000003</v>
      </c>
      <c r="R250">
        <v>938094</v>
      </c>
    </row>
    <row r="251" spans="1:18" x14ac:dyDescent="0.25">
      <c r="A251" s="170">
        <v>42584</v>
      </c>
      <c r="B251" s="116">
        <v>39</v>
      </c>
      <c r="C251" s="116">
        <v>38.1</v>
      </c>
      <c r="D251" s="116">
        <v>37.9</v>
      </c>
      <c r="E251" s="116">
        <v>39</v>
      </c>
      <c r="F251" s="116">
        <v>38.1</v>
      </c>
      <c r="G251">
        <v>136716</v>
      </c>
      <c r="H251" s="116"/>
      <c r="I251" s="116"/>
      <c r="L251" s="170">
        <v>42584</v>
      </c>
      <c r="M251" s="116">
        <v>38.1</v>
      </c>
      <c r="N251" s="116">
        <v>38.9</v>
      </c>
      <c r="O251" s="116">
        <v>37.9</v>
      </c>
      <c r="P251" s="116">
        <v>38.85</v>
      </c>
      <c r="Q251" s="116">
        <v>38.1</v>
      </c>
      <c r="R251">
        <v>565106</v>
      </c>
    </row>
    <row r="252" spans="1:18" x14ac:dyDescent="0.25">
      <c r="A252" s="170">
        <v>42585</v>
      </c>
      <c r="B252" s="116">
        <v>38.4</v>
      </c>
      <c r="C252" s="116">
        <v>37.700000000000003</v>
      </c>
      <c r="D252" s="116">
        <v>37.5</v>
      </c>
      <c r="E252" s="116">
        <v>38.25</v>
      </c>
      <c r="F252" s="116">
        <v>37.700000000000003</v>
      </c>
      <c r="G252">
        <v>125840</v>
      </c>
      <c r="H252" s="116"/>
      <c r="I252" s="116"/>
      <c r="L252" s="170">
        <v>42585</v>
      </c>
      <c r="M252" s="116">
        <v>37.799999999999997</v>
      </c>
      <c r="N252" s="116">
        <v>38.4</v>
      </c>
      <c r="O252" s="116">
        <v>37.5</v>
      </c>
      <c r="P252" s="116">
        <v>38.4</v>
      </c>
      <c r="Q252" s="116">
        <v>37.799999999999997</v>
      </c>
      <c r="R252">
        <v>1187360</v>
      </c>
    </row>
    <row r="253" spans="1:18" x14ac:dyDescent="0.25">
      <c r="A253" s="170">
        <v>42586</v>
      </c>
      <c r="B253" s="116">
        <v>38.5</v>
      </c>
      <c r="C253" s="116">
        <v>37.65</v>
      </c>
      <c r="D253" s="116">
        <v>37.450000000000003</v>
      </c>
      <c r="E253" s="116">
        <v>38.5</v>
      </c>
      <c r="F253" s="116">
        <v>37.65</v>
      </c>
      <c r="G253">
        <v>108075</v>
      </c>
      <c r="H253" s="116"/>
      <c r="I253" s="116"/>
      <c r="L253" s="170">
        <v>42586</v>
      </c>
      <c r="M253" s="116">
        <v>37.700000000000003</v>
      </c>
      <c r="N253" s="116">
        <v>38.4</v>
      </c>
      <c r="O253" s="116">
        <v>37.5</v>
      </c>
      <c r="P253" s="116">
        <v>38</v>
      </c>
      <c r="Q253" s="116">
        <v>37.700000000000003</v>
      </c>
      <c r="R253">
        <v>942511</v>
      </c>
    </row>
    <row r="254" spans="1:18" x14ac:dyDescent="0.25">
      <c r="A254" s="170">
        <v>42587</v>
      </c>
      <c r="B254" s="116">
        <v>41.5</v>
      </c>
      <c r="C254" s="116">
        <v>40.049999999999997</v>
      </c>
      <c r="D254" s="116">
        <v>37.950000000000003</v>
      </c>
      <c r="E254" s="116">
        <v>37.950000000000003</v>
      </c>
      <c r="F254" s="116">
        <v>40.049999999999997</v>
      </c>
      <c r="G254">
        <v>851772</v>
      </c>
      <c r="H254" s="116"/>
      <c r="I254" s="116"/>
      <c r="L254" s="170">
        <v>42587</v>
      </c>
      <c r="M254" s="116">
        <v>40.299999999999997</v>
      </c>
      <c r="N254" s="116">
        <v>41.6</v>
      </c>
      <c r="O254" s="116">
        <v>38</v>
      </c>
      <c r="P254" s="116">
        <v>38.15</v>
      </c>
      <c r="Q254" s="116">
        <v>40.299999999999997</v>
      </c>
      <c r="R254">
        <v>2689548</v>
      </c>
    </row>
    <row r="255" spans="1:18" x14ac:dyDescent="0.25">
      <c r="A255" s="170">
        <v>42590</v>
      </c>
      <c r="B255" s="116">
        <v>42.6</v>
      </c>
      <c r="C255" s="116">
        <v>40.75</v>
      </c>
      <c r="D255" s="116">
        <v>39.950000000000003</v>
      </c>
      <c r="E255" s="116">
        <v>40.450000000000003</v>
      </c>
      <c r="F255" s="116">
        <v>40.75</v>
      </c>
      <c r="G255">
        <v>1015557</v>
      </c>
      <c r="H255" s="116"/>
      <c r="I255" s="116"/>
      <c r="L255" s="170">
        <v>42590</v>
      </c>
      <c r="M255" s="116">
        <v>40.700000000000003</v>
      </c>
      <c r="N255" s="116">
        <v>42.6</v>
      </c>
      <c r="O255" s="116">
        <v>39.950000000000003</v>
      </c>
      <c r="P255" s="116">
        <v>40.6</v>
      </c>
      <c r="Q255" s="116">
        <v>40.700000000000003</v>
      </c>
      <c r="R255">
        <v>4471578</v>
      </c>
    </row>
    <row r="256" spans="1:18" x14ac:dyDescent="0.25">
      <c r="A256" s="170">
        <v>42591</v>
      </c>
      <c r="B256" s="116">
        <v>41</v>
      </c>
      <c r="C256" s="116">
        <v>39.700000000000003</v>
      </c>
      <c r="D256" s="116">
        <v>39.299999999999997</v>
      </c>
      <c r="E256" s="116">
        <v>41</v>
      </c>
      <c r="F256" s="116">
        <v>39.700000000000003</v>
      </c>
      <c r="G256">
        <v>349189</v>
      </c>
      <c r="H256" s="116"/>
      <c r="I256" s="116"/>
      <c r="L256" s="170">
        <v>42591</v>
      </c>
      <c r="M256" s="116">
        <v>39.700000000000003</v>
      </c>
      <c r="N256" s="116">
        <v>40.85</v>
      </c>
      <c r="O256" s="116">
        <v>39.299999999999997</v>
      </c>
      <c r="P256" s="116">
        <v>40.65</v>
      </c>
      <c r="Q256" s="116">
        <v>39.700000000000003</v>
      </c>
      <c r="R256">
        <v>1518307</v>
      </c>
    </row>
    <row r="257" spans="1:18" x14ac:dyDescent="0.25">
      <c r="A257" s="170">
        <v>42592</v>
      </c>
      <c r="B257" s="116">
        <v>42.35</v>
      </c>
      <c r="C257" s="116">
        <v>37.950000000000003</v>
      </c>
      <c r="D257" s="116">
        <v>37.299999999999997</v>
      </c>
      <c r="E257" s="116">
        <v>40.200000000000003</v>
      </c>
      <c r="F257" s="116">
        <v>37.950000000000003</v>
      </c>
      <c r="G257">
        <v>2020519</v>
      </c>
      <c r="H257" s="116"/>
      <c r="I257" s="116"/>
      <c r="L257" s="170">
        <v>42592</v>
      </c>
      <c r="M257" s="116">
        <v>37.950000000000003</v>
      </c>
      <c r="N257" s="116">
        <v>42.4</v>
      </c>
      <c r="O257" s="116">
        <v>37.299999999999997</v>
      </c>
      <c r="P257" s="116">
        <v>40.1</v>
      </c>
      <c r="Q257" s="116">
        <v>37.950000000000003</v>
      </c>
      <c r="R257">
        <v>9061299</v>
      </c>
    </row>
    <row r="258" spans="1:18" x14ac:dyDescent="0.25">
      <c r="A258" s="170">
        <v>42593</v>
      </c>
      <c r="B258" s="116">
        <v>38.450000000000003</v>
      </c>
      <c r="C258" s="116">
        <v>37.700000000000003</v>
      </c>
      <c r="D258" s="116">
        <v>37.15</v>
      </c>
      <c r="E258" s="116">
        <v>38</v>
      </c>
      <c r="F258" s="116">
        <v>37.700000000000003</v>
      </c>
      <c r="G258">
        <v>493464</v>
      </c>
      <c r="H258" s="116"/>
      <c r="I258" s="116"/>
      <c r="L258" s="170">
        <v>42593</v>
      </c>
      <c r="M258" s="116">
        <v>37.700000000000003</v>
      </c>
      <c r="N258" s="116">
        <v>38.4</v>
      </c>
      <c r="O258" s="116">
        <v>37.15</v>
      </c>
      <c r="P258" s="116">
        <v>37.9</v>
      </c>
      <c r="Q258" s="116">
        <v>37.700000000000003</v>
      </c>
      <c r="R258">
        <v>1725326</v>
      </c>
    </row>
    <row r="259" spans="1:18" x14ac:dyDescent="0.25">
      <c r="A259" s="170">
        <v>42594</v>
      </c>
      <c r="B259" s="116">
        <v>38.85</v>
      </c>
      <c r="C259" s="116">
        <v>37.799999999999997</v>
      </c>
      <c r="D259" s="116">
        <v>37.450000000000003</v>
      </c>
      <c r="E259" s="116">
        <v>38.5</v>
      </c>
      <c r="F259" s="116">
        <v>37.799999999999997</v>
      </c>
      <c r="G259">
        <v>216937</v>
      </c>
      <c r="H259" s="116"/>
      <c r="I259" s="116"/>
      <c r="L259" s="170">
        <v>42594</v>
      </c>
      <c r="M259" s="116">
        <v>37.9</v>
      </c>
      <c r="N259" s="116">
        <v>38.9</v>
      </c>
      <c r="O259" s="116">
        <v>37.700000000000003</v>
      </c>
      <c r="P259" s="116">
        <v>38</v>
      </c>
      <c r="Q259" s="116">
        <v>37.9</v>
      </c>
      <c r="R259">
        <v>1052960</v>
      </c>
    </row>
    <row r="260" spans="1:18" x14ac:dyDescent="0.25">
      <c r="A260" s="170">
        <v>42598</v>
      </c>
      <c r="B260" s="116">
        <v>38.75</v>
      </c>
      <c r="C260" s="116">
        <v>38.4</v>
      </c>
      <c r="D260" s="116">
        <v>37.799999999999997</v>
      </c>
      <c r="E260" s="116">
        <v>38.1</v>
      </c>
      <c r="F260" s="116">
        <v>38.4</v>
      </c>
      <c r="G260">
        <v>182767</v>
      </c>
      <c r="H260" s="116"/>
      <c r="I260" s="116"/>
      <c r="L260" s="170">
        <v>42598</v>
      </c>
      <c r="M260" s="116">
        <v>38.450000000000003</v>
      </c>
      <c r="N260" s="116">
        <v>38.85</v>
      </c>
      <c r="O260" s="116">
        <v>37.700000000000003</v>
      </c>
      <c r="P260" s="116">
        <v>37.700000000000003</v>
      </c>
      <c r="Q260" s="116">
        <v>38.450000000000003</v>
      </c>
      <c r="R260">
        <v>1120537</v>
      </c>
    </row>
    <row r="261" spans="1:18" x14ac:dyDescent="0.25">
      <c r="A261" s="170">
        <v>42599</v>
      </c>
      <c r="B261" s="116">
        <v>38.85</v>
      </c>
      <c r="C261" s="116">
        <v>38.549999999999997</v>
      </c>
      <c r="D261" s="116">
        <v>38.35</v>
      </c>
      <c r="E261" s="116">
        <v>38.35</v>
      </c>
      <c r="F261" s="116">
        <v>38.549999999999997</v>
      </c>
      <c r="G261">
        <v>147909</v>
      </c>
      <c r="H261" s="116"/>
      <c r="I261" s="116"/>
      <c r="L261" s="170">
        <v>42599</v>
      </c>
      <c r="M261" s="116">
        <v>38.85</v>
      </c>
      <c r="N261" s="116">
        <v>39.15</v>
      </c>
      <c r="O261" s="116">
        <v>38.35</v>
      </c>
      <c r="P261" s="116">
        <v>38.549999999999997</v>
      </c>
      <c r="Q261" s="116">
        <v>38.85</v>
      </c>
      <c r="R261">
        <v>1090823</v>
      </c>
    </row>
    <row r="262" spans="1:18" x14ac:dyDescent="0.25">
      <c r="A262" s="170">
        <v>42600</v>
      </c>
      <c r="B262" s="116">
        <v>39.1</v>
      </c>
      <c r="C262" s="116">
        <v>38.15</v>
      </c>
      <c r="D262" s="116">
        <v>37.85</v>
      </c>
      <c r="E262" s="116">
        <v>39</v>
      </c>
      <c r="F262" s="116">
        <v>38.15</v>
      </c>
      <c r="G262">
        <v>144789</v>
      </c>
      <c r="H262" s="116"/>
      <c r="I262" s="116"/>
      <c r="L262" s="170">
        <v>42600</v>
      </c>
      <c r="M262" s="116">
        <v>38.049999999999997</v>
      </c>
      <c r="N262" s="116">
        <v>39.15</v>
      </c>
      <c r="O262" s="116">
        <v>37.799999999999997</v>
      </c>
      <c r="P262" s="116">
        <v>38.9</v>
      </c>
      <c r="Q262" s="116">
        <v>38.049999999999997</v>
      </c>
      <c r="R262">
        <v>762098</v>
      </c>
    </row>
    <row r="263" spans="1:18" x14ac:dyDescent="0.25">
      <c r="A263" s="170">
        <v>42601</v>
      </c>
      <c r="B263" s="116">
        <v>38.75</v>
      </c>
      <c r="C263" s="116">
        <v>38.6</v>
      </c>
      <c r="D263" s="116">
        <v>38</v>
      </c>
      <c r="E263" s="116">
        <v>38.15</v>
      </c>
      <c r="F263" s="116">
        <v>38.6</v>
      </c>
      <c r="G263">
        <v>117535</v>
      </c>
      <c r="H263" s="116"/>
      <c r="I263" s="116"/>
      <c r="L263" s="170">
        <v>42601</v>
      </c>
      <c r="M263" s="116">
        <v>38.65</v>
      </c>
      <c r="N263" s="116">
        <v>38.85</v>
      </c>
      <c r="O263" s="116">
        <v>38.049999999999997</v>
      </c>
      <c r="P263" s="116">
        <v>38.25</v>
      </c>
      <c r="Q263" s="116">
        <v>38.65</v>
      </c>
      <c r="R263">
        <v>578824</v>
      </c>
    </row>
    <row r="264" spans="1:18" x14ac:dyDescent="0.25">
      <c r="A264" s="170">
        <v>42604</v>
      </c>
      <c r="B264" s="116">
        <v>38.85</v>
      </c>
      <c r="C264" s="116">
        <v>38.049999999999997</v>
      </c>
      <c r="D264" s="116">
        <v>37.799999999999997</v>
      </c>
      <c r="E264" s="116">
        <v>38.700000000000003</v>
      </c>
      <c r="F264" s="116">
        <v>38.049999999999997</v>
      </c>
      <c r="G264">
        <v>157959</v>
      </c>
      <c r="H264" s="116"/>
      <c r="I264" s="116"/>
      <c r="L264" s="170">
        <v>42604</v>
      </c>
      <c r="M264" s="116">
        <v>38.049999999999997</v>
      </c>
      <c r="N264" s="116">
        <v>38.9</v>
      </c>
      <c r="O264" s="116">
        <v>37.799999999999997</v>
      </c>
      <c r="P264" s="116">
        <v>38.85</v>
      </c>
      <c r="Q264" s="116">
        <v>38.049999999999997</v>
      </c>
      <c r="R264">
        <v>448852</v>
      </c>
    </row>
    <row r="265" spans="1:18" x14ac:dyDescent="0.25">
      <c r="A265" s="170">
        <v>42605</v>
      </c>
      <c r="B265" s="116">
        <v>38.700000000000003</v>
      </c>
      <c r="C265" s="116">
        <v>38.450000000000003</v>
      </c>
      <c r="D265" s="116">
        <v>38.1</v>
      </c>
      <c r="E265" s="116">
        <v>38.200000000000003</v>
      </c>
      <c r="F265" s="116">
        <v>38.450000000000003</v>
      </c>
      <c r="G265">
        <v>85606</v>
      </c>
      <c r="H265" s="116"/>
      <c r="I265" s="116"/>
      <c r="L265" s="170">
        <v>42605</v>
      </c>
      <c r="M265" s="116">
        <v>38.4</v>
      </c>
      <c r="N265" s="116">
        <v>38.65</v>
      </c>
      <c r="O265" s="116">
        <v>38.15</v>
      </c>
      <c r="P265" s="116">
        <v>38.200000000000003</v>
      </c>
      <c r="Q265" s="116">
        <v>38.4</v>
      </c>
      <c r="R265">
        <v>476056</v>
      </c>
    </row>
    <row r="266" spans="1:18" x14ac:dyDescent="0.25">
      <c r="A266" s="170">
        <v>42606</v>
      </c>
      <c r="B266" s="116">
        <v>39.799999999999997</v>
      </c>
      <c r="C266" s="116">
        <v>39.25</v>
      </c>
      <c r="D266" s="116">
        <v>39</v>
      </c>
      <c r="E266" s="116">
        <v>39.5</v>
      </c>
      <c r="F266" s="116">
        <v>39.25</v>
      </c>
      <c r="G266">
        <v>374274</v>
      </c>
      <c r="H266" s="116"/>
      <c r="I266" s="116"/>
      <c r="L266" s="170">
        <v>42606</v>
      </c>
      <c r="M266" s="116">
        <v>39.35</v>
      </c>
      <c r="N266" s="116">
        <v>39.9</v>
      </c>
      <c r="O266" s="116">
        <v>39</v>
      </c>
      <c r="P266" s="116">
        <v>39</v>
      </c>
      <c r="Q266" s="116">
        <v>39.35</v>
      </c>
      <c r="R266">
        <v>1690651</v>
      </c>
    </row>
    <row r="267" spans="1:18" x14ac:dyDescent="0.25">
      <c r="A267" s="170">
        <v>42607</v>
      </c>
      <c r="B267" s="116">
        <v>40.799999999999997</v>
      </c>
      <c r="C267" s="116">
        <v>40</v>
      </c>
      <c r="D267" s="116">
        <v>39.299999999999997</v>
      </c>
      <c r="E267" s="116">
        <v>39.700000000000003</v>
      </c>
      <c r="F267" s="116">
        <v>40</v>
      </c>
      <c r="G267">
        <v>321554</v>
      </c>
      <c r="H267" s="116"/>
      <c r="I267" s="116"/>
      <c r="L267" s="170">
        <v>42607</v>
      </c>
      <c r="M267" s="116">
        <v>40</v>
      </c>
      <c r="N267" s="116">
        <v>40.85</v>
      </c>
      <c r="O267" s="116">
        <v>39.35</v>
      </c>
      <c r="P267" s="116">
        <v>39.700000000000003</v>
      </c>
      <c r="Q267" s="116">
        <v>40</v>
      </c>
      <c r="R267">
        <v>2685619</v>
      </c>
    </row>
    <row r="268" spans="1:18" x14ac:dyDescent="0.25">
      <c r="A268" s="170">
        <v>42608</v>
      </c>
      <c r="B268" s="116">
        <v>40.25</v>
      </c>
      <c r="C268" s="116">
        <v>39.200000000000003</v>
      </c>
      <c r="D268" s="116">
        <v>38.799999999999997</v>
      </c>
      <c r="E268" s="116">
        <v>39.950000000000003</v>
      </c>
      <c r="F268" s="116">
        <v>39.200000000000003</v>
      </c>
      <c r="G268">
        <v>118901</v>
      </c>
      <c r="H268" s="116"/>
      <c r="I268" s="116"/>
      <c r="L268" s="170">
        <v>42608</v>
      </c>
      <c r="M268" s="116">
        <v>39.299999999999997</v>
      </c>
      <c r="N268" s="116">
        <v>40.25</v>
      </c>
      <c r="O268" s="116">
        <v>38.799999999999997</v>
      </c>
      <c r="P268" s="116">
        <v>40</v>
      </c>
      <c r="Q268" s="116">
        <v>39.299999999999997</v>
      </c>
      <c r="R268">
        <v>605695</v>
      </c>
    </row>
    <row r="269" spans="1:18" x14ac:dyDescent="0.25">
      <c r="A269" s="170">
        <v>42611</v>
      </c>
      <c r="B269" s="116">
        <v>40.299999999999997</v>
      </c>
      <c r="C269" s="116">
        <v>40</v>
      </c>
      <c r="D269" s="116">
        <v>38.75</v>
      </c>
      <c r="E269" s="116">
        <v>39.9</v>
      </c>
      <c r="F269" s="116">
        <v>40</v>
      </c>
      <c r="G269">
        <v>292734</v>
      </c>
      <c r="H269" s="116"/>
      <c r="I269" s="116"/>
      <c r="L269" s="170">
        <v>42611</v>
      </c>
      <c r="M269" s="116">
        <v>40.049999999999997</v>
      </c>
      <c r="N269" s="116">
        <v>40.299999999999997</v>
      </c>
      <c r="O269" s="116">
        <v>38.75</v>
      </c>
      <c r="P269" s="116">
        <v>39</v>
      </c>
      <c r="Q269" s="116">
        <v>40.049999999999997</v>
      </c>
      <c r="R269">
        <v>1785099</v>
      </c>
    </row>
    <row r="270" spans="1:18" x14ac:dyDescent="0.25">
      <c r="A270" s="170">
        <v>42612</v>
      </c>
      <c r="B270" s="116">
        <v>40.85</v>
      </c>
      <c r="C270" s="116">
        <v>40.049999999999997</v>
      </c>
      <c r="D270" s="116">
        <v>39.75</v>
      </c>
      <c r="E270" s="116">
        <v>40.049999999999997</v>
      </c>
      <c r="F270" s="116">
        <v>40.049999999999997</v>
      </c>
      <c r="G270">
        <v>170655</v>
      </c>
      <c r="H270" s="116"/>
      <c r="I270" s="116"/>
      <c r="L270" s="170">
        <v>42612</v>
      </c>
      <c r="M270" s="116">
        <v>40.15</v>
      </c>
      <c r="N270" s="116">
        <v>40.9</v>
      </c>
      <c r="O270" s="116">
        <v>39.75</v>
      </c>
      <c r="P270" s="116">
        <v>40.35</v>
      </c>
      <c r="Q270" s="116">
        <v>40.15</v>
      </c>
      <c r="R270">
        <v>1285169</v>
      </c>
    </row>
    <row r="271" spans="1:18" x14ac:dyDescent="0.25">
      <c r="A271" s="170">
        <v>42613</v>
      </c>
      <c r="B271" s="116">
        <v>40.5</v>
      </c>
      <c r="C271" s="116">
        <v>39.65</v>
      </c>
      <c r="D271" s="116">
        <v>39.5</v>
      </c>
      <c r="E271" s="116">
        <v>40.15</v>
      </c>
      <c r="F271" s="116">
        <v>39.65</v>
      </c>
      <c r="G271">
        <v>115010</v>
      </c>
      <c r="H271" s="116"/>
      <c r="I271" s="116"/>
      <c r="L271" s="170">
        <v>42613</v>
      </c>
      <c r="M271" s="116">
        <v>39.75</v>
      </c>
      <c r="N271" s="116">
        <v>40.450000000000003</v>
      </c>
      <c r="O271" s="116">
        <v>39.65</v>
      </c>
      <c r="P271" s="116">
        <v>40.15</v>
      </c>
      <c r="Q271" s="116">
        <v>39.75</v>
      </c>
      <c r="R271">
        <v>596189</v>
      </c>
    </row>
    <row r="272" spans="1:18" x14ac:dyDescent="0.25">
      <c r="A272" s="170">
        <v>42614</v>
      </c>
      <c r="B272" s="116">
        <v>40.6</v>
      </c>
      <c r="C272" s="116">
        <v>38.950000000000003</v>
      </c>
      <c r="D272" s="116">
        <v>38.85</v>
      </c>
      <c r="E272" s="116">
        <v>40.049999999999997</v>
      </c>
      <c r="F272" s="116">
        <v>38.950000000000003</v>
      </c>
      <c r="G272">
        <v>77099</v>
      </c>
      <c r="H272" s="116"/>
      <c r="I272" s="116"/>
      <c r="L272" s="170">
        <v>42614</v>
      </c>
      <c r="M272" s="116">
        <v>38.950000000000003</v>
      </c>
      <c r="N272" s="116">
        <v>40.299999999999997</v>
      </c>
      <c r="O272" s="116">
        <v>38.9</v>
      </c>
      <c r="P272" s="116">
        <v>39.85</v>
      </c>
      <c r="Q272" s="116">
        <v>38.950000000000003</v>
      </c>
      <c r="R272">
        <v>404769</v>
      </c>
    </row>
    <row r="273" spans="1:18" x14ac:dyDescent="0.25">
      <c r="A273" s="170">
        <v>42615</v>
      </c>
      <c r="B273" s="116">
        <v>39.799999999999997</v>
      </c>
      <c r="C273" s="116">
        <v>39.15</v>
      </c>
      <c r="D273" s="116">
        <v>38.799999999999997</v>
      </c>
      <c r="E273" s="116">
        <v>39</v>
      </c>
      <c r="F273" s="116">
        <v>39.15</v>
      </c>
      <c r="G273">
        <v>127654</v>
      </c>
      <c r="H273" s="116"/>
      <c r="I273" s="116"/>
      <c r="L273" s="170">
        <v>42615</v>
      </c>
      <c r="M273" s="116">
        <v>39.200000000000003</v>
      </c>
      <c r="N273" s="116">
        <v>39.9</v>
      </c>
      <c r="O273" s="116">
        <v>39</v>
      </c>
      <c r="P273" s="116">
        <v>39</v>
      </c>
      <c r="Q273" s="116">
        <v>39.200000000000003</v>
      </c>
      <c r="R273">
        <v>560131</v>
      </c>
    </row>
    <row r="274" spans="1:18" x14ac:dyDescent="0.25">
      <c r="A274" s="170">
        <v>42619</v>
      </c>
      <c r="B274" s="116">
        <v>40.25</v>
      </c>
      <c r="C274" s="116">
        <v>39.6</v>
      </c>
      <c r="D274" s="116">
        <v>39.200000000000003</v>
      </c>
      <c r="E274" s="116">
        <v>39.200000000000003</v>
      </c>
      <c r="F274" s="116">
        <v>39.6</v>
      </c>
      <c r="G274">
        <v>137393</v>
      </c>
      <c r="H274" s="116"/>
      <c r="I274" s="116"/>
      <c r="L274" s="170">
        <v>42619</v>
      </c>
      <c r="M274" s="116">
        <v>39.700000000000003</v>
      </c>
      <c r="N274" s="116">
        <v>40.25</v>
      </c>
      <c r="O274" s="116">
        <v>39.450000000000003</v>
      </c>
      <c r="P274" s="116">
        <v>39.5</v>
      </c>
      <c r="Q274" s="116">
        <v>39.700000000000003</v>
      </c>
      <c r="R274">
        <v>555354</v>
      </c>
    </row>
    <row r="275" spans="1:18" x14ac:dyDescent="0.25">
      <c r="A275" s="170">
        <v>42620</v>
      </c>
      <c r="B275" s="116">
        <v>39.9</v>
      </c>
      <c r="C275" s="116">
        <v>39.65</v>
      </c>
      <c r="D275" s="116">
        <v>39.450000000000003</v>
      </c>
      <c r="E275" s="116">
        <v>39.6</v>
      </c>
      <c r="F275" s="116">
        <v>39.65</v>
      </c>
      <c r="G275">
        <v>57876</v>
      </c>
      <c r="H275" s="116"/>
      <c r="I275" s="116"/>
      <c r="L275" s="170">
        <v>42620</v>
      </c>
      <c r="M275" s="116">
        <v>39.75</v>
      </c>
      <c r="N275" s="116">
        <v>39.950000000000003</v>
      </c>
      <c r="O275" s="116">
        <v>39.4</v>
      </c>
      <c r="P275" s="116">
        <v>39.700000000000003</v>
      </c>
      <c r="Q275" s="116">
        <v>39.75</v>
      </c>
      <c r="R275">
        <v>499073</v>
      </c>
    </row>
    <row r="276" spans="1:18" x14ac:dyDescent="0.25">
      <c r="A276" s="170">
        <v>42621</v>
      </c>
      <c r="B276" s="116">
        <v>40.5</v>
      </c>
      <c r="C276" s="116">
        <v>40.4</v>
      </c>
      <c r="D276" s="116">
        <v>39.450000000000003</v>
      </c>
      <c r="E276" s="116">
        <v>39.5</v>
      </c>
      <c r="F276" s="116">
        <v>40.4</v>
      </c>
      <c r="G276">
        <v>140317</v>
      </c>
      <c r="H276" s="116"/>
      <c r="I276" s="116"/>
      <c r="L276" s="170">
        <v>42621</v>
      </c>
      <c r="M276" s="116">
        <v>40.4</v>
      </c>
      <c r="N276" s="116">
        <v>40.65</v>
      </c>
      <c r="O276" s="116">
        <v>39.5</v>
      </c>
      <c r="P276" s="116">
        <v>39.65</v>
      </c>
      <c r="Q276" s="116">
        <v>40.4</v>
      </c>
      <c r="R276">
        <v>887355</v>
      </c>
    </row>
    <row r="277" spans="1:18" x14ac:dyDescent="0.25">
      <c r="A277" s="170">
        <v>42622</v>
      </c>
      <c r="B277" s="116">
        <v>41.55</v>
      </c>
      <c r="C277" s="116">
        <v>41.05</v>
      </c>
      <c r="D277" s="116">
        <v>39.85</v>
      </c>
      <c r="E277" s="116">
        <v>40.299999999999997</v>
      </c>
      <c r="F277" s="116">
        <v>41.05</v>
      </c>
      <c r="G277">
        <v>324724</v>
      </c>
      <c r="H277" s="116"/>
      <c r="I277" s="116"/>
      <c r="L277" s="170">
        <v>42622</v>
      </c>
      <c r="M277" s="116">
        <v>41.1</v>
      </c>
      <c r="N277" s="116">
        <v>41.5</v>
      </c>
      <c r="O277" s="116">
        <v>40</v>
      </c>
      <c r="P277" s="116">
        <v>40.6</v>
      </c>
      <c r="Q277" s="116">
        <v>41.1</v>
      </c>
      <c r="R277">
        <v>1817080</v>
      </c>
    </row>
    <row r="278" spans="1:18" x14ac:dyDescent="0.25">
      <c r="A278" s="170">
        <v>42625</v>
      </c>
      <c r="B278" s="116">
        <v>40.15</v>
      </c>
      <c r="C278" s="116">
        <v>39.549999999999997</v>
      </c>
      <c r="D278" s="116">
        <v>39.25</v>
      </c>
      <c r="E278" s="116">
        <v>40</v>
      </c>
      <c r="F278" s="116">
        <v>39.549999999999997</v>
      </c>
      <c r="G278">
        <v>111627</v>
      </c>
      <c r="H278" s="116"/>
      <c r="I278" s="116"/>
      <c r="L278" s="170">
        <v>42625</v>
      </c>
      <c r="M278" s="116">
        <v>39.65</v>
      </c>
      <c r="N278" s="116">
        <v>40.1</v>
      </c>
      <c r="O278" s="116">
        <v>39.25</v>
      </c>
      <c r="P278" s="116">
        <v>40.1</v>
      </c>
      <c r="Q278" s="116">
        <v>39.65</v>
      </c>
      <c r="R278">
        <v>663084</v>
      </c>
    </row>
    <row r="279" spans="1:18" x14ac:dyDescent="0.25">
      <c r="A279" s="170">
        <v>42627</v>
      </c>
      <c r="B279" s="116">
        <v>40.5</v>
      </c>
      <c r="C279" s="116">
        <v>39.799999999999997</v>
      </c>
      <c r="D279" s="116">
        <v>39.35</v>
      </c>
      <c r="E279" s="116">
        <v>40.5</v>
      </c>
      <c r="F279" s="116">
        <v>39.799999999999997</v>
      </c>
      <c r="G279">
        <v>99191</v>
      </c>
      <c r="H279" s="116"/>
      <c r="I279" s="116"/>
      <c r="L279" s="170">
        <v>42627</v>
      </c>
      <c r="M279" s="116">
        <v>39.65</v>
      </c>
      <c r="N279" s="116">
        <v>40</v>
      </c>
      <c r="O279" s="116">
        <v>39.25</v>
      </c>
      <c r="P279" s="116">
        <v>40</v>
      </c>
      <c r="Q279" s="116">
        <v>39.65</v>
      </c>
      <c r="R279">
        <v>314479</v>
      </c>
    </row>
    <row r="280" spans="1:18" x14ac:dyDescent="0.25">
      <c r="A280" s="170">
        <v>42628</v>
      </c>
      <c r="B280" s="116">
        <v>39.9</v>
      </c>
      <c r="C280" s="116">
        <v>39.15</v>
      </c>
      <c r="D280" s="116">
        <v>39.049999999999997</v>
      </c>
      <c r="E280" s="116">
        <v>39.799999999999997</v>
      </c>
      <c r="F280" s="116">
        <v>39.15</v>
      </c>
      <c r="G280">
        <v>88950</v>
      </c>
      <c r="H280" s="116"/>
      <c r="I280" s="116"/>
      <c r="L280" s="170">
        <v>42628</v>
      </c>
      <c r="M280" s="116">
        <v>39.049999999999997</v>
      </c>
      <c r="N280" s="116">
        <v>39.9</v>
      </c>
      <c r="O280" s="116">
        <v>38.9</v>
      </c>
      <c r="P280" s="116">
        <v>39.75</v>
      </c>
      <c r="Q280" s="116">
        <v>39.049999999999997</v>
      </c>
      <c r="R280">
        <v>292132</v>
      </c>
    </row>
    <row r="281" spans="1:18" x14ac:dyDescent="0.25">
      <c r="A281" s="170">
        <v>42629</v>
      </c>
      <c r="B281" s="116">
        <v>41.5</v>
      </c>
      <c r="C281" s="116">
        <v>41.05</v>
      </c>
      <c r="D281" s="116">
        <v>39.1</v>
      </c>
      <c r="E281" s="116">
        <v>39.950000000000003</v>
      </c>
      <c r="F281" s="116">
        <v>41.05</v>
      </c>
      <c r="G281">
        <v>463549</v>
      </c>
      <c r="H281" s="116"/>
      <c r="I281" s="116"/>
      <c r="L281" s="170">
        <v>42629</v>
      </c>
      <c r="M281" s="116">
        <v>41.25</v>
      </c>
      <c r="N281" s="116">
        <v>41.7</v>
      </c>
      <c r="O281" s="116">
        <v>39.049999999999997</v>
      </c>
      <c r="P281" s="116">
        <v>39.799999999999997</v>
      </c>
      <c r="Q281" s="116">
        <v>41.25</v>
      </c>
      <c r="R281">
        <v>3080814</v>
      </c>
    </row>
    <row r="282" spans="1:18" x14ac:dyDescent="0.25">
      <c r="A282" s="170">
        <v>42632</v>
      </c>
      <c r="B282" s="116">
        <v>42.8</v>
      </c>
      <c r="C282" s="116">
        <v>41.55</v>
      </c>
      <c r="D282" s="116">
        <v>41.2</v>
      </c>
      <c r="E282" s="116">
        <v>41.5</v>
      </c>
      <c r="F282" s="116">
        <v>41.55</v>
      </c>
      <c r="G282">
        <v>330657</v>
      </c>
      <c r="H282" s="116"/>
      <c r="I282" s="116"/>
      <c r="L282" s="170">
        <v>42632</v>
      </c>
      <c r="M282" s="116">
        <v>41.5</v>
      </c>
      <c r="N282" s="116">
        <v>42.8</v>
      </c>
      <c r="O282" s="116">
        <v>41.1</v>
      </c>
      <c r="P282" s="116">
        <v>41.5</v>
      </c>
      <c r="Q282" s="116">
        <v>41.5</v>
      </c>
      <c r="R282">
        <v>1677686</v>
      </c>
    </row>
    <row r="283" spans="1:18" x14ac:dyDescent="0.25">
      <c r="A283" s="170">
        <v>42633</v>
      </c>
      <c r="B283" s="116">
        <v>41.75</v>
      </c>
      <c r="C283" s="116">
        <v>40.6</v>
      </c>
      <c r="D283" s="116">
        <v>40.299999999999997</v>
      </c>
      <c r="E283" s="116">
        <v>41.65</v>
      </c>
      <c r="F283" s="116">
        <v>40.6</v>
      </c>
      <c r="G283">
        <v>134042</v>
      </c>
      <c r="H283" s="116"/>
      <c r="I283" s="116"/>
      <c r="L283" s="170">
        <v>42633</v>
      </c>
      <c r="M283" s="116">
        <v>40.6</v>
      </c>
      <c r="N283" s="116">
        <v>41.8</v>
      </c>
      <c r="O283" s="116">
        <v>40.299999999999997</v>
      </c>
      <c r="P283" s="116">
        <v>41.8</v>
      </c>
      <c r="Q283" s="116">
        <v>40.6</v>
      </c>
      <c r="R283">
        <v>657662</v>
      </c>
    </row>
    <row r="284" spans="1:18" x14ac:dyDescent="0.25">
      <c r="A284" s="170">
        <v>42634</v>
      </c>
      <c r="B284" s="116">
        <v>41.8</v>
      </c>
      <c r="C284" s="116">
        <v>40.6</v>
      </c>
      <c r="D284" s="116">
        <v>40.25</v>
      </c>
      <c r="E284" s="116">
        <v>40.700000000000003</v>
      </c>
      <c r="F284" s="116">
        <v>40.6</v>
      </c>
      <c r="G284">
        <v>133541</v>
      </c>
      <c r="H284" s="116"/>
      <c r="I284" s="116"/>
      <c r="L284" s="170">
        <v>42634</v>
      </c>
      <c r="M284" s="116">
        <v>40.700000000000003</v>
      </c>
      <c r="N284" s="116">
        <v>41.85</v>
      </c>
      <c r="O284" s="116">
        <v>40.4</v>
      </c>
      <c r="P284" s="116">
        <v>40.700000000000003</v>
      </c>
      <c r="Q284" s="116">
        <v>40.700000000000003</v>
      </c>
      <c r="R284">
        <v>792517</v>
      </c>
    </row>
    <row r="285" spans="1:18" x14ac:dyDescent="0.25">
      <c r="A285" s="170">
        <v>42635</v>
      </c>
      <c r="B285" s="116">
        <v>41.55</v>
      </c>
      <c r="C285" s="116">
        <v>40.35</v>
      </c>
      <c r="D285" s="116">
        <v>40.1</v>
      </c>
      <c r="E285" s="116">
        <v>41.5</v>
      </c>
      <c r="F285" s="116">
        <v>40.35</v>
      </c>
      <c r="G285">
        <v>124984</v>
      </c>
      <c r="H285" s="116"/>
      <c r="I285" s="116"/>
      <c r="L285" s="170">
        <v>42635</v>
      </c>
      <c r="M285" s="116">
        <v>40.450000000000003</v>
      </c>
      <c r="N285" s="116">
        <v>41.6</v>
      </c>
      <c r="O285" s="116">
        <v>40.1</v>
      </c>
      <c r="P285" s="116">
        <v>41.1</v>
      </c>
      <c r="Q285" s="116">
        <v>40.450000000000003</v>
      </c>
      <c r="R285">
        <v>551238</v>
      </c>
    </row>
    <row r="286" spans="1:18" x14ac:dyDescent="0.25">
      <c r="A286" s="170">
        <v>42636</v>
      </c>
      <c r="B286" s="116">
        <v>40.9</v>
      </c>
      <c r="C286" s="116">
        <v>39.9</v>
      </c>
      <c r="D286" s="116">
        <v>39.75</v>
      </c>
      <c r="E286" s="116">
        <v>40.65</v>
      </c>
      <c r="F286" s="116">
        <v>39.9</v>
      </c>
      <c r="G286">
        <v>102909</v>
      </c>
      <c r="H286" s="116"/>
      <c r="I286" s="116"/>
      <c r="L286" s="170">
        <v>42636</v>
      </c>
      <c r="M286" s="116">
        <v>40</v>
      </c>
      <c r="N286" s="116">
        <v>40.9</v>
      </c>
      <c r="O286" s="116">
        <v>39.65</v>
      </c>
      <c r="P286" s="116">
        <v>40.700000000000003</v>
      </c>
      <c r="Q286" s="116">
        <v>40</v>
      </c>
      <c r="R286">
        <v>705871</v>
      </c>
    </row>
    <row r="287" spans="1:18" x14ac:dyDescent="0.25">
      <c r="A287" s="170">
        <v>42639</v>
      </c>
      <c r="B287" s="116">
        <v>40.450000000000003</v>
      </c>
      <c r="C287" s="116">
        <v>39.9</v>
      </c>
      <c r="D287" s="116">
        <v>39.5</v>
      </c>
      <c r="E287" s="116">
        <v>39.9</v>
      </c>
      <c r="F287" s="116">
        <v>39.9</v>
      </c>
      <c r="G287">
        <v>64528</v>
      </c>
      <c r="H287" s="116"/>
      <c r="I287" s="116"/>
      <c r="L287" s="170">
        <v>42639</v>
      </c>
      <c r="M287" s="116">
        <v>39.85</v>
      </c>
      <c r="N287" s="116">
        <v>40.5</v>
      </c>
      <c r="O287" s="116">
        <v>39.549999999999997</v>
      </c>
      <c r="P287" s="116">
        <v>39.6</v>
      </c>
      <c r="Q287" s="116">
        <v>39.85</v>
      </c>
      <c r="R287">
        <v>477487</v>
      </c>
    </row>
    <row r="288" spans="1:18" x14ac:dyDescent="0.25">
      <c r="A288" s="170">
        <v>42640</v>
      </c>
      <c r="B288" s="116">
        <v>40.35</v>
      </c>
      <c r="C288" s="116">
        <v>39.4</v>
      </c>
      <c r="D288" s="116">
        <v>39.25</v>
      </c>
      <c r="E288" s="116">
        <v>39.950000000000003</v>
      </c>
      <c r="F288" s="116">
        <v>39.4</v>
      </c>
      <c r="G288">
        <v>68887</v>
      </c>
      <c r="H288" s="116"/>
      <c r="I288" s="116"/>
      <c r="L288" s="170">
        <v>42640</v>
      </c>
      <c r="M288" s="116">
        <v>39.450000000000003</v>
      </c>
      <c r="N288" s="116">
        <v>40.450000000000003</v>
      </c>
      <c r="O288" s="116">
        <v>39.299999999999997</v>
      </c>
      <c r="P288" s="116">
        <v>40</v>
      </c>
      <c r="Q288" s="116">
        <v>39.450000000000003</v>
      </c>
      <c r="R288">
        <v>433179</v>
      </c>
    </row>
    <row r="289" spans="1:18" x14ac:dyDescent="0.25">
      <c r="A289" s="170">
        <v>42641</v>
      </c>
      <c r="B289" s="116">
        <v>40.25</v>
      </c>
      <c r="C289" s="116">
        <v>39.950000000000003</v>
      </c>
      <c r="D289" s="116">
        <v>39.299999999999997</v>
      </c>
      <c r="E289" s="116">
        <v>39.5</v>
      </c>
      <c r="F289" s="116">
        <v>39.950000000000003</v>
      </c>
      <c r="G289">
        <v>56826</v>
      </c>
      <c r="H289" s="116"/>
      <c r="I289" s="116"/>
      <c r="L289" s="170">
        <v>42641</v>
      </c>
      <c r="M289" s="116">
        <v>40.049999999999997</v>
      </c>
      <c r="N289" s="116">
        <v>40.5</v>
      </c>
      <c r="O289" s="116">
        <v>39.299999999999997</v>
      </c>
      <c r="P289" s="116">
        <v>39.75</v>
      </c>
      <c r="Q289" s="116">
        <v>40.049999999999997</v>
      </c>
      <c r="R289">
        <v>1059194</v>
      </c>
    </row>
    <row r="290" spans="1:18" x14ac:dyDescent="0.25">
      <c r="A290" s="170">
        <v>42642</v>
      </c>
      <c r="B290" s="116">
        <v>40.9</v>
      </c>
      <c r="C290" s="116">
        <v>37.75</v>
      </c>
      <c r="D290" s="116">
        <v>36.200000000000003</v>
      </c>
      <c r="E290" s="116">
        <v>40.75</v>
      </c>
      <c r="F290" s="116">
        <v>37.75</v>
      </c>
      <c r="G290">
        <v>226213</v>
      </c>
      <c r="H290" s="116"/>
      <c r="I290" s="116"/>
      <c r="L290" s="170">
        <v>42642</v>
      </c>
      <c r="M290" s="116">
        <v>37.799999999999997</v>
      </c>
      <c r="N290" s="116">
        <v>40.9</v>
      </c>
      <c r="O290" s="116">
        <v>36.35</v>
      </c>
      <c r="P290" s="116">
        <v>40</v>
      </c>
      <c r="Q290" s="116">
        <v>37.799999999999997</v>
      </c>
      <c r="R290">
        <v>1565713</v>
      </c>
    </row>
    <row r="291" spans="1:18" x14ac:dyDescent="0.25">
      <c r="A291" s="170">
        <v>42643</v>
      </c>
      <c r="B291" s="116">
        <v>38.799999999999997</v>
      </c>
      <c r="C291" s="116">
        <v>38.1</v>
      </c>
      <c r="D291" s="116">
        <v>34</v>
      </c>
      <c r="E291" s="116">
        <v>37.700000000000003</v>
      </c>
      <c r="F291" s="116">
        <v>38.1</v>
      </c>
      <c r="G291">
        <v>133023</v>
      </c>
      <c r="H291" s="116"/>
      <c r="I291" s="116"/>
      <c r="L291" s="170">
        <v>42643</v>
      </c>
      <c r="M291" s="116">
        <v>38.15</v>
      </c>
      <c r="N291" s="116">
        <v>38.9</v>
      </c>
      <c r="O291" s="116">
        <v>37</v>
      </c>
      <c r="P291" s="116">
        <v>37.5</v>
      </c>
      <c r="Q291" s="116">
        <v>38.15</v>
      </c>
      <c r="R291">
        <v>625090</v>
      </c>
    </row>
    <row r="292" spans="1:18" x14ac:dyDescent="0.25">
      <c r="A292" s="170">
        <v>42646</v>
      </c>
      <c r="B292" s="116">
        <v>39.5</v>
      </c>
      <c r="C292" s="116">
        <v>39.200000000000003</v>
      </c>
      <c r="D292" s="116">
        <v>38.25</v>
      </c>
      <c r="E292" s="116">
        <v>38.35</v>
      </c>
      <c r="F292" s="116">
        <v>39.200000000000003</v>
      </c>
      <c r="G292">
        <v>73167</v>
      </c>
      <c r="H292" s="116"/>
      <c r="I292" s="116"/>
      <c r="L292" s="170">
        <v>42646</v>
      </c>
      <c r="M292" s="116">
        <v>39.25</v>
      </c>
      <c r="N292" s="116">
        <v>39.4</v>
      </c>
      <c r="O292" s="116">
        <v>38.1</v>
      </c>
      <c r="P292" s="116">
        <v>38.1</v>
      </c>
      <c r="Q292" s="116">
        <v>39.25</v>
      </c>
      <c r="R292">
        <v>368793</v>
      </c>
    </row>
    <row r="293" spans="1:18" x14ac:dyDescent="0.25">
      <c r="A293" s="170">
        <v>42647</v>
      </c>
      <c r="B293" s="116">
        <v>40.65</v>
      </c>
      <c r="C293" s="116">
        <v>40.1</v>
      </c>
      <c r="D293" s="116">
        <v>39.1</v>
      </c>
      <c r="E293" s="116">
        <v>39.299999999999997</v>
      </c>
      <c r="F293" s="116">
        <v>40.1</v>
      </c>
      <c r="G293">
        <v>199159</v>
      </c>
      <c r="H293" s="116"/>
      <c r="I293" s="116"/>
      <c r="L293" s="170">
        <v>42647</v>
      </c>
      <c r="M293" s="116">
        <v>40.049999999999997</v>
      </c>
      <c r="N293" s="116">
        <v>40.65</v>
      </c>
      <c r="O293" s="116">
        <v>39.1</v>
      </c>
      <c r="P293" s="116">
        <v>39.299999999999997</v>
      </c>
      <c r="Q293" s="116">
        <v>40.049999999999997</v>
      </c>
      <c r="R293">
        <v>1521256</v>
      </c>
    </row>
    <row r="294" spans="1:18" x14ac:dyDescent="0.25">
      <c r="A294" s="170">
        <v>42648</v>
      </c>
      <c r="B294" s="116">
        <v>44.55</v>
      </c>
      <c r="C294" s="116">
        <v>43.05</v>
      </c>
      <c r="D294" s="116">
        <v>41.05</v>
      </c>
      <c r="E294" s="116">
        <v>41.05</v>
      </c>
      <c r="F294" s="116">
        <v>43.05</v>
      </c>
      <c r="G294">
        <v>1573988</v>
      </c>
      <c r="H294" s="116"/>
      <c r="I294" s="116"/>
      <c r="L294" s="170">
        <v>42648</v>
      </c>
      <c r="M294" s="116">
        <v>43.1</v>
      </c>
      <c r="N294" s="116">
        <v>44.55</v>
      </c>
      <c r="O294" s="116">
        <v>41.2</v>
      </c>
      <c r="P294" s="116">
        <v>41.2</v>
      </c>
      <c r="Q294" s="116">
        <v>43.1</v>
      </c>
      <c r="R294">
        <v>9558783</v>
      </c>
    </row>
    <row r="295" spans="1:18" x14ac:dyDescent="0.25">
      <c r="A295" s="170">
        <v>42649</v>
      </c>
      <c r="B295" s="116">
        <v>43.9</v>
      </c>
      <c r="C295" s="116">
        <v>42.15</v>
      </c>
      <c r="D295" s="116">
        <v>41.6</v>
      </c>
      <c r="E295" s="116">
        <v>43.8</v>
      </c>
      <c r="F295" s="116">
        <v>42.15</v>
      </c>
      <c r="G295">
        <v>427983</v>
      </c>
      <c r="H295" s="116"/>
      <c r="I295" s="116"/>
      <c r="L295" s="170">
        <v>42649</v>
      </c>
      <c r="M295" s="116">
        <v>42.1</v>
      </c>
      <c r="N295" s="116">
        <v>43.9</v>
      </c>
      <c r="O295" s="116">
        <v>41.5</v>
      </c>
      <c r="P295" s="116">
        <v>43.4</v>
      </c>
      <c r="Q295" s="116">
        <v>42.1</v>
      </c>
      <c r="R295">
        <v>2602244</v>
      </c>
    </row>
    <row r="296" spans="1:18" x14ac:dyDescent="0.25">
      <c r="A296" s="170">
        <v>42650</v>
      </c>
      <c r="B296" s="116">
        <v>42.5</v>
      </c>
      <c r="C296" s="116">
        <v>41.5</v>
      </c>
      <c r="D296" s="116">
        <v>41.1</v>
      </c>
      <c r="E296" s="116">
        <v>42.2</v>
      </c>
      <c r="F296" s="116">
        <v>41.5</v>
      </c>
      <c r="G296">
        <v>150124</v>
      </c>
      <c r="H296" s="116"/>
      <c r="I296" s="116"/>
      <c r="L296" s="170">
        <v>42650</v>
      </c>
      <c r="M296" s="116">
        <v>41.55</v>
      </c>
      <c r="N296" s="116">
        <v>42.5</v>
      </c>
      <c r="O296" s="116">
        <v>41.3</v>
      </c>
      <c r="P296" s="116">
        <v>42.3</v>
      </c>
      <c r="Q296" s="116">
        <v>41.55</v>
      </c>
      <c r="R296">
        <v>760421</v>
      </c>
    </row>
    <row r="297" spans="1:18" x14ac:dyDescent="0.25">
      <c r="A297" s="170">
        <v>42653</v>
      </c>
      <c r="B297" s="116">
        <v>42.9</v>
      </c>
      <c r="C297" s="116">
        <v>42.55</v>
      </c>
      <c r="D297" s="116">
        <v>42</v>
      </c>
      <c r="E297" s="116">
        <v>42</v>
      </c>
      <c r="F297" s="116">
        <v>42.55</v>
      </c>
      <c r="G297">
        <v>125224</v>
      </c>
      <c r="H297" s="116"/>
      <c r="I297" s="116"/>
      <c r="L297" s="170">
        <v>42653</v>
      </c>
      <c r="M297" s="116">
        <v>42.45</v>
      </c>
      <c r="N297" s="116">
        <v>42.9</v>
      </c>
      <c r="O297" s="116">
        <v>41.85</v>
      </c>
      <c r="P297" s="116">
        <v>42.1</v>
      </c>
      <c r="Q297" s="116">
        <v>42.45</v>
      </c>
      <c r="R297">
        <v>874111</v>
      </c>
    </row>
    <row r="298" spans="1:18" x14ac:dyDescent="0.25">
      <c r="A298" s="170">
        <v>42656</v>
      </c>
      <c r="B298" s="116">
        <v>42.4</v>
      </c>
      <c r="C298" s="116">
        <v>41.05</v>
      </c>
      <c r="D298" s="116">
        <v>40.799999999999997</v>
      </c>
      <c r="E298" s="116">
        <v>42.4</v>
      </c>
      <c r="F298" s="116">
        <v>41.05</v>
      </c>
      <c r="G298">
        <v>157768</v>
      </c>
      <c r="H298" s="116"/>
      <c r="I298" s="116"/>
      <c r="L298" s="170">
        <v>42656</v>
      </c>
      <c r="M298" s="116">
        <v>41.2</v>
      </c>
      <c r="N298" s="116">
        <v>42.4</v>
      </c>
      <c r="O298" s="116">
        <v>40.799999999999997</v>
      </c>
      <c r="P298" s="116">
        <v>42.35</v>
      </c>
      <c r="Q298" s="116">
        <v>41.2</v>
      </c>
      <c r="R298">
        <v>1016274</v>
      </c>
    </row>
    <row r="299" spans="1:18" x14ac:dyDescent="0.25">
      <c r="A299" s="170">
        <v>42657</v>
      </c>
      <c r="B299" s="116">
        <v>43.5</v>
      </c>
      <c r="C299" s="116">
        <v>42.9</v>
      </c>
      <c r="D299" s="116">
        <v>41.4</v>
      </c>
      <c r="E299" s="116">
        <v>41.4</v>
      </c>
      <c r="F299" s="116">
        <v>42.9</v>
      </c>
      <c r="G299">
        <v>198226</v>
      </c>
      <c r="H299" s="116"/>
      <c r="I299" s="116"/>
      <c r="L299" s="170">
        <v>42657</v>
      </c>
      <c r="M299" s="116">
        <v>42.9</v>
      </c>
      <c r="N299" s="116">
        <v>43.55</v>
      </c>
      <c r="O299" s="116">
        <v>41</v>
      </c>
      <c r="P299" s="116">
        <v>41</v>
      </c>
      <c r="Q299" s="116">
        <v>42.9</v>
      </c>
      <c r="R299">
        <v>1238869</v>
      </c>
    </row>
    <row r="300" spans="1:18" x14ac:dyDescent="0.25">
      <c r="A300" s="170">
        <v>42660</v>
      </c>
      <c r="B300" s="116">
        <v>45.25</v>
      </c>
      <c r="C300" s="116">
        <v>43.95</v>
      </c>
      <c r="D300" s="116">
        <v>42.7</v>
      </c>
      <c r="E300" s="116">
        <v>42.7</v>
      </c>
      <c r="F300" s="116">
        <v>43.95</v>
      </c>
      <c r="G300">
        <v>563578</v>
      </c>
      <c r="H300" s="116"/>
      <c r="I300" s="116"/>
      <c r="L300" s="170">
        <v>42660</v>
      </c>
      <c r="M300" s="116">
        <v>43.8</v>
      </c>
      <c r="N300" s="116">
        <v>45.15</v>
      </c>
      <c r="O300" s="116">
        <v>42.6</v>
      </c>
      <c r="P300" s="116">
        <v>42.9</v>
      </c>
      <c r="Q300" s="116">
        <v>43.8</v>
      </c>
      <c r="R300">
        <v>2651684</v>
      </c>
    </row>
    <row r="301" spans="1:18" x14ac:dyDescent="0.25">
      <c r="A301" s="170">
        <v>42661</v>
      </c>
      <c r="B301" s="116">
        <v>44.7</v>
      </c>
      <c r="C301" s="116">
        <v>43.65</v>
      </c>
      <c r="D301" s="116">
        <v>43.55</v>
      </c>
      <c r="E301" s="116">
        <v>44.1</v>
      </c>
      <c r="F301" s="116">
        <v>43.65</v>
      </c>
      <c r="G301">
        <v>216871</v>
      </c>
      <c r="H301" s="116"/>
      <c r="I301" s="116"/>
      <c r="L301" s="170">
        <v>42661</v>
      </c>
      <c r="M301" s="116">
        <v>43.8</v>
      </c>
      <c r="N301" s="116">
        <v>44.8</v>
      </c>
      <c r="O301" s="116">
        <v>43.5</v>
      </c>
      <c r="P301" s="116">
        <v>44</v>
      </c>
      <c r="Q301" s="116">
        <v>43.8</v>
      </c>
      <c r="R301">
        <v>1080138</v>
      </c>
    </row>
    <row r="302" spans="1:18" x14ac:dyDescent="0.25">
      <c r="A302" s="170">
        <v>42662</v>
      </c>
      <c r="B302" s="116">
        <v>44.45</v>
      </c>
      <c r="C302" s="116">
        <v>43.35</v>
      </c>
      <c r="D302" s="116">
        <v>42.95</v>
      </c>
      <c r="E302" s="116">
        <v>44</v>
      </c>
      <c r="F302" s="116">
        <v>43.35</v>
      </c>
      <c r="G302">
        <v>139102</v>
      </c>
      <c r="H302" s="116"/>
      <c r="I302" s="116"/>
      <c r="L302" s="170">
        <v>42662</v>
      </c>
      <c r="M302" s="116">
        <v>43.35</v>
      </c>
      <c r="N302" s="116">
        <v>44.5</v>
      </c>
      <c r="O302" s="116">
        <v>43.1</v>
      </c>
      <c r="P302" s="116">
        <v>44.15</v>
      </c>
      <c r="Q302" s="116">
        <v>43.35</v>
      </c>
      <c r="R302">
        <v>1055474</v>
      </c>
    </row>
    <row r="303" spans="1:18" x14ac:dyDescent="0.25">
      <c r="A303" s="170">
        <v>42663</v>
      </c>
      <c r="B303" s="116">
        <v>44.4</v>
      </c>
      <c r="C303" s="116">
        <v>43.55</v>
      </c>
      <c r="D303" s="116">
        <v>43.3</v>
      </c>
      <c r="E303" s="116">
        <v>43.85</v>
      </c>
      <c r="F303" s="116">
        <v>43.55</v>
      </c>
      <c r="G303">
        <v>123510</v>
      </c>
      <c r="H303" s="116"/>
      <c r="I303" s="116"/>
      <c r="L303" s="170">
        <v>42663</v>
      </c>
      <c r="M303" s="116">
        <v>43.65</v>
      </c>
      <c r="N303" s="116">
        <v>44.35</v>
      </c>
      <c r="O303" s="116">
        <v>43.4</v>
      </c>
      <c r="P303" s="116">
        <v>43.85</v>
      </c>
      <c r="Q303" s="116">
        <v>43.65</v>
      </c>
      <c r="R303">
        <v>714745</v>
      </c>
    </row>
    <row r="304" spans="1:18" x14ac:dyDescent="0.25">
      <c r="A304" s="170">
        <v>42664</v>
      </c>
      <c r="B304" s="116">
        <v>43.9</v>
      </c>
      <c r="C304" s="116">
        <v>43.55</v>
      </c>
      <c r="D304" s="116">
        <v>43</v>
      </c>
      <c r="E304" s="116">
        <v>43.6</v>
      </c>
      <c r="F304" s="116">
        <v>43.55</v>
      </c>
      <c r="G304">
        <v>115176</v>
      </c>
      <c r="H304" s="116"/>
      <c r="I304" s="116"/>
      <c r="L304" s="170">
        <v>42664</v>
      </c>
      <c r="M304" s="116">
        <v>43.65</v>
      </c>
      <c r="N304" s="116">
        <v>43.95</v>
      </c>
      <c r="O304" s="116">
        <v>42.85</v>
      </c>
      <c r="P304" s="116">
        <v>43.65</v>
      </c>
      <c r="Q304" s="116">
        <v>43.65</v>
      </c>
      <c r="R304">
        <v>712713</v>
      </c>
    </row>
    <row r="305" spans="1:18" x14ac:dyDescent="0.25">
      <c r="A305" s="170">
        <v>42667</v>
      </c>
      <c r="B305" s="116">
        <v>44.3</v>
      </c>
      <c r="C305" s="116">
        <v>43.95</v>
      </c>
      <c r="D305" s="116">
        <v>43.8</v>
      </c>
      <c r="E305" s="116">
        <v>43.95</v>
      </c>
      <c r="F305" s="116">
        <v>43.95</v>
      </c>
      <c r="G305">
        <v>147157</v>
      </c>
      <c r="H305" s="116"/>
      <c r="I305" s="116"/>
      <c r="L305" s="170">
        <v>42667</v>
      </c>
      <c r="M305" s="116">
        <v>44.05</v>
      </c>
      <c r="N305" s="116">
        <v>44.3</v>
      </c>
      <c r="O305" s="116">
        <v>43.75</v>
      </c>
      <c r="P305" s="116">
        <v>44.2</v>
      </c>
      <c r="Q305" s="116">
        <v>44.05</v>
      </c>
      <c r="R305">
        <v>1103927</v>
      </c>
    </row>
    <row r="306" spans="1:18" x14ac:dyDescent="0.25">
      <c r="A306" s="170">
        <v>42668</v>
      </c>
      <c r="B306" s="116">
        <v>43.7</v>
      </c>
      <c r="C306" s="116">
        <v>43.15</v>
      </c>
      <c r="D306" s="116">
        <v>41.95</v>
      </c>
      <c r="E306" s="116">
        <v>42.05</v>
      </c>
      <c r="F306" s="116">
        <v>43.15</v>
      </c>
      <c r="G306">
        <v>256676</v>
      </c>
      <c r="H306" s="116"/>
      <c r="I306" s="116"/>
      <c r="L306" s="170">
        <v>42668</v>
      </c>
      <c r="M306" s="116">
        <v>43.45</v>
      </c>
      <c r="N306" s="116">
        <v>43.75</v>
      </c>
      <c r="O306" s="116">
        <v>41.85</v>
      </c>
      <c r="P306" s="116">
        <v>42.55</v>
      </c>
      <c r="Q306" s="116">
        <v>43.45</v>
      </c>
      <c r="R306">
        <v>1555481</v>
      </c>
    </row>
    <row r="307" spans="1:18" x14ac:dyDescent="0.25">
      <c r="A307" s="170">
        <v>42669</v>
      </c>
      <c r="B307" s="116">
        <v>43.7</v>
      </c>
      <c r="C307" s="116">
        <v>42.95</v>
      </c>
      <c r="D307" s="116">
        <v>42.8</v>
      </c>
      <c r="E307" s="116">
        <v>43.35</v>
      </c>
      <c r="F307" s="116">
        <v>42.95</v>
      </c>
      <c r="G307">
        <v>100534</v>
      </c>
      <c r="H307" s="116"/>
      <c r="I307" s="116"/>
      <c r="L307" s="170">
        <v>42669</v>
      </c>
      <c r="M307" s="116">
        <v>43.2</v>
      </c>
      <c r="N307" s="116">
        <v>43.7</v>
      </c>
      <c r="O307" s="116">
        <v>42.95</v>
      </c>
      <c r="P307" s="116">
        <v>43.3</v>
      </c>
      <c r="Q307" s="116">
        <v>43.2</v>
      </c>
      <c r="R307">
        <v>439248</v>
      </c>
    </row>
    <row r="308" spans="1:18" x14ac:dyDescent="0.25">
      <c r="A308" s="170">
        <v>42670</v>
      </c>
      <c r="B308" s="116">
        <v>43.45</v>
      </c>
      <c r="C308" s="116">
        <v>43</v>
      </c>
      <c r="D308" s="116">
        <v>42.8</v>
      </c>
      <c r="E308" s="116">
        <v>43.05</v>
      </c>
      <c r="F308" s="116">
        <v>43</v>
      </c>
      <c r="G308">
        <v>100618</v>
      </c>
      <c r="H308" s="116"/>
      <c r="I308" s="116"/>
      <c r="L308" s="170">
        <v>42670</v>
      </c>
      <c r="M308" s="116">
        <v>43.2</v>
      </c>
      <c r="N308" s="116">
        <v>43.45</v>
      </c>
      <c r="O308" s="116">
        <v>42.9</v>
      </c>
      <c r="P308" s="116">
        <v>43.1</v>
      </c>
      <c r="Q308" s="116">
        <v>43.2</v>
      </c>
      <c r="R308">
        <v>337734</v>
      </c>
    </row>
    <row r="309" spans="1:18" x14ac:dyDescent="0.25">
      <c r="A309" s="170">
        <v>42671</v>
      </c>
      <c r="B309" s="116">
        <v>46.3</v>
      </c>
      <c r="C309" s="116">
        <v>44.95</v>
      </c>
      <c r="D309" s="116">
        <v>42.25</v>
      </c>
      <c r="E309" s="116">
        <v>42.25</v>
      </c>
      <c r="F309" s="116">
        <v>44.95</v>
      </c>
      <c r="G309">
        <v>418492</v>
      </c>
      <c r="H309" s="116"/>
      <c r="I309" s="116"/>
      <c r="L309" s="170">
        <v>42671</v>
      </c>
      <c r="M309" s="116">
        <v>45.25</v>
      </c>
      <c r="N309" s="116">
        <v>46.35</v>
      </c>
      <c r="O309" s="116">
        <v>43.05</v>
      </c>
      <c r="P309" s="116">
        <v>43.1</v>
      </c>
      <c r="Q309" s="116">
        <v>45.25</v>
      </c>
      <c r="R309">
        <v>1681140</v>
      </c>
    </row>
    <row r="310" spans="1:18" x14ac:dyDescent="0.25">
      <c r="A310" s="170">
        <v>42673</v>
      </c>
      <c r="B310" s="116">
        <v>46.35</v>
      </c>
      <c r="C310" s="116">
        <v>45.6</v>
      </c>
      <c r="D310" s="116">
        <v>45.2</v>
      </c>
      <c r="E310" s="116">
        <v>45.45</v>
      </c>
      <c r="F310" s="116">
        <v>45.6</v>
      </c>
      <c r="G310">
        <v>120710</v>
      </c>
      <c r="H310" s="116"/>
      <c r="I310" s="116"/>
      <c r="L310" s="170">
        <v>42673</v>
      </c>
      <c r="M310" s="116">
        <v>45.55</v>
      </c>
      <c r="N310" s="116">
        <v>46.3</v>
      </c>
      <c r="O310" s="116">
        <v>45.15</v>
      </c>
      <c r="P310" s="116">
        <v>45.75</v>
      </c>
      <c r="Q310" s="116">
        <v>45.55</v>
      </c>
      <c r="R310">
        <v>462216</v>
      </c>
    </row>
    <row r="311" spans="1:18" x14ac:dyDescent="0.25">
      <c r="A311" s="170">
        <v>42675</v>
      </c>
      <c r="B311" s="116">
        <v>47</v>
      </c>
      <c r="C311" s="116">
        <v>46.6</v>
      </c>
      <c r="D311" s="116">
        <v>45.35</v>
      </c>
      <c r="E311" s="116">
        <v>45.4</v>
      </c>
      <c r="F311" s="116">
        <v>46.6</v>
      </c>
      <c r="G311">
        <v>195320</v>
      </c>
      <c r="H311" s="116"/>
      <c r="I311" s="116"/>
      <c r="L311" s="170">
        <v>42675</v>
      </c>
      <c r="M311" s="116">
        <v>46.8</v>
      </c>
      <c r="N311" s="116">
        <v>47.2</v>
      </c>
      <c r="O311" s="116">
        <v>45.1</v>
      </c>
      <c r="P311" s="116">
        <v>45.1</v>
      </c>
      <c r="Q311" s="116">
        <v>46.8</v>
      </c>
      <c r="R311">
        <v>1291462</v>
      </c>
    </row>
    <row r="312" spans="1:18" x14ac:dyDescent="0.25">
      <c r="A312" s="170">
        <v>42676</v>
      </c>
      <c r="B312" s="116">
        <v>46.55</v>
      </c>
      <c r="C312" s="116">
        <v>44.8</v>
      </c>
      <c r="D312" s="116">
        <v>44</v>
      </c>
      <c r="E312" s="116">
        <v>46.45</v>
      </c>
      <c r="F312" s="116">
        <v>44.8</v>
      </c>
      <c r="G312">
        <v>171476</v>
      </c>
      <c r="H312" s="116"/>
      <c r="I312" s="116"/>
      <c r="L312" s="170">
        <v>42676</v>
      </c>
      <c r="M312" s="116">
        <v>45.3</v>
      </c>
      <c r="N312" s="116">
        <v>46.6</v>
      </c>
      <c r="O312" s="116">
        <v>44.8</v>
      </c>
      <c r="P312" s="116">
        <v>46</v>
      </c>
      <c r="Q312" s="116">
        <v>45.3</v>
      </c>
      <c r="R312">
        <v>878762</v>
      </c>
    </row>
    <row r="313" spans="1:18" x14ac:dyDescent="0.25">
      <c r="A313" s="170">
        <v>42677</v>
      </c>
      <c r="B313" s="116">
        <v>46.2</v>
      </c>
      <c r="C313" s="116">
        <v>45.85</v>
      </c>
      <c r="D313" s="116">
        <v>45.15</v>
      </c>
      <c r="E313" s="116">
        <v>45.15</v>
      </c>
      <c r="F313" s="116">
        <v>45.85</v>
      </c>
      <c r="G313">
        <v>138729</v>
      </c>
      <c r="H313" s="116"/>
      <c r="I313" s="116"/>
      <c r="L313" s="170">
        <v>42677</v>
      </c>
      <c r="M313" s="116">
        <v>45.7</v>
      </c>
      <c r="N313" s="116">
        <v>46.25</v>
      </c>
      <c r="O313" s="116">
        <v>44.75</v>
      </c>
      <c r="P313" s="116">
        <v>45</v>
      </c>
      <c r="Q313" s="116">
        <v>45.7</v>
      </c>
      <c r="R313">
        <v>1285845</v>
      </c>
    </row>
    <row r="314" spans="1:18" x14ac:dyDescent="0.25">
      <c r="A314" s="170">
        <v>42678</v>
      </c>
      <c r="B314" s="116">
        <v>46.3</v>
      </c>
      <c r="C314" s="116">
        <v>45.75</v>
      </c>
      <c r="D314" s="116">
        <v>44.5</v>
      </c>
      <c r="E314" s="116">
        <v>45.95</v>
      </c>
      <c r="F314" s="116">
        <v>45.75</v>
      </c>
      <c r="G314">
        <v>207403</v>
      </c>
      <c r="H314" s="116"/>
      <c r="I314" s="116"/>
      <c r="L314" s="170">
        <v>42678</v>
      </c>
      <c r="M314" s="116">
        <v>45.55</v>
      </c>
      <c r="N314" s="116">
        <v>45.9</v>
      </c>
      <c r="O314" s="116">
        <v>44.5</v>
      </c>
      <c r="P314" s="116">
        <v>45.85</v>
      </c>
      <c r="Q314" s="116">
        <v>45.55</v>
      </c>
      <c r="R314">
        <v>1283711</v>
      </c>
    </row>
    <row r="315" spans="1:18" x14ac:dyDescent="0.25">
      <c r="A315" s="170">
        <v>42681</v>
      </c>
      <c r="B315" s="116">
        <v>47.2</v>
      </c>
      <c r="C315" s="116">
        <v>46.35</v>
      </c>
      <c r="D315" s="116">
        <v>45.55</v>
      </c>
      <c r="E315" s="116">
        <v>45.75</v>
      </c>
      <c r="F315" s="116">
        <v>46.35</v>
      </c>
      <c r="G315">
        <v>143557</v>
      </c>
      <c r="H315" s="116"/>
      <c r="I315" s="116"/>
      <c r="L315" s="170">
        <v>42681</v>
      </c>
      <c r="M315" s="116">
        <v>46.15</v>
      </c>
      <c r="N315" s="116">
        <v>47.25</v>
      </c>
      <c r="O315" s="116">
        <v>45.7</v>
      </c>
      <c r="P315" s="116">
        <v>45.85</v>
      </c>
      <c r="Q315" s="116">
        <v>46.15</v>
      </c>
      <c r="R315">
        <v>1038362</v>
      </c>
    </row>
    <row r="316" spans="1:18" x14ac:dyDescent="0.25">
      <c r="A316" s="170">
        <v>42682</v>
      </c>
      <c r="B316" s="116">
        <v>47</v>
      </c>
      <c r="C316" s="116">
        <v>46</v>
      </c>
      <c r="D316" s="116">
        <v>45.9</v>
      </c>
      <c r="E316" s="116">
        <v>46.9</v>
      </c>
      <c r="F316" s="116">
        <v>46</v>
      </c>
      <c r="G316">
        <v>76899</v>
      </c>
      <c r="H316" s="116"/>
      <c r="I316" s="116"/>
      <c r="L316" s="170">
        <v>42682</v>
      </c>
      <c r="M316" s="116">
        <v>46.1</v>
      </c>
      <c r="N316" s="116">
        <v>46.9</v>
      </c>
      <c r="O316" s="116">
        <v>45.9</v>
      </c>
      <c r="P316" s="116">
        <v>46.6</v>
      </c>
      <c r="Q316" s="116">
        <v>46.1</v>
      </c>
      <c r="R316">
        <v>820165</v>
      </c>
    </row>
    <row r="317" spans="1:18" x14ac:dyDescent="0.25">
      <c r="A317" s="170">
        <v>42683</v>
      </c>
      <c r="B317" s="116">
        <v>45.25</v>
      </c>
      <c r="C317" s="116">
        <v>45.05</v>
      </c>
      <c r="D317" s="116">
        <v>40</v>
      </c>
      <c r="E317" s="116">
        <v>43.1</v>
      </c>
      <c r="F317" s="116">
        <v>45.05</v>
      </c>
      <c r="G317">
        <v>249323</v>
      </c>
      <c r="H317" s="116"/>
      <c r="I317" s="116"/>
      <c r="L317" s="170">
        <v>42683</v>
      </c>
      <c r="M317" s="116">
        <v>45.15</v>
      </c>
      <c r="N317" s="116">
        <v>45.65</v>
      </c>
      <c r="O317" s="116">
        <v>39.85</v>
      </c>
      <c r="P317" s="116">
        <v>41.9</v>
      </c>
      <c r="Q317" s="116">
        <v>45.15</v>
      </c>
      <c r="R317">
        <v>1640463</v>
      </c>
    </row>
    <row r="318" spans="1:18" x14ac:dyDescent="0.25">
      <c r="A318" s="170">
        <v>42684</v>
      </c>
      <c r="B318" s="116">
        <v>46.9</v>
      </c>
      <c r="C318" s="116">
        <v>46.1</v>
      </c>
      <c r="D318" s="116">
        <v>45.75</v>
      </c>
      <c r="E318" s="116">
        <v>46.25</v>
      </c>
      <c r="F318" s="116">
        <v>46.1</v>
      </c>
      <c r="G318">
        <v>180137</v>
      </c>
      <c r="H318" s="116"/>
      <c r="I318" s="116"/>
      <c r="L318" s="170">
        <v>42684</v>
      </c>
      <c r="M318" s="116">
        <v>45.75</v>
      </c>
      <c r="N318" s="116">
        <v>46.8</v>
      </c>
      <c r="O318" s="116">
        <v>45.4</v>
      </c>
      <c r="P318" s="116">
        <v>46.15</v>
      </c>
      <c r="Q318" s="116">
        <v>45.75</v>
      </c>
      <c r="R318">
        <v>595451</v>
      </c>
    </row>
    <row r="319" spans="1:18" x14ac:dyDescent="0.25">
      <c r="A319" s="170">
        <v>42685</v>
      </c>
      <c r="B319" s="116">
        <v>45.85</v>
      </c>
      <c r="C319" s="116">
        <v>45.15</v>
      </c>
      <c r="D319" s="116">
        <v>44.45</v>
      </c>
      <c r="E319" s="116">
        <v>45.5</v>
      </c>
      <c r="F319" s="116">
        <v>45.15</v>
      </c>
      <c r="G319">
        <v>204684</v>
      </c>
      <c r="H319" s="116"/>
      <c r="I319" s="116"/>
      <c r="L319" s="170">
        <v>42685</v>
      </c>
      <c r="M319" s="116">
        <v>45</v>
      </c>
      <c r="N319" s="116">
        <v>46.1</v>
      </c>
      <c r="O319" s="116">
        <v>44.25</v>
      </c>
      <c r="P319" s="116">
        <v>46.1</v>
      </c>
      <c r="Q319" s="116">
        <v>45</v>
      </c>
      <c r="R319">
        <v>991845</v>
      </c>
    </row>
    <row r="320" spans="1:18" x14ac:dyDescent="0.25">
      <c r="A320" s="170">
        <v>42689</v>
      </c>
      <c r="B320" s="116">
        <v>45.5</v>
      </c>
      <c r="C320" s="116">
        <v>44.05</v>
      </c>
      <c r="D320" s="116">
        <v>43.2</v>
      </c>
      <c r="E320" s="116">
        <v>45.1</v>
      </c>
      <c r="F320" s="116">
        <v>44.05</v>
      </c>
      <c r="G320">
        <v>193036</v>
      </c>
      <c r="H320" s="116"/>
      <c r="I320" s="116"/>
      <c r="L320" s="170">
        <v>42689</v>
      </c>
      <c r="M320" s="116">
        <v>44.05</v>
      </c>
      <c r="N320" s="116">
        <v>45.6</v>
      </c>
      <c r="O320" s="116">
        <v>43.35</v>
      </c>
      <c r="P320" s="116">
        <v>45</v>
      </c>
      <c r="Q320" s="116">
        <v>44.05</v>
      </c>
      <c r="R320">
        <v>573219</v>
      </c>
    </row>
    <row r="321" spans="1:18" x14ac:dyDescent="0.25">
      <c r="A321" s="170">
        <v>42690</v>
      </c>
      <c r="B321" s="116">
        <v>45.1</v>
      </c>
      <c r="C321" s="116">
        <v>44</v>
      </c>
      <c r="D321" s="116">
        <v>43.5</v>
      </c>
      <c r="E321" s="116">
        <v>44.45</v>
      </c>
      <c r="F321" s="116">
        <v>44</v>
      </c>
      <c r="G321">
        <v>63312</v>
      </c>
      <c r="H321" s="116"/>
      <c r="I321" s="116"/>
      <c r="L321" s="170">
        <v>42690</v>
      </c>
      <c r="M321" s="116">
        <v>44.1</v>
      </c>
      <c r="N321" s="116">
        <v>45.05</v>
      </c>
      <c r="O321" s="116">
        <v>43.55</v>
      </c>
      <c r="P321" s="116">
        <v>44</v>
      </c>
      <c r="Q321" s="116">
        <v>44.1</v>
      </c>
      <c r="R321">
        <v>514332</v>
      </c>
    </row>
    <row r="322" spans="1:18" x14ac:dyDescent="0.25">
      <c r="A322" s="170">
        <v>42691</v>
      </c>
      <c r="B322" s="116">
        <v>44.3</v>
      </c>
      <c r="C322" s="116">
        <v>44.05</v>
      </c>
      <c r="D322" s="116">
        <v>43.95</v>
      </c>
      <c r="E322" s="116">
        <v>44.25</v>
      </c>
      <c r="F322" s="116">
        <v>44.05</v>
      </c>
      <c r="G322">
        <v>31111</v>
      </c>
      <c r="H322" s="116"/>
      <c r="I322" s="116"/>
      <c r="L322" s="170">
        <v>42691</v>
      </c>
      <c r="M322" s="116">
        <v>44.1</v>
      </c>
      <c r="N322" s="116">
        <v>44.5</v>
      </c>
      <c r="O322" s="116">
        <v>43.2</v>
      </c>
      <c r="P322" s="116">
        <v>44.05</v>
      </c>
      <c r="Q322" s="116">
        <v>44.1</v>
      </c>
      <c r="R322">
        <v>296666</v>
      </c>
    </row>
    <row r="323" spans="1:18" x14ac:dyDescent="0.25">
      <c r="A323" s="170">
        <v>42692</v>
      </c>
      <c r="B323" s="116">
        <v>44.9</v>
      </c>
      <c r="C323" s="116">
        <v>44.65</v>
      </c>
      <c r="D323" s="116">
        <v>44.15</v>
      </c>
      <c r="E323" s="116">
        <v>44.2</v>
      </c>
      <c r="F323" s="116">
        <v>44.65</v>
      </c>
      <c r="G323">
        <v>56699</v>
      </c>
      <c r="H323" s="116"/>
      <c r="I323" s="116"/>
      <c r="L323" s="170">
        <v>42692</v>
      </c>
      <c r="M323" s="116">
        <v>44.8</v>
      </c>
      <c r="N323" s="116">
        <v>45</v>
      </c>
      <c r="O323" s="116">
        <v>44.05</v>
      </c>
      <c r="P323" s="116">
        <v>44.3</v>
      </c>
      <c r="Q323" s="116">
        <v>44.8</v>
      </c>
      <c r="R323">
        <v>317751</v>
      </c>
    </row>
    <row r="324" spans="1:18" x14ac:dyDescent="0.25">
      <c r="A324" s="170">
        <v>42695</v>
      </c>
      <c r="B324" s="116">
        <v>47.2</v>
      </c>
      <c r="C324" s="116">
        <v>45.9</v>
      </c>
      <c r="D324" s="116">
        <v>45.25</v>
      </c>
      <c r="E324" s="116">
        <v>45.3</v>
      </c>
      <c r="F324" s="116">
        <v>45.9</v>
      </c>
      <c r="G324">
        <v>254771</v>
      </c>
      <c r="H324" s="116"/>
      <c r="I324" s="116"/>
      <c r="L324" s="170">
        <v>42695</v>
      </c>
      <c r="M324" s="116">
        <v>45.9</v>
      </c>
      <c r="N324" s="116">
        <v>47.25</v>
      </c>
      <c r="O324" s="116">
        <v>45.25</v>
      </c>
      <c r="P324" s="116">
        <v>45.6</v>
      </c>
      <c r="Q324" s="116">
        <v>45.9</v>
      </c>
      <c r="R324">
        <v>1205170</v>
      </c>
    </row>
    <row r="325" spans="1:18" x14ac:dyDescent="0.25">
      <c r="A325" s="170">
        <v>42696</v>
      </c>
      <c r="B325" s="116">
        <v>47.75</v>
      </c>
      <c r="C325" s="116">
        <v>46.6</v>
      </c>
      <c r="D325" s="116">
        <v>45</v>
      </c>
      <c r="E325" s="116">
        <v>46.8</v>
      </c>
      <c r="F325" s="116">
        <v>46.6</v>
      </c>
      <c r="G325">
        <v>113825</v>
      </c>
      <c r="H325" s="116"/>
      <c r="I325" s="116"/>
      <c r="L325" s="170">
        <v>42696</v>
      </c>
      <c r="M325" s="116">
        <v>46.8</v>
      </c>
      <c r="N325" s="116">
        <v>47.8</v>
      </c>
      <c r="O325" s="116">
        <v>44.9</v>
      </c>
      <c r="P325" s="116">
        <v>46.7</v>
      </c>
      <c r="Q325" s="116">
        <v>46.8</v>
      </c>
      <c r="R325">
        <v>729000</v>
      </c>
    </row>
    <row r="326" spans="1:18" x14ac:dyDescent="0.25">
      <c r="A326" s="170">
        <v>42697</v>
      </c>
      <c r="B326" s="116">
        <v>55.9</v>
      </c>
      <c r="C326" s="116">
        <v>55.9</v>
      </c>
      <c r="D326" s="116">
        <v>46.6</v>
      </c>
      <c r="E326" s="116">
        <v>47.2</v>
      </c>
      <c r="F326" s="116">
        <v>55.9</v>
      </c>
      <c r="G326">
        <v>1216315</v>
      </c>
      <c r="H326" s="116"/>
      <c r="I326" s="116"/>
      <c r="L326" s="170">
        <v>42697</v>
      </c>
      <c r="M326" s="116">
        <v>56.15</v>
      </c>
      <c r="N326" s="116">
        <v>56.15</v>
      </c>
      <c r="O326" s="116">
        <v>46.55</v>
      </c>
      <c r="P326" s="116">
        <v>47.4</v>
      </c>
      <c r="Q326" s="116">
        <v>56.15</v>
      </c>
      <c r="R326">
        <v>6252963</v>
      </c>
    </row>
    <row r="327" spans="1:18" x14ac:dyDescent="0.25">
      <c r="A327" s="170">
        <v>42698</v>
      </c>
      <c r="B327" s="116">
        <v>61.7</v>
      </c>
      <c r="C327" s="116">
        <v>57.75</v>
      </c>
      <c r="D327" s="116">
        <v>55.85</v>
      </c>
      <c r="E327" s="116">
        <v>57.1</v>
      </c>
      <c r="F327" s="116">
        <v>57.75</v>
      </c>
      <c r="G327">
        <v>1946364</v>
      </c>
      <c r="H327" s="116"/>
      <c r="I327" s="116"/>
      <c r="L327" s="170">
        <v>42698</v>
      </c>
      <c r="M327" s="116">
        <v>57.45</v>
      </c>
      <c r="N327" s="116">
        <v>61.7</v>
      </c>
      <c r="O327" s="116">
        <v>55.65</v>
      </c>
      <c r="P327" s="116">
        <v>56.75</v>
      </c>
      <c r="Q327" s="116">
        <v>57.45</v>
      </c>
      <c r="R327">
        <v>8112723</v>
      </c>
    </row>
    <row r="328" spans="1:18" x14ac:dyDescent="0.25">
      <c r="A328" s="170">
        <v>42699</v>
      </c>
      <c r="B328" s="116">
        <v>66</v>
      </c>
      <c r="C328" s="116">
        <v>64.900000000000006</v>
      </c>
      <c r="D328" s="116">
        <v>55</v>
      </c>
      <c r="E328" s="116">
        <v>58</v>
      </c>
      <c r="F328" s="116">
        <v>64.900000000000006</v>
      </c>
      <c r="G328">
        <v>1636498</v>
      </c>
      <c r="H328" s="116"/>
      <c r="I328" s="116"/>
      <c r="L328" s="170">
        <v>42699</v>
      </c>
      <c r="M328" s="116">
        <v>64.75</v>
      </c>
      <c r="N328" s="116">
        <v>66.25</v>
      </c>
      <c r="O328" s="116">
        <v>55.1</v>
      </c>
      <c r="P328" s="116">
        <v>57.5</v>
      </c>
      <c r="Q328" s="116">
        <v>64.75</v>
      </c>
      <c r="R328">
        <v>8188792</v>
      </c>
    </row>
    <row r="329" spans="1:18" x14ac:dyDescent="0.25">
      <c r="A329" s="170">
        <v>42702</v>
      </c>
      <c r="B329" s="116">
        <v>65.8</v>
      </c>
      <c r="C329" s="116">
        <v>61.95</v>
      </c>
      <c r="D329" s="116">
        <v>60.8</v>
      </c>
      <c r="E329" s="116">
        <v>64.3</v>
      </c>
      <c r="F329" s="116">
        <v>61.95</v>
      </c>
      <c r="G329">
        <v>748938</v>
      </c>
      <c r="H329" s="116"/>
      <c r="I329" s="116"/>
      <c r="L329" s="170">
        <v>42702</v>
      </c>
      <c r="M329" s="116">
        <v>62.05</v>
      </c>
      <c r="N329" s="116">
        <v>65.8</v>
      </c>
      <c r="O329" s="116">
        <v>60.7</v>
      </c>
      <c r="P329" s="116">
        <v>64</v>
      </c>
      <c r="Q329" s="116">
        <v>62.05</v>
      </c>
      <c r="R329">
        <v>3620342</v>
      </c>
    </row>
    <row r="330" spans="1:18" x14ac:dyDescent="0.25">
      <c r="A330" s="170">
        <v>42703</v>
      </c>
      <c r="B330" s="116">
        <v>63.8</v>
      </c>
      <c r="C330" s="116">
        <v>61.45</v>
      </c>
      <c r="D330" s="116">
        <v>60.55</v>
      </c>
      <c r="E330" s="116">
        <v>62.6</v>
      </c>
      <c r="F330" s="116">
        <v>61.45</v>
      </c>
      <c r="G330">
        <v>577837</v>
      </c>
      <c r="H330" s="116"/>
      <c r="I330" s="116"/>
      <c r="L330" s="170">
        <v>42703</v>
      </c>
      <c r="M330" s="116">
        <v>61.6</v>
      </c>
      <c r="N330" s="116">
        <v>63.5</v>
      </c>
      <c r="O330" s="116">
        <v>60.45</v>
      </c>
      <c r="P330" s="116">
        <v>62.3</v>
      </c>
      <c r="Q330" s="116">
        <v>61.6</v>
      </c>
      <c r="R330">
        <v>2637165</v>
      </c>
    </row>
    <row r="331" spans="1:18" x14ac:dyDescent="0.25">
      <c r="A331" s="170">
        <v>42704</v>
      </c>
      <c r="B331" s="116">
        <v>61.95</v>
      </c>
      <c r="C331" s="116">
        <v>58.25</v>
      </c>
      <c r="D331" s="116">
        <v>57.5</v>
      </c>
      <c r="E331" s="116">
        <v>61.5</v>
      </c>
      <c r="F331" s="116">
        <v>58.25</v>
      </c>
      <c r="G331">
        <v>539295</v>
      </c>
      <c r="H331" s="116"/>
      <c r="I331" s="116"/>
      <c r="L331" s="170">
        <v>42704</v>
      </c>
      <c r="M331" s="116">
        <v>58.25</v>
      </c>
      <c r="N331" s="116">
        <v>61.95</v>
      </c>
      <c r="O331" s="116">
        <v>57.5</v>
      </c>
      <c r="P331" s="116">
        <v>61.2</v>
      </c>
      <c r="Q331" s="116">
        <v>58.25</v>
      </c>
      <c r="R331">
        <v>2582348</v>
      </c>
    </row>
    <row r="332" spans="1:18" x14ac:dyDescent="0.25">
      <c r="A332" s="170">
        <v>42705</v>
      </c>
      <c r="B332" s="116">
        <v>59.2</v>
      </c>
      <c r="C332" s="116">
        <v>56.3</v>
      </c>
      <c r="D332" s="116">
        <v>55.45</v>
      </c>
      <c r="E332" s="116">
        <v>59</v>
      </c>
      <c r="F332" s="116">
        <v>56.3</v>
      </c>
      <c r="G332">
        <v>388379</v>
      </c>
      <c r="H332" s="116"/>
      <c r="I332" s="116"/>
      <c r="L332" s="170">
        <v>42705</v>
      </c>
      <c r="M332" s="116">
        <v>56.2</v>
      </c>
      <c r="N332" s="116">
        <v>59.25</v>
      </c>
      <c r="O332" s="116">
        <v>55.4</v>
      </c>
      <c r="P332" s="116">
        <v>58.9</v>
      </c>
      <c r="Q332" s="116">
        <v>56.2</v>
      </c>
      <c r="R332">
        <v>1533688</v>
      </c>
    </row>
    <row r="333" spans="1:18" x14ac:dyDescent="0.25">
      <c r="A333" s="170">
        <v>42706</v>
      </c>
      <c r="B333" s="116">
        <v>58.45</v>
      </c>
      <c r="C333" s="116">
        <v>55.4</v>
      </c>
      <c r="D333" s="116">
        <v>54.8</v>
      </c>
      <c r="E333" s="116">
        <v>55.9</v>
      </c>
      <c r="F333" s="116">
        <v>55.4</v>
      </c>
      <c r="G333">
        <v>628633</v>
      </c>
      <c r="H333" s="116"/>
      <c r="I333" s="116"/>
      <c r="L333" s="170">
        <v>42706</v>
      </c>
      <c r="M333" s="116">
        <v>55.35</v>
      </c>
      <c r="N333" s="116">
        <v>58.5</v>
      </c>
      <c r="O333" s="116">
        <v>54.5</v>
      </c>
      <c r="P333" s="116">
        <v>55.45</v>
      </c>
      <c r="Q333" s="116">
        <v>55.35</v>
      </c>
      <c r="R333">
        <v>1955537</v>
      </c>
    </row>
    <row r="334" spans="1:18" x14ac:dyDescent="0.25">
      <c r="A334" s="170">
        <v>42709</v>
      </c>
      <c r="B334" s="116">
        <v>56.85</v>
      </c>
      <c r="C334" s="116">
        <v>55.25</v>
      </c>
      <c r="D334" s="116">
        <v>54.9</v>
      </c>
      <c r="E334" s="116">
        <v>55.9</v>
      </c>
      <c r="F334" s="116">
        <v>55.25</v>
      </c>
      <c r="G334">
        <v>201450</v>
      </c>
      <c r="H334" s="116"/>
      <c r="I334" s="116"/>
      <c r="L334" s="170">
        <v>42709</v>
      </c>
      <c r="M334" s="116">
        <v>55.2</v>
      </c>
      <c r="N334" s="116">
        <v>56.75</v>
      </c>
      <c r="O334" s="116">
        <v>54.75</v>
      </c>
      <c r="P334" s="116">
        <v>55.75</v>
      </c>
      <c r="Q334" s="116">
        <v>55.2</v>
      </c>
      <c r="R334">
        <v>776324</v>
      </c>
    </row>
    <row r="335" spans="1:18" x14ac:dyDescent="0.25">
      <c r="A335" s="170">
        <v>42710</v>
      </c>
      <c r="B335" s="116">
        <v>60.75</v>
      </c>
      <c r="C335" s="116">
        <v>60.75</v>
      </c>
      <c r="D335" s="116">
        <v>54.65</v>
      </c>
      <c r="E335" s="116">
        <v>56</v>
      </c>
      <c r="F335" s="116">
        <v>60.75</v>
      </c>
      <c r="G335">
        <v>1908118</v>
      </c>
      <c r="H335" s="116"/>
      <c r="I335" s="116"/>
      <c r="L335" s="170">
        <v>42710</v>
      </c>
      <c r="M335" s="116">
        <v>60.65</v>
      </c>
      <c r="N335" s="116">
        <v>60.7</v>
      </c>
      <c r="O335" s="116">
        <v>54.65</v>
      </c>
      <c r="P335" s="116">
        <v>55.85</v>
      </c>
      <c r="Q335" s="116">
        <v>60.65</v>
      </c>
      <c r="R335">
        <v>8709883</v>
      </c>
    </row>
    <row r="336" spans="1:18" x14ac:dyDescent="0.25">
      <c r="A336" s="170">
        <v>42711</v>
      </c>
      <c r="B336" s="116">
        <v>62.4</v>
      </c>
      <c r="C336" s="116">
        <v>58.75</v>
      </c>
      <c r="D336" s="116">
        <v>58</v>
      </c>
      <c r="E336" s="116">
        <v>61.45</v>
      </c>
      <c r="F336" s="116">
        <v>58.75</v>
      </c>
      <c r="G336">
        <v>888925</v>
      </c>
      <c r="H336" s="116"/>
      <c r="I336" s="116"/>
      <c r="L336" s="170">
        <v>42711</v>
      </c>
      <c r="M336" s="116">
        <v>58.9</v>
      </c>
      <c r="N336" s="116">
        <v>62.3</v>
      </c>
      <c r="O336" s="116">
        <v>58.1</v>
      </c>
      <c r="P336" s="116">
        <v>61.4</v>
      </c>
      <c r="Q336" s="116">
        <v>58.9</v>
      </c>
      <c r="R336">
        <v>2951783</v>
      </c>
    </row>
    <row r="337" spans="1:18" x14ac:dyDescent="0.25">
      <c r="A337" s="170">
        <v>42712</v>
      </c>
      <c r="B337" s="116">
        <v>60.7</v>
      </c>
      <c r="C337" s="116">
        <v>59.55</v>
      </c>
      <c r="D337" s="116">
        <v>59</v>
      </c>
      <c r="E337" s="116">
        <v>59.9</v>
      </c>
      <c r="F337" s="116">
        <v>59.55</v>
      </c>
      <c r="G337">
        <v>300369</v>
      </c>
      <c r="H337" s="116"/>
      <c r="I337" s="116"/>
      <c r="L337" s="170">
        <v>42712</v>
      </c>
      <c r="M337" s="116">
        <v>59.65</v>
      </c>
      <c r="N337" s="116">
        <v>60.7</v>
      </c>
      <c r="O337" s="116">
        <v>59</v>
      </c>
      <c r="P337" s="116">
        <v>59.95</v>
      </c>
      <c r="Q337" s="116">
        <v>59.65</v>
      </c>
      <c r="R337">
        <v>1441368</v>
      </c>
    </row>
    <row r="338" spans="1:18" x14ac:dyDescent="0.25">
      <c r="A338" s="170">
        <v>42713</v>
      </c>
      <c r="B338" s="116">
        <v>59.95</v>
      </c>
      <c r="C338" s="116">
        <v>58.75</v>
      </c>
      <c r="D338" s="116">
        <v>58.55</v>
      </c>
      <c r="E338" s="116">
        <v>59.85</v>
      </c>
      <c r="F338" s="116">
        <v>58.75</v>
      </c>
      <c r="G338">
        <v>181274</v>
      </c>
      <c r="H338" s="116"/>
      <c r="I338" s="116"/>
      <c r="L338" s="170">
        <v>42713</v>
      </c>
      <c r="M338" s="116">
        <v>58.9</v>
      </c>
      <c r="N338" s="116">
        <v>60.05</v>
      </c>
      <c r="O338" s="116">
        <v>58.65</v>
      </c>
      <c r="P338" s="116">
        <v>60.05</v>
      </c>
      <c r="Q338" s="116">
        <v>58.9</v>
      </c>
      <c r="R338">
        <v>705399</v>
      </c>
    </row>
    <row r="339" spans="1:18" x14ac:dyDescent="0.25">
      <c r="A339" s="170">
        <v>42716</v>
      </c>
      <c r="B339" s="116">
        <v>59.9</v>
      </c>
      <c r="C339" s="116">
        <v>56.85</v>
      </c>
      <c r="D339" s="116">
        <v>56.3</v>
      </c>
      <c r="E339" s="116">
        <v>59.8</v>
      </c>
      <c r="F339" s="116">
        <v>56.85</v>
      </c>
      <c r="G339">
        <v>323636</v>
      </c>
      <c r="H339" s="116"/>
      <c r="I339" s="116"/>
      <c r="L339" s="170">
        <v>42716</v>
      </c>
      <c r="M339" s="116">
        <v>56.75</v>
      </c>
      <c r="N339" s="116">
        <v>59.9</v>
      </c>
      <c r="O339" s="116">
        <v>56.2</v>
      </c>
      <c r="P339" s="116">
        <v>59.1</v>
      </c>
      <c r="Q339" s="116">
        <v>56.75</v>
      </c>
      <c r="R339">
        <v>1168657</v>
      </c>
    </row>
    <row r="340" spans="1:18" x14ac:dyDescent="0.25">
      <c r="A340" s="170">
        <v>42717</v>
      </c>
      <c r="B340" s="116">
        <v>57.6</v>
      </c>
      <c r="C340" s="116">
        <v>56.35</v>
      </c>
      <c r="D340" s="116">
        <v>56</v>
      </c>
      <c r="E340" s="116">
        <v>57.6</v>
      </c>
      <c r="F340" s="116">
        <v>56.35</v>
      </c>
      <c r="G340">
        <v>282516</v>
      </c>
      <c r="H340" s="116"/>
      <c r="I340" s="116"/>
      <c r="L340" s="170">
        <v>42717</v>
      </c>
      <c r="M340" s="116">
        <v>56.35</v>
      </c>
      <c r="N340" s="116">
        <v>57.7</v>
      </c>
      <c r="O340" s="116">
        <v>55.95</v>
      </c>
      <c r="P340" s="116">
        <v>57</v>
      </c>
      <c r="Q340" s="116">
        <v>56.35</v>
      </c>
      <c r="R340">
        <v>894717</v>
      </c>
    </row>
    <row r="341" spans="1:18" x14ac:dyDescent="0.25">
      <c r="A341" s="170">
        <v>42718</v>
      </c>
      <c r="B341" s="116">
        <v>56.8</v>
      </c>
      <c r="C341" s="116">
        <v>53.75</v>
      </c>
      <c r="D341" s="116">
        <v>53.55</v>
      </c>
      <c r="E341" s="116">
        <v>56.35</v>
      </c>
      <c r="F341" s="116">
        <v>53.75</v>
      </c>
      <c r="G341">
        <v>323088</v>
      </c>
      <c r="H341" s="116"/>
      <c r="I341" s="116"/>
      <c r="L341" s="170">
        <v>42718</v>
      </c>
      <c r="M341" s="116">
        <v>53.8</v>
      </c>
      <c r="N341" s="116">
        <v>56.85</v>
      </c>
      <c r="O341" s="116">
        <v>53.55</v>
      </c>
      <c r="P341" s="116">
        <v>56.4</v>
      </c>
      <c r="Q341" s="116">
        <v>53.8</v>
      </c>
      <c r="R341">
        <v>1135864</v>
      </c>
    </row>
    <row r="342" spans="1:18" x14ac:dyDescent="0.25">
      <c r="A342" s="170">
        <v>42719</v>
      </c>
      <c r="B342" s="116">
        <v>55.45</v>
      </c>
      <c r="C342" s="116">
        <v>54.3</v>
      </c>
      <c r="D342" s="116">
        <v>53</v>
      </c>
      <c r="E342" s="116">
        <v>53</v>
      </c>
      <c r="F342" s="116">
        <v>54.3</v>
      </c>
      <c r="G342">
        <v>376819</v>
      </c>
      <c r="H342" s="116"/>
      <c r="I342" s="116"/>
      <c r="L342" s="170">
        <v>42719</v>
      </c>
      <c r="M342" s="116">
        <v>54.4</v>
      </c>
      <c r="N342" s="116">
        <v>55.5</v>
      </c>
      <c r="O342" s="116">
        <v>53.2</v>
      </c>
      <c r="P342" s="116">
        <v>53.5</v>
      </c>
      <c r="Q342" s="116">
        <v>54.4</v>
      </c>
      <c r="R342">
        <v>968256</v>
      </c>
    </row>
    <row r="343" spans="1:18" x14ac:dyDescent="0.25">
      <c r="A343" s="170">
        <v>42720</v>
      </c>
      <c r="B343" s="116">
        <v>56.3</v>
      </c>
      <c r="C343" s="116">
        <v>54.5</v>
      </c>
      <c r="D343" s="116">
        <v>54.1</v>
      </c>
      <c r="E343" s="116">
        <v>54.75</v>
      </c>
      <c r="F343" s="116">
        <v>54.5</v>
      </c>
      <c r="G343">
        <v>299677</v>
      </c>
      <c r="H343" s="116"/>
      <c r="I343" s="116"/>
      <c r="L343" s="170">
        <v>42720</v>
      </c>
      <c r="M343" s="116">
        <v>54.55</v>
      </c>
      <c r="N343" s="116">
        <v>56.4</v>
      </c>
      <c r="O343" s="116">
        <v>54.1</v>
      </c>
      <c r="P343" s="116">
        <v>54.8</v>
      </c>
      <c r="Q343" s="116">
        <v>54.55</v>
      </c>
      <c r="R343">
        <v>1590942</v>
      </c>
    </row>
    <row r="344" spans="1:18" x14ac:dyDescent="0.25">
      <c r="A344" s="170">
        <v>42723</v>
      </c>
      <c r="B344" s="116">
        <v>54.8</v>
      </c>
      <c r="C344" s="116">
        <v>53.45</v>
      </c>
      <c r="D344" s="116">
        <v>52.6</v>
      </c>
      <c r="E344" s="116">
        <v>54.8</v>
      </c>
      <c r="F344" s="116">
        <v>53.45</v>
      </c>
      <c r="G344">
        <v>211688</v>
      </c>
      <c r="H344" s="116"/>
      <c r="I344" s="116"/>
      <c r="L344" s="170">
        <v>42723</v>
      </c>
      <c r="M344" s="116">
        <v>53.6</v>
      </c>
      <c r="N344" s="116">
        <v>54.7</v>
      </c>
      <c r="O344" s="116">
        <v>53</v>
      </c>
      <c r="P344" s="116">
        <v>54.4</v>
      </c>
      <c r="Q344" s="116">
        <v>53.6</v>
      </c>
      <c r="R344">
        <v>741987</v>
      </c>
    </row>
    <row r="345" spans="1:18" x14ac:dyDescent="0.25">
      <c r="A345" s="170">
        <v>42724</v>
      </c>
      <c r="B345" s="116">
        <v>55.5</v>
      </c>
      <c r="C345" s="116">
        <v>54.85</v>
      </c>
      <c r="D345" s="116">
        <v>53.75</v>
      </c>
      <c r="E345" s="116">
        <v>53.75</v>
      </c>
      <c r="F345" s="116">
        <v>54.85</v>
      </c>
      <c r="G345">
        <v>212534</v>
      </c>
      <c r="H345" s="116"/>
      <c r="I345" s="116"/>
      <c r="L345" s="170">
        <v>42724</v>
      </c>
      <c r="M345" s="116">
        <v>55.1</v>
      </c>
      <c r="N345" s="116">
        <v>55.9</v>
      </c>
      <c r="O345" s="116">
        <v>53.7</v>
      </c>
      <c r="P345" s="116">
        <v>53.75</v>
      </c>
      <c r="Q345" s="116">
        <v>55.1</v>
      </c>
      <c r="R345">
        <v>1068785</v>
      </c>
    </row>
    <row r="346" spans="1:18" x14ac:dyDescent="0.25">
      <c r="A346" s="170">
        <v>42725</v>
      </c>
      <c r="B346" s="116">
        <v>56.4</v>
      </c>
      <c r="C346" s="116">
        <v>54.85</v>
      </c>
      <c r="D346" s="116">
        <v>54.55</v>
      </c>
      <c r="E346" s="116">
        <v>56</v>
      </c>
      <c r="F346" s="116">
        <v>54.85</v>
      </c>
      <c r="G346">
        <v>195035</v>
      </c>
      <c r="H346" s="116"/>
      <c r="I346" s="116"/>
      <c r="L346" s="170">
        <v>42725</v>
      </c>
      <c r="M346" s="116">
        <v>55.05</v>
      </c>
      <c r="N346" s="116">
        <v>56.4</v>
      </c>
      <c r="O346" s="116">
        <v>54.6</v>
      </c>
      <c r="P346" s="116">
        <v>55.6</v>
      </c>
      <c r="Q346" s="116">
        <v>55.05</v>
      </c>
      <c r="R346">
        <v>611887</v>
      </c>
    </row>
    <row r="347" spans="1:18" x14ac:dyDescent="0.25">
      <c r="A347" s="170">
        <v>42726</v>
      </c>
      <c r="B347" s="116">
        <v>55.7</v>
      </c>
      <c r="C347" s="116">
        <v>54.3</v>
      </c>
      <c r="D347" s="116">
        <v>54.15</v>
      </c>
      <c r="E347" s="116">
        <v>55</v>
      </c>
      <c r="F347" s="116">
        <v>54.3</v>
      </c>
      <c r="G347">
        <v>145133</v>
      </c>
      <c r="H347" s="116"/>
      <c r="I347" s="116"/>
      <c r="L347" s="170">
        <v>42726</v>
      </c>
      <c r="M347" s="116">
        <v>54.65</v>
      </c>
      <c r="N347" s="116">
        <v>55.65</v>
      </c>
      <c r="O347" s="116">
        <v>54.3</v>
      </c>
      <c r="P347" s="116">
        <v>54.95</v>
      </c>
      <c r="Q347" s="116">
        <v>54.65</v>
      </c>
      <c r="R347">
        <v>857536</v>
      </c>
    </row>
    <row r="348" spans="1:18" x14ac:dyDescent="0.25">
      <c r="A348" s="170">
        <v>42727</v>
      </c>
      <c r="B348" s="116">
        <v>54.8</v>
      </c>
      <c r="C348" s="116">
        <v>53.65</v>
      </c>
      <c r="D348" s="116">
        <v>53</v>
      </c>
      <c r="E348" s="116">
        <v>54.8</v>
      </c>
      <c r="F348" s="116">
        <v>53.65</v>
      </c>
      <c r="G348">
        <v>85960</v>
      </c>
      <c r="H348" s="116"/>
      <c r="I348" s="116"/>
      <c r="L348" s="170">
        <v>42727</v>
      </c>
      <c r="M348" s="116">
        <v>53.5</v>
      </c>
      <c r="N348" s="116">
        <v>54.8</v>
      </c>
      <c r="O348" s="116">
        <v>53.2</v>
      </c>
      <c r="P348" s="116">
        <v>54.2</v>
      </c>
      <c r="Q348" s="116">
        <v>53.5</v>
      </c>
      <c r="R348">
        <v>486308</v>
      </c>
    </row>
    <row r="349" spans="1:18" x14ac:dyDescent="0.25">
      <c r="A349" s="170">
        <v>42730</v>
      </c>
      <c r="B349" s="116">
        <v>53.85</v>
      </c>
      <c r="C349" s="116">
        <v>51.75</v>
      </c>
      <c r="D349" s="116">
        <v>51.35</v>
      </c>
      <c r="E349" s="116">
        <v>53.5</v>
      </c>
      <c r="F349" s="116">
        <v>51.75</v>
      </c>
      <c r="G349">
        <v>140519</v>
      </c>
      <c r="H349" s="116"/>
      <c r="I349" s="116"/>
      <c r="L349" s="170">
        <v>42730</v>
      </c>
      <c r="M349" s="116">
        <v>51.7</v>
      </c>
      <c r="N349" s="116">
        <v>53.9</v>
      </c>
      <c r="O349" s="116">
        <v>51.3</v>
      </c>
      <c r="P349" s="116">
        <v>53.9</v>
      </c>
      <c r="Q349" s="116">
        <v>51.7</v>
      </c>
      <c r="R349">
        <v>516454</v>
      </c>
    </row>
    <row r="350" spans="1:18" x14ac:dyDescent="0.25">
      <c r="A350" s="170">
        <v>42731</v>
      </c>
      <c r="B350" s="116">
        <v>55.8</v>
      </c>
      <c r="C350" s="116">
        <v>55.1</v>
      </c>
      <c r="D350" s="116">
        <v>51.1</v>
      </c>
      <c r="E350" s="116">
        <v>53.9</v>
      </c>
      <c r="F350" s="116">
        <v>55.1</v>
      </c>
      <c r="G350">
        <v>232477</v>
      </c>
      <c r="H350" s="116"/>
      <c r="I350" s="116"/>
      <c r="L350" s="170">
        <v>42731</v>
      </c>
      <c r="M350" s="116">
        <v>55</v>
      </c>
      <c r="N350" s="116">
        <v>55.7</v>
      </c>
      <c r="O350" s="116">
        <v>51.15</v>
      </c>
      <c r="P350" s="116">
        <v>51.5</v>
      </c>
      <c r="Q350" s="116">
        <v>55</v>
      </c>
      <c r="R350">
        <v>706040</v>
      </c>
    </row>
    <row r="351" spans="1:18" x14ac:dyDescent="0.25">
      <c r="A351" s="170">
        <v>42732</v>
      </c>
      <c r="B351" s="116">
        <v>56.35</v>
      </c>
      <c r="C351" s="116">
        <v>55.8</v>
      </c>
      <c r="D351" s="116">
        <v>54.6</v>
      </c>
      <c r="E351" s="116">
        <v>55.5</v>
      </c>
      <c r="F351" s="116">
        <v>55.8</v>
      </c>
      <c r="G351">
        <v>155014</v>
      </c>
      <c r="H351" s="116"/>
      <c r="I351" s="116"/>
      <c r="L351" s="170">
        <v>42732</v>
      </c>
      <c r="M351" s="116">
        <v>55.7</v>
      </c>
      <c r="N351" s="116">
        <v>56.25</v>
      </c>
      <c r="O351" s="116">
        <v>54.5</v>
      </c>
      <c r="P351" s="116">
        <v>55.6</v>
      </c>
      <c r="Q351" s="116">
        <v>55.7</v>
      </c>
      <c r="R351">
        <v>642190</v>
      </c>
    </row>
    <row r="352" spans="1:18" x14ac:dyDescent="0.25">
      <c r="A352" s="170">
        <v>42733</v>
      </c>
      <c r="B352" s="116">
        <v>56.4</v>
      </c>
      <c r="C352" s="116">
        <v>56.05</v>
      </c>
      <c r="D352" s="116">
        <v>55.05</v>
      </c>
      <c r="E352" s="116">
        <v>55.7</v>
      </c>
      <c r="F352" s="116">
        <v>56.05</v>
      </c>
      <c r="G352">
        <v>98535</v>
      </c>
      <c r="H352" s="116"/>
      <c r="I352" s="116"/>
      <c r="L352" s="170">
        <v>42733</v>
      </c>
      <c r="M352" s="116">
        <v>56.1</v>
      </c>
      <c r="N352" s="116">
        <v>56.35</v>
      </c>
      <c r="O352" s="116">
        <v>55.2</v>
      </c>
      <c r="P352" s="116">
        <v>56</v>
      </c>
      <c r="Q352" s="116">
        <v>56.1</v>
      </c>
      <c r="R352">
        <v>345025</v>
      </c>
    </row>
    <row r="353" spans="1:18" x14ac:dyDescent="0.25">
      <c r="A353" s="170">
        <v>42734</v>
      </c>
      <c r="B353" s="116">
        <v>58.3</v>
      </c>
      <c r="C353" s="116">
        <v>56.5</v>
      </c>
      <c r="D353" s="116">
        <v>55.65</v>
      </c>
      <c r="E353" s="116">
        <v>56.6</v>
      </c>
      <c r="F353" s="116">
        <v>56.5</v>
      </c>
      <c r="G353">
        <v>182259</v>
      </c>
      <c r="H353" s="116"/>
      <c r="I353" s="116"/>
      <c r="L353" s="170">
        <v>42734</v>
      </c>
      <c r="M353" s="116">
        <v>56.75</v>
      </c>
      <c r="N353" s="116">
        <v>58.4</v>
      </c>
      <c r="O353" s="116">
        <v>55.8</v>
      </c>
      <c r="P353" s="116">
        <v>56.5</v>
      </c>
      <c r="Q353" s="116">
        <v>56.75</v>
      </c>
      <c r="R353">
        <v>1100000</v>
      </c>
    </row>
    <row r="354" spans="1:18" x14ac:dyDescent="0.25">
      <c r="A354" s="170">
        <v>42737</v>
      </c>
      <c r="B354" s="116">
        <v>57.7</v>
      </c>
      <c r="C354" s="116">
        <v>57.05</v>
      </c>
      <c r="D354" s="116">
        <v>56.3</v>
      </c>
      <c r="E354" s="116">
        <v>56.9</v>
      </c>
      <c r="F354" s="116">
        <v>57.05</v>
      </c>
      <c r="G354">
        <v>87409</v>
      </c>
      <c r="H354" s="116"/>
      <c r="I354" s="116"/>
      <c r="L354" s="170">
        <v>42737</v>
      </c>
      <c r="M354" s="116">
        <v>57.1</v>
      </c>
      <c r="N354" s="116">
        <v>57.75</v>
      </c>
      <c r="O354" s="116">
        <v>56.3</v>
      </c>
      <c r="P354" s="116">
        <v>57</v>
      </c>
      <c r="Q354" s="116">
        <v>57.1</v>
      </c>
      <c r="R354">
        <v>314816</v>
      </c>
    </row>
    <row r="355" spans="1:18" x14ac:dyDescent="0.25">
      <c r="A355" s="170">
        <v>42738</v>
      </c>
      <c r="B355" s="116">
        <v>57.75</v>
      </c>
      <c r="C355" s="116">
        <v>56.8</v>
      </c>
      <c r="D355" s="116">
        <v>56.65</v>
      </c>
      <c r="E355" s="116">
        <v>57.25</v>
      </c>
      <c r="F355" s="116">
        <v>56.8</v>
      </c>
      <c r="G355">
        <v>88229</v>
      </c>
      <c r="H355" s="116"/>
      <c r="I355" s="116"/>
      <c r="L355" s="170">
        <v>42738</v>
      </c>
      <c r="M355" s="116">
        <v>56.65</v>
      </c>
      <c r="N355" s="116">
        <v>57.75</v>
      </c>
      <c r="O355" s="116">
        <v>56.5</v>
      </c>
      <c r="P355" s="116">
        <v>57</v>
      </c>
      <c r="Q355" s="116">
        <v>56.65</v>
      </c>
      <c r="R355">
        <v>409531</v>
      </c>
    </row>
    <row r="356" spans="1:18" x14ac:dyDescent="0.25">
      <c r="A356" s="170">
        <v>42739</v>
      </c>
      <c r="B356" s="116">
        <v>59.15</v>
      </c>
      <c r="C356" s="116">
        <v>57.8</v>
      </c>
      <c r="D356" s="116">
        <v>56.85</v>
      </c>
      <c r="E356" s="116">
        <v>56.95</v>
      </c>
      <c r="F356" s="116">
        <v>57.8</v>
      </c>
      <c r="G356">
        <v>137446</v>
      </c>
      <c r="H356" s="116"/>
      <c r="I356" s="116"/>
      <c r="L356" s="170">
        <v>42739</v>
      </c>
      <c r="M356" s="116">
        <v>57.9</v>
      </c>
      <c r="N356" s="116">
        <v>59.25</v>
      </c>
      <c r="O356" s="116">
        <v>56.5</v>
      </c>
      <c r="P356" s="116">
        <v>56.5</v>
      </c>
      <c r="Q356" s="116">
        <v>57.9</v>
      </c>
      <c r="R356">
        <v>862886</v>
      </c>
    </row>
    <row r="357" spans="1:18" x14ac:dyDescent="0.25">
      <c r="A357" s="170">
        <v>42740</v>
      </c>
      <c r="B357" s="116">
        <v>59.2</v>
      </c>
      <c r="C357" s="116">
        <v>58.35</v>
      </c>
      <c r="D357" s="116">
        <v>58</v>
      </c>
      <c r="E357" s="116">
        <v>58.4</v>
      </c>
      <c r="F357" s="116">
        <v>58.35</v>
      </c>
      <c r="G357">
        <v>106377</v>
      </c>
      <c r="H357" s="116"/>
      <c r="I357" s="116"/>
      <c r="L357" s="170">
        <v>42740</v>
      </c>
      <c r="M357" s="116">
        <v>58.35</v>
      </c>
      <c r="N357" s="116">
        <v>59.2</v>
      </c>
      <c r="O357" s="116">
        <v>57.85</v>
      </c>
      <c r="P357" s="116">
        <v>58.2</v>
      </c>
      <c r="Q357" s="116">
        <v>58.35</v>
      </c>
      <c r="R357">
        <v>483472</v>
      </c>
    </row>
    <row r="358" spans="1:18" x14ac:dyDescent="0.25">
      <c r="A358" s="170">
        <v>42741</v>
      </c>
      <c r="B358" s="116">
        <v>58.75</v>
      </c>
      <c r="C358" s="116">
        <v>57.2</v>
      </c>
      <c r="D358" s="116">
        <v>56.95</v>
      </c>
      <c r="E358" s="116">
        <v>58.75</v>
      </c>
      <c r="F358" s="116">
        <v>57.2</v>
      </c>
      <c r="G358">
        <v>70294</v>
      </c>
      <c r="H358" s="116"/>
      <c r="I358" s="116"/>
      <c r="L358" s="170">
        <v>42741</v>
      </c>
      <c r="M358" s="116">
        <v>57.15</v>
      </c>
      <c r="N358" s="116">
        <v>58.9</v>
      </c>
      <c r="O358" s="116">
        <v>56.8</v>
      </c>
      <c r="P358" s="116">
        <v>58.9</v>
      </c>
      <c r="Q358" s="116">
        <v>57.15</v>
      </c>
      <c r="R358">
        <v>457545</v>
      </c>
    </row>
    <row r="359" spans="1:18" x14ac:dyDescent="0.25">
      <c r="A359" s="170">
        <v>42744</v>
      </c>
      <c r="B359" s="116">
        <v>59.9</v>
      </c>
      <c r="C359" s="116">
        <v>59.05</v>
      </c>
      <c r="D359" s="116">
        <v>56.8</v>
      </c>
      <c r="E359" s="116">
        <v>56.9</v>
      </c>
      <c r="F359" s="116">
        <v>59.05</v>
      </c>
      <c r="G359">
        <v>167683</v>
      </c>
      <c r="H359" s="116"/>
      <c r="I359" s="116"/>
      <c r="L359" s="170">
        <v>42744</v>
      </c>
      <c r="M359" s="116">
        <v>59.35</v>
      </c>
      <c r="N359" s="116">
        <v>59.9</v>
      </c>
      <c r="O359" s="116">
        <v>56.7</v>
      </c>
      <c r="P359" s="116">
        <v>57.3</v>
      </c>
      <c r="Q359" s="116">
        <v>59.35</v>
      </c>
      <c r="R359">
        <v>931414</v>
      </c>
    </row>
    <row r="360" spans="1:18" x14ac:dyDescent="0.25">
      <c r="A360" s="170">
        <v>42745</v>
      </c>
      <c r="B360" s="116">
        <v>59.9</v>
      </c>
      <c r="C360" s="116">
        <v>59.15</v>
      </c>
      <c r="D360" s="116">
        <v>58.6</v>
      </c>
      <c r="E360" s="116">
        <v>59.7</v>
      </c>
      <c r="F360" s="116">
        <v>59.15</v>
      </c>
      <c r="G360">
        <v>106335</v>
      </c>
      <c r="H360" s="116"/>
      <c r="I360" s="116"/>
      <c r="L360" s="170">
        <v>42745</v>
      </c>
      <c r="M360" s="116">
        <v>59.15</v>
      </c>
      <c r="N360" s="116">
        <v>59.9</v>
      </c>
      <c r="O360" s="116">
        <v>58.55</v>
      </c>
      <c r="P360" s="116">
        <v>59.85</v>
      </c>
      <c r="Q360" s="116">
        <v>59.15</v>
      </c>
      <c r="R360">
        <v>634993</v>
      </c>
    </row>
    <row r="361" spans="1:18" x14ac:dyDescent="0.25">
      <c r="A361" s="170">
        <v>42746</v>
      </c>
      <c r="B361" s="116">
        <v>61.1</v>
      </c>
      <c r="C361" s="116">
        <v>60.3</v>
      </c>
      <c r="D361" s="116">
        <v>58.8</v>
      </c>
      <c r="E361" s="116">
        <v>59</v>
      </c>
      <c r="F361" s="116">
        <v>60.3</v>
      </c>
      <c r="G361">
        <v>191434</v>
      </c>
      <c r="H361" s="116"/>
      <c r="I361" s="116"/>
      <c r="L361" s="170">
        <v>42746</v>
      </c>
      <c r="M361" s="116">
        <v>60.25</v>
      </c>
      <c r="N361" s="116">
        <v>61</v>
      </c>
      <c r="O361" s="116">
        <v>59</v>
      </c>
      <c r="P361" s="116">
        <v>59.65</v>
      </c>
      <c r="Q361" s="116">
        <v>60.25</v>
      </c>
      <c r="R361">
        <v>882206</v>
      </c>
    </row>
    <row r="362" spans="1:18" x14ac:dyDescent="0.25">
      <c r="A362" s="170">
        <v>42747</v>
      </c>
      <c r="B362" s="116">
        <v>60.9</v>
      </c>
      <c r="C362" s="116">
        <v>58.85</v>
      </c>
      <c r="D362" s="116">
        <v>58.7</v>
      </c>
      <c r="E362" s="116">
        <v>60.7</v>
      </c>
      <c r="F362" s="116">
        <v>58.85</v>
      </c>
      <c r="G362">
        <v>87949</v>
      </c>
      <c r="H362" s="116"/>
      <c r="I362" s="116"/>
      <c r="L362" s="170">
        <v>42747</v>
      </c>
      <c r="M362" s="116">
        <v>58.9</v>
      </c>
      <c r="N362" s="116">
        <v>60.85</v>
      </c>
      <c r="O362" s="116">
        <v>58.55</v>
      </c>
      <c r="P362" s="116">
        <v>60.5</v>
      </c>
      <c r="Q362" s="116">
        <v>58.9</v>
      </c>
      <c r="R362">
        <v>668328</v>
      </c>
    </row>
    <row r="363" spans="1:18" x14ac:dyDescent="0.25">
      <c r="A363" s="170">
        <v>42748</v>
      </c>
      <c r="B363" s="116">
        <v>59.35</v>
      </c>
      <c r="C363" s="116">
        <v>58.55</v>
      </c>
      <c r="D363" s="116">
        <v>58.2</v>
      </c>
      <c r="E363" s="116">
        <v>58.6</v>
      </c>
      <c r="F363" s="116">
        <v>58.55</v>
      </c>
      <c r="G363">
        <v>94076</v>
      </c>
      <c r="H363" s="116"/>
      <c r="I363" s="116"/>
      <c r="L363" s="170">
        <v>42748</v>
      </c>
      <c r="M363" s="116">
        <v>58.8</v>
      </c>
      <c r="N363" s="116">
        <v>59.35</v>
      </c>
      <c r="O363" s="116">
        <v>58.2</v>
      </c>
      <c r="P363" s="116">
        <v>58.9</v>
      </c>
      <c r="Q363" s="116">
        <v>58.8</v>
      </c>
      <c r="R363">
        <v>268457</v>
      </c>
    </row>
    <row r="364" spans="1:18" x14ac:dyDescent="0.25">
      <c r="A364" s="170">
        <v>42751</v>
      </c>
      <c r="B364" s="116">
        <v>59.3</v>
      </c>
      <c r="C364" s="116">
        <v>58.8</v>
      </c>
      <c r="D364" s="116">
        <v>58</v>
      </c>
      <c r="E364" s="116">
        <v>58</v>
      </c>
      <c r="F364" s="116">
        <v>58.8</v>
      </c>
      <c r="G364">
        <v>35986</v>
      </c>
      <c r="H364" s="116"/>
      <c r="I364" s="116"/>
      <c r="L364" s="170">
        <v>42751</v>
      </c>
      <c r="M364" s="116">
        <v>58.75</v>
      </c>
      <c r="N364" s="116">
        <v>59.45</v>
      </c>
      <c r="O364" s="116">
        <v>58.1</v>
      </c>
      <c r="P364" s="116">
        <v>58.85</v>
      </c>
      <c r="Q364" s="116">
        <v>58.75</v>
      </c>
      <c r="R364">
        <v>290704</v>
      </c>
    </row>
    <row r="365" spans="1:18" x14ac:dyDescent="0.25">
      <c r="A365" s="170">
        <v>42752</v>
      </c>
      <c r="B365" s="116">
        <v>63.55</v>
      </c>
      <c r="C365" s="116">
        <v>62.7</v>
      </c>
      <c r="D365" s="116">
        <v>58.7</v>
      </c>
      <c r="E365" s="116">
        <v>58.7</v>
      </c>
      <c r="F365" s="116">
        <v>62.7</v>
      </c>
      <c r="G365">
        <v>518921</v>
      </c>
      <c r="H365" s="116"/>
      <c r="I365" s="116"/>
      <c r="L365" s="170">
        <v>42752</v>
      </c>
      <c r="M365" s="116">
        <v>62.4</v>
      </c>
      <c r="N365" s="116">
        <v>63.5</v>
      </c>
      <c r="O365" s="116">
        <v>58.2</v>
      </c>
      <c r="P365" s="116">
        <v>58.2</v>
      </c>
      <c r="Q365" s="116">
        <v>62.4</v>
      </c>
      <c r="R365">
        <v>2215815</v>
      </c>
    </row>
    <row r="366" spans="1:18" x14ac:dyDescent="0.25">
      <c r="A366" s="170">
        <v>42753</v>
      </c>
      <c r="B366" s="116">
        <v>64.150000000000006</v>
      </c>
      <c r="C366" s="116">
        <v>63.85</v>
      </c>
      <c r="D366" s="116">
        <v>62.15</v>
      </c>
      <c r="E366" s="116">
        <v>62.95</v>
      </c>
      <c r="F366" s="116">
        <v>63.85</v>
      </c>
      <c r="G366">
        <v>259653</v>
      </c>
      <c r="H366" s="116"/>
      <c r="I366" s="116"/>
      <c r="L366" s="170">
        <v>42753</v>
      </c>
      <c r="M366" s="116">
        <v>63.95</v>
      </c>
      <c r="N366" s="116">
        <v>64.25</v>
      </c>
      <c r="O366" s="116">
        <v>62.05</v>
      </c>
      <c r="P366" s="116">
        <v>62.9</v>
      </c>
      <c r="Q366" s="116">
        <v>63.95</v>
      </c>
      <c r="R366">
        <v>1477821</v>
      </c>
    </row>
    <row r="367" spans="1:18" x14ac:dyDescent="0.25">
      <c r="A367" s="170">
        <v>42754</v>
      </c>
      <c r="B367" s="116">
        <v>64.95</v>
      </c>
      <c r="C367" s="116">
        <v>64.099999999999994</v>
      </c>
      <c r="D367" s="116">
        <v>63.75</v>
      </c>
      <c r="E367" s="116">
        <v>63.85</v>
      </c>
      <c r="F367" s="116">
        <v>64.099999999999994</v>
      </c>
      <c r="G367">
        <v>120671</v>
      </c>
      <c r="H367" s="116"/>
      <c r="I367" s="116"/>
      <c r="L367" s="170">
        <v>42754</v>
      </c>
      <c r="M367" s="116">
        <v>64.2</v>
      </c>
      <c r="N367" s="116">
        <v>65</v>
      </c>
      <c r="O367" s="116">
        <v>63.8</v>
      </c>
      <c r="P367" s="116">
        <v>64</v>
      </c>
      <c r="Q367" s="116">
        <v>64.2</v>
      </c>
      <c r="R367">
        <v>760297</v>
      </c>
    </row>
    <row r="368" spans="1:18" x14ac:dyDescent="0.25">
      <c r="A368" s="170">
        <v>42755</v>
      </c>
      <c r="B368" s="116">
        <v>66</v>
      </c>
      <c r="C368" s="116">
        <v>62.15</v>
      </c>
      <c r="D368" s="116">
        <v>60.65</v>
      </c>
      <c r="E368" s="116">
        <v>64</v>
      </c>
      <c r="F368" s="116">
        <v>62.15</v>
      </c>
      <c r="G368">
        <v>267404</v>
      </c>
      <c r="H368" s="116"/>
      <c r="I368" s="116"/>
      <c r="L368" s="170">
        <v>42755</v>
      </c>
      <c r="M368" s="116">
        <v>62.1</v>
      </c>
      <c r="N368" s="116">
        <v>65.849999999999994</v>
      </c>
      <c r="O368" s="116">
        <v>60.7</v>
      </c>
      <c r="P368" s="116">
        <v>64.400000000000006</v>
      </c>
      <c r="Q368" s="116">
        <v>62.1</v>
      </c>
      <c r="R368">
        <v>1361312</v>
      </c>
    </row>
    <row r="369" spans="1:18" x14ac:dyDescent="0.25">
      <c r="A369" s="170">
        <v>42758</v>
      </c>
      <c r="B369" s="116">
        <v>64.599999999999994</v>
      </c>
      <c r="C369" s="116">
        <v>63.7</v>
      </c>
      <c r="D369" s="116">
        <v>62.15</v>
      </c>
      <c r="E369" s="116">
        <v>62.2</v>
      </c>
      <c r="F369" s="116">
        <v>63.7</v>
      </c>
      <c r="G369">
        <v>97674</v>
      </c>
      <c r="H369" s="116"/>
      <c r="I369" s="116"/>
      <c r="L369" s="170">
        <v>42758</v>
      </c>
      <c r="M369" s="116">
        <v>63.8</v>
      </c>
      <c r="N369" s="116">
        <v>64.5</v>
      </c>
      <c r="O369" s="116">
        <v>62.35</v>
      </c>
      <c r="P369" s="116">
        <v>62.35</v>
      </c>
      <c r="Q369" s="116">
        <v>63.8</v>
      </c>
      <c r="R369">
        <v>434801</v>
      </c>
    </row>
    <row r="370" spans="1:18" x14ac:dyDescent="0.25">
      <c r="A370" s="170">
        <v>42759</v>
      </c>
      <c r="B370" s="116">
        <v>64.400000000000006</v>
      </c>
      <c r="C370" s="116">
        <v>63.85</v>
      </c>
      <c r="D370" s="116">
        <v>62.95</v>
      </c>
      <c r="E370" s="116">
        <v>63.9</v>
      </c>
      <c r="F370" s="116">
        <v>63.85</v>
      </c>
      <c r="G370">
        <v>107027</v>
      </c>
      <c r="H370" s="116"/>
      <c r="I370" s="116"/>
      <c r="L370" s="170">
        <v>42759</v>
      </c>
      <c r="M370" s="116">
        <v>63.45</v>
      </c>
      <c r="N370" s="116">
        <v>64.45</v>
      </c>
      <c r="O370" s="116">
        <v>62.9</v>
      </c>
      <c r="P370" s="116">
        <v>64.45</v>
      </c>
      <c r="Q370" s="116">
        <v>63.45</v>
      </c>
      <c r="R370">
        <v>372526</v>
      </c>
    </row>
    <row r="371" spans="1:18" x14ac:dyDescent="0.25">
      <c r="A371" s="170">
        <v>42760</v>
      </c>
      <c r="B371" s="116">
        <v>65.2</v>
      </c>
      <c r="C371" s="116">
        <v>63.05</v>
      </c>
      <c r="D371" s="116">
        <v>62.5</v>
      </c>
      <c r="E371" s="116">
        <v>64</v>
      </c>
      <c r="F371" s="116">
        <v>63.05</v>
      </c>
      <c r="G371">
        <v>150698</v>
      </c>
      <c r="H371" s="116"/>
      <c r="I371" s="116"/>
      <c r="L371" s="170">
        <v>42760</v>
      </c>
      <c r="M371" s="116">
        <v>63.25</v>
      </c>
      <c r="N371" s="116">
        <v>65.150000000000006</v>
      </c>
      <c r="O371" s="116">
        <v>62.5</v>
      </c>
      <c r="P371" s="116">
        <v>63.5</v>
      </c>
      <c r="Q371" s="116">
        <v>63.25</v>
      </c>
      <c r="R371">
        <v>567354</v>
      </c>
    </row>
    <row r="372" spans="1:18" x14ac:dyDescent="0.25">
      <c r="A372" s="170">
        <v>42762</v>
      </c>
      <c r="B372" s="116">
        <v>67.2</v>
      </c>
      <c r="C372" s="116">
        <v>66.599999999999994</v>
      </c>
      <c r="D372" s="116">
        <v>62.5</v>
      </c>
      <c r="E372" s="116">
        <v>63.8</v>
      </c>
      <c r="F372" s="116">
        <v>66.599999999999994</v>
      </c>
      <c r="G372">
        <v>605733</v>
      </c>
      <c r="H372" s="116"/>
      <c r="I372" s="116"/>
      <c r="L372" s="170">
        <v>42762</v>
      </c>
      <c r="M372" s="116">
        <v>66.650000000000006</v>
      </c>
      <c r="N372" s="116">
        <v>67.25</v>
      </c>
      <c r="O372" s="116">
        <v>62.55</v>
      </c>
      <c r="P372" s="116">
        <v>63.75</v>
      </c>
      <c r="Q372" s="116">
        <v>66.650000000000006</v>
      </c>
      <c r="R372">
        <v>2857947</v>
      </c>
    </row>
    <row r="373" spans="1:18" x14ac:dyDescent="0.25">
      <c r="A373" s="170">
        <v>42765</v>
      </c>
      <c r="B373" s="116">
        <v>68.400000000000006</v>
      </c>
      <c r="C373" s="116">
        <v>66.650000000000006</v>
      </c>
      <c r="D373" s="116">
        <v>66.099999999999994</v>
      </c>
      <c r="E373" s="116">
        <v>66.5</v>
      </c>
      <c r="F373" s="116">
        <v>66.650000000000006</v>
      </c>
      <c r="G373">
        <v>237100</v>
      </c>
      <c r="H373" s="116"/>
      <c r="I373" s="116"/>
      <c r="L373" s="170">
        <v>42765</v>
      </c>
      <c r="M373" s="116">
        <v>66.849999999999994</v>
      </c>
      <c r="N373" s="116">
        <v>68.5</v>
      </c>
      <c r="O373" s="116">
        <v>66</v>
      </c>
      <c r="P373" s="116">
        <v>66.650000000000006</v>
      </c>
      <c r="Q373" s="116">
        <v>66.849999999999994</v>
      </c>
      <c r="R373">
        <v>1360776</v>
      </c>
    </row>
    <row r="374" spans="1:18" x14ac:dyDescent="0.25">
      <c r="A374" s="170">
        <v>42766</v>
      </c>
      <c r="B374" s="116">
        <v>67.05</v>
      </c>
      <c r="C374" s="116">
        <v>63.35</v>
      </c>
      <c r="D374" s="116">
        <v>62.75</v>
      </c>
      <c r="E374" s="116">
        <v>66.5</v>
      </c>
      <c r="F374" s="116">
        <v>63.35</v>
      </c>
      <c r="G374">
        <v>249050</v>
      </c>
      <c r="H374" s="116"/>
      <c r="I374" s="116"/>
      <c r="L374" s="170">
        <v>42766</v>
      </c>
      <c r="M374" s="116">
        <v>63.25</v>
      </c>
      <c r="N374" s="116">
        <v>67.099999999999994</v>
      </c>
      <c r="O374" s="116">
        <v>62.5</v>
      </c>
      <c r="P374" s="116">
        <v>66.849999999999994</v>
      </c>
      <c r="Q374" s="116">
        <v>63.25</v>
      </c>
      <c r="R374">
        <v>988858</v>
      </c>
    </row>
    <row r="375" spans="1:18" x14ac:dyDescent="0.25">
      <c r="A375" s="170">
        <v>42767</v>
      </c>
      <c r="B375" s="116">
        <v>65.099999999999994</v>
      </c>
      <c r="C375" s="116">
        <v>64.849999999999994</v>
      </c>
      <c r="D375" s="116">
        <v>63.4</v>
      </c>
      <c r="E375" s="116">
        <v>63.7</v>
      </c>
      <c r="F375" s="116">
        <v>64.849999999999994</v>
      </c>
      <c r="G375">
        <v>196015</v>
      </c>
      <c r="H375" s="116"/>
      <c r="I375" s="116"/>
      <c r="L375" s="170">
        <v>42767</v>
      </c>
      <c r="M375" s="116">
        <v>64.95</v>
      </c>
      <c r="N375" s="116">
        <v>65.25</v>
      </c>
      <c r="O375" s="116">
        <v>63.2</v>
      </c>
      <c r="P375" s="116">
        <v>63.7</v>
      </c>
      <c r="Q375" s="116">
        <v>64.95</v>
      </c>
      <c r="R375">
        <v>719585</v>
      </c>
    </row>
    <row r="376" spans="1:18" x14ac:dyDescent="0.25">
      <c r="A376" s="170">
        <v>42768</v>
      </c>
      <c r="B376" s="116">
        <v>67.8</v>
      </c>
      <c r="C376" s="116">
        <v>66</v>
      </c>
      <c r="D376" s="116">
        <v>64.25</v>
      </c>
      <c r="E376" s="116">
        <v>64.95</v>
      </c>
      <c r="F376" s="116">
        <v>66</v>
      </c>
      <c r="G376">
        <v>447132</v>
      </c>
      <c r="H376" s="116"/>
      <c r="I376" s="116"/>
      <c r="L376" s="170">
        <v>42768</v>
      </c>
      <c r="M376" s="116">
        <v>65.8</v>
      </c>
      <c r="N376" s="116">
        <v>67.7</v>
      </c>
      <c r="O376" s="116">
        <v>64.150000000000006</v>
      </c>
      <c r="P376" s="116">
        <v>64.900000000000006</v>
      </c>
      <c r="Q376" s="116">
        <v>65.8</v>
      </c>
      <c r="R376">
        <v>1479554</v>
      </c>
    </row>
    <row r="377" spans="1:18" x14ac:dyDescent="0.25">
      <c r="A377" s="170">
        <v>42769</v>
      </c>
      <c r="B377" s="116">
        <v>66.599999999999994</v>
      </c>
      <c r="C377" s="116">
        <v>65.900000000000006</v>
      </c>
      <c r="D377" s="116">
        <v>65.349999999999994</v>
      </c>
      <c r="E377" s="116">
        <v>66</v>
      </c>
      <c r="F377" s="116">
        <v>65.900000000000006</v>
      </c>
      <c r="G377">
        <v>105265</v>
      </c>
      <c r="H377" s="116"/>
      <c r="I377" s="116"/>
      <c r="L377" s="170">
        <v>42769</v>
      </c>
      <c r="M377" s="116">
        <v>65.7</v>
      </c>
      <c r="N377" s="116">
        <v>66.650000000000006</v>
      </c>
      <c r="O377" s="116">
        <v>65.099999999999994</v>
      </c>
      <c r="P377" s="116">
        <v>65.95</v>
      </c>
      <c r="Q377" s="116">
        <v>65.7</v>
      </c>
      <c r="R377">
        <v>461849</v>
      </c>
    </row>
    <row r="378" spans="1:18" x14ac:dyDescent="0.25">
      <c r="A378" s="170">
        <v>42772</v>
      </c>
      <c r="B378" s="116">
        <v>66.95</v>
      </c>
      <c r="C378" s="116">
        <v>65.8</v>
      </c>
      <c r="D378" s="116">
        <v>64.900000000000006</v>
      </c>
      <c r="E378" s="116">
        <v>66.2</v>
      </c>
      <c r="F378" s="116">
        <v>65.8</v>
      </c>
      <c r="G378">
        <v>116639</v>
      </c>
      <c r="H378" s="116"/>
      <c r="I378" s="116"/>
      <c r="L378" s="170">
        <v>42772</v>
      </c>
      <c r="M378" s="116">
        <v>65.95</v>
      </c>
      <c r="N378" s="116">
        <v>66.900000000000006</v>
      </c>
      <c r="O378" s="116">
        <v>65.099999999999994</v>
      </c>
      <c r="P378" s="116">
        <v>66</v>
      </c>
      <c r="Q378" s="116">
        <v>65.95</v>
      </c>
      <c r="R378">
        <v>478068</v>
      </c>
    </row>
    <row r="379" spans="1:18" x14ac:dyDescent="0.25">
      <c r="A379" s="170">
        <v>42773</v>
      </c>
      <c r="B379" s="116">
        <v>67.5</v>
      </c>
      <c r="C379" s="116">
        <v>65.45</v>
      </c>
      <c r="D379" s="116">
        <v>64.650000000000006</v>
      </c>
      <c r="E379" s="116">
        <v>67.5</v>
      </c>
      <c r="F379" s="116">
        <v>65.45</v>
      </c>
      <c r="G379">
        <v>159257</v>
      </c>
      <c r="H379" s="116"/>
      <c r="I379" s="116"/>
      <c r="L379" s="170">
        <v>42773</v>
      </c>
      <c r="M379" s="116">
        <v>65.45</v>
      </c>
      <c r="N379" s="116">
        <v>67.900000000000006</v>
      </c>
      <c r="O379" s="116">
        <v>64.55</v>
      </c>
      <c r="P379" s="116">
        <v>66.900000000000006</v>
      </c>
      <c r="Q379" s="116">
        <v>65.45</v>
      </c>
      <c r="R379">
        <v>600384</v>
      </c>
    </row>
    <row r="380" spans="1:18" x14ac:dyDescent="0.25">
      <c r="A380" s="170">
        <v>42774</v>
      </c>
      <c r="B380" s="116">
        <v>66.8</v>
      </c>
      <c r="C380" s="116">
        <v>65.95</v>
      </c>
      <c r="D380" s="116">
        <v>64.849999999999994</v>
      </c>
      <c r="E380" s="116">
        <v>65.900000000000006</v>
      </c>
      <c r="F380" s="116">
        <v>65.95</v>
      </c>
      <c r="G380">
        <v>139216</v>
      </c>
      <c r="H380" s="116"/>
      <c r="I380" s="116"/>
      <c r="L380" s="170">
        <v>42774</v>
      </c>
      <c r="M380" s="116">
        <v>66.05</v>
      </c>
      <c r="N380" s="116">
        <v>66.8</v>
      </c>
      <c r="O380" s="116">
        <v>64.7</v>
      </c>
      <c r="P380" s="116">
        <v>65.5</v>
      </c>
      <c r="Q380" s="116">
        <v>66.05</v>
      </c>
      <c r="R380">
        <v>407999</v>
      </c>
    </row>
    <row r="381" spans="1:18" x14ac:dyDescent="0.25">
      <c r="A381" s="170">
        <v>42775</v>
      </c>
      <c r="B381" s="116">
        <v>67.7</v>
      </c>
      <c r="C381" s="116">
        <v>66.650000000000006</v>
      </c>
      <c r="D381" s="116">
        <v>66.099999999999994</v>
      </c>
      <c r="E381" s="116">
        <v>66.900000000000006</v>
      </c>
      <c r="F381" s="116">
        <v>66.650000000000006</v>
      </c>
      <c r="G381">
        <v>166892</v>
      </c>
      <c r="H381" s="116"/>
      <c r="I381" s="116"/>
      <c r="L381" s="170">
        <v>42775</v>
      </c>
      <c r="M381" s="116">
        <v>66.7</v>
      </c>
      <c r="N381" s="116">
        <v>67.75</v>
      </c>
      <c r="O381" s="116">
        <v>66</v>
      </c>
      <c r="P381" s="116">
        <v>67</v>
      </c>
      <c r="Q381" s="116">
        <v>66.7</v>
      </c>
      <c r="R381">
        <v>720136</v>
      </c>
    </row>
    <row r="382" spans="1:18" x14ac:dyDescent="0.25">
      <c r="A382" s="170">
        <v>42776</v>
      </c>
      <c r="B382" s="116">
        <v>69.650000000000006</v>
      </c>
      <c r="C382" s="116">
        <v>68.349999999999994</v>
      </c>
      <c r="D382" s="116">
        <v>66.599999999999994</v>
      </c>
      <c r="E382" s="116">
        <v>66.95</v>
      </c>
      <c r="F382" s="116">
        <v>68.349999999999994</v>
      </c>
      <c r="G382">
        <v>326373</v>
      </c>
      <c r="H382" s="116"/>
      <c r="I382" s="116"/>
      <c r="L382" s="170">
        <v>42776</v>
      </c>
      <c r="M382" s="116">
        <v>68.3</v>
      </c>
      <c r="N382" s="116">
        <v>69.650000000000006</v>
      </c>
      <c r="O382" s="116">
        <v>66.5</v>
      </c>
      <c r="P382" s="116">
        <v>67.3</v>
      </c>
      <c r="Q382" s="116">
        <v>68.3</v>
      </c>
      <c r="R382">
        <v>1467164</v>
      </c>
    </row>
    <row r="383" spans="1:18" x14ac:dyDescent="0.25">
      <c r="A383" s="170">
        <v>42779</v>
      </c>
      <c r="B383" s="116">
        <v>69.7</v>
      </c>
      <c r="C383" s="116">
        <v>66.900000000000006</v>
      </c>
      <c r="D383" s="116">
        <v>65.900000000000006</v>
      </c>
      <c r="E383" s="116">
        <v>68.8</v>
      </c>
      <c r="F383" s="116">
        <v>66.900000000000006</v>
      </c>
      <c r="G383">
        <v>240296</v>
      </c>
      <c r="H383" s="116"/>
      <c r="I383" s="116"/>
      <c r="L383" s="170">
        <v>42779</v>
      </c>
      <c r="M383" s="116">
        <v>66.900000000000006</v>
      </c>
      <c r="N383" s="116">
        <v>69.7</v>
      </c>
      <c r="O383" s="116">
        <v>65.5</v>
      </c>
      <c r="P383" s="116">
        <v>68.8</v>
      </c>
      <c r="Q383" s="116">
        <v>66.900000000000006</v>
      </c>
      <c r="R383">
        <v>914101</v>
      </c>
    </row>
    <row r="384" spans="1:18" x14ac:dyDescent="0.25">
      <c r="A384" s="170">
        <v>42780</v>
      </c>
      <c r="B384" s="116">
        <v>67.7</v>
      </c>
      <c r="C384" s="116">
        <v>65.5</v>
      </c>
      <c r="D384" s="116">
        <v>64.75</v>
      </c>
      <c r="E384" s="116">
        <v>66.900000000000006</v>
      </c>
      <c r="F384" s="116">
        <v>65.5</v>
      </c>
      <c r="G384">
        <v>227032</v>
      </c>
      <c r="H384" s="116"/>
      <c r="I384" s="116"/>
      <c r="L384" s="170">
        <v>42780</v>
      </c>
      <c r="M384" s="116">
        <v>65.55</v>
      </c>
      <c r="N384" s="116">
        <v>67.8</v>
      </c>
      <c r="O384" s="116">
        <v>63</v>
      </c>
      <c r="P384" s="116">
        <v>63</v>
      </c>
      <c r="Q384" s="116">
        <v>65.55</v>
      </c>
      <c r="R384">
        <v>1049265</v>
      </c>
    </row>
    <row r="385" spans="1:18" x14ac:dyDescent="0.25">
      <c r="A385" s="170">
        <v>42781</v>
      </c>
      <c r="B385" s="116">
        <v>65.3</v>
      </c>
      <c r="C385" s="116">
        <v>63.45</v>
      </c>
      <c r="D385" s="116">
        <v>62.7</v>
      </c>
      <c r="E385" s="116">
        <v>65</v>
      </c>
      <c r="F385" s="116">
        <v>63.45</v>
      </c>
      <c r="G385">
        <v>118217</v>
      </c>
      <c r="H385" s="116"/>
      <c r="I385" s="116"/>
      <c r="L385" s="170">
        <v>42781</v>
      </c>
      <c r="M385" s="116">
        <v>63.45</v>
      </c>
      <c r="N385" s="116">
        <v>65.55</v>
      </c>
      <c r="O385" s="116">
        <v>62.85</v>
      </c>
      <c r="P385" s="116">
        <v>65.55</v>
      </c>
      <c r="Q385" s="116">
        <v>63.45</v>
      </c>
      <c r="R385">
        <v>699332</v>
      </c>
    </row>
    <row r="386" spans="1:18" x14ac:dyDescent="0.25">
      <c r="A386" s="170">
        <v>42782</v>
      </c>
      <c r="B386" s="116">
        <v>64.5</v>
      </c>
      <c r="C386" s="116">
        <v>63.4</v>
      </c>
      <c r="D386" s="116">
        <v>63.1</v>
      </c>
      <c r="E386" s="116">
        <v>63.95</v>
      </c>
      <c r="F386" s="116">
        <v>63.4</v>
      </c>
      <c r="G386">
        <v>217053</v>
      </c>
      <c r="H386" s="116"/>
      <c r="I386" s="116"/>
      <c r="L386" s="170">
        <v>42782</v>
      </c>
      <c r="M386" s="116">
        <v>63.5</v>
      </c>
      <c r="N386" s="116">
        <v>64.650000000000006</v>
      </c>
      <c r="O386" s="116">
        <v>63.25</v>
      </c>
      <c r="P386" s="116">
        <v>63.5</v>
      </c>
      <c r="Q386" s="116">
        <v>63.5</v>
      </c>
      <c r="R386">
        <v>490998</v>
      </c>
    </row>
    <row r="387" spans="1:18" x14ac:dyDescent="0.25">
      <c r="A387" s="170">
        <v>42783</v>
      </c>
      <c r="B387" s="116">
        <v>65.400000000000006</v>
      </c>
      <c r="C387" s="116">
        <v>64.3</v>
      </c>
      <c r="D387" s="116">
        <v>63.45</v>
      </c>
      <c r="E387" s="116">
        <v>64</v>
      </c>
      <c r="F387" s="116">
        <v>64.3</v>
      </c>
      <c r="G387">
        <v>104518</v>
      </c>
      <c r="H387" s="116"/>
      <c r="I387" s="116"/>
      <c r="L387" s="170">
        <v>42783</v>
      </c>
      <c r="M387" s="116">
        <v>64.150000000000006</v>
      </c>
      <c r="N387" s="116">
        <v>65.5</v>
      </c>
      <c r="O387" s="116">
        <v>63.5</v>
      </c>
      <c r="P387" s="116">
        <v>63.9</v>
      </c>
      <c r="Q387" s="116">
        <v>64.150000000000006</v>
      </c>
      <c r="R387">
        <v>594723</v>
      </c>
    </row>
    <row r="388" spans="1:18" x14ac:dyDescent="0.25">
      <c r="A388" s="170">
        <v>42786</v>
      </c>
      <c r="B388" s="116">
        <v>65.3</v>
      </c>
      <c r="C388" s="116">
        <v>64.150000000000006</v>
      </c>
      <c r="D388" s="116">
        <v>63.85</v>
      </c>
      <c r="E388" s="116">
        <v>64.650000000000006</v>
      </c>
      <c r="F388" s="116">
        <v>64.150000000000006</v>
      </c>
      <c r="G388">
        <v>131286</v>
      </c>
      <c r="H388" s="116"/>
      <c r="I388" s="116"/>
      <c r="L388" s="170">
        <v>42786</v>
      </c>
      <c r="M388" s="116">
        <v>64.25</v>
      </c>
      <c r="N388" s="116">
        <v>65.349999999999994</v>
      </c>
      <c r="O388" s="116">
        <v>64</v>
      </c>
      <c r="P388" s="116">
        <v>64.7</v>
      </c>
      <c r="Q388" s="116">
        <v>64.25</v>
      </c>
      <c r="R388">
        <v>486354</v>
      </c>
    </row>
    <row r="389" spans="1:18" x14ac:dyDescent="0.25">
      <c r="A389" s="170">
        <v>42787</v>
      </c>
      <c r="B389" s="116">
        <v>65</v>
      </c>
      <c r="C389" s="116">
        <v>63.8</v>
      </c>
      <c r="D389" s="116">
        <v>63.45</v>
      </c>
      <c r="E389" s="116">
        <v>64.8</v>
      </c>
      <c r="F389" s="116">
        <v>63.8</v>
      </c>
      <c r="G389">
        <v>77388</v>
      </c>
      <c r="H389" s="116"/>
      <c r="I389" s="116"/>
      <c r="L389" s="170">
        <v>42787</v>
      </c>
      <c r="M389" s="116">
        <v>63.6</v>
      </c>
      <c r="N389" s="116">
        <v>65.150000000000006</v>
      </c>
      <c r="O389" s="116">
        <v>63.25</v>
      </c>
      <c r="P389" s="116">
        <v>64.8</v>
      </c>
      <c r="Q389" s="116">
        <v>63.6</v>
      </c>
      <c r="R389">
        <v>259439</v>
      </c>
    </row>
    <row r="390" spans="1:18" x14ac:dyDescent="0.25">
      <c r="A390" s="170">
        <v>42788</v>
      </c>
      <c r="B390" s="116">
        <v>64.400000000000006</v>
      </c>
      <c r="C390" s="116">
        <v>62.4</v>
      </c>
      <c r="D390" s="116">
        <v>62.1</v>
      </c>
      <c r="E390" s="116">
        <v>64.25</v>
      </c>
      <c r="F390" s="116">
        <v>62.4</v>
      </c>
      <c r="G390">
        <v>65210</v>
      </c>
      <c r="H390" s="116"/>
      <c r="I390" s="116"/>
      <c r="L390" s="170">
        <v>42788</v>
      </c>
      <c r="M390" s="116">
        <v>62.3</v>
      </c>
      <c r="N390" s="116">
        <v>64.55</v>
      </c>
      <c r="O390" s="116">
        <v>62.05</v>
      </c>
      <c r="P390" s="116">
        <v>64</v>
      </c>
      <c r="Q390" s="116">
        <v>62.3</v>
      </c>
      <c r="R390">
        <v>366189</v>
      </c>
    </row>
    <row r="391" spans="1:18" x14ac:dyDescent="0.25">
      <c r="A391" s="170">
        <v>42789</v>
      </c>
      <c r="B391" s="116">
        <v>63.65</v>
      </c>
      <c r="C391" s="116">
        <v>62.95</v>
      </c>
      <c r="D391" s="116">
        <v>62.55</v>
      </c>
      <c r="E391" s="116">
        <v>62.6</v>
      </c>
      <c r="F391" s="116">
        <v>62.95</v>
      </c>
      <c r="G391">
        <v>100716</v>
      </c>
      <c r="H391" s="116"/>
      <c r="I391" s="116"/>
      <c r="L391" s="170">
        <v>42789</v>
      </c>
      <c r="M391" s="116">
        <v>62.8</v>
      </c>
      <c r="N391" s="116">
        <v>63.7</v>
      </c>
      <c r="O391" s="116">
        <v>62.35</v>
      </c>
      <c r="P391" s="116">
        <v>62.35</v>
      </c>
      <c r="Q391" s="116">
        <v>62.8</v>
      </c>
      <c r="R391">
        <v>325531</v>
      </c>
    </row>
    <row r="392" spans="1:18" x14ac:dyDescent="0.25">
      <c r="A392" s="170">
        <v>42793</v>
      </c>
      <c r="B392" s="116">
        <v>63.6</v>
      </c>
      <c r="C392" s="116">
        <v>62.15</v>
      </c>
      <c r="D392" s="116">
        <v>62</v>
      </c>
      <c r="E392" s="116">
        <v>63.55</v>
      </c>
      <c r="F392" s="116">
        <v>62.15</v>
      </c>
      <c r="G392">
        <v>71970</v>
      </c>
      <c r="H392" s="116"/>
      <c r="I392" s="116"/>
      <c r="L392" s="170">
        <v>42793</v>
      </c>
      <c r="M392" s="116">
        <v>61.65</v>
      </c>
      <c r="N392" s="116">
        <v>63.75</v>
      </c>
      <c r="O392" s="116">
        <v>59</v>
      </c>
      <c r="P392" s="116">
        <v>62.75</v>
      </c>
      <c r="Q392" s="116">
        <v>61.65</v>
      </c>
      <c r="R392">
        <v>337999</v>
      </c>
    </row>
    <row r="393" spans="1:18" x14ac:dyDescent="0.25">
      <c r="A393" s="170">
        <v>42794</v>
      </c>
      <c r="B393" s="116">
        <v>62.75</v>
      </c>
      <c r="C393" s="116">
        <v>61.95</v>
      </c>
      <c r="D393" s="116">
        <v>60.95</v>
      </c>
      <c r="E393" s="116">
        <v>62.75</v>
      </c>
      <c r="F393" s="116">
        <v>61.95</v>
      </c>
      <c r="G393">
        <v>89019</v>
      </c>
      <c r="H393" s="116"/>
      <c r="I393" s="116"/>
      <c r="L393" s="170">
        <v>42794</v>
      </c>
      <c r="M393" s="116">
        <v>61.8</v>
      </c>
      <c r="N393" s="116">
        <v>62.45</v>
      </c>
      <c r="O393" s="116">
        <v>60.8</v>
      </c>
      <c r="P393" s="116">
        <v>62.35</v>
      </c>
      <c r="Q393" s="116">
        <v>61.8</v>
      </c>
      <c r="R393">
        <v>365223</v>
      </c>
    </row>
    <row r="394" spans="1:18" x14ac:dyDescent="0.25">
      <c r="A394" s="170">
        <v>42795</v>
      </c>
      <c r="B394" s="116">
        <v>66.099999999999994</v>
      </c>
      <c r="C394" s="116">
        <v>64.25</v>
      </c>
      <c r="D394" s="116">
        <v>62.1</v>
      </c>
      <c r="E394" s="116">
        <v>62.55</v>
      </c>
      <c r="F394" s="116">
        <v>64.25</v>
      </c>
      <c r="G394">
        <v>213094</v>
      </c>
      <c r="H394" s="116"/>
      <c r="I394" s="116"/>
      <c r="L394" s="170">
        <v>42795</v>
      </c>
      <c r="M394" s="116">
        <v>64.25</v>
      </c>
      <c r="N394" s="116">
        <v>66.25</v>
      </c>
      <c r="O394" s="116">
        <v>62.1</v>
      </c>
      <c r="P394" s="116">
        <v>62.1</v>
      </c>
      <c r="Q394" s="116">
        <v>64.25</v>
      </c>
      <c r="R394">
        <v>962406</v>
      </c>
    </row>
    <row r="395" spans="1:18" x14ac:dyDescent="0.25">
      <c r="A395" s="170">
        <v>42796</v>
      </c>
      <c r="B395" s="116">
        <v>65.2</v>
      </c>
      <c r="C395" s="116">
        <v>63.15</v>
      </c>
      <c r="D395" s="116">
        <v>62.75</v>
      </c>
      <c r="E395" s="116">
        <v>65.2</v>
      </c>
      <c r="F395" s="116">
        <v>63.15</v>
      </c>
      <c r="G395">
        <v>109575</v>
      </c>
      <c r="H395" s="116"/>
      <c r="I395" s="116"/>
      <c r="L395" s="170">
        <v>42796</v>
      </c>
      <c r="M395" s="116">
        <v>62.9</v>
      </c>
      <c r="N395" s="116">
        <v>64.900000000000006</v>
      </c>
      <c r="O395" s="116">
        <v>62.5</v>
      </c>
      <c r="P395" s="116">
        <v>64.849999999999994</v>
      </c>
      <c r="Q395" s="116">
        <v>62.9</v>
      </c>
      <c r="R395">
        <v>399504</v>
      </c>
    </row>
    <row r="396" spans="1:18" x14ac:dyDescent="0.25">
      <c r="A396" s="170">
        <v>42797</v>
      </c>
      <c r="B396" s="116">
        <v>63.5</v>
      </c>
      <c r="C396" s="116">
        <v>62.65</v>
      </c>
      <c r="D396" s="116">
        <v>62.4</v>
      </c>
      <c r="E396" s="116">
        <v>62.7</v>
      </c>
      <c r="F396" s="116">
        <v>62.65</v>
      </c>
      <c r="G396">
        <v>55770</v>
      </c>
      <c r="H396" s="116"/>
      <c r="I396" s="116"/>
      <c r="L396" s="170">
        <v>42797</v>
      </c>
      <c r="M396" s="116">
        <v>62.55</v>
      </c>
      <c r="N396" s="116">
        <v>63.5</v>
      </c>
      <c r="O396" s="116">
        <v>62.1</v>
      </c>
      <c r="P396" s="116">
        <v>62.1</v>
      </c>
      <c r="Q396" s="116">
        <v>62.55</v>
      </c>
      <c r="R396">
        <v>304703</v>
      </c>
    </row>
    <row r="397" spans="1:18" x14ac:dyDescent="0.25">
      <c r="A397" s="170">
        <v>42800</v>
      </c>
      <c r="B397" s="116">
        <v>63.35</v>
      </c>
      <c r="C397" s="116">
        <v>62.6</v>
      </c>
      <c r="D397" s="116">
        <v>62.2</v>
      </c>
      <c r="E397" s="116">
        <v>63</v>
      </c>
      <c r="F397" s="116">
        <v>62.6</v>
      </c>
      <c r="G397">
        <v>101666</v>
      </c>
      <c r="H397" s="116"/>
      <c r="I397" s="116"/>
      <c r="L397" s="170">
        <v>42800</v>
      </c>
      <c r="M397" s="116">
        <v>62.35</v>
      </c>
      <c r="N397" s="116">
        <v>63.45</v>
      </c>
      <c r="O397" s="116">
        <v>62.05</v>
      </c>
      <c r="P397" s="116">
        <v>63.45</v>
      </c>
      <c r="Q397" s="116">
        <v>62.35</v>
      </c>
      <c r="R397">
        <v>729958</v>
      </c>
    </row>
    <row r="398" spans="1:18" x14ac:dyDescent="0.25">
      <c r="A398" s="170">
        <v>42801</v>
      </c>
      <c r="B398" s="116">
        <v>64.2</v>
      </c>
      <c r="C398" s="116">
        <v>63.4</v>
      </c>
      <c r="D398" s="116">
        <v>62.65</v>
      </c>
      <c r="E398" s="116">
        <v>62.65</v>
      </c>
      <c r="F398" s="116">
        <v>63.4</v>
      </c>
      <c r="G398">
        <v>74218</v>
      </c>
      <c r="H398" s="116"/>
      <c r="I398" s="116"/>
      <c r="L398" s="170">
        <v>42801</v>
      </c>
      <c r="M398" s="116">
        <v>63.4</v>
      </c>
      <c r="N398" s="116">
        <v>64.150000000000006</v>
      </c>
      <c r="O398" s="116">
        <v>62.5</v>
      </c>
      <c r="P398" s="116">
        <v>62.5</v>
      </c>
      <c r="Q398" s="116">
        <v>63.4</v>
      </c>
      <c r="R398">
        <v>341850</v>
      </c>
    </row>
    <row r="399" spans="1:18" x14ac:dyDescent="0.25">
      <c r="A399" s="170">
        <v>42802</v>
      </c>
      <c r="B399" s="116">
        <v>63.05</v>
      </c>
      <c r="C399" s="116">
        <v>61.7</v>
      </c>
      <c r="D399" s="116">
        <v>61.2</v>
      </c>
      <c r="E399" s="116">
        <v>63.05</v>
      </c>
      <c r="F399" s="116">
        <v>61.7</v>
      </c>
      <c r="G399">
        <v>57248</v>
      </c>
      <c r="H399" s="116"/>
      <c r="I399" s="116"/>
      <c r="L399" s="170">
        <v>42802</v>
      </c>
      <c r="M399" s="116">
        <v>61.65</v>
      </c>
      <c r="N399" s="116">
        <v>63.4</v>
      </c>
      <c r="O399" s="116">
        <v>61.45</v>
      </c>
      <c r="P399" s="116">
        <v>63.4</v>
      </c>
      <c r="Q399" s="116">
        <v>61.65</v>
      </c>
      <c r="R399">
        <v>404098</v>
      </c>
    </row>
    <row r="400" spans="1:18" x14ac:dyDescent="0.25">
      <c r="A400" s="170">
        <v>42803</v>
      </c>
      <c r="B400" s="116">
        <v>63.8</v>
      </c>
      <c r="C400" s="116">
        <v>62.3</v>
      </c>
      <c r="D400" s="116">
        <v>60.5</v>
      </c>
      <c r="E400" s="116">
        <v>60.5</v>
      </c>
      <c r="F400" s="116">
        <v>62.3</v>
      </c>
      <c r="G400">
        <v>99521</v>
      </c>
      <c r="H400" s="116"/>
      <c r="I400" s="116"/>
      <c r="L400" s="170">
        <v>42803</v>
      </c>
      <c r="M400" s="116">
        <v>62.3</v>
      </c>
      <c r="N400" s="116">
        <v>63.9</v>
      </c>
      <c r="O400" s="116">
        <v>61.85</v>
      </c>
      <c r="P400" s="116">
        <v>61.85</v>
      </c>
      <c r="Q400" s="116">
        <v>62.3</v>
      </c>
      <c r="R400">
        <v>687881</v>
      </c>
    </row>
    <row r="401" spans="1:18" x14ac:dyDescent="0.25">
      <c r="A401" s="170">
        <v>42804</v>
      </c>
      <c r="B401" s="116">
        <v>63.8</v>
      </c>
      <c r="C401" s="116">
        <v>62.15</v>
      </c>
      <c r="D401" s="116">
        <v>61.8</v>
      </c>
      <c r="E401" s="116">
        <v>62.15</v>
      </c>
      <c r="F401" s="116">
        <v>62.15</v>
      </c>
      <c r="G401">
        <v>58984</v>
      </c>
      <c r="H401" s="116"/>
      <c r="I401" s="116"/>
      <c r="L401" s="170">
        <v>42804</v>
      </c>
      <c r="M401" s="116">
        <v>62.1</v>
      </c>
      <c r="N401" s="116">
        <v>63.35</v>
      </c>
      <c r="O401" s="116">
        <v>61.9</v>
      </c>
      <c r="P401" s="116">
        <v>63.25</v>
      </c>
      <c r="Q401" s="116">
        <v>62.1</v>
      </c>
      <c r="R401">
        <v>335419</v>
      </c>
    </row>
    <row r="402" spans="1:18" x14ac:dyDescent="0.25">
      <c r="A402" s="170">
        <v>42808</v>
      </c>
      <c r="B402" s="116">
        <v>64.349999999999994</v>
      </c>
      <c r="C402" s="116">
        <v>62.7</v>
      </c>
      <c r="D402" s="116">
        <v>62.3</v>
      </c>
      <c r="E402" s="116">
        <v>62.7</v>
      </c>
      <c r="F402" s="116">
        <v>62.7</v>
      </c>
      <c r="G402">
        <v>79621</v>
      </c>
      <c r="H402" s="116"/>
      <c r="I402" s="116"/>
      <c r="L402" s="170">
        <v>42808</v>
      </c>
      <c r="M402" s="116">
        <v>63</v>
      </c>
      <c r="N402" s="116">
        <v>64.25</v>
      </c>
      <c r="O402" s="116">
        <v>62.55</v>
      </c>
      <c r="P402" s="116">
        <v>63.65</v>
      </c>
      <c r="Q402" s="116">
        <v>63</v>
      </c>
      <c r="R402">
        <v>308105</v>
      </c>
    </row>
    <row r="403" spans="1:18" x14ac:dyDescent="0.25">
      <c r="A403" s="170">
        <v>42809</v>
      </c>
      <c r="B403" s="116">
        <v>67.400000000000006</v>
      </c>
      <c r="C403" s="116">
        <v>66.25</v>
      </c>
      <c r="D403" s="116">
        <v>62</v>
      </c>
      <c r="E403" s="116">
        <v>63.3</v>
      </c>
      <c r="F403" s="116">
        <v>66.25</v>
      </c>
      <c r="G403">
        <v>392744</v>
      </c>
      <c r="H403" s="116"/>
      <c r="I403" s="116"/>
      <c r="L403" s="170">
        <v>42809</v>
      </c>
      <c r="M403" s="116">
        <v>66.05</v>
      </c>
      <c r="N403" s="116">
        <v>67.2</v>
      </c>
      <c r="O403" s="116">
        <v>61.35</v>
      </c>
      <c r="P403" s="116">
        <v>63</v>
      </c>
      <c r="Q403" s="116">
        <v>66.05</v>
      </c>
      <c r="R403">
        <v>1496753</v>
      </c>
    </row>
    <row r="404" spans="1:18" x14ac:dyDescent="0.25">
      <c r="A404" s="170">
        <v>42810</v>
      </c>
      <c r="B404" s="116">
        <v>66.900000000000006</v>
      </c>
      <c r="C404" s="116">
        <v>65.45</v>
      </c>
      <c r="D404" s="116">
        <v>64.849999999999994</v>
      </c>
      <c r="E404" s="116">
        <v>66.599999999999994</v>
      </c>
      <c r="F404" s="116">
        <v>65.45</v>
      </c>
      <c r="G404">
        <v>150337</v>
      </c>
      <c r="H404" s="116"/>
      <c r="I404" s="116"/>
      <c r="L404" s="170">
        <v>42810</v>
      </c>
      <c r="M404" s="116">
        <v>65.400000000000006</v>
      </c>
      <c r="N404" s="116">
        <v>66.900000000000006</v>
      </c>
      <c r="O404" s="116">
        <v>64.900000000000006</v>
      </c>
      <c r="P404" s="116">
        <v>66.599999999999994</v>
      </c>
      <c r="Q404" s="116">
        <v>65.400000000000006</v>
      </c>
      <c r="R404">
        <v>750502</v>
      </c>
    </row>
    <row r="405" spans="1:18" x14ac:dyDescent="0.25">
      <c r="A405" s="170">
        <v>42811</v>
      </c>
      <c r="B405" s="116">
        <v>65.75</v>
      </c>
      <c r="C405" s="116">
        <v>64.2</v>
      </c>
      <c r="D405" s="116">
        <v>63.9</v>
      </c>
      <c r="E405" s="116">
        <v>65.05</v>
      </c>
      <c r="F405" s="116">
        <v>64.2</v>
      </c>
      <c r="G405">
        <v>104238</v>
      </c>
      <c r="H405" s="116"/>
      <c r="I405" s="116"/>
      <c r="L405" s="170">
        <v>42811</v>
      </c>
      <c r="M405" s="116">
        <v>63.85</v>
      </c>
      <c r="N405" s="116">
        <v>65.650000000000006</v>
      </c>
      <c r="O405" s="116">
        <v>63.45</v>
      </c>
      <c r="P405" s="116">
        <v>65.5</v>
      </c>
      <c r="Q405" s="116">
        <v>63.85</v>
      </c>
      <c r="R405">
        <v>560385</v>
      </c>
    </row>
    <row r="406" spans="1:18" x14ac:dyDescent="0.25">
      <c r="A406" s="170">
        <v>42814</v>
      </c>
      <c r="B406" s="116">
        <v>66.5</v>
      </c>
      <c r="C406" s="116">
        <v>65.45</v>
      </c>
      <c r="D406" s="116">
        <v>64.5</v>
      </c>
      <c r="E406" s="116">
        <v>64.8</v>
      </c>
      <c r="F406" s="116">
        <v>65.45</v>
      </c>
      <c r="G406">
        <v>171340</v>
      </c>
      <c r="H406" s="116"/>
      <c r="I406" s="116"/>
      <c r="L406" s="170">
        <v>42814</v>
      </c>
      <c r="M406" s="116">
        <v>65.25</v>
      </c>
      <c r="N406" s="116">
        <v>66.650000000000006</v>
      </c>
      <c r="O406" s="116">
        <v>64.400000000000006</v>
      </c>
      <c r="P406" s="116">
        <v>64.55</v>
      </c>
      <c r="Q406" s="116">
        <v>65.25</v>
      </c>
      <c r="R406">
        <v>1117601</v>
      </c>
    </row>
    <row r="407" spans="1:18" x14ac:dyDescent="0.25">
      <c r="A407" s="170">
        <v>42815</v>
      </c>
      <c r="B407" s="116">
        <v>66</v>
      </c>
      <c r="C407" s="116">
        <v>64.5</v>
      </c>
      <c r="D407" s="116">
        <v>63.6</v>
      </c>
      <c r="E407" s="116">
        <v>66</v>
      </c>
      <c r="F407" s="116">
        <v>64.5</v>
      </c>
      <c r="G407">
        <v>164447</v>
      </c>
      <c r="H407" s="116"/>
      <c r="I407" s="116"/>
      <c r="L407" s="170">
        <v>42815</v>
      </c>
      <c r="M407" s="116">
        <v>64.349999999999994</v>
      </c>
      <c r="N407" s="116">
        <v>65.650000000000006</v>
      </c>
      <c r="O407" s="116">
        <v>63.5</v>
      </c>
      <c r="P407" s="116">
        <v>65.599999999999994</v>
      </c>
      <c r="Q407" s="116">
        <v>64.349999999999994</v>
      </c>
      <c r="R407">
        <v>560873</v>
      </c>
    </row>
    <row r="408" spans="1:18" x14ac:dyDescent="0.25">
      <c r="A408" s="170">
        <v>42816</v>
      </c>
      <c r="B408" s="116">
        <v>64.2</v>
      </c>
      <c r="C408" s="116">
        <v>62.45</v>
      </c>
      <c r="D408" s="116">
        <v>62.25</v>
      </c>
      <c r="E408" s="116">
        <v>63.6</v>
      </c>
      <c r="F408" s="116">
        <v>62.45</v>
      </c>
      <c r="G408">
        <v>146217</v>
      </c>
      <c r="H408" s="116"/>
      <c r="I408" s="116"/>
      <c r="L408" s="170">
        <v>42816</v>
      </c>
      <c r="M408" s="116">
        <v>62.65</v>
      </c>
      <c r="N408" s="116">
        <v>64.099999999999994</v>
      </c>
      <c r="O408" s="116">
        <v>62.3</v>
      </c>
      <c r="P408" s="116">
        <v>63.8</v>
      </c>
      <c r="Q408" s="116">
        <v>62.65</v>
      </c>
      <c r="R408">
        <v>510999</v>
      </c>
    </row>
    <row r="409" spans="1:18" x14ac:dyDescent="0.25">
      <c r="A409" s="170">
        <v>42817</v>
      </c>
      <c r="B409" s="116">
        <v>63.55</v>
      </c>
      <c r="C409" s="116">
        <v>62.85</v>
      </c>
      <c r="D409" s="116">
        <v>62.4</v>
      </c>
      <c r="E409" s="116">
        <v>63</v>
      </c>
      <c r="F409" s="116">
        <v>62.85</v>
      </c>
      <c r="G409">
        <v>144351</v>
      </c>
      <c r="H409" s="116"/>
      <c r="I409" s="116"/>
      <c r="L409" s="170">
        <v>42817</v>
      </c>
      <c r="M409" s="116">
        <v>63</v>
      </c>
      <c r="N409" s="116">
        <v>63.6</v>
      </c>
      <c r="O409" s="116">
        <v>62.75</v>
      </c>
      <c r="P409" s="116">
        <v>63</v>
      </c>
      <c r="Q409" s="116">
        <v>63</v>
      </c>
      <c r="R409">
        <v>343539</v>
      </c>
    </row>
    <row r="410" spans="1:18" x14ac:dyDescent="0.25">
      <c r="A410" s="170">
        <v>42818</v>
      </c>
      <c r="B410" s="116">
        <v>64.8</v>
      </c>
      <c r="C410" s="116">
        <v>63.15</v>
      </c>
      <c r="D410" s="116">
        <v>62.5</v>
      </c>
      <c r="E410" s="116">
        <v>63.6</v>
      </c>
      <c r="F410" s="116">
        <v>63.15</v>
      </c>
      <c r="G410">
        <v>186793</v>
      </c>
      <c r="H410" s="116"/>
      <c r="I410" s="116"/>
      <c r="L410" s="170">
        <v>42818</v>
      </c>
      <c r="M410" s="116">
        <v>63.9</v>
      </c>
      <c r="N410" s="116">
        <v>64.7</v>
      </c>
      <c r="O410" s="116">
        <v>63.3</v>
      </c>
      <c r="P410" s="116">
        <v>63.55</v>
      </c>
      <c r="Q410" s="116">
        <v>63.9</v>
      </c>
      <c r="R410">
        <v>540195</v>
      </c>
    </row>
    <row r="411" spans="1:18" x14ac:dyDescent="0.25">
      <c r="A411" s="170">
        <v>42821</v>
      </c>
      <c r="B411" s="116">
        <v>64.25</v>
      </c>
      <c r="C411" s="116">
        <v>62.9</v>
      </c>
      <c r="D411" s="116">
        <v>62.5</v>
      </c>
      <c r="E411" s="116">
        <v>63.6</v>
      </c>
      <c r="F411" s="116">
        <v>62.9</v>
      </c>
      <c r="G411">
        <v>93034</v>
      </c>
      <c r="H411" s="116"/>
      <c r="I411" s="116"/>
      <c r="L411" s="170">
        <v>42821</v>
      </c>
      <c r="M411" s="116">
        <v>63</v>
      </c>
      <c r="N411" s="116">
        <v>64.3</v>
      </c>
      <c r="O411" s="116">
        <v>62.8</v>
      </c>
      <c r="P411" s="116">
        <v>63.7</v>
      </c>
      <c r="Q411" s="116">
        <v>63</v>
      </c>
      <c r="R411">
        <v>523168</v>
      </c>
    </row>
    <row r="412" spans="1:18" x14ac:dyDescent="0.25">
      <c r="A412" s="170">
        <v>42822</v>
      </c>
      <c r="B412" s="116">
        <v>63.8</v>
      </c>
      <c r="C412" s="116">
        <v>62.8</v>
      </c>
      <c r="D412" s="116">
        <v>62.2</v>
      </c>
      <c r="E412" s="116">
        <v>63.6</v>
      </c>
      <c r="F412" s="116">
        <v>62.8</v>
      </c>
      <c r="G412">
        <v>65891</v>
      </c>
      <c r="H412" s="116"/>
      <c r="I412" s="116"/>
      <c r="L412" s="170">
        <v>42822</v>
      </c>
      <c r="M412" s="116">
        <v>62.6</v>
      </c>
      <c r="N412" s="116">
        <v>63.8</v>
      </c>
      <c r="O412" s="116">
        <v>62.15</v>
      </c>
      <c r="P412" s="116">
        <v>63.55</v>
      </c>
      <c r="Q412" s="116">
        <v>62.6</v>
      </c>
      <c r="R412">
        <v>524262</v>
      </c>
    </row>
    <row r="413" spans="1:18" x14ac:dyDescent="0.25">
      <c r="A413" s="170">
        <v>42823</v>
      </c>
      <c r="B413" s="116">
        <v>64.400000000000006</v>
      </c>
      <c r="C413" s="116">
        <v>63.35</v>
      </c>
      <c r="D413" s="116">
        <v>62</v>
      </c>
      <c r="E413" s="116">
        <v>63.9</v>
      </c>
      <c r="F413" s="116">
        <v>63.35</v>
      </c>
      <c r="G413">
        <v>116104</v>
      </c>
      <c r="H413" s="116"/>
      <c r="I413" s="116"/>
      <c r="L413" s="170">
        <v>42823</v>
      </c>
      <c r="M413" s="116">
        <v>64</v>
      </c>
      <c r="N413" s="116">
        <v>64.5</v>
      </c>
      <c r="O413" s="116">
        <v>63.2</v>
      </c>
      <c r="P413" s="116">
        <v>63.55</v>
      </c>
      <c r="Q413" s="116">
        <v>64</v>
      </c>
      <c r="R413">
        <v>777191</v>
      </c>
    </row>
    <row r="414" spans="1:18" x14ac:dyDescent="0.25">
      <c r="A414" s="170">
        <v>42824</v>
      </c>
      <c r="B414" s="116">
        <v>65.8</v>
      </c>
      <c r="C414" s="116">
        <v>65.05</v>
      </c>
      <c r="D414" s="116">
        <v>64.099999999999994</v>
      </c>
      <c r="E414" s="116">
        <v>64.099999999999994</v>
      </c>
      <c r="F414" s="116">
        <v>65.05</v>
      </c>
      <c r="G414">
        <v>112222</v>
      </c>
      <c r="H414" s="116"/>
      <c r="I414" s="116"/>
      <c r="L414" s="170">
        <v>42824</v>
      </c>
      <c r="M414" s="116">
        <v>65</v>
      </c>
      <c r="N414" s="116">
        <v>65.8</v>
      </c>
      <c r="O414" s="116">
        <v>64.25</v>
      </c>
      <c r="P414" s="116">
        <v>64.5</v>
      </c>
      <c r="Q414" s="116">
        <v>65</v>
      </c>
      <c r="R414">
        <v>610629</v>
      </c>
    </row>
    <row r="415" spans="1:18" x14ac:dyDescent="0.25">
      <c r="A415" s="170">
        <v>42825</v>
      </c>
      <c r="B415" s="116">
        <v>65.900000000000006</v>
      </c>
      <c r="C415" s="116">
        <v>64.349999999999994</v>
      </c>
      <c r="D415" s="116">
        <v>63.8</v>
      </c>
      <c r="E415" s="116">
        <v>65.900000000000006</v>
      </c>
      <c r="F415" s="116">
        <v>64.349999999999994</v>
      </c>
      <c r="G415">
        <v>116134</v>
      </c>
      <c r="H415" s="116"/>
      <c r="I415" s="116"/>
      <c r="L415" s="170">
        <v>42825</v>
      </c>
      <c r="M415" s="116">
        <v>64.150000000000006</v>
      </c>
      <c r="N415" s="116">
        <v>65.75</v>
      </c>
      <c r="O415" s="116">
        <v>63.8</v>
      </c>
      <c r="P415" s="116">
        <v>65.599999999999994</v>
      </c>
      <c r="Q415" s="116">
        <v>64.150000000000006</v>
      </c>
      <c r="R415">
        <v>1053525</v>
      </c>
    </row>
    <row r="416" spans="1:18" x14ac:dyDescent="0.25">
      <c r="A416" s="170">
        <v>42828</v>
      </c>
      <c r="B416" s="116">
        <v>70.25</v>
      </c>
      <c r="C416" s="116">
        <v>68.25</v>
      </c>
      <c r="D416" s="116">
        <v>64.5</v>
      </c>
      <c r="E416" s="116">
        <v>64.599999999999994</v>
      </c>
      <c r="F416" s="116">
        <v>68.25</v>
      </c>
      <c r="G416">
        <v>578213</v>
      </c>
      <c r="H416" s="116"/>
      <c r="I416" s="116"/>
      <c r="L416" s="170">
        <v>42828</v>
      </c>
      <c r="M416" s="116">
        <v>68.099999999999994</v>
      </c>
      <c r="N416" s="116">
        <v>70.349999999999994</v>
      </c>
      <c r="O416" s="116">
        <v>64.2</v>
      </c>
      <c r="P416" s="116">
        <v>64.650000000000006</v>
      </c>
      <c r="Q416" s="116">
        <v>68.099999999999994</v>
      </c>
      <c r="R416">
        <v>3237296</v>
      </c>
    </row>
    <row r="417" spans="1:18" x14ac:dyDescent="0.25">
      <c r="A417" s="170">
        <v>42830</v>
      </c>
      <c r="B417" s="116">
        <v>72.5</v>
      </c>
      <c r="C417" s="116">
        <v>71.5</v>
      </c>
      <c r="D417" s="116">
        <v>68.400000000000006</v>
      </c>
      <c r="E417" s="116">
        <v>68.900000000000006</v>
      </c>
      <c r="F417" s="116">
        <v>71.5</v>
      </c>
      <c r="G417">
        <v>643561</v>
      </c>
      <c r="H417" s="116"/>
      <c r="I417" s="116"/>
      <c r="L417" s="170">
        <v>42830</v>
      </c>
      <c r="M417" s="116">
        <v>71.5</v>
      </c>
      <c r="N417" s="116">
        <v>72.55</v>
      </c>
      <c r="O417" s="116">
        <v>68.3</v>
      </c>
      <c r="P417" s="116">
        <v>68.75</v>
      </c>
      <c r="Q417" s="116">
        <v>71.5</v>
      </c>
      <c r="R417">
        <v>2810607</v>
      </c>
    </row>
    <row r="418" spans="1:18" x14ac:dyDescent="0.25">
      <c r="A418" s="170">
        <v>42831</v>
      </c>
      <c r="B418" s="116">
        <v>76.900000000000006</v>
      </c>
      <c r="C418" s="116">
        <v>76</v>
      </c>
      <c r="D418" s="116">
        <v>71</v>
      </c>
      <c r="E418" s="116">
        <v>71.900000000000006</v>
      </c>
      <c r="F418" s="116">
        <v>76</v>
      </c>
      <c r="G418">
        <v>549619</v>
      </c>
      <c r="H418" s="116"/>
      <c r="I418" s="116"/>
      <c r="L418" s="170">
        <v>42831</v>
      </c>
      <c r="M418" s="116">
        <v>76.5</v>
      </c>
      <c r="N418" s="116">
        <v>77.7</v>
      </c>
      <c r="O418" s="116">
        <v>70.599999999999994</v>
      </c>
      <c r="P418" s="116">
        <v>71</v>
      </c>
      <c r="Q418" s="116">
        <v>76.5</v>
      </c>
      <c r="R418">
        <v>3233677</v>
      </c>
    </row>
    <row r="419" spans="1:18" x14ac:dyDescent="0.25">
      <c r="A419" s="170">
        <v>42832</v>
      </c>
      <c r="B419" s="116">
        <v>83.25</v>
      </c>
      <c r="C419" s="116">
        <v>81.349999999999994</v>
      </c>
      <c r="D419" s="116">
        <v>74.650000000000006</v>
      </c>
      <c r="E419" s="116">
        <v>76.45</v>
      </c>
      <c r="F419" s="116">
        <v>81.349999999999994</v>
      </c>
      <c r="G419">
        <v>1083786</v>
      </c>
      <c r="H419" s="116"/>
      <c r="I419" s="116"/>
      <c r="L419" s="170">
        <v>42832</v>
      </c>
      <c r="M419" s="116">
        <v>81.349999999999994</v>
      </c>
      <c r="N419" s="116">
        <v>83.2</v>
      </c>
      <c r="O419" s="116">
        <v>74.599999999999994</v>
      </c>
      <c r="P419" s="116">
        <v>75.900000000000006</v>
      </c>
      <c r="Q419" s="116">
        <v>81.349999999999994</v>
      </c>
      <c r="R419">
        <v>5376552</v>
      </c>
    </row>
    <row r="420" spans="1:18" x14ac:dyDescent="0.25">
      <c r="A420" s="170">
        <v>42835</v>
      </c>
      <c r="B420" s="116">
        <v>96</v>
      </c>
      <c r="C420" s="116">
        <v>93.75</v>
      </c>
      <c r="D420" s="116">
        <v>82</v>
      </c>
      <c r="E420" s="116">
        <v>82</v>
      </c>
      <c r="F420" s="116">
        <v>93.75</v>
      </c>
      <c r="G420">
        <v>1650657</v>
      </c>
      <c r="H420" s="116"/>
      <c r="I420" s="116"/>
      <c r="L420" s="170">
        <v>42835</v>
      </c>
      <c r="M420" s="116">
        <v>93.95</v>
      </c>
      <c r="N420" s="116">
        <v>96.2</v>
      </c>
      <c r="O420" s="116">
        <v>81.55</v>
      </c>
      <c r="P420" s="116">
        <v>81.599999999999994</v>
      </c>
      <c r="Q420" s="116">
        <v>93.95</v>
      </c>
      <c r="R420">
        <v>8045843</v>
      </c>
    </row>
    <row r="421" spans="1:18" x14ac:dyDescent="0.25">
      <c r="A421" s="170">
        <v>42836</v>
      </c>
      <c r="B421" s="116">
        <v>95.5</v>
      </c>
      <c r="C421" s="116">
        <v>84.45</v>
      </c>
      <c r="D421" s="116">
        <v>84.4</v>
      </c>
      <c r="E421" s="116">
        <v>94.4</v>
      </c>
      <c r="F421" s="116">
        <v>84.45</v>
      </c>
      <c r="G421">
        <v>1370294</v>
      </c>
      <c r="H421" s="116"/>
      <c r="I421" s="116"/>
      <c r="L421" s="170">
        <v>42836</v>
      </c>
      <c r="M421" s="116">
        <v>84.6</v>
      </c>
      <c r="N421" s="116">
        <v>95.45</v>
      </c>
      <c r="O421" s="116">
        <v>84.6</v>
      </c>
      <c r="P421" s="116">
        <v>94.1</v>
      </c>
      <c r="Q421" s="116">
        <v>84.6</v>
      </c>
      <c r="R421">
        <v>7204714</v>
      </c>
    </row>
    <row r="422" spans="1:18" x14ac:dyDescent="0.25">
      <c r="A422" s="170">
        <v>42837</v>
      </c>
      <c r="B422" s="116">
        <v>83.7</v>
      </c>
      <c r="C422" s="116">
        <v>76.2</v>
      </c>
      <c r="D422" s="116">
        <v>76.05</v>
      </c>
      <c r="E422" s="116">
        <v>81.900000000000006</v>
      </c>
      <c r="F422" s="116">
        <v>76.2</v>
      </c>
      <c r="G422">
        <v>1167310</v>
      </c>
      <c r="H422" s="116"/>
      <c r="I422" s="116"/>
      <c r="L422" s="170">
        <v>42837</v>
      </c>
      <c r="M422" s="116">
        <v>76.25</v>
      </c>
      <c r="N422" s="116">
        <v>83.95</v>
      </c>
      <c r="O422" s="116">
        <v>76.150000000000006</v>
      </c>
      <c r="P422" s="116">
        <v>79.5</v>
      </c>
      <c r="Q422" s="116">
        <v>76.25</v>
      </c>
      <c r="R422">
        <v>5370465</v>
      </c>
    </row>
    <row r="423" spans="1:18" x14ac:dyDescent="0.25">
      <c r="A423" s="170">
        <v>42838</v>
      </c>
      <c r="B423" s="116">
        <v>81.849999999999994</v>
      </c>
      <c r="C423" s="116">
        <v>79.5</v>
      </c>
      <c r="D423" s="116">
        <v>74.2</v>
      </c>
      <c r="E423" s="116">
        <v>76.099999999999994</v>
      </c>
      <c r="F423" s="116">
        <v>79.5</v>
      </c>
      <c r="G423">
        <v>990404</v>
      </c>
      <c r="H423" s="116"/>
      <c r="I423" s="116"/>
      <c r="L423" s="170">
        <v>42838</v>
      </c>
      <c r="M423" s="116">
        <v>79.2</v>
      </c>
      <c r="N423" s="116">
        <v>81.849999999999994</v>
      </c>
      <c r="O423" s="116">
        <v>74.599999999999994</v>
      </c>
      <c r="P423" s="116">
        <v>76</v>
      </c>
      <c r="Q423" s="116">
        <v>79.2</v>
      </c>
      <c r="R423">
        <v>4201959</v>
      </c>
    </row>
    <row r="424" spans="1:18" x14ac:dyDescent="0.25">
      <c r="A424" s="170">
        <v>42842</v>
      </c>
      <c r="B424" s="116">
        <v>84.65</v>
      </c>
      <c r="C424" s="116">
        <v>83.15</v>
      </c>
      <c r="D424" s="116">
        <v>79.900000000000006</v>
      </c>
      <c r="E424" s="116">
        <v>80.45</v>
      </c>
      <c r="F424" s="116">
        <v>83.15</v>
      </c>
      <c r="G424">
        <v>448985</v>
      </c>
      <c r="H424" s="116"/>
      <c r="I424" s="116"/>
      <c r="L424" s="170">
        <v>42842</v>
      </c>
      <c r="M424" s="116">
        <v>83.15</v>
      </c>
      <c r="N424" s="116">
        <v>84.7</v>
      </c>
      <c r="O424" s="116">
        <v>79.900000000000006</v>
      </c>
      <c r="P424" s="116">
        <v>80</v>
      </c>
      <c r="Q424" s="116">
        <v>83.15</v>
      </c>
      <c r="R424">
        <v>2025280</v>
      </c>
    </row>
    <row r="425" spans="1:18" x14ac:dyDescent="0.25">
      <c r="A425" s="170">
        <v>42843</v>
      </c>
      <c r="B425" s="116">
        <v>91.2</v>
      </c>
      <c r="C425" s="116">
        <v>85.25</v>
      </c>
      <c r="D425" s="116">
        <v>84.55</v>
      </c>
      <c r="E425" s="116">
        <v>85.25</v>
      </c>
      <c r="F425" s="116">
        <v>85.25</v>
      </c>
      <c r="G425">
        <v>1196835</v>
      </c>
      <c r="H425" s="116"/>
      <c r="I425" s="116"/>
      <c r="L425" s="170">
        <v>42843</v>
      </c>
      <c r="M425" s="116">
        <v>84.9</v>
      </c>
      <c r="N425" s="116">
        <v>91.45</v>
      </c>
      <c r="O425" s="116">
        <v>84.1</v>
      </c>
      <c r="P425" s="116">
        <v>84.7</v>
      </c>
      <c r="Q425" s="116">
        <v>84.9</v>
      </c>
      <c r="R425">
        <v>6226724</v>
      </c>
    </row>
    <row r="426" spans="1:18" x14ac:dyDescent="0.25">
      <c r="A426" s="170">
        <v>42844</v>
      </c>
      <c r="B426" s="116">
        <v>87.15</v>
      </c>
      <c r="C426" s="116">
        <v>86.05</v>
      </c>
      <c r="D426" s="116">
        <v>84.4</v>
      </c>
      <c r="E426" s="116">
        <v>85.35</v>
      </c>
      <c r="F426" s="116">
        <v>86.05</v>
      </c>
      <c r="G426">
        <v>283547</v>
      </c>
      <c r="H426" s="116"/>
      <c r="I426" s="116"/>
      <c r="L426" s="170">
        <v>42844</v>
      </c>
      <c r="M426" s="116">
        <v>86.15</v>
      </c>
      <c r="N426" s="116">
        <v>87.15</v>
      </c>
      <c r="O426" s="116">
        <v>84.15</v>
      </c>
      <c r="P426" s="116">
        <v>85.35</v>
      </c>
      <c r="Q426" s="116">
        <v>86.15</v>
      </c>
      <c r="R426">
        <v>1235501</v>
      </c>
    </row>
    <row r="427" spans="1:18" x14ac:dyDescent="0.25">
      <c r="A427" s="170">
        <v>42845</v>
      </c>
      <c r="B427" s="116">
        <v>87.8</v>
      </c>
      <c r="C427" s="116">
        <v>85.2</v>
      </c>
      <c r="D427" s="116">
        <v>84.5</v>
      </c>
      <c r="E427" s="116">
        <v>86.05</v>
      </c>
      <c r="F427" s="116">
        <v>85.2</v>
      </c>
      <c r="G427">
        <v>230235</v>
      </c>
      <c r="H427" s="116"/>
      <c r="I427" s="116"/>
      <c r="L427" s="170">
        <v>42845</v>
      </c>
      <c r="M427" s="116">
        <v>85</v>
      </c>
      <c r="N427" s="116">
        <v>87.8</v>
      </c>
      <c r="O427" s="116">
        <v>84.45</v>
      </c>
      <c r="P427" s="116">
        <v>86.6</v>
      </c>
      <c r="Q427" s="116">
        <v>85</v>
      </c>
      <c r="R427">
        <v>847157</v>
      </c>
    </row>
    <row r="428" spans="1:18" x14ac:dyDescent="0.25">
      <c r="A428" s="170">
        <v>42846</v>
      </c>
      <c r="B428" s="116">
        <v>87.3</v>
      </c>
      <c r="C428" s="116">
        <v>85.3</v>
      </c>
      <c r="D428" s="116">
        <v>85</v>
      </c>
      <c r="E428" s="116">
        <v>85.9</v>
      </c>
      <c r="F428" s="116">
        <v>85.3</v>
      </c>
      <c r="G428">
        <v>190474</v>
      </c>
      <c r="H428" s="116"/>
      <c r="I428" s="116"/>
      <c r="L428" s="170">
        <v>42846</v>
      </c>
      <c r="M428" s="116">
        <v>85.1</v>
      </c>
      <c r="N428" s="116">
        <v>87.35</v>
      </c>
      <c r="O428" s="116">
        <v>84.8</v>
      </c>
      <c r="P428" s="116">
        <v>85.65</v>
      </c>
      <c r="Q428" s="116">
        <v>85.1</v>
      </c>
      <c r="R428">
        <v>832508</v>
      </c>
    </row>
    <row r="429" spans="1:18" x14ac:dyDescent="0.25">
      <c r="A429" s="170">
        <v>42849</v>
      </c>
      <c r="B429" s="116">
        <v>88.05</v>
      </c>
      <c r="C429" s="116">
        <v>85.6</v>
      </c>
      <c r="D429" s="116">
        <v>85</v>
      </c>
      <c r="E429" s="116">
        <v>85.85</v>
      </c>
      <c r="F429" s="116">
        <v>85.6</v>
      </c>
      <c r="G429">
        <v>258722</v>
      </c>
      <c r="H429" s="116"/>
      <c r="I429" s="116"/>
      <c r="L429" s="170">
        <v>42849</v>
      </c>
      <c r="M429" s="116">
        <v>85.65</v>
      </c>
      <c r="N429" s="116">
        <v>88</v>
      </c>
      <c r="O429" s="116">
        <v>85.1</v>
      </c>
      <c r="P429" s="116">
        <v>85.85</v>
      </c>
      <c r="Q429" s="116">
        <v>85.65</v>
      </c>
      <c r="R429">
        <v>928606</v>
      </c>
    </row>
    <row r="430" spans="1:18" x14ac:dyDescent="0.25">
      <c r="A430" s="170">
        <v>42850</v>
      </c>
      <c r="B430" s="116">
        <v>87.45</v>
      </c>
      <c r="C430" s="116">
        <v>84.4</v>
      </c>
      <c r="D430" s="116">
        <v>83.5</v>
      </c>
      <c r="E430" s="116">
        <v>87.45</v>
      </c>
      <c r="F430" s="116">
        <v>84.4</v>
      </c>
      <c r="G430">
        <v>146239</v>
      </c>
      <c r="H430" s="116"/>
      <c r="I430" s="116"/>
      <c r="L430" s="170">
        <v>42850</v>
      </c>
      <c r="M430" s="116">
        <v>84.6</v>
      </c>
      <c r="N430" s="116">
        <v>86.6</v>
      </c>
      <c r="O430" s="116">
        <v>83.5</v>
      </c>
      <c r="P430" s="116">
        <v>86.5</v>
      </c>
      <c r="Q430" s="116">
        <v>84.6</v>
      </c>
      <c r="R430">
        <v>520229</v>
      </c>
    </row>
    <row r="431" spans="1:18" x14ac:dyDescent="0.25">
      <c r="A431" s="170">
        <v>42851</v>
      </c>
      <c r="B431" s="116">
        <v>85.55</v>
      </c>
      <c r="C431" s="116">
        <v>79.75</v>
      </c>
      <c r="D431" s="116">
        <v>78.5</v>
      </c>
      <c r="E431" s="116">
        <v>85.55</v>
      </c>
      <c r="F431" s="116">
        <v>79.75</v>
      </c>
      <c r="G431">
        <v>272042</v>
      </c>
      <c r="H431" s="116"/>
      <c r="I431" s="116"/>
      <c r="L431" s="170">
        <v>42851</v>
      </c>
      <c r="M431" s="116">
        <v>79.599999999999994</v>
      </c>
      <c r="N431" s="116">
        <v>85.55</v>
      </c>
      <c r="O431" s="116">
        <v>78.400000000000006</v>
      </c>
      <c r="P431" s="116">
        <v>85.4</v>
      </c>
      <c r="Q431" s="116">
        <v>79.599999999999994</v>
      </c>
      <c r="R431">
        <v>1431241</v>
      </c>
    </row>
    <row r="432" spans="1:18" x14ac:dyDescent="0.25">
      <c r="A432" s="170">
        <v>42852</v>
      </c>
      <c r="B432" s="116">
        <v>83.4</v>
      </c>
      <c r="C432" s="116">
        <v>78.900000000000006</v>
      </c>
      <c r="D432" s="116">
        <v>78.05</v>
      </c>
      <c r="E432" s="116">
        <v>79.8</v>
      </c>
      <c r="F432" s="116">
        <v>78.900000000000006</v>
      </c>
      <c r="G432">
        <v>223122</v>
      </c>
      <c r="H432" s="116"/>
      <c r="I432" s="116"/>
      <c r="L432" s="170">
        <v>42852</v>
      </c>
      <c r="M432" s="116">
        <v>78.25</v>
      </c>
      <c r="N432" s="116">
        <v>83.4</v>
      </c>
      <c r="O432" s="116">
        <v>77.599999999999994</v>
      </c>
      <c r="P432" s="116">
        <v>80.25</v>
      </c>
      <c r="Q432" s="116">
        <v>78.25</v>
      </c>
      <c r="R432">
        <v>1186188</v>
      </c>
    </row>
    <row r="433" spans="1:18" x14ac:dyDescent="0.25">
      <c r="A433" s="170">
        <v>42853</v>
      </c>
      <c r="B433" s="116">
        <v>79.5</v>
      </c>
      <c r="C433" s="116">
        <v>78</v>
      </c>
      <c r="D433" s="116">
        <v>77.099999999999994</v>
      </c>
      <c r="E433" s="116">
        <v>79.25</v>
      </c>
      <c r="F433" s="116">
        <v>78</v>
      </c>
      <c r="G433">
        <v>155970</v>
      </c>
      <c r="H433" s="116"/>
      <c r="I433" s="116"/>
      <c r="L433" s="170">
        <v>42853</v>
      </c>
      <c r="M433" s="116">
        <v>77.650000000000006</v>
      </c>
      <c r="N433" s="116">
        <v>79.400000000000006</v>
      </c>
      <c r="O433" s="116">
        <v>76.849999999999994</v>
      </c>
      <c r="P433" s="116">
        <v>79</v>
      </c>
      <c r="Q433" s="116">
        <v>77.650000000000006</v>
      </c>
      <c r="R433">
        <v>686174</v>
      </c>
    </row>
    <row r="434" spans="1:18" x14ac:dyDescent="0.25">
      <c r="A434" s="170">
        <v>42857</v>
      </c>
      <c r="B434" s="116">
        <v>80</v>
      </c>
      <c r="C434" s="116">
        <v>75.2</v>
      </c>
      <c r="D434" s="116">
        <v>74</v>
      </c>
      <c r="E434" s="116">
        <v>80</v>
      </c>
      <c r="F434" s="116">
        <v>75.2</v>
      </c>
      <c r="G434">
        <v>275756</v>
      </c>
      <c r="H434" s="116"/>
      <c r="I434" s="116"/>
      <c r="L434" s="170">
        <v>42857</v>
      </c>
      <c r="M434" s="116">
        <v>75.150000000000006</v>
      </c>
      <c r="N434" s="116">
        <v>78.25</v>
      </c>
      <c r="O434" s="116">
        <v>73.7</v>
      </c>
      <c r="P434" s="116">
        <v>78.25</v>
      </c>
      <c r="Q434" s="116">
        <v>75.150000000000006</v>
      </c>
      <c r="R434">
        <v>1241336</v>
      </c>
    </row>
    <row r="435" spans="1:18" x14ac:dyDescent="0.25">
      <c r="A435" s="170">
        <v>42858</v>
      </c>
      <c r="B435" s="116">
        <v>75.8</v>
      </c>
      <c r="C435" s="116">
        <v>72.849999999999994</v>
      </c>
      <c r="D435" s="116">
        <v>70.7</v>
      </c>
      <c r="E435" s="116">
        <v>75.400000000000006</v>
      </c>
      <c r="F435" s="116">
        <v>72.849999999999994</v>
      </c>
      <c r="G435">
        <v>268618</v>
      </c>
      <c r="H435" s="116"/>
      <c r="I435" s="116"/>
      <c r="L435" s="170">
        <v>42858</v>
      </c>
      <c r="M435" s="116">
        <v>72.900000000000006</v>
      </c>
      <c r="N435" s="116">
        <v>75.7</v>
      </c>
      <c r="O435" s="116">
        <v>70.900000000000006</v>
      </c>
      <c r="P435" s="116">
        <v>75.7</v>
      </c>
      <c r="Q435" s="116">
        <v>72.900000000000006</v>
      </c>
      <c r="R435">
        <v>916942</v>
      </c>
    </row>
    <row r="436" spans="1:18" x14ac:dyDescent="0.25">
      <c r="A436" s="170">
        <v>42859</v>
      </c>
      <c r="B436" s="116">
        <v>77.5</v>
      </c>
      <c r="C436" s="116">
        <v>75.349999999999994</v>
      </c>
      <c r="D436" s="116">
        <v>72.099999999999994</v>
      </c>
      <c r="E436" s="116">
        <v>73.5</v>
      </c>
      <c r="F436" s="116">
        <v>75.349999999999994</v>
      </c>
      <c r="G436">
        <v>308310</v>
      </c>
      <c r="H436" s="116"/>
      <c r="I436" s="116"/>
      <c r="L436" s="170">
        <v>42859</v>
      </c>
      <c r="M436" s="116">
        <v>75.5</v>
      </c>
      <c r="N436" s="116">
        <v>77.599999999999994</v>
      </c>
      <c r="O436" s="116">
        <v>72.150000000000006</v>
      </c>
      <c r="P436" s="116">
        <v>73.400000000000006</v>
      </c>
      <c r="Q436" s="116">
        <v>75.5</v>
      </c>
      <c r="R436">
        <v>1192651</v>
      </c>
    </row>
    <row r="437" spans="1:18" x14ac:dyDescent="0.25">
      <c r="A437" s="170">
        <v>42860</v>
      </c>
      <c r="B437" s="116">
        <v>75.900000000000006</v>
      </c>
      <c r="C437" s="116">
        <v>73</v>
      </c>
      <c r="D437" s="116">
        <v>72.5</v>
      </c>
      <c r="E437" s="116">
        <v>75.599999999999994</v>
      </c>
      <c r="F437" s="116">
        <v>73</v>
      </c>
      <c r="G437">
        <v>212072</v>
      </c>
      <c r="H437" s="116"/>
      <c r="I437" s="116"/>
      <c r="L437" s="170">
        <v>42860</v>
      </c>
      <c r="M437" s="116">
        <v>72.55</v>
      </c>
      <c r="N437" s="116">
        <v>75.7</v>
      </c>
      <c r="O437" s="116">
        <v>72.3</v>
      </c>
      <c r="P437" s="116">
        <v>75.7</v>
      </c>
      <c r="Q437" s="116">
        <v>72.55</v>
      </c>
      <c r="R437">
        <v>660087</v>
      </c>
    </row>
    <row r="438" spans="1:18" x14ac:dyDescent="0.25">
      <c r="A438" s="170">
        <v>42863</v>
      </c>
      <c r="B438" s="116">
        <v>73.5</v>
      </c>
      <c r="C438" s="116">
        <v>72.5</v>
      </c>
      <c r="D438" s="116">
        <v>71.95</v>
      </c>
      <c r="E438" s="116">
        <v>73.400000000000006</v>
      </c>
      <c r="F438" s="116">
        <v>72.5</v>
      </c>
      <c r="G438">
        <v>128806</v>
      </c>
      <c r="H438" s="116"/>
      <c r="I438" s="116"/>
      <c r="L438" s="170">
        <v>42863</v>
      </c>
      <c r="M438" s="116">
        <v>72.599999999999994</v>
      </c>
      <c r="N438" s="116">
        <v>73.45</v>
      </c>
      <c r="O438" s="116">
        <v>71.650000000000006</v>
      </c>
      <c r="P438" s="116">
        <v>73</v>
      </c>
      <c r="Q438" s="116">
        <v>72.599999999999994</v>
      </c>
      <c r="R438">
        <v>477866</v>
      </c>
    </row>
    <row r="439" spans="1:18" x14ac:dyDescent="0.25">
      <c r="A439" s="170">
        <v>42864</v>
      </c>
      <c r="B439" s="116">
        <v>75.5</v>
      </c>
      <c r="C439" s="116">
        <v>74</v>
      </c>
      <c r="D439" s="116">
        <v>72</v>
      </c>
      <c r="E439" s="116">
        <v>72.75</v>
      </c>
      <c r="F439" s="116">
        <v>74</v>
      </c>
      <c r="G439">
        <v>182262</v>
      </c>
      <c r="H439" s="116"/>
      <c r="I439" s="116"/>
      <c r="L439" s="170">
        <v>42864</v>
      </c>
      <c r="M439" s="116">
        <v>73.8</v>
      </c>
      <c r="N439" s="116">
        <v>75.599999999999994</v>
      </c>
      <c r="O439" s="116">
        <v>71.8</v>
      </c>
      <c r="P439" s="116">
        <v>73</v>
      </c>
      <c r="Q439" s="116">
        <v>73.8</v>
      </c>
      <c r="R439">
        <v>566072</v>
      </c>
    </row>
    <row r="440" spans="1:18" x14ac:dyDescent="0.25">
      <c r="A440" s="170">
        <v>42865</v>
      </c>
      <c r="B440" s="116">
        <v>76.400000000000006</v>
      </c>
      <c r="C440" s="116">
        <v>76.05</v>
      </c>
      <c r="D440" s="116">
        <v>74</v>
      </c>
      <c r="E440" s="116">
        <v>74.3</v>
      </c>
      <c r="F440" s="116">
        <v>76.05</v>
      </c>
      <c r="G440">
        <v>155031</v>
      </c>
      <c r="H440" s="116"/>
      <c r="I440" s="116"/>
      <c r="L440" s="170">
        <v>42865</v>
      </c>
      <c r="M440" s="116">
        <v>75.8</v>
      </c>
      <c r="N440" s="116">
        <v>76.400000000000006</v>
      </c>
      <c r="O440" s="116">
        <v>73.8</v>
      </c>
      <c r="P440" s="116">
        <v>74.3</v>
      </c>
      <c r="Q440" s="116">
        <v>75.8</v>
      </c>
      <c r="R440">
        <v>614553</v>
      </c>
    </row>
    <row r="441" spans="1:18" x14ac:dyDescent="0.25">
      <c r="A441" s="170">
        <v>42866</v>
      </c>
      <c r="B441" s="116">
        <v>83.65</v>
      </c>
      <c r="C441" s="116">
        <v>83.6</v>
      </c>
      <c r="D441" s="116">
        <v>75.7</v>
      </c>
      <c r="E441" s="116">
        <v>76</v>
      </c>
      <c r="F441" s="116">
        <v>83.6</v>
      </c>
      <c r="G441">
        <v>697649</v>
      </c>
      <c r="H441" s="116"/>
      <c r="I441" s="116"/>
      <c r="L441" s="170">
        <v>42866</v>
      </c>
      <c r="M441" s="116">
        <v>83.35</v>
      </c>
      <c r="N441" s="116">
        <v>83.35</v>
      </c>
      <c r="O441" s="116">
        <v>75.650000000000006</v>
      </c>
      <c r="P441" s="116">
        <v>76.3</v>
      </c>
      <c r="Q441" s="116">
        <v>83.35</v>
      </c>
      <c r="R441">
        <v>3230136</v>
      </c>
    </row>
    <row r="442" spans="1:18" x14ac:dyDescent="0.25">
      <c r="A442" s="170">
        <v>42867</v>
      </c>
      <c r="B442" s="116">
        <v>90.4</v>
      </c>
      <c r="C442" s="116">
        <v>89.35</v>
      </c>
      <c r="D442" s="116">
        <v>82.4</v>
      </c>
      <c r="E442" s="116">
        <v>84.2</v>
      </c>
      <c r="F442" s="116">
        <v>89.35</v>
      </c>
      <c r="G442">
        <v>1153621</v>
      </c>
      <c r="H442" s="116"/>
      <c r="I442" s="116"/>
      <c r="L442" s="170">
        <v>42867</v>
      </c>
      <c r="M442" s="116">
        <v>89.9</v>
      </c>
      <c r="N442" s="116">
        <v>90.8</v>
      </c>
      <c r="O442" s="116">
        <v>82.25</v>
      </c>
      <c r="P442" s="116">
        <v>84.45</v>
      </c>
      <c r="Q442" s="116">
        <v>89.9</v>
      </c>
      <c r="R442">
        <v>5877272</v>
      </c>
    </row>
    <row r="443" spans="1:18" x14ac:dyDescent="0.25">
      <c r="A443" s="170">
        <v>42870</v>
      </c>
      <c r="B443" s="116">
        <v>96.5</v>
      </c>
      <c r="C443" s="116">
        <v>95.15</v>
      </c>
      <c r="D443" s="116">
        <v>86</v>
      </c>
      <c r="E443" s="116">
        <v>91</v>
      </c>
      <c r="F443" s="116">
        <v>95.15</v>
      </c>
      <c r="G443">
        <v>1205732</v>
      </c>
      <c r="H443" s="116"/>
      <c r="I443" s="116"/>
      <c r="L443" s="170">
        <v>42870</v>
      </c>
      <c r="M443" s="116">
        <v>95.4</v>
      </c>
      <c r="N443" s="116">
        <v>96.95</v>
      </c>
      <c r="O443" s="116">
        <v>85.7</v>
      </c>
      <c r="P443" s="116">
        <v>90.4</v>
      </c>
      <c r="Q443" s="116">
        <v>95.4</v>
      </c>
      <c r="R443">
        <v>5288023</v>
      </c>
    </row>
    <row r="444" spans="1:18" x14ac:dyDescent="0.25">
      <c r="A444" s="170">
        <v>42871</v>
      </c>
      <c r="B444" s="116">
        <v>99.9</v>
      </c>
      <c r="C444" s="116">
        <v>99.9</v>
      </c>
      <c r="D444" s="116">
        <v>95.7</v>
      </c>
      <c r="E444" s="116">
        <v>96.4</v>
      </c>
      <c r="F444" s="116">
        <v>99.9</v>
      </c>
      <c r="G444">
        <v>943451</v>
      </c>
      <c r="H444" s="116"/>
      <c r="I444" s="116"/>
      <c r="L444" s="170">
        <v>42871</v>
      </c>
      <c r="M444" s="116">
        <v>100.15</v>
      </c>
      <c r="N444" s="116">
        <v>100.15</v>
      </c>
      <c r="O444" s="116">
        <v>95.5</v>
      </c>
      <c r="P444" s="116">
        <v>96.25</v>
      </c>
      <c r="Q444" s="116">
        <v>100.15</v>
      </c>
      <c r="R444">
        <v>4269535</v>
      </c>
    </row>
    <row r="445" spans="1:18" x14ac:dyDescent="0.25">
      <c r="A445" s="170">
        <v>42872</v>
      </c>
      <c r="B445" s="116">
        <v>103.9</v>
      </c>
      <c r="C445" s="116">
        <v>102</v>
      </c>
      <c r="D445" s="116">
        <v>99.85</v>
      </c>
      <c r="E445" s="116">
        <v>101.1</v>
      </c>
      <c r="F445" s="116">
        <v>102</v>
      </c>
      <c r="G445">
        <v>483972</v>
      </c>
      <c r="H445" s="116"/>
      <c r="I445" s="116"/>
      <c r="L445" s="170">
        <v>42872</v>
      </c>
      <c r="M445" s="116">
        <v>102.15</v>
      </c>
      <c r="N445" s="116">
        <v>104</v>
      </c>
      <c r="O445" s="116">
        <v>99.7</v>
      </c>
      <c r="P445" s="116">
        <v>101</v>
      </c>
      <c r="Q445" s="116">
        <v>102.15</v>
      </c>
      <c r="R445">
        <v>3901096</v>
      </c>
    </row>
    <row r="446" spans="1:18" x14ac:dyDescent="0.25">
      <c r="A446" s="170">
        <v>42873</v>
      </c>
      <c r="B446" s="116">
        <v>103.25</v>
      </c>
      <c r="C446" s="116">
        <v>101.2</v>
      </c>
      <c r="D446" s="116">
        <v>97</v>
      </c>
      <c r="E446" s="116">
        <v>101</v>
      </c>
      <c r="F446" s="116">
        <v>101.2</v>
      </c>
      <c r="G446">
        <v>361359</v>
      </c>
      <c r="H446" s="116"/>
      <c r="I446" s="116"/>
      <c r="L446" s="170">
        <v>42873</v>
      </c>
      <c r="M446" s="116">
        <v>101.8</v>
      </c>
      <c r="N446" s="116">
        <v>103.4</v>
      </c>
      <c r="O446" s="116">
        <v>97.05</v>
      </c>
      <c r="P446" s="116">
        <v>100.15</v>
      </c>
      <c r="Q446" s="116">
        <v>101.8</v>
      </c>
      <c r="R446">
        <v>3445099</v>
      </c>
    </row>
    <row r="447" spans="1:18" x14ac:dyDescent="0.25">
      <c r="A447" s="170">
        <v>42874</v>
      </c>
      <c r="B447" s="116">
        <v>106.25</v>
      </c>
      <c r="C447" s="116">
        <v>105.25</v>
      </c>
      <c r="D447" s="116">
        <v>101.5</v>
      </c>
      <c r="E447" s="116">
        <v>102</v>
      </c>
      <c r="F447" s="116">
        <v>105.25</v>
      </c>
      <c r="G447">
        <v>390758</v>
      </c>
      <c r="H447" s="116"/>
      <c r="I447" s="116"/>
      <c r="L447" s="170">
        <v>42874</v>
      </c>
      <c r="M447" s="116">
        <v>105.35</v>
      </c>
      <c r="N447" s="116">
        <v>106.5</v>
      </c>
      <c r="O447" s="116">
        <v>101.35</v>
      </c>
      <c r="P447" s="116">
        <v>103.6</v>
      </c>
      <c r="Q447" s="116">
        <v>105.35</v>
      </c>
      <c r="R447">
        <v>1733896</v>
      </c>
    </row>
    <row r="448" spans="1:18" x14ac:dyDescent="0.25">
      <c r="A448" s="170">
        <v>42877</v>
      </c>
      <c r="B448" s="116">
        <v>109.15</v>
      </c>
      <c r="C448" s="116">
        <v>107.85</v>
      </c>
      <c r="D448" s="116">
        <v>105.65</v>
      </c>
      <c r="E448" s="116">
        <v>105.8</v>
      </c>
      <c r="F448" s="116">
        <v>107.85</v>
      </c>
      <c r="G448">
        <v>268579</v>
      </c>
      <c r="H448" s="116"/>
      <c r="I448" s="116"/>
      <c r="L448" s="170">
        <v>42877</v>
      </c>
      <c r="M448" s="116">
        <v>107.9</v>
      </c>
      <c r="N448" s="116">
        <v>109.25</v>
      </c>
      <c r="O448" s="116">
        <v>105.55</v>
      </c>
      <c r="P448" s="116">
        <v>106.7</v>
      </c>
      <c r="Q448" s="116">
        <v>107.9</v>
      </c>
      <c r="R448">
        <v>1777979</v>
      </c>
    </row>
    <row r="449" spans="1:18" x14ac:dyDescent="0.25">
      <c r="A449" s="170">
        <v>42878</v>
      </c>
      <c r="B449" s="116">
        <v>108.85</v>
      </c>
      <c r="C449" s="116">
        <v>104</v>
      </c>
      <c r="D449" s="116">
        <v>102.5</v>
      </c>
      <c r="E449" s="116">
        <v>108.85</v>
      </c>
      <c r="F449" s="116">
        <v>104</v>
      </c>
      <c r="G449">
        <v>290365</v>
      </c>
      <c r="H449" s="116"/>
      <c r="I449" s="116"/>
      <c r="L449" s="170">
        <v>42878</v>
      </c>
      <c r="M449" s="116">
        <v>104.45</v>
      </c>
      <c r="N449" s="116">
        <v>107.9</v>
      </c>
      <c r="O449" s="116">
        <v>102.55</v>
      </c>
      <c r="P449" s="116">
        <v>107</v>
      </c>
      <c r="Q449" s="116">
        <v>104.45</v>
      </c>
      <c r="R449">
        <v>2162299</v>
      </c>
    </row>
    <row r="450" spans="1:18" x14ac:dyDescent="0.25">
      <c r="A450" s="170">
        <v>42879</v>
      </c>
      <c r="B450" s="116">
        <v>106.85</v>
      </c>
      <c r="C450" s="116">
        <v>105.3</v>
      </c>
      <c r="D450" s="116">
        <v>103.5</v>
      </c>
      <c r="E450" s="116">
        <v>103.5</v>
      </c>
      <c r="F450" s="116">
        <v>105.3</v>
      </c>
      <c r="G450">
        <v>174541</v>
      </c>
      <c r="H450" s="116"/>
      <c r="I450" s="116"/>
      <c r="L450" s="170">
        <v>42879</v>
      </c>
      <c r="M450" s="116">
        <v>105.5</v>
      </c>
      <c r="N450" s="116">
        <v>107</v>
      </c>
      <c r="O450" s="116">
        <v>104</v>
      </c>
      <c r="P450" s="116">
        <v>104.5</v>
      </c>
      <c r="Q450" s="116">
        <v>105.5</v>
      </c>
      <c r="R450">
        <v>1037850</v>
      </c>
    </row>
    <row r="451" spans="1:18" x14ac:dyDescent="0.25">
      <c r="A451" s="170">
        <v>42880</v>
      </c>
      <c r="B451" s="116">
        <v>110.55</v>
      </c>
      <c r="C451" s="116">
        <v>109.75</v>
      </c>
      <c r="D451" s="116">
        <v>101.1</v>
      </c>
      <c r="E451" s="116">
        <v>105.85</v>
      </c>
      <c r="F451" s="116">
        <v>109.75</v>
      </c>
      <c r="G451">
        <v>255091</v>
      </c>
      <c r="H451" s="116"/>
      <c r="I451" s="116"/>
      <c r="L451" s="170">
        <v>42880</v>
      </c>
      <c r="M451" s="116">
        <v>109.65</v>
      </c>
      <c r="N451" s="116">
        <v>110.75</v>
      </c>
      <c r="O451" s="116">
        <v>100.75</v>
      </c>
      <c r="P451" s="116">
        <v>105</v>
      </c>
      <c r="Q451" s="116">
        <v>109.65</v>
      </c>
      <c r="R451">
        <v>1160881</v>
      </c>
    </row>
    <row r="452" spans="1:18" x14ac:dyDescent="0.25">
      <c r="A452" s="170">
        <v>42881</v>
      </c>
      <c r="B452" s="116">
        <v>115.2</v>
      </c>
      <c r="C452" s="116">
        <v>115.2</v>
      </c>
      <c r="D452" s="116">
        <v>109.1</v>
      </c>
      <c r="E452" s="116">
        <v>111.4</v>
      </c>
      <c r="F452" s="116">
        <v>115.2</v>
      </c>
      <c r="G452">
        <v>353345</v>
      </c>
      <c r="H452" s="116"/>
      <c r="I452" s="116"/>
      <c r="L452" s="170">
        <v>42881</v>
      </c>
      <c r="M452" s="116">
        <v>115.1</v>
      </c>
      <c r="N452" s="116">
        <v>115.1</v>
      </c>
      <c r="O452" s="116">
        <v>109.15</v>
      </c>
      <c r="P452" s="116">
        <v>109.9</v>
      </c>
      <c r="Q452" s="116">
        <v>115.1</v>
      </c>
      <c r="R452">
        <v>1438393</v>
      </c>
    </row>
    <row r="453" spans="1:18" x14ac:dyDescent="0.25">
      <c r="A453" s="170">
        <v>42884</v>
      </c>
      <c r="B453" s="116">
        <v>114.9</v>
      </c>
      <c r="C453" s="116">
        <v>110.05</v>
      </c>
      <c r="D453" s="116">
        <v>109.45</v>
      </c>
      <c r="E453" s="116">
        <v>114.9</v>
      </c>
      <c r="F453" s="116">
        <v>110.05</v>
      </c>
      <c r="G453">
        <v>292501</v>
      </c>
      <c r="H453" s="116"/>
      <c r="I453" s="116"/>
      <c r="L453" s="170">
        <v>42884</v>
      </c>
      <c r="M453" s="116">
        <v>110.4</v>
      </c>
      <c r="N453" s="116">
        <v>115</v>
      </c>
      <c r="O453" s="116">
        <v>109.35</v>
      </c>
      <c r="P453" s="116">
        <v>115</v>
      </c>
      <c r="Q453" s="116">
        <v>110.4</v>
      </c>
      <c r="R453">
        <v>1678906</v>
      </c>
    </row>
    <row r="454" spans="1:18" x14ac:dyDescent="0.25">
      <c r="A454" s="170">
        <v>42885</v>
      </c>
      <c r="B454" s="116">
        <v>115.55</v>
      </c>
      <c r="C454" s="116">
        <v>114.75</v>
      </c>
      <c r="D454" s="116">
        <v>105</v>
      </c>
      <c r="E454" s="116">
        <v>111</v>
      </c>
      <c r="F454" s="116">
        <v>114.75</v>
      </c>
      <c r="G454">
        <v>280384</v>
      </c>
      <c r="H454" s="116"/>
      <c r="I454" s="116"/>
      <c r="L454" s="170">
        <v>42885</v>
      </c>
      <c r="M454" s="116">
        <v>115.3</v>
      </c>
      <c r="N454" s="116">
        <v>115.9</v>
      </c>
      <c r="O454" s="116">
        <v>104.9</v>
      </c>
      <c r="P454" s="116">
        <v>110.05</v>
      </c>
      <c r="Q454" s="116">
        <v>115.3</v>
      </c>
      <c r="R454">
        <v>1137688</v>
      </c>
    </row>
    <row r="455" spans="1:18" x14ac:dyDescent="0.25">
      <c r="A455" s="170">
        <v>42886</v>
      </c>
      <c r="B455" s="116">
        <v>120.45</v>
      </c>
      <c r="C455" s="116">
        <v>120.45</v>
      </c>
      <c r="D455" s="116">
        <v>116.55</v>
      </c>
      <c r="E455" s="116">
        <v>116.65</v>
      </c>
      <c r="F455" s="116">
        <v>120.45</v>
      </c>
      <c r="G455">
        <v>185471</v>
      </c>
      <c r="H455" s="116"/>
      <c r="I455" s="116"/>
      <c r="L455" s="170">
        <v>42886</v>
      </c>
      <c r="M455" s="116">
        <v>121</v>
      </c>
      <c r="N455" s="116">
        <v>121.05</v>
      </c>
      <c r="O455" s="116">
        <v>116.15</v>
      </c>
      <c r="P455" s="116">
        <v>116.4</v>
      </c>
      <c r="Q455" s="116">
        <v>121</v>
      </c>
      <c r="R455">
        <v>2076999</v>
      </c>
    </row>
    <row r="456" spans="1:18" x14ac:dyDescent="0.25">
      <c r="A456" s="170">
        <v>42887</v>
      </c>
      <c r="B456" s="116">
        <v>126.45</v>
      </c>
      <c r="C456" s="116">
        <v>126.45</v>
      </c>
      <c r="D456" s="116">
        <v>121.9</v>
      </c>
      <c r="E456" s="116">
        <v>121.9</v>
      </c>
      <c r="F456" s="116">
        <v>126.45</v>
      </c>
      <c r="G456">
        <v>183097</v>
      </c>
      <c r="H456" s="116"/>
      <c r="I456" s="116"/>
      <c r="L456" s="170">
        <v>42887</v>
      </c>
      <c r="M456" s="116">
        <v>127.05</v>
      </c>
      <c r="N456" s="116">
        <v>127.05</v>
      </c>
      <c r="O456" s="116">
        <v>121.7</v>
      </c>
      <c r="P456" s="116">
        <v>121.8</v>
      </c>
      <c r="Q456" s="116">
        <v>127.05</v>
      </c>
      <c r="R456">
        <v>2285171</v>
      </c>
    </row>
    <row r="457" spans="1:18" x14ac:dyDescent="0.25">
      <c r="A457" s="170">
        <v>42888</v>
      </c>
      <c r="B457" s="116">
        <v>132.75</v>
      </c>
      <c r="C457" s="116">
        <v>132.75</v>
      </c>
      <c r="D457" s="116">
        <v>130.1</v>
      </c>
      <c r="E457" s="116">
        <v>130.1</v>
      </c>
      <c r="F457" s="116">
        <v>132.75</v>
      </c>
      <c r="G457">
        <v>193374</v>
      </c>
      <c r="H457" s="116"/>
      <c r="I457" s="116"/>
      <c r="L457" s="170">
        <v>42888</v>
      </c>
      <c r="M457" s="116">
        <v>133.4</v>
      </c>
      <c r="N457" s="116">
        <v>133.4</v>
      </c>
      <c r="O457" s="116">
        <v>130.4</v>
      </c>
      <c r="P457" s="116">
        <v>130.80000000000001</v>
      </c>
      <c r="Q457" s="116">
        <v>133.4</v>
      </c>
      <c r="R457">
        <v>2416004</v>
      </c>
    </row>
    <row r="458" spans="1:18" x14ac:dyDescent="0.25">
      <c r="A458" s="170">
        <v>42891</v>
      </c>
      <c r="B458" s="116">
        <v>137</v>
      </c>
      <c r="C458" s="116">
        <v>132</v>
      </c>
      <c r="D458" s="116">
        <v>127.25</v>
      </c>
      <c r="E458" s="116">
        <v>135</v>
      </c>
      <c r="F458" s="116">
        <v>132</v>
      </c>
      <c r="G458">
        <v>422436</v>
      </c>
      <c r="H458" s="116"/>
      <c r="I458" s="116"/>
      <c r="L458" s="170">
        <v>42891</v>
      </c>
      <c r="M458" s="116">
        <v>132.19999999999999</v>
      </c>
      <c r="N458" s="116">
        <v>137.19999999999999</v>
      </c>
      <c r="O458" s="116">
        <v>127.05</v>
      </c>
      <c r="P458" s="116">
        <v>136</v>
      </c>
      <c r="Q458" s="116">
        <v>132.19999999999999</v>
      </c>
      <c r="R458">
        <v>2237467</v>
      </c>
    </row>
    <row r="459" spans="1:18" x14ac:dyDescent="0.25">
      <c r="A459" s="170">
        <v>42892</v>
      </c>
      <c r="B459" s="116">
        <v>135.55000000000001</v>
      </c>
      <c r="C459" s="116">
        <v>126.1</v>
      </c>
      <c r="D459" s="116">
        <v>125.4</v>
      </c>
      <c r="E459" s="116">
        <v>133.69999999999999</v>
      </c>
      <c r="F459" s="116">
        <v>126.1</v>
      </c>
      <c r="G459">
        <v>301438</v>
      </c>
      <c r="H459" s="116"/>
      <c r="I459" s="116"/>
      <c r="L459" s="170">
        <v>42892</v>
      </c>
      <c r="M459" s="116">
        <v>126.1</v>
      </c>
      <c r="N459" s="116">
        <v>135.69999999999999</v>
      </c>
      <c r="O459" s="116">
        <v>125.6</v>
      </c>
      <c r="P459" s="116">
        <v>132.69999999999999</v>
      </c>
      <c r="Q459" s="116">
        <v>126.1</v>
      </c>
      <c r="R459">
        <v>1270752</v>
      </c>
    </row>
    <row r="460" spans="1:18" x14ac:dyDescent="0.25">
      <c r="A460" s="170">
        <v>42893</v>
      </c>
      <c r="B460" s="116">
        <v>128.65</v>
      </c>
      <c r="C460" s="116">
        <v>119.8</v>
      </c>
      <c r="D460" s="116">
        <v>119.8</v>
      </c>
      <c r="E460" s="116">
        <v>126</v>
      </c>
      <c r="F460" s="116">
        <v>119.8</v>
      </c>
      <c r="G460">
        <v>309190</v>
      </c>
      <c r="H460" s="116"/>
      <c r="I460" s="116"/>
      <c r="L460" s="170">
        <v>42893</v>
      </c>
      <c r="M460" s="116">
        <v>119.8</v>
      </c>
      <c r="N460" s="116">
        <v>128.80000000000001</v>
      </c>
      <c r="O460" s="116">
        <v>119.8</v>
      </c>
      <c r="P460" s="116">
        <v>125</v>
      </c>
      <c r="Q460" s="116">
        <v>119.8</v>
      </c>
      <c r="R460">
        <v>1904039</v>
      </c>
    </row>
    <row r="461" spans="1:18" x14ac:dyDescent="0.25">
      <c r="A461" s="170">
        <v>42894</v>
      </c>
      <c r="B461" s="116">
        <v>120.95</v>
      </c>
      <c r="C461" s="116">
        <v>113.85</v>
      </c>
      <c r="D461" s="116">
        <v>113.85</v>
      </c>
      <c r="E461" s="116">
        <v>120</v>
      </c>
      <c r="F461" s="116">
        <v>113.85</v>
      </c>
      <c r="G461">
        <v>398387</v>
      </c>
      <c r="H461" s="116"/>
      <c r="I461" s="116"/>
      <c r="L461" s="170">
        <v>42894</v>
      </c>
      <c r="M461" s="116">
        <v>113.85</v>
      </c>
      <c r="N461" s="116">
        <v>121.2</v>
      </c>
      <c r="O461" s="116">
        <v>113.85</v>
      </c>
      <c r="P461" s="116">
        <v>121</v>
      </c>
      <c r="Q461" s="116">
        <v>113.85</v>
      </c>
      <c r="R461">
        <v>1625353</v>
      </c>
    </row>
    <row r="462" spans="1:18" x14ac:dyDescent="0.25">
      <c r="A462" s="170">
        <v>42895</v>
      </c>
      <c r="B462" s="116">
        <v>118.05</v>
      </c>
      <c r="C462" s="116">
        <v>115</v>
      </c>
      <c r="D462" s="116">
        <v>108.4</v>
      </c>
      <c r="E462" s="116">
        <v>112</v>
      </c>
      <c r="F462" s="116">
        <v>115</v>
      </c>
      <c r="G462">
        <v>553652</v>
      </c>
      <c r="H462" s="116"/>
      <c r="I462" s="116"/>
      <c r="L462" s="170">
        <v>42895</v>
      </c>
      <c r="M462" s="116">
        <v>114.8</v>
      </c>
      <c r="N462" s="116">
        <v>118.1</v>
      </c>
      <c r="O462" s="116">
        <v>108.65</v>
      </c>
      <c r="P462" s="116">
        <v>110</v>
      </c>
      <c r="Q462" s="116">
        <v>114.8</v>
      </c>
      <c r="R462">
        <v>3361734</v>
      </c>
    </row>
    <row r="463" spans="1:18" x14ac:dyDescent="0.25">
      <c r="A463" s="170">
        <v>42898</v>
      </c>
      <c r="B463" s="116">
        <v>117.45</v>
      </c>
      <c r="C463" s="116">
        <v>112.35</v>
      </c>
      <c r="D463" s="116">
        <v>111.1</v>
      </c>
      <c r="E463" s="116">
        <v>114</v>
      </c>
      <c r="F463" s="116">
        <v>112.35</v>
      </c>
      <c r="G463">
        <v>188986</v>
      </c>
      <c r="H463" s="116"/>
      <c r="I463" s="116"/>
      <c r="L463" s="170">
        <v>42898</v>
      </c>
      <c r="M463" s="116">
        <v>111.85</v>
      </c>
      <c r="N463" s="116">
        <v>117.55</v>
      </c>
      <c r="O463" s="116">
        <v>110.7</v>
      </c>
      <c r="P463" s="116">
        <v>115.45</v>
      </c>
      <c r="Q463" s="116">
        <v>111.85</v>
      </c>
      <c r="R463">
        <v>1077332</v>
      </c>
    </row>
    <row r="464" spans="1:18" x14ac:dyDescent="0.25">
      <c r="A464" s="170">
        <v>42899</v>
      </c>
      <c r="B464" s="116">
        <v>115</v>
      </c>
      <c r="C464" s="116">
        <v>111.45</v>
      </c>
      <c r="D464" s="116">
        <v>111</v>
      </c>
      <c r="E464" s="116">
        <v>111</v>
      </c>
      <c r="F464" s="116">
        <v>111.45</v>
      </c>
      <c r="G464">
        <v>143157</v>
      </c>
      <c r="H464" s="116"/>
      <c r="I464" s="116"/>
      <c r="L464" s="170">
        <v>42899</v>
      </c>
      <c r="M464" s="116">
        <v>111.25</v>
      </c>
      <c r="N464" s="116">
        <v>115</v>
      </c>
      <c r="O464" s="116">
        <v>110.3</v>
      </c>
      <c r="P464" s="116">
        <v>113.2</v>
      </c>
      <c r="Q464" s="116">
        <v>111.25</v>
      </c>
      <c r="R464">
        <v>815979</v>
      </c>
    </row>
    <row r="465" spans="1:18" x14ac:dyDescent="0.25">
      <c r="A465" s="170">
        <v>42900</v>
      </c>
      <c r="B465" s="116">
        <v>113.5</v>
      </c>
      <c r="C465" s="116">
        <v>112.6</v>
      </c>
      <c r="D465" s="116">
        <v>108.35</v>
      </c>
      <c r="E465" s="116">
        <v>112.7</v>
      </c>
      <c r="F465" s="116">
        <v>112.6</v>
      </c>
      <c r="G465">
        <v>237693</v>
      </c>
      <c r="H465" s="116"/>
      <c r="I465" s="116"/>
      <c r="L465" s="170">
        <v>42900</v>
      </c>
      <c r="M465" s="116">
        <v>113</v>
      </c>
      <c r="N465" s="116">
        <v>114.45</v>
      </c>
      <c r="O465" s="116">
        <v>108.05</v>
      </c>
      <c r="P465" s="116">
        <v>114.45</v>
      </c>
      <c r="Q465" s="116">
        <v>113</v>
      </c>
      <c r="R465">
        <v>2949024</v>
      </c>
    </row>
    <row r="466" spans="1:18" x14ac:dyDescent="0.25">
      <c r="A466" s="170">
        <v>42901</v>
      </c>
      <c r="B466" s="116">
        <v>117.5</v>
      </c>
      <c r="C466" s="116">
        <v>116.7</v>
      </c>
      <c r="D466" s="116">
        <v>111.55</v>
      </c>
      <c r="E466" s="116">
        <v>112</v>
      </c>
      <c r="F466" s="116">
        <v>116.7</v>
      </c>
      <c r="G466">
        <v>273737</v>
      </c>
      <c r="H466" s="116"/>
      <c r="I466" s="116"/>
      <c r="L466" s="170">
        <v>42901</v>
      </c>
      <c r="M466" s="116">
        <v>116.5</v>
      </c>
      <c r="N466" s="116">
        <v>117.4</v>
      </c>
      <c r="O466" s="116">
        <v>111.25</v>
      </c>
      <c r="P466" s="116">
        <v>113</v>
      </c>
      <c r="Q466" s="116">
        <v>116.5</v>
      </c>
      <c r="R466">
        <v>2450132</v>
      </c>
    </row>
    <row r="467" spans="1:18" x14ac:dyDescent="0.25">
      <c r="A467" s="170">
        <v>42902</v>
      </c>
      <c r="B467" s="116">
        <v>121.05</v>
      </c>
      <c r="C467" s="116">
        <v>118.4</v>
      </c>
      <c r="D467" s="116">
        <v>115.35</v>
      </c>
      <c r="E467" s="116">
        <v>117.95</v>
      </c>
      <c r="F467" s="116">
        <v>118.4</v>
      </c>
      <c r="G467">
        <v>462192</v>
      </c>
      <c r="H467" s="116"/>
      <c r="I467" s="116"/>
      <c r="L467" s="170">
        <v>42902</v>
      </c>
      <c r="M467" s="116">
        <v>117.9</v>
      </c>
      <c r="N467" s="116">
        <v>121.25</v>
      </c>
      <c r="O467" s="116">
        <v>115.5</v>
      </c>
      <c r="P467" s="116">
        <v>116.55</v>
      </c>
      <c r="Q467" s="116">
        <v>117.9</v>
      </c>
      <c r="R467">
        <v>4649942</v>
      </c>
    </row>
    <row r="468" spans="1:18" x14ac:dyDescent="0.25">
      <c r="A468" s="170">
        <v>42905</v>
      </c>
      <c r="B468" s="116">
        <v>119.95</v>
      </c>
      <c r="C468" s="116">
        <v>116.3</v>
      </c>
      <c r="D468" s="116">
        <v>114.9</v>
      </c>
      <c r="E468" s="116">
        <v>118.9</v>
      </c>
      <c r="F468" s="116">
        <v>116.3</v>
      </c>
      <c r="G468">
        <v>169889</v>
      </c>
      <c r="H468" s="116"/>
      <c r="I468" s="116"/>
      <c r="L468" s="170">
        <v>42905</v>
      </c>
      <c r="M468" s="116">
        <v>116.65</v>
      </c>
      <c r="N468" s="116">
        <v>119.8</v>
      </c>
      <c r="O468" s="116">
        <v>114.4</v>
      </c>
      <c r="P468" s="116">
        <v>118</v>
      </c>
      <c r="Q468" s="116">
        <v>116.65</v>
      </c>
      <c r="R468">
        <v>850400</v>
      </c>
    </row>
    <row r="469" spans="1:18" x14ac:dyDescent="0.25">
      <c r="A469" s="170">
        <v>42906</v>
      </c>
      <c r="B469" s="116">
        <v>119.4</v>
      </c>
      <c r="C469" s="116">
        <v>118.45</v>
      </c>
      <c r="D469" s="116">
        <v>114.35</v>
      </c>
      <c r="E469" s="116">
        <v>117.5</v>
      </c>
      <c r="F469" s="116">
        <v>118.45</v>
      </c>
      <c r="G469">
        <v>144090</v>
      </c>
      <c r="H469" s="116"/>
      <c r="I469" s="116"/>
      <c r="L469" s="170">
        <v>42906</v>
      </c>
      <c r="M469" s="116">
        <v>118.65</v>
      </c>
      <c r="N469" s="116">
        <v>119.5</v>
      </c>
      <c r="O469" s="116">
        <v>114.2</v>
      </c>
      <c r="P469" s="116">
        <v>116.75</v>
      </c>
      <c r="Q469" s="116">
        <v>118.65</v>
      </c>
      <c r="R469">
        <v>1015086</v>
      </c>
    </row>
    <row r="470" spans="1:18" x14ac:dyDescent="0.25">
      <c r="A470" s="170">
        <v>42907</v>
      </c>
      <c r="B470" s="116">
        <v>120.9</v>
      </c>
      <c r="C470" s="116">
        <v>119.6</v>
      </c>
      <c r="D470" s="116">
        <v>117.3</v>
      </c>
      <c r="E470" s="116">
        <v>117.4</v>
      </c>
      <c r="F470" s="116">
        <v>119.6</v>
      </c>
      <c r="G470">
        <v>108091</v>
      </c>
      <c r="H470" s="116"/>
      <c r="I470" s="116"/>
      <c r="L470" s="170">
        <v>42907</v>
      </c>
      <c r="M470" s="116">
        <v>119.9</v>
      </c>
      <c r="N470" s="116">
        <v>120.9</v>
      </c>
      <c r="O470" s="116">
        <v>117.15</v>
      </c>
      <c r="P470" s="116">
        <v>118</v>
      </c>
      <c r="Q470" s="116">
        <v>119.9</v>
      </c>
      <c r="R470">
        <v>835868</v>
      </c>
    </row>
    <row r="471" spans="1:18" x14ac:dyDescent="0.25">
      <c r="A471" s="170">
        <v>42908</v>
      </c>
      <c r="B471" s="116">
        <v>121</v>
      </c>
      <c r="C471" s="116">
        <v>119.85</v>
      </c>
      <c r="D471" s="116">
        <v>117</v>
      </c>
      <c r="E471" s="116">
        <v>120</v>
      </c>
      <c r="F471" s="116">
        <v>119.85</v>
      </c>
      <c r="G471">
        <v>148202</v>
      </c>
      <c r="H471" s="116"/>
      <c r="I471" s="116"/>
      <c r="L471" s="170">
        <v>42908</v>
      </c>
      <c r="M471" s="116">
        <v>119.2</v>
      </c>
      <c r="N471" s="116">
        <v>120.95</v>
      </c>
      <c r="O471" s="116">
        <v>116</v>
      </c>
      <c r="P471" s="116">
        <v>120</v>
      </c>
      <c r="Q471" s="116">
        <v>119.2</v>
      </c>
      <c r="R471">
        <v>810088</v>
      </c>
    </row>
    <row r="472" spans="1:18" x14ac:dyDescent="0.25">
      <c r="A472" s="170">
        <v>42909</v>
      </c>
      <c r="B472" s="116">
        <v>120.55</v>
      </c>
      <c r="C472" s="116">
        <v>118.65</v>
      </c>
      <c r="D472" s="116">
        <v>117.85</v>
      </c>
      <c r="E472" s="116">
        <v>118.3</v>
      </c>
      <c r="F472" s="116">
        <v>118.65</v>
      </c>
      <c r="G472">
        <v>98594</v>
      </c>
      <c r="H472" s="116"/>
      <c r="I472" s="116"/>
      <c r="L472" s="170">
        <v>42909</v>
      </c>
      <c r="M472" s="116">
        <v>119</v>
      </c>
      <c r="N472" s="116">
        <v>120.75</v>
      </c>
      <c r="O472" s="116">
        <v>118</v>
      </c>
      <c r="P472" s="116">
        <v>120.2</v>
      </c>
      <c r="Q472" s="116">
        <v>119</v>
      </c>
      <c r="R472">
        <v>599033</v>
      </c>
    </row>
    <row r="473" spans="1:18" x14ac:dyDescent="0.25">
      <c r="A473" s="170">
        <v>42913</v>
      </c>
      <c r="B473" s="116">
        <v>124.55</v>
      </c>
      <c r="C473" s="116">
        <v>123.95</v>
      </c>
      <c r="D473" s="116">
        <v>117.85</v>
      </c>
      <c r="E473" s="116">
        <v>119</v>
      </c>
      <c r="F473" s="116">
        <v>123.95</v>
      </c>
      <c r="G473">
        <v>195899</v>
      </c>
      <c r="H473" s="116"/>
      <c r="I473" s="116"/>
      <c r="L473" s="170">
        <v>42913</v>
      </c>
      <c r="M473" s="116">
        <v>124.05</v>
      </c>
      <c r="N473" s="116">
        <v>124.95</v>
      </c>
      <c r="O473" s="116">
        <v>118</v>
      </c>
      <c r="P473" s="116">
        <v>120.1</v>
      </c>
      <c r="Q473" s="116">
        <v>124.05</v>
      </c>
      <c r="R473">
        <v>858078</v>
      </c>
    </row>
    <row r="474" spans="1:18" x14ac:dyDescent="0.25">
      <c r="A474" s="170">
        <v>42914</v>
      </c>
      <c r="B474" s="116">
        <v>128.4</v>
      </c>
      <c r="C474" s="116">
        <v>123.35</v>
      </c>
      <c r="D474" s="116">
        <v>120</v>
      </c>
      <c r="E474" s="116">
        <v>125.9</v>
      </c>
      <c r="F474" s="116">
        <v>123.35</v>
      </c>
      <c r="G474">
        <v>252295</v>
      </c>
      <c r="H474" s="116"/>
      <c r="I474" s="116"/>
      <c r="L474" s="170">
        <v>42914</v>
      </c>
      <c r="M474" s="116">
        <v>123.25</v>
      </c>
      <c r="N474" s="116">
        <v>128.65</v>
      </c>
      <c r="O474" s="116">
        <v>119</v>
      </c>
      <c r="P474" s="116">
        <v>125.75</v>
      </c>
      <c r="Q474" s="116">
        <v>123.25</v>
      </c>
      <c r="R474">
        <v>1234126</v>
      </c>
    </row>
    <row r="475" spans="1:18" x14ac:dyDescent="0.25">
      <c r="A475" s="170">
        <v>42915</v>
      </c>
      <c r="B475" s="116">
        <v>124.95</v>
      </c>
      <c r="C475" s="116">
        <v>123.55</v>
      </c>
      <c r="D475" s="116">
        <v>122</v>
      </c>
      <c r="E475" s="116">
        <v>124.95</v>
      </c>
      <c r="F475" s="116">
        <v>123.55</v>
      </c>
      <c r="G475">
        <v>81843</v>
      </c>
      <c r="H475" s="116"/>
      <c r="I475" s="116"/>
      <c r="L475" s="170">
        <v>42915</v>
      </c>
      <c r="M475" s="116">
        <v>124</v>
      </c>
      <c r="N475" s="116">
        <v>125</v>
      </c>
      <c r="O475" s="116">
        <v>121.7</v>
      </c>
      <c r="P475" s="116">
        <v>124.05</v>
      </c>
      <c r="Q475" s="116">
        <v>124</v>
      </c>
      <c r="R475">
        <v>950043</v>
      </c>
    </row>
    <row r="476" spans="1:18" x14ac:dyDescent="0.25">
      <c r="A476" s="170">
        <v>42916</v>
      </c>
      <c r="B476" s="116">
        <v>126</v>
      </c>
      <c r="C476" s="116">
        <v>123.9</v>
      </c>
      <c r="D476" s="116">
        <v>121.8</v>
      </c>
      <c r="E476" s="116">
        <v>126</v>
      </c>
      <c r="F476" s="116">
        <v>123.9</v>
      </c>
      <c r="G476">
        <v>76754</v>
      </c>
      <c r="H476" s="116"/>
      <c r="I476" s="116"/>
      <c r="L476" s="170">
        <v>42916</v>
      </c>
      <c r="M476" s="116">
        <v>124.05</v>
      </c>
      <c r="N476" s="116">
        <v>125</v>
      </c>
      <c r="O476" s="116">
        <v>121.7</v>
      </c>
      <c r="P476" s="116">
        <v>122</v>
      </c>
      <c r="Q476" s="116">
        <v>124.05</v>
      </c>
      <c r="R476">
        <v>770411</v>
      </c>
    </row>
    <row r="477" spans="1:18" x14ac:dyDescent="0.25">
      <c r="A477" s="170">
        <v>42919</v>
      </c>
      <c r="B477" s="116">
        <v>126.5</v>
      </c>
      <c r="C477" s="116">
        <v>126.1</v>
      </c>
      <c r="D477" s="116">
        <v>123.55</v>
      </c>
      <c r="E477" s="116">
        <v>124.1</v>
      </c>
      <c r="F477" s="116">
        <v>126.1</v>
      </c>
      <c r="G477">
        <v>85665</v>
      </c>
      <c r="H477" s="116"/>
      <c r="I477" s="116"/>
      <c r="L477" s="170">
        <v>42919</v>
      </c>
      <c r="M477" s="116">
        <v>126.5</v>
      </c>
      <c r="N477" s="116">
        <v>126.8</v>
      </c>
      <c r="O477" s="116">
        <v>123.5</v>
      </c>
      <c r="P477" s="116">
        <v>124.7</v>
      </c>
      <c r="Q477" s="116">
        <v>126.5</v>
      </c>
      <c r="R477">
        <v>421240</v>
      </c>
    </row>
    <row r="478" spans="1:18" x14ac:dyDescent="0.25">
      <c r="A478" s="170">
        <v>42920</v>
      </c>
      <c r="B478" s="116">
        <v>127.9</v>
      </c>
      <c r="C478" s="116">
        <v>126.8</v>
      </c>
      <c r="D478" s="116">
        <v>124</v>
      </c>
      <c r="E478" s="116">
        <v>127.05</v>
      </c>
      <c r="F478" s="116">
        <v>126.8</v>
      </c>
      <c r="G478">
        <v>95190</v>
      </c>
      <c r="H478" s="116"/>
      <c r="I478" s="116"/>
      <c r="L478" s="170">
        <v>42920</v>
      </c>
      <c r="M478" s="116">
        <v>127.5</v>
      </c>
      <c r="N478" s="116">
        <v>127.8</v>
      </c>
      <c r="O478" s="116">
        <v>125.25</v>
      </c>
      <c r="P478" s="116">
        <v>127.25</v>
      </c>
      <c r="Q478" s="116">
        <v>127.5</v>
      </c>
      <c r="R478">
        <v>439358</v>
      </c>
    </row>
    <row r="479" spans="1:18" x14ac:dyDescent="0.25">
      <c r="A479" s="170">
        <v>42921</v>
      </c>
      <c r="B479" s="116">
        <v>128</v>
      </c>
      <c r="C479" s="116">
        <v>127.3</v>
      </c>
      <c r="D479" s="116">
        <v>125.85</v>
      </c>
      <c r="E479" s="116">
        <v>127.3</v>
      </c>
      <c r="F479" s="116">
        <v>127.3</v>
      </c>
      <c r="G479">
        <v>79653</v>
      </c>
      <c r="H479" s="116"/>
      <c r="I479" s="116"/>
      <c r="L479" s="170">
        <v>42921</v>
      </c>
      <c r="M479" s="116">
        <v>127.5</v>
      </c>
      <c r="N479" s="116">
        <v>127.9</v>
      </c>
      <c r="O479" s="116">
        <v>125.65</v>
      </c>
      <c r="P479" s="116">
        <v>127.6</v>
      </c>
      <c r="Q479" s="116">
        <v>127.5</v>
      </c>
      <c r="R479">
        <v>300767</v>
      </c>
    </row>
    <row r="480" spans="1:18" x14ac:dyDescent="0.25">
      <c r="A480" s="170">
        <v>42922</v>
      </c>
      <c r="B480" s="116">
        <v>129.5</v>
      </c>
      <c r="C480" s="116">
        <v>128.55000000000001</v>
      </c>
      <c r="D480" s="116">
        <v>126.5</v>
      </c>
      <c r="E480" s="116">
        <v>127.8</v>
      </c>
      <c r="F480" s="116">
        <v>128.55000000000001</v>
      </c>
      <c r="G480">
        <v>73827</v>
      </c>
      <c r="H480" s="116"/>
      <c r="I480" s="116"/>
      <c r="L480" s="170">
        <v>42922</v>
      </c>
      <c r="M480" s="116">
        <v>129</v>
      </c>
      <c r="N480" s="116">
        <v>129.80000000000001</v>
      </c>
      <c r="O480" s="116">
        <v>126.65</v>
      </c>
      <c r="P480" s="116">
        <v>127.25</v>
      </c>
      <c r="Q480" s="116">
        <v>129</v>
      </c>
      <c r="R480">
        <v>342056</v>
      </c>
    </row>
    <row r="481" spans="1:18" x14ac:dyDescent="0.25">
      <c r="A481" s="170">
        <v>42923</v>
      </c>
      <c r="B481" s="116">
        <v>129</v>
      </c>
      <c r="C481" s="116">
        <v>128.35</v>
      </c>
      <c r="D481" s="116">
        <v>127.4</v>
      </c>
      <c r="E481" s="116">
        <v>128.4</v>
      </c>
      <c r="F481" s="116">
        <v>128.35</v>
      </c>
      <c r="G481">
        <v>57147</v>
      </c>
      <c r="H481" s="116"/>
      <c r="I481" s="116"/>
      <c r="L481" s="170">
        <v>42923</v>
      </c>
      <c r="M481" s="116">
        <v>128.6</v>
      </c>
      <c r="N481" s="116">
        <v>129.4</v>
      </c>
      <c r="O481" s="116">
        <v>127.7</v>
      </c>
      <c r="P481" s="116">
        <v>129.05000000000001</v>
      </c>
      <c r="Q481" s="116">
        <v>128.6</v>
      </c>
      <c r="R481">
        <v>232236</v>
      </c>
    </row>
    <row r="482" spans="1:18" x14ac:dyDescent="0.25">
      <c r="A482" s="170">
        <v>42926</v>
      </c>
      <c r="B482" s="116">
        <v>131.5</v>
      </c>
      <c r="C482" s="116">
        <v>128.30000000000001</v>
      </c>
      <c r="D482" s="116">
        <v>125</v>
      </c>
      <c r="E482" s="116">
        <v>130</v>
      </c>
      <c r="F482" s="116">
        <v>128.30000000000001</v>
      </c>
      <c r="G482">
        <v>82623</v>
      </c>
      <c r="H482" s="116"/>
      <c r="I482" s="116"/>
      <c r="L482" s="170">
        <v>42926</v>
      </c>
      <c r="M482" s="116">
        <v>128.5</v>
      </c>
      <c r="N482" s="116">
        <v>129</v>
      </c>
      <c r="O482" s="116">
        <v>124</v>
      </c>
      <c r="P482" s="116">
        <v>128.35</v>
      </c>
      <c r="Q482" s="116">
        <v>128.5</v>
      </c>
      <c r="R482">
        <v>58548</v>
      </c>
    </row>
    <row r="483" spans="1:18" x14ac:dyDescent="0.25">
      <c r="A483" s="170">
        <v>42927</v>
      </c>
      <c r="B483" s="116">
        <v>129.9</v>
      </c>
      <c r="C483" s="116">
        <v>127.45</v>
      </c>
      <c r="D483" s="116">
        <v>126.4</v>
      </c>
      <c r="E483" s="116">
        <v>129.19999999999999</v>
      </c>
      <c r="F483" s="116">
        <v>127.45</v>
      </c>
      <c r="G483">
        <v>58357</v>
      </c>
      <c r="H483" s="116"/>
      <c r="I483" s="116"/>
      <c r="L483" s="170">
        <v>42927</v>
      </c>
      <c r="M483" s="116">
        <v>127.55</v>
      </c>
      <c r="N483" s="116">
        <v>130</v>
      </c>
      <c r="O483" s="116">
        <v>126.3</v>
      </c>
      <c r="P483" s="116">
        <v>128.94999999999999</v>
      </c>
      <c r="Q483" s="116">
        <v>127.55</v>
      </c>
      <c r="R483">
        <v>244073</v>
      </c>
    </row>
    <row r="484" spans="1:18" x14ac:dyDescent="0.25">
      <c r="A484" s="170">
        <v>42928</v>
      </c>
      <c r="B484" s="116">
        <v>129</v>
      </c>
      <c r="C484" s="116">
        <v>125.75</v>
      </c>
      <c r="D484" s="116">
        <v>125.15</v>
      </c>
      <c r="E484" s="116">
        <v>126.5</v>
      </c>
      <c r="F484" s="116">
        <v>125.75</v>
      </c>
      <c r="G484">
        <v>70924</v>
      </c>
      <c r="H484" s="116"/>
      <c r="I484" s="116"/>
      <c r="L484" s="170">
        <v>42928</v>
      </c>
      <c r="M484" s="116">
        <v>125.95</v>
      </c>
      <c r="N484" s="116">
        <v>129</v>
      </c>
      <c r="O484" s="116">
        <v>125.5</v>
      </c>
      <c r="P484" s="116">
        <v>128.19999999999999</v>
      </c>
      <c r="Q484" s="116">
        <v>125.95</v>
      </c>
      <c r="R484">
        <v>529939</v>
      </c>
    </row>
    <row r="485" spans="1:18" x14ac:dyDescent="0.25">
      <c r="A485" s="170">
        <v>42929</v>
      </c>
      <c r="B485" s="116">
        <v>128.5</v>
      </c>
      <c r="C485" s="116">
        <v>126.25</v>
      </c>
      <c r="D485" s="116">
        <v>123.35</v>
      </c>
      <c r="E485" s="116">
        <v>127.95</v>
      </c>
      <c r="F485" s="116">
        <v>126.25</v>
      </c>
      <c r="G485">
        <v>71332</v>
      </c>
      <c r="H485" s="116"/>
      <c r="I485" s="116"/>
      <c r="L485" s="170">
        <v>42929</v>
      </c>
      <c r="M485" s="116">
        <v>125.6</v>
      </c>
      <c r="N485" s="116">
        <v>128.6</v>
      </c>
      <c r="O485" s="116">
        <v>123</v>
      </c>
      <c r="P485" s="116">
        <v>128.6</v>
      </c>
      <c r="Q485" s="116">
        <v>125.6</v>
      </c>
      <c r="R485">
        <v>666278</v>
      </c>
    </row>
    <row r="486" spans="1:18" x14ac:dyDescent="0.25">
      <c r="A486" s="170">
        <v>42930</v>
      </c>
      <c r="B486" s="116">
        <v>127</v>
      </c>
      <c r="C486" s="116">
        <v>125.2</v>
      </c>
      <c r="D486" s="116">
        <v>123.6</v>
      </c>
      <c r="E486" s="116">
        <v>126.9</v>
      </c>
      <c r="F486" s="116">
        <v>125.2</v>
      </c>
      <c r="G486">
        <v>77003</v>
      </c>
      <c r="H486" s="116"/>
      <c r="I486" s="116"/>
      <c r="L486" s="170">
        <v>42930</v>
      </c>
      <c r="M486" s="116">
        <v>125.65</v>
      </c>
      <c r="N486" s="116">
        <v>127.4</v>
      </c>
      <c r="O486" s="116">
        <v>123.85</v>
      </c>
      <c r="P486" s="116">
        <v>126.3</v>
      </c>
      <c r="Q486" s="116">
        <v>125.65</v>
      </c>
      <c r="R486">
        <v>212620</v>
      </c>
    </row>
    <row r="487" spans="1:18" x14ac:dyDescent="0.25">
      <c r="A487" s="170">
        <v>42933</v>
      </c>
      <c r="B487" s="116">
        <v>126.85</v>
      </c>
      <c r="C487" s="116">
        <v>125.25</v>
      </c>
      <c r="D487" s="116">
        <v>124.25</v>
      </c>
      <c r="E487" s="116">
        <v>126.1</v>
      </c>
      <c r="F487" s="116">
        <v>125.25</v>
      </c>
      <c r="G487">
        <v>45398</v>
      </c>
      <c r="H487" s="116"/>
      <c r="I487" s="116"/>
      <c r="L487" s="170">
        <v>42933</v>
      </c>
      <c r="M487" s="116">
        <v>125.6</v>
      </c>
      <c r="N487" s="116">
        <v>127</v>
      </c>
      <c r="O487" s="116">
        <v>124</v>
      </c>
      <c r="P487" s="116">
        <v>126</v>
      </c>
      <c r="Q487" s="116">
        <v>125.6</v>
      </c>
      <c r="R487">
        <v>204289</v>
      </c>
    </row>
    <row r="488" spans="1:18" x14ac:dyDescent="0.25">
      <c r="A488" s="170">
        <v>42934</v>
      </c>
      <c r="B488" s="116">
        <v>125.95</v>
      </c>
      <c r="C488" s="116">
        <v>124.4</v>
      </c>
      <c r="D488" s="116">
        <v>120.55</v>
      </c>
      <c r="E488" s="116">
        <v>124.3</v>
      </c>
      <c r="F488" s="116">
        <v>124.4</v>
      </c>
      <c r="G488">
        <v>43389</v>
      </c>
      <c r="H488" s="116"/>
      <c r="I488" s="116"/>
      <c r="L488" s="170">
        <v>42934</v>
      </c>
      <c r="M488" s="116">
        <v>124.6</v>
      </c>
      <c r="N488" s="116">
        <v>126</v>
      </c>
      <c r="O488" s="116">
        <v>120.2</v>
      </c>
      <c r="P488" s="116">
        <v>125.8</v>
      </c>
      <c r="Q488" s="116">
        <v>124.6</v>
      </c>
      <c r="R488">
        <v>295700</v>
      </c>
    </row>
    <row r="489" spans="1:18" x14ac:dyDescent="0.25">
      <c r="A489" s="170">
        <v>42935</v>
      </c>
      <c r="B489" s="116">
        <v>126.45</v>
      </c>
      <c r="C489" s="116">
        <v>124.5</v>
      </c>
      <c r="D489" s="116">
        <v>119.2</v>
      </c>
      <c r="E489" s="116">
        <v>124.4</v>
      </c>
      <c r="F489" s="116">
        <v>124.5</v>
      </c>
      <c r="G489">
        <v>75308</v>
      </c>
      <c r="H489" s="116"/>
      <c r="I489" s="116"/>
      <c r="L489" s="170">
        <v>42935</v>
      </c>
      <c r="M489" s="116">
        <v>124.9</v>
      </c>
      <c r="N489" s="116">
        <v>126.7</v>
      </c>
      <c r="O489" s="116">
        <v>119.5</v>
      </c>
      <c r="P489" s="116">
        <v>125.3</v>
      </c>
      <c r="Q489" s="116">
        <v>124.9</v>
      </c>
      <c r="R489">
        <v>441917</v>
      </c>
    </row>
    <row r="490" spans="1:18" x14ac:dyDescent="0.25">
      <c r="A490" s="170">
        <v>42936</v>
      </c>
      <c r="B490" s="116">
        <v>125.6</v>
      </c>
      <c r="C490" s="116">
        <v>123.3</v>
      </c>
      <c r="D490" s="116">
        <v>122.6</v>
      </c>
      <c r="E490" s="116">
        <v>125.6</v>
      </c>
      <c r="F490" s="116">
        <v>123.3</v>
      </c>
      <c r="G490">
        <v>60921</v>
      </c>
      <c r="H490" s="116"/>
      <c r="I490" s="116"/>
      <c r="L490" s="170">
        <v>42936</v>
      </c>
      <c r="M490" s="116">
        <v>123.35</v>
      </c>
      <c r="N490" s="116">
        <v>125.8</v>
      </c>
      <c r="O490" s="116">
        <v>122.3</v>
      </c>
      <c r="P490" s="116">
        <v>125.8</v>
      </c>
      <c r="Q490" s="116">
        <v>123.35</v>
      </c>
      <c r="R490">
        <v>476807</v>
      </c>
    </row>
    <row r="491" spans="1:18" x14ac:dyDescent="0.25">
      <c r="A491" s="170">
        <v>42937</v>
      </c>
      <c r="B491" s="116">
        <v>129.44999999999999</v>
      </c>
      <c r="C491" s="116">
        <v>129.44999999999999</v>
      </c>
      <c r="D491" s="116">
        <v>122.4</v>
      </c>
      <c r="E491" s="116">
        <v>123.9</v>
      </c>
      <c r="F491" s="116">
        <v>129.44999999999999</v>
      </c>
      <c r="G491">
        <v>135504</v>
      </c>
      <c r="H491" s="116"/>
      <c r="I491" s="116"/>
      <c r="L491" s="170">
        <v>42937</v>
      </c>
      <c r="M491" s="116">
        <v>129.5</v>
      </c>
      <c r="N491" s="116">
        <v>129.5</v>
      </c>
      <c r="O491" s="116">
        <v>122.6</v>
      </c>
      <c r="P491" s="116">
        <v>123.95</v>
      </c>
      <c r="Q491" s="116">
        <v>129.5</v>
      </c>
      <c r="R491">
        <v>757079</v>
      </c>
    </row>
    <row r="492" spans="1:18" x14ac:dyDescent="0.25">
      <c r="A492" s="170">
        <v>42940</v>
      </c>
      <c r="B492" s="116">
        <v>135.5</v>
      </c>
      <c r="C492" s="116">
        <v>131.44999999999999</v>
      </c>
      <c r="D492" s="116">
        <v>130.5</v>
      </c>
      <c r="E492" s="116">
        <v>130.5</v>
      </c>
      <c r="F492" s="116">
        <v>131.44999999999999</v>
      </c>
      <c r="G492">
        <v>174628</v>
      </c>
      <c r="H492" s="116"/>
      <c r="I492" s="116"/>
      <c r="L492" s="170">
        <v>42940</v>
      </c>
      <c r="M492" s="116">
        <v>131.6</v>
      </c>
      <c r="N492" s="116">
        <v>135.5</v>
      </c>
      <c r="O492" s="116">
        <v>130.6</v>
      </c>
      <c r="P492" s="116">
        <v>133.80000000000001</v>
      </c>
      <c r="Q492" s="116">
        <v>131.6</v>
      </c>
      <c r="R492">
        <v>830832</v>
      </c>
    </row>
    <row r="493" spans="1:18" x14ac:dyDescent="0.25">
      <c r="A493" s="170">
        <v>42941</v>
      </c>
      <c r="B493" s="116">
        <v>133.75</v>
      </c>
      <c r="C493" s="116">
        <v>128.30000000000001</v>
      </c>
      <c r="D493" s="116">
        <v>127.1</v>
      </c>
      <c r="E493" s="116">
        <v>133.05000000000001</v>
      </c>
      <c r="F493" s="116">
        <v>128.30000000000001</v>
      </c>
      <c r="G493">
        <v>146102</v>
      </c>
      <c r="H493" s="116"/>
      <c r="I493" s="116"/>
      <c r="L493" s="170">
        <v>42941</v>
      </c>
      <c r="M493" s="116">
        <v>127.95</v>
      </c>
      <c r="N493" s="116">
        <v>133.5</v>
      </c>
      <c r="O493" s="116">
        <v>126.5</v>
      </c>
      <c r="P493" s="116">
        <v>132.85</v>
      </c>
      <c r="Q493" s="116">
        <v>127.95</v>
      </c>
      <c r="R493">
        <v>497099</v>
      </c>
    </row>
    <row r="494" spans="1:18" x14ac:dyDescent="0.25">
      <c r="A494" s="170">
        <v>42942</v>
      </c>
      <c r="B494" s="116">
        <v>132</v>
      </c>
      <c r="C494" s="116">
        <v>128.69999999999999</v>
      </c>
      <c r="D494" s="116">
        <v>127</v>
      </c>
      <c r="E494" s="116">
        <v>130</v>
      </c>
      <c r="F494" s="116">
        <v>128.69999999999999</v>
      </c>
      <c r="G494">
        <v>126175</v>
      </c>
      <c r="H494" s="116"/>
      <c r="I494" s="116"/>
      <c r="L494" s="170">
        <v>42942</v>
      </c>
      <c r="M494" s="116">
        <v>128.5</v>
      </c>
      <c r="N494" s="116">
        <v>132</v>
      </c>
      <c r="O494" s="116">
        <v>126.85</v>
      </c>
      <c r="P494" s="116">
        <v>129.44999999999999</v>
      </c>
      <c r="Q494" s="116">
        <v>128.5</v>
      </c>
      <c r="R494">
        <v>347262</v>
      </c>
    </row>
    <row r="495" spans="1:18" x14ac:dyDescent="0.25">
      <c r="A495" s="170">
        <v>42943</v>
      </c>
      <c r="B495" s="116">
        <v>131.19999999999999</v>
      </c>
      <c r="C495" s="116">
        <v>127.3</v>
      </c>
      <c r="D495" s="116">
        <v>124.95</v>
      </c>
      <c r="E495" s="116">
        <v>129.94999999999999</v>
      </c>
      <c r="F495" s="116">
        <v>127.3</v>
      </c>
      <c r="G495">
        <v>88993</v>
      </c>
      <c r="H495" s="116"/>
      <c r="I495" s="116"/>
      <c r="L495" s="170">
        <v>42943</v>
      </c>
      <c r="M495" s="116">
        <v>127.4</v>
      </c>
      <c r="N495" s="116">
        <v>131.4</v>
      </c>
      <c r="O495" s="116">
        <v>124.95</v>
      </c>
      <c r="P495" s="116">
        <v>129.85</v>
      </c>
      <c r="Q495" s="116">
        <v>127.4</v>
      </c>
      <c r="R495">
        <v>331986</v>
      </c>
    </row>
    <row r="496" spans="1:18" x14ac:dyDescent="0.25">
      <c r="A496" s="170">
        <v>42944</v>
      </c>
      <c r="B496" s="116">
        <v>129.85</v>
      </c>
      <c r="C496" s="116">
        <v>126.4</v>
      </c>
      <c r="D496" s="116">
        <v>124.6</v>
      </c>
      <c r="E496" s="116">
        <v>127</v>
      </c>
      <c r="F496" s="116">
        <v>126.4</v>
      </c>
      <c r="G496">
        <v>107852</v>
      </c>
      <c r="H496" s="116"/>
      <c r="I496" s="116"/>
      <c r="L496" s="170">
        <v>42944</v>
      </c>
      <c r="M496" s="116">
        <v>126.3</v>
      </c>
      <c r="N496" s="116">
        <v>130</v>
      </c>
      <c r="O496" s="116">
        <v>124.1</v>
      </c>
      <c r="P496" s="116">
        <v>126</v>
      </c>
      <c r="Q496" s="116">
        <v>126.3</v>
      </c>
      <c r="R496">
        <v>306084</v>
      </c>
    </row>
    <row r="497" spans="1:18" x14ac:dyDescent="0.25">
      <c r="A497" s="170">
        <v>42947</v>
      </c>
      <c r="B497" s="116">
        <v>128</v>
      </c>
      <c r="C497" s="116">
        <v>124.65</v>
      </c>
      <c r="D497" s="116">
        <v>123.95</v>
      </c>
      <c r="E497" s="116">
        <v>126.2</v>
      </c>
      <c r="F497" s="116">
        <v>124.65</v>
      </c>
      <c r="G497">
        <v>61355</v>
      </c>
      <c r="H497" s="116"/>
      <c r="I497" s="116"/>
      <c r="L497" s="170">
        <v>42947</v>
      </c>
      <c r="M497" s="116">
        <v>125.05</v>
      </c>
      <c r="N497" s="116">
        <v>128</v>
      </c>
      <c r="O497" s="116">
        <v>123.9</v>
      </c>
      <c r="P497" s="116">
        <v>127.9</v>
      </c>
      <c r="Q497" s="116">
        <v>125.05</v>
      </c>
      <c r="R497">
        <v>254183</v>
      </c>
    </row>
    <row r="498" spans="1:18" x14ac:dyDescent="0.25">
      <c r="A498" s="170">
        <v>42948</v>
      </c>
      <c r="B498" s="116">
        <v>126.4</v>
      </c>
      <c r="C498" s="116">
        <v>125.7</v>
      </c>
      <c r="D498" s="116">
        <v>123.95</v>
      </c>
      <c r="E498" s="116">
        <v>125.35</v>
      </c>
      <c r="F498" s="116">
        <v>125.7</v>
      </c>
      <c r="G498">
        <v>104507</v>
      </c>
      <c r="H498" s="116"/>
      <c r="I498" s="116"/>
      <c r="L498" s="170">
        <v>42948</v>
      </c>
      <c r="M498" s="116">
        <v>125.8</v>
      </c>
      <c r="N498" s="116">
        <v>126.4</v>
      </c>
      <c r="O498" s="116">
        <v>124</v>
      </c>
      <c r="P498" s="116">
        <v>125.4</v>
      </c>
      <c r="Q498" s="116">
        <v>125.8</v>
      </c>
      <c r="R498">
        <v>325274</v>
      </c>
    </row>
    <row r="499" spans="1:18" x14ac:dyDescent="0.25">
      <c r="A499" s="170">
        <v>42949</v>
      </c>
      <c r="B499" s="116">
        <v>131.4</v>
      </c>
      <c r="C499" s="116">
        <v>126.85</v>
      </c>
      <c r="D499" s="116">
        <v>125.7</v>
      </c>
      <c r="E499" s="116">
        <v>126</v>
      </c>
      <c r="F499" s="116">
        <v>126.85</v>
      </c>
      <c r="G499">
        <v>79777</v>
      </c>
      <c r="H499" s="116"/>
      <c r="I499" s="116"/>
      <c r="L499" s="170">
        <v>42949</v>
      </c>
      <c r="M499" s="116">
        <v>126.95</v>
      </c>
      <c r="N499" s="116">
        <v>131.44999999999999</v>
      </c>
      <c r="O499" s="116">
        <v>125.5</v>
      </c>
      <c r="P499" s="116">
        <v>126.5</v>
      </c>
      <c r="Q499" s="116">
        <v>126.95</v>
      </c>
      <c r="R499">
        <v>353823</v>
      </c>
    </row>
    <row r="500" spans="1:18" x14ac:dyDescent="0.25">
      <c r="A500" s="170">
        <v>42950</v>
      </c>
      <c r="B500" s="116">
        <v>128</v>
      </c>
      <c r="C500" s="116">
        <v>124.3</v>
      </c>
      <c r="D500" s="116">
        <v>124</v>
      </c>
      <c r="E500" s="116">
        <v>125.9</v>
      </c>
      <c r="F500" s="116">
        <v>124.3</v>
      </c>
      <c r="G500">
        <v>33085</v>
      </c>
      <c r="H500" s="116"/>
      <c r="I500" s="116"/>
      <c r="L500" s="170">
        <v>42950</v>
      </c>
      <c r="M500" s="116">
        <v>124.4</v>
      </c>
      <c r="N500" s="116">
        <v>128.19999999999999</v>
      </c>
      <c r="O500" s="116">
        <v>123.6</v>
      </c>
      <c r="P500" s="116">
        <v>127.4</v>
      </c>
      <c r="Q500" s="116">
        <v>124.4</v>
      </c>
      <c r="R500">
        <v>223416</v>
      </c>
    </row>
    <row r="501" spans="1:18" x14ac:dyDescent="0.25">
      <c r="A501" s="170">
        <v>42951</v>
      </c>
      <c r="B501" s="116">
        <v>129.5</v>
      </c>
      <c r="C501" s="116">
        <v>123.85</v>
      </c>
      <c r="D501" s="116">
        <v>120.95</v>
      </c>
      <c r="E501" s="116">
        <v>124</v>
      </c>
      <c r="F501" s="116">
        <v>123.85</v>
      </c>
      <c r="G501">
        <v>91525</v>
      </c>
      <c r="H501" s="116"/>
      <c r="I501" s="116"/>
      <c r="L501" s="170">
        <v>42951</v>
      </c>
      <c r="M501" s="116">
        <v>123.8</v>
      </c>
      <c r="N501" s="116">
        <v>126</v>
      </c>
      <c r="O501" s="116">
        <v>120.6</v>
      </c>
      <c r="P501" s="116">
        <v>125</v>
      </c>
      <c r="Q501" s="116">
        <v>123.8</v>
      </c>
      <c r="R501">
        <v>320231</v>
      </c>
    </row>
    <row r="502" spans="1:18" x14ac:dyDescent="0.25">
      <c r="A502" s="170">
        <v>42954</v>
      </c>
      <c r="B502" s="116">
        <v>131</v>
      </c>
      <c r="C502" s="116">
        <v>127.8</v>
      </c>
      <c r="D502" s="116">
        <v>124.1</v>
      </c>
      <c r="E502" s="116">
        <v>124.1</v>
      </c>
      <c r="F502" s="116">
        <v>127.8</v>
      </c>
      <c r="G502">
        <v>161553</v>
      </c>
      <c r="H502" s="116"/>
      <c r="I502" s="116"/>
      <c r="L502" s="170">
        <v>42954</v>
      </c>
      <c r="M502" s="116">
        <v>127.75</v>
      </c>
      <c r="N502" s="116">
        <v>130.5</v>
      </c>
      <c r="O502" s="116">
        <v>124.55</v>
      </c>
      <c r="P502" s="116">
        <v>124.65</v>
      </c>
      <c r="Q502" s="116">
        <v>127.75</v>
      </c>
      <c r="R502">
        <v>544692</v>
      </c>
    </row>
    <row r="503" spans="1:18" x14ac:dyDescent="0.25">
      <c r="A503" s="170">
        <v>42955</v>
      </c>
      <c r="B503" s="116">
        <v>129.5</v>
      </c>
      <c r="C503" s="116">
        <v>126.15</v>
      </c>
      <c r="D503" s="116">
        <v>125.05</v>
      </c>
      <c r="E503" s="116">
        <v>127.5</v>
      </c>
      <c r="F503" s="116">
        <v>126.15</v>
      </c>
      <c r="G503">
        <v>64516</v>
      </c>
      <c r="H503" s="116"/>
      <c r="I503" s="116"/>
      <c r="L503" s="170">
        <v>42955</v>
      </c>
      <c r="M503" s="116">
        <v>126.15</v>
      </c>
      <c r="N503" s="116">
        <v>129.75</v>
      </c>
      <c r="O503" s="116">
        <v>124.55</v>
      </c>
      <c r="P503" s="116">
        <v>128</v>
      </c>
      <c r="Q503" s="116">
        <v>126.15</v>
      </c>
      <c r="R503">
        <v>334793</v>
      </c>
    </row>
    <row r="504" spans="1:18" x14ac:dyDescent="0.25">
      <c r="A504" s="170">
        <v>42956</v>
      </c>
      <c r="B504" s="116">
        <v>126.45</v>
      </c>
      <c r="C504" s="116">
        <v>123.1</v>
      </c>
      <c r="D504" s="116">
        <v>121.7</v>
      </c>
      <c r="E504" s="116">
        <v>125.7</v>
      </c>
      <c r="F504" s="116">
        <v>123.1</v>
      </c>
      <c r="G504">
        <v>81261</v>
      </c>
      <c r="H504" s="116"/>
      <c r="I504" s="116"/>
      <c r="L504" s="170">
        <v>42956</v>
      </c>
      <c r="M504" s="116">
        <v>122.8</v>
      </c>
      <c r="N504" s="116">
        <v>126.95</v>
      </c>
      <c r="O504" s="116">
        <v>121.2</v>
      </c>
      <c r="P504" s="116">
        <v>126.95</v>
      </c>
      <c r="Q504" s="116">
        <v>122.8</v>
      </c>
      <c r="R504">
        <v>451515</v>
      </c>
    </row>
    <row r="505" spans="1:18" x14ac:dyDescent="0.25">
      <c r="A505" s="170">
        <v>42957</v>
      </c>
      <c r="B505" s="116">
        <v>124</v>
      </c>
      <c r="C505" s="116">
        <v>117.05</v>
      </c>
      <c r="D505" s="116">
        <v>113.8</v>
      </c>
      <c r="E505" s="116">
        <v>119.4</v>
      </c>
      <c r="F505" s="116">
        <v>117.05</v>
      </c>
      <c r="G505">
        <v>140616</v>
      </c>
      <c r="H505" s="116"/>
      <c r="I505" s="116"/>
      <c r="L505" s="170">
        <v>42957</v>
      </c>
      <c r="M505" s="116">
        <v>116.9</v>
      </c>
      <c r="N505" s="116">
        <v>124.4</v>
      </c>
      <c r="O505" s="116">
        <v>113.7</v>
      </c>
      <c r="P505" s="116">
        <v>123.6</v>
      </c>
      <c r="Q505" s="116">
        <v>116.9</v>
      </c>
      <c r="R505">
        <v>1220955</v>
      </c>
    </row>
    <row r="506" spans="1:18" x14ac:dyDescent="0.25">
      <c r="A506" s="170">
        <v>42958</v>
      </c>
      <c r="B506" s="116">
        <v>111.8</v>
      </c>
      <c r="C506" s="116">
        <v>107.55</v>
      </c>
      <c r="D506" s="116">
        <v>105.35</v>
      </c>
      <c r="E506" s="116">
        <v>111.5</v>
      </c>
      <c r="F506" s="116">
        <v>107.55</v>
      </c>
      <c r="G506">
        <v>185342</v>
      </c>
      <c r="H506" s="116"/>
      <c r="I506" s="116"/>
      <c r="L506" s="170">
        <v>42958</v>
      </c>
      <c r="M506" s="116">
        <v>107.85</v>
      </c>
      <c r="N506" s="116">
        <v>112.05</v>
      </c>
      <c r="O506" s="116">
        <v>105.25</v>
      </c>
      <c r="P506" s="116">
        <v>106</v>
      </c>
      <c r="Q506" s="116">
        <v>107.85</v>
      </c>
      <c r="R506">
        <v>999569</v>
      </c>
    </row>
    <row r="507" spans="1:18" x14ac:dyDescent="0.25">
      <c r="A507" s="170">
        <v>42961</v>
      </c>
      <c r="B507" s="116">
        <v>112.55</v>
      </c>
      <c r="C507" s="116">
        <v>110.6</v>
      </c>
      <c r="D507" s="116">
        <v>106.8</v>
      </c>
      <c r="E507" s="116">
        <v>110.5</v>
      </c>
      <c r="F507" s="116">
        <v>110.6</v>
      </c>
      <c r="G507">
        <v>99716</v>
      </c>
      <c r="H507" s="116"/>
      <c r="I507" s="116"/>
      <c r="L507" s="170">
        <v>42961</v>
      </c>
      <c r="M507" s="116">
        <v>109.85</v>
      </c>
      <c r="N507" s="116">
        <v>112.9</v>
      </c>
      <c r="O507" s="116">
        <v>106.8</v>
      </c>
      <c r="P507" s="116">
        <v>111.3</v>
      </c>
      <c r="Q507" s="116">
        <v>109.85</v>
      </c>
      <c r="R507">
        <v>426495</v>
      </c>
    </row>
    <row r="508" spans="1:18" x14ac:dyDescent="0.25">
      <c r="A508" s="170">
        <v>42963</v>
      </c>
      <c r="B508" s="116">
        <v>115</v>
      </c>
      <c r="C508" s="116">
        <v>110.25</v>
      </c>
      <c r="D508" s="116">
        <v>109</v>
      </c>
      <c r="E508" s="116">
        <v>115</v>
      </c>
      <c r="F508" s="116">
        <v>110.25</v>
      </c>
      <c r="G508">
        <v>56777</v>
      </c>
      <c r="H508" s="116"/>
      <c r="I508" s="116"/>
      <c r="L508" s="170">
        <v>42963</v>
      </c>
      <c r="M508" s="116">
        <v>109.95</v>
      </c>
      <c r="N508" s="116">
        <v>112.45</v>
      </c>
      <c r="O508" s="116">
        <v>108.75</v>
      </c>
      <c r="P508" s="116">
        <v>111.2</v>
      </c>
      <c r="Q508" s="116">
        <v>109.95</v>
      </c>
      <c r="R508">
        <v>269345</v>
      </c>
    </row>
    <row r="509" spans="1:18" x14ac:dyDescent="0.25">
      <c r="A509" s="170">
        <v>42964</v>
      </c>
      <c r="B509" s="116">
        <v>112.8</v>
      </c>
      <c r="C509" s="116">
        <v>111.2</v>
      </c>
      <c r="D509" s="116">
        <v>109.6</v>
      </c>
      <c r="E509" s="116">
        <v>111.25</v>
      </c>
      <c r="F509" s="116">
        <v>111.2</v>
      </c>
      <c r="G509">
        <v>44602</v>
      </c>
      <c r="H509" s="116"/>
      <c r="I509" s="116"/>
      <c r="L509" s="170">
        <v>42964</v>
      </c>
      <c r="M509" s="116">
        <v>111.45</v>
      </c>
      <c r="N509" s="116">
        <v>112.9</v>
      </c>
      <c r="O509" s="116">
        <v>109</v>
      </c>
      <c r="P509" s="116">
        <v>110.05</v>
      </c>
      <c r="Q509" s="116">
        <v>111.45</v>
      </c>
      <c r="R509">
        <v>266796</v>
      </c>
    </row>
    <row r="510" spans="1:18" x14ac:dyDescent="0.25">
      <c r="A510" s="170">
        <v>42965</v>
      </c>
      <c r="B510" s="116">
        <v>110.8</v>
      </c>
      <c r="C510" s="116">
        <v>110</v>
      </c>
      <c r="D510" s="116">
        <v>107.85</v>
      </c>
      <c r="E510" s="116">
        <v>110</v>
      </c>
      <c r="F510" s="116">
        <v>110</v>
      </c>
      <c r="G510">
        <v>74996</v>
      </c>
      <c r="H510" s="116"/>
      <c r="I510" s="116"/>
      <c r="L510" s="170">
        <v>42965</v>
      </c>
      <c r="M510" s="116">
        <v>110.3</v>
      </c>
      <c r="N510" s="116">
        <v>111.25</v>
      </c>
      <c r="O510" s="116">
        <v>108</v>
      </c>
      <c r="P510" s="116">
        <v>109.8</v>
      </c>
      <c r="Q510" s="116">
        <v>110.3</v>
      </c>
      <c r="R510">
        <v>246279</v>
      </c>
    </row>
    <row r="511" spans="1:18" x14ac:dyDescent="0.25">
      <c r="A511" s="170">
        <v>42968</v>
      </c>
      <c r="B511" s="116">
        <v>110.1</v>
      </c>
      <c r="C511" s="116">
        <v>106.2</v>
      </c>
      <c r="D511" s="116">
        <v>103</v>
      </c>
      <c r="E511" s="116">
        <v>110.1</v>
      </c>
      <c r="F511" s="116">
        <v>106.2</v>
      </c>
      <c r="G511">
        <v>60369</v>
      </c>
      <c r="H511" s="116"/>
      <c r="I511" s="116"/>
      <c r="L511" s="170">
        <v>42968</v>
      </c>
      <c r="M511" s="116">
        <v>107</v>
      </c>
      <c r="N511" s="116">
        <v>110.9</v>
      </c>
      <c r="O511" s="116">
        <v>106</v>
      </c>
      <c r="P511" s="116">
        <v>110.3</v>
      </c>
      <c r="Q511" s="116">
        <v>107</v>
      </c>
      <c r="R511">
        <v>271255</v>
      </c>
    </row>
    <row r="512" spans="1:18" x14ac:dyDescent="0.25">
      <c r="A512" s="170">
        <v>42969</v>
      </c>
      <c r="B512" s="116">
        <v>108.35</v>
      </c>
      <c r="C512" s="116">
        <v>107.6</v>
      </c>
      <c r="D512" s="116">
        <v>104.95</v>
      </c>
      <c r="E512" s="116">
        <v>107</v>
      </c>
      <c r="F512" s="116">
        <v>107.6</v>
      </c>
      <c r="G512">
        <v>41692</v>
      </c>
      <c r="H512" s="116"/>
      <c r="I512" s="116"/>
      <c r="L512" s="170">
        <v>42969</v>
      </c>
      <c r="M512" s="116">
        <v>108.05</v>
      </c>
      <c r="N512" s="116">
        <v>109</v>
      </c>
      <c r="O512" s="116">
        <v>105</v>
      </c>
      <c r="P512" s="116">
        <v>109</v>
      </c>
      <c r="Q512" s="116">
        <v>108.05</v>
      </c>
      <c r="R512">
        <v>214090</v>
      </c>
    </row>
    <row r="513" spans="1:18" x14ac:dyDescent="0.25">
      <c r="A513" s="170">
        <v>42970</v>
      </c>
      <c r="B513" s="116">
        <v>109.8</v>
      </c>
      <c r="C513" s="116">
        <v>109.3</v>
      </c>
      <c r="D513" s="116">
        <v>107.6</v>
      </c>
      <c r="E513" s="116">
        <v>108.8</v>
      </c>
      <c r="F513" s="116">
        <v>109.3</v>
      </c>
      <c r="G513">
        <v>39440</v>
      </c>
      <c r="H513" s="116"/>
      <c r="I513" s="116"/>
      <c r="L513" s="170">
        <v>42970</v>
      </c>
      <c r="M513" s="116">
        <v>109.05</v>
      </c>
      <c r="N513" s="116">
        <v>109.95</v>
      </c>
      <c r="O513" s="116">
        <v>107.25</v>
      </c>
      <c r="P513" s="116">
        <v>108.7</v>
      </c>
      <c r="Q513" s="116">
        <v>109.05</v>
      </c>
      <c r="R513">
        <v>150312</v>
      </c>
    </row>
    <row r="514" spans="1:18" x14ac:dyDescent="0.25">
      <c r="A514" s="170">
        <v>42971</v>
      </c>
      <c r="B514" s="116">
        <v>110.25</v>
      </c>
      <c r="C514" s="116">
        <v>108.85</v>
      </c>
      <c r="D514" s="116">
        <v>107.05</v>
      </c>
      <c r="E514" s="116">
        <v>110.1</v>
      </c>
      <c r="F514" s="116">
        <v>108.85</v>
      </c>
      <c r="G514">
        <v>78071</v>
      </c>
      <c r="H514" s="116"/>
      <c r="I514" s="116"/>
      <c r="L514" s="170">
        <v>42971</v>
      </c>
      <c r="M514" s="116">
        <v>108.85</v>
      </c>
      <c r="N514" s="116">
        <v>110</v>
      </c>
      <c r="O514" s="116">
        <v>106.75</v>
      </c>
      <c r="P514" s="116">
        <v>109.9</v>
      </c>
      <c r="Q514" s="116">
        <v>108.85</v>
      </c>
      <c r="R514">
        <v>354301</v>
      </c>
    </row>
    <row r="515" spans="1:18" x14ac:dyDescent="0.25">
      <c r="A515" s="170">
        <v>42975</v>
      </c>
      <c r="B515" s="116">
        <v>119.7</v>
      </c>
      <c r="C515" s="116">
        <v>117.6</v>
      </c>
      <c r="D515" s="116">
        <v>109.5</v>
      </c>
      <c r="E515" s="116">
        <v>109.5</v>
      </c>
      <c r="F515" s="116">
        <v>117.6</v>
      </c>
      <c r="G515">
        <v>242955</v>
      </c>
      <c r="H515" s="116"/>
      <c r="I515" s="116"/>
      <c r="L515" s="170">
        <v>42975</v>
      </c>
      <c r="M515" s="116">
        <v>118.1</v>
      </c>
      <c r="N515" s="116">
        <v>119.7</v>
      </c>
      <c r="O515" s="116">
        <v>109.6</v>
      </c>
      <c r="P515" s="116">
        <v>109.6</v>
      </c>
      <c r="Q515" s="116">
        <v>118.1</v>
      </c>
      <c r="R515">
        <v>913866</v>
      </c>
    </row>
    <row r="516" spans="1:18" x14ac:dyDescent="0.25">
      <c r="A516" s="170">
        <v>42976</v>
      </c>
      <c r="B516" s="116">
        <v>120</v>
      </c>
      <c r="C516" s="116">
        <v>117.25</v>
      </c>
      <c r="D516" s="116">
        <v>115.8</v>
      </c>
      <c r="E516" s="116">
        <v>119.5</v>
      </c>
      <c r="F516" s="116">
        <v>117.25</v>
      </c>
      <c r="G516">
        <v>138014</v>
      </c>
      <c r="H516" s="116"/>
      <c r="I516" s="116"/>
      <c r="L516" s="170">
        <v>42976</v>
      </c>
      <c r="M516" s="116">
        <v>117.7</v>
      </c>
      <c r="N516" s="116">
        <v>119.8</v>
      </c>
      <c r="O516" s="116">
        <v>115.55</v>
      </c>
      <c r="P516" s="116">
        <v>117.95</v>
      </c>
      <c r="Q516" s="116">
        <v>117.7</v>
      </c>
      <c r="R516">
        <v>574800</v>
      </c>
    </row>
    <row r="517" spans="1:18" x14ac:dyDescent="0.25">
      <c r="A517" s="170">
        <v>42977</v>
      </c>
      <c r="B517" s="116">
        <v>126.7</v>
      </c>
      <c r="C517" s="116">
        <v>124.3</v>
      </c>
      <c r="D517" s="116">
        <v>118.3</v>
      </c>
      <c r="E517" s="116">
        <v>118.6</v>
      </c>
      <c r="F517" s="116">
        <v>124.3</v>
      </c>
      <c r="G517">
        <v>141890</v>
      </c>
      <c r="H517" s="116"/>
      <c r="I517" s="116"/>
      <c r="L517" s="170">
        <v>42977</v>
      </c>
      <c r="M517" s="116">
        <v>124.5</v>
      </c>
      <c r="N517" s="116">
        <v>127</v>
      </c>
      <c r="O517" s="116">
        <v>118.1</v>
      </c>
      <c r="P517" s="116">
        <v>118.75</v>
      </c>
      <c r="Q517" s="116">
        <v>124.5</v>
      </c>
      <c r="R517">
        <v>725841</v>
      </c>
    </row>
    <row r="518" spans="1:18" x14ac:dyDescent="0.25">
      <c r="A518" s="170">
        <v>42978</v>
      </c>
      <c r="B518" s="116">
        <v>128.6</v>
      </c>
      <c r="C518" s="116">
        <v>126.75</v>
      </c>
      <c r="D518" s="116">
        <v>122.65</v>
      </c>
      <c r="E518" s="116">
        <v>125</v>
      </c>
      <c r="F518" s="116">
        <v>126.75</v>
      </c>
      <c r="G518">
        <v>130949</v>
      </c>
      <c r="H518" s="116"/>
      <c r="I518" s="116"/>
      <c r="L518" s="170">
        <v>42978</v>
      </c>
      <c r="M518" s="116">
        <v>127.05</v>
      </c>
      <c r="N518" s="116">
        <v>128.5</v>
      </c>
      <c r="O518" s="116">
        <v>122.6</v>
      </c>
      <c r="P518" s="116">
        <v>126.5</v>
      </c>
      <c r="Q518" s="116">
        <v>127.05</v>
      </c>
      <c r="R518">
        <v>777470</v>
      </c>
    </row>
    <row r="519" spans="1:18" x14ac:dyDescent="0.25">
      <c r="A519" s="170">
        <v>42979</v>
      </c>
      <c r="B519" s="116">
        <v>129.94999999999999</v>
      </c>
      <c r="C519" s="116">
        <v>127.4</v>
      </c>
      <c r="D519" s="116">
        <v>126.3</v>
      </c>
      <c r="E519" s="116">
        <v>126.5</v>
      </c>
      <c r="F519" s="116">
        <v>127.4</v>
      </c>
      <c r="G519">
        <v>103559</v>
      </c>
      <c r="H519" s="116"/>
      <c r="I519" s="116"/>
      <c r="L519" s="170">
        <v>42979</v>
      </c>
      <c r="M519" s="116">
        <v>127.7</v>
      </c>
      <c r="N519" s="116">
        <v>130.4</v>
      </c>
      <c r="O519" s="116">
        <v>126.15</v>
      </c>
      <c r="P519" s="116">
        <v>127.5</v>
      </c>
      <c r="Q519" s="116">
        <v>127.7</v>
      </c>
      <c r="R519">
        <v>721944</v>
      </c>
    </row>
    <row r="520" spans="1:18" x14ac:dyDescent="0.25">
      <c r="A520" s="170">
        <v>42982</v>
      </c>
      <c r="B520" s="116">
        <v>127.45</v>
      </c>
      <c r="C520" s="116">
        <v>123.2</v>
      </c>
      <c r="D520" s="116">
        <v>120.5</v>
      </c>
      <c r="E520" s="116">
        <v>127.45</v>
      </c>
      <c r="F520" s="116">
        <v>123.2</v>
      </c>
      <c r="G520">
        <v>79509</v>
      </c>
      <c r="H520" s="116"/>
      <c r="I520" s="116"/>
      <c r="L520" s="170">
        <v>42982</v>
      </c>
      <c r="M520" s="116">
        <v>123.45</v>
      </c>
      <c r="N520" s="116">
        <v>128</v>
      </c>
      <c r="O520" s="116">
        <v>120.7</v>
      </c>
      <c r="P520" s="116">
        <v>127.7</v>
      </c>
      <c r="Q520" s="116">
        <v>123.45</v>
      </c>
      <c r="R520">
        <v>618689</v>
      </c>
    </row>
    <row r="521" spans="1:18" x14ac:dyDescent="0.25">
      <c r="A521" s="170">
        <v>42983</v>
      </c>
      <c r="B521" s="116">
        <v>126.85</v>
      </c>
      <c r="C521" s="116">
        <v>126.4</v>
      </c>
      <c r="D521" s="116">
        <v>123.9</v>
      </c>
      <c r="E521" s="116">
        <v>124.5</v>
      </c>
      <c r="F521" s="116">
        <v>126.4</v>
      </c>
      <c r="G521">
        <v>78038</v>
      </c>
      <c r="H521" s="116"/>
      <c r="I521" s="116"/>
      <c r="L521" s="170">
        <v>42983</v>
      </c>
      <c r="M521" s="116">
        <v>126.25</v>
      </c>
      <c r="N521" s="116">
        <v>126.95</v>
      </c>
      <c r="O521" s="116">
        <v>123.6</v>
      </c>
      <c r="P521" s="116">
        <v>124.45</v>
      </c>
      <c r="Q521" s="116">
        <v>126.25</v>
      </c>
      <c r="R521">
        <v>362440</v>
      </c>
    </row>
    <row r="522" spans="1:18" x14ac:dyDescent="0.25">
      <c r="A522" s="170">
        <v>42984</v>
      </c>
      <c r="B522" s="116">
        <v>130</v>
      </c>
      <c r="C522" s="116">
        <v>127.95</v>
      </c>
      <c r="D522" s="116">
        <v>123.2</v>
      </c>
      <c r="E522" s="116">
        <v>123.65</v>
      </c>
      <c r="F522" s="116">
        <v>127.95</v>
      </c>
      <c r="G522">
        <v>85680</v>
      </c>
      <c r="H522" s="116"/>
      <c r="I522" s="116"/>
      <c r="L522" s="170">
        <v>42984</v>
      </c>
      <c r="M522" s="116">
        <v>128.25</v>
      </c>
      <c r="N522" s="116">
        <v>130.4</v>
      </c>
      <c r="O522" s="116">
        <v>123.8</v>
      </c>
      <c r="P522" s="116">
        <v>125</v>
      </c>
      <c r="Q522" s="116">
        <v>128.25</v>
      </c>
      <c r="R522">
        <v>559715</v>
      </c>
    </row>
    <row r="523" spans="1:18" x14ac:dyDescent="0.25">
      <c r="A523" s="170">
        <v>42985</v>
      </c>
      <c r="B523" s="116">
        <v>131.65</v>
      </c>
      <c r="C523" s="116">
        <v>129.25</v>
      </c>
      <c r="D523" s="116">
        <v>127.3</v>
      </c>
      <c r="E523" s="116">
        <v>127.7</v>
      </c>
      <c r="F523" s="116">
        <v>129.25</v>
      </c>
      <c r="G523">
        <v>86829</v>
      </c>
      <c r="H523" s="116"/>
      <c r="I523" s="116"/>
      <c r="L523" s="170">
        <v>42985</v>
      </c>
      <c r="M523" s="116">
        <v>129.65</v>
      </c>
      <c r="N523" s="116">
        <v>132</v>
      </c>
      <c r="O523" s="116">
        <v>126.95</v>
      </c>
      <c r="P523" s="116">
        <v>128.44999999999999</v>
      </c>
      <c r="Q523" s="116">
        <v>129.65</v>
      </c>
      <c r="R523">
        <v>597666</v>
      </c>
    </row>
    <row r="524" spans="1:18" x14ac:dyDescent="0.25">
      <c r="A524" s="170">
        <v>42986</v>
      </c>
      <c r="B524" s="116">
        <v>133.5</v>
      </c>
      <c r="C524" s="116">
        <v>131.75</v>
      </c>
      <c r="D524" s="116">
        <v>128.69999999999999</v>
      </c>
      <c r="E524" s="116">
        <v>130.25</v>
      </c>
      <c r="F524" s="116">
        <v>131.75</v>
      </c>
      <c r="G524">
        <v>109054</v>
      </c>
      <c r="H524" s="116"/>
      <c r="I524" s="116"/>
      <c r="L524" s="170">
        <v>42986</v>
      </c>
      <c r="M524" s="116">
        <v>132.15</v>
      </c>
      <c r="N524" s="116">
        <v>133.6</v>
      </c>
      <c r="O524" s="116">
        <v>128.65</v>
      </c>
      <c r="P524" s="116">
        <v>130.15</v>
      </c>
      <c r="Q524" s="116">
        <v>132.15</v>
      </c>
      <c r="R524">
        <v>807914</v>
      </c>
    </row>
    <row r="525" spans="1:18" x14ac:dyDescent="0.25">
      <c r="A525" s="170">
        <v>42989</v>
      </c>
      <c r="B525" s="116">
        <v>134.5</v>
      </c>
      <c r="C525" s="116">
        <v>134</v>
      </c>
      <c r="D525" s="116">
        <v>132.19999999999999</v>
      </c>
      <c r="E525" s="116">
        <v>132.30000000000001</v>
      </c>
      <c r="F525" s="116">
        <v>134</v>
      </c>
      <c r="G525">
        <v>52718</v>
      </c>
      <c r="H525" s="116"/>
      <c r="I525" s="116"/>
      <c r="L525" s="170">
        <v>42989</v>
      </c>
      <c r="M525" s="116">
        <v>134.5</v>
      </c>
      <c r="N525" s="116">
        <v>135</v>
      </c>
      <c r="O525" s="116">
        <v>131.15</v>
      </c>
      <c r="P525" s="116">
        <v>133</v>
      </c>
      <c r="Q525" s="116">
        <v>134.5</v>
      </c>
      <c r="R525">
        <v>493830</v>
      </c>
    </row>
    <row r="526" spans="1:18" x14ac:dyDescent="0.25">
      <c r="A526" s="170">
        <v>42990</v>
      </c>
      <c r="B526" s="116">
        <v>147.4</v>
      </c>
      <c r="C526" s="116">
        <v>147.4</v>
      </c>
      <c r="D526" s="116">
        <v>134</v>
      </c>
      <c r="E526" s="116">
        <v>134</v>
      </c>
      <c r="F526" s="116">
        <v>147.4</v>
      </c>
      <c r="G526">
        <v>318915</v>
      </c>
      <c r="H526" s="116"/>
      <c r="I526" s="116"/>
      <c r="L526" s="170">
        <v>42990</v>
      </c>
      <c r="M526" s="116">
        <v>147.94999999999999</v>
      </c>
      <c r="N526" s="116">
        <v>147.94999999999999</v>
      </c>
      <c r="O526" s="116">
        <v>135.30000000000001</v>
      </c>
      <c r="P526" s="116">
        <v>137.9</v>
      </c>
      <c r="Q526" s="116">
        <v>147.94999999999999</v>
      </c>
      <c r="R526">
        <v>2202447</v>
      </c>
    </row>
    <row r="527" spans="1:18" x14ac:dyDescent="0.25">
      <c r="A527" s="170">
        <v>42991</v>
      </c>
      <c r="B527" s="116">
        <v>156</v>
      </c>
      <c r="C527" s="116">
        <v>146.6</v>
      </c>
      <c r="D527" s="116">
        <v>143</v>
      </c>
      <c r="E527" s="116">
        <v>154</v>
      </c>
      <c r="F527" s="116">
        <v>146.6</v>
      </c>
      <c r="G527">
        <v>317710</v>
      </c>
      <c r="H527" s="116"/>
      <c r="I527" s="116"/>
      <c r="L527" s="170">
        <v>42991</v>
      </c>
      <c r="M527" s="116">
        <v>146.94999999999999</v>
      </c>
      <c r="N527" s="116">
        <v>156</v>
      </c>
      <c r="O527" s="116">
        <v>143</v>
      </c>
      <c r="P527" s="116">
        <v>152</v>
      </c>
      <c r="Q527" s="116">
        <v>146.94999999999999</v>
      </c>
      <c r="R527">
        <v>1717008</v>
      </c>
    </row>
    <row r="528" spans="1:18" x14ac:dyDescent="0.25">
      <c r="A528" s="170">
        <v>42992</v>
      </c>
      <c r="B528" s="116">
        <v>151.25</v>
      </c>
      <c r="C528" s="116">
        <v>147.35</v>
      </c>
      <c r="D528" s="116">
        <v>144.25</v>
      </c>
      <c r="E528" s="116">
        <v>149.69999999999999</v>
      </c>
      <c r="F528" s="116">
        <v>147.35</v>
      </c>
      <c r="G528">
        <v>180008</v>
      </c>
      <c r="H528" s="116"/>
      <c r="I528" s="116"/>
      <c r="L528" s="170">
        <v>42992</v>
      </c>
      <c r="M528" s="116">
        <v>147.44999999999999</v>
      </c>
      <c r="N528" s="116">
        <v>151.15</v>
      </c>
      <c r="O528" s="116">
        <v>144.4</v>
      </c>
      <c r="P528" s="116">
        <v>147.9</v>
      </c>
      <c r="Q528" s="116">
        <v>147.44999999999999</v>
      </c>
      <c r="R528">
        <v>710477</v>
      </c>
    </row>
    <row r="529" spans="1:18" x14ac:dyDescent="0.25">
      <c r="A529" s="170">
        <v>42993</v>
      </c>
      <c r="B529" s="116">
        <v>148.94999999999999</v>
      </c>
      <c r="C529" s="116">
        <v>142.69999999999999</v>
      </c>
      <c r="D529" s="116">
        <v>141.80000000000001</v>
      </c>
      <c r="E529" s="116">
        <v>148.94999999999999</v>
      </c>
      <c r="F529" s="116">
        <v>142.69999999999999</v>
      </c>
      <c r="G529">
        <v>131831</v>
      </c>
      <c r="H529" s="116"/>
      <c r="I529" s="116"/>
      <c r="L529" s="170">
        <v>42993</v>
      </c>
      <c r="M529" s="116">
        <v>142.65</v>
      </c>
      <c r="N529" s="116">
        <v>148.65</v>
      </c>
      <c r="O529" s="116">
        <v>142</v>
      </c>
      <c r="P529" s="116">
        <v>146.25</v>
      </c>
      <c r="Q529" s="116">
        <v>142.65</v>
      </c>
      <c r="R529">
        <v>2831526</v>
      </c>
    </row>
    <row r="530" spans="1:18" x14ac:dyDescent="0.25">
      <c r="A530" s="170">
        <v>42996</v>
      </c>
      <c r="B530" s="116">
        <v>145.5</v>
      </c>
      <c r="C530" s="116">
        <v>139.55000000000001</v>
      </c>
      <c r="D530" s="116">
        <v>138.05000000000001</v>
      </c>
      <c r="E530" s="116">
        <v>142.80000000000001</v>
      </c>
      <c r="F530" s="116">
        <v>139.55000000000001</v>
      </c>
      <c r="G530">
        <v>66721</v>
      </c>
      <c r="H530" s="116"/>
      <c r="I530" s="116"/>
      <c r="L530" s="170">
        <v>42996</v>
      </c>
      <c r="M530" s="116">
        <v>139.4</v>
      </c>
      <c r="N530" s="116">
        <v>145.5</v>
      </c>
      <c r="O530" s="116">
        <v>138.19999999999999</v>
      </c>
      <c r="P530" s="116">
        <v>145</v>
      </c>
      <c r="Q530" s="116">
        <v>139.4</v>
      </c>
      <c r="R530">
        <v>583207</v>
      </c>
    </row>
    <row r="531" spans="1:18" x14ac:dyDescent="0.25">
      <c r="A531" s="170">
        <v>42997</v>
      </c>
      <c r="B531" s="116">
        <v>140.65</v>
      </c>
      <c r="C531" s="116">
        <v>136.9</v>
      </c>
      <c r="D531" s="116">
        <v>136.05000000000001</v>
      </c>
      <c r="E531" s="116">
        <v>140.15</v>
      </c>
      <c r="F531" s="116">
        <v>136.9</v>
      </c>
      <c r="G531">
        <v>66921</v>
      </c>
      <c r="H531" s="116"/>
      <c r="I531" s="116"/>
      <c r="L531" s="170">
        <v>42997</v>
      </c>
      <c r="M531" s="116">
        <v>137.15</v>
      </c>
      <c r="N531" s="116">
        <v>140.55000000000001</v>
      </c>
      <c r="O531" s="116">
        <v>136.05000000000001</v>
      </c>
      <c r="P531" s="116">
        <v>140.5</v>
      </c>
      <c r="Q531" s="116">
        <v>137.15</v>
      </c>
      <c r="R531">
        <v>364625</v>
      </c>
    </row>
    <row r="532" spans="1:18" x14ac:dyDescent="0.25">
      <c r="A532" s="170">
        <v>42998</v>
      </c>
      <c r="B532" s="116">
        <v>149.9</v>
      </c>
      <c r="C532" s="116">
        <v>137.44999999999999</v>
      </c>
      <c r="D532" s="116">
        <v>130</v>
      </c>
      <c r="E532" s="116">
        <v>141.15</v>
      </c>
      <c r="F532" s="116">
        <v>137.44999999999999</v>
      </c>
      <c r="G532">
        <v>150734</v>
      </c>
      <c r="H532" s="116"/>
      <c r="I532" s="116"/>
      <c r="L532" s="170">
        <v>42998</v>
      </c>
      <c r="M532" s="116">
        <v>135.44999999999999</v>
      </c>
      <c r="N532" s="116">
        <v>147.80000000000001</v>
      </c>
      <c r="O532" s="116">
        <v>123.45</v>
      </c>
      <c r="P532" s="116">
        <v>142</v>
      </c>
      <c r="Q532" s="116">
        <v>135.44999999999999</v>
      </c>
      <c r="R532">
        <v>731097</v>
      </c>
    </row>
    <row r="533" spans="1:18" x14ac:dyDescent="0.25">
      <c r="A533" s="170">
        <v>42999</v>
      </c>
      <c r="B533" s="116">
        <v>136.19999999999999</v>
      </c>
      <c r="C533" s="116">
        <v>132.5</v>
      </c>
      <c r="D533" s="116">
        <v>129.5</v>
      </c>
      <c r="E533" s="116">
        <v>136.19999999999999</v>
      </c>
      <c r="F533" s="116">
        <v>132.5</v>
      </c>
      <c r="G533">
        <v>78936</v>
      </c>
      <c r="H533" s="116"/>
      <c r="I533" s="116"/>
      <c r="L533" s="170">
        <v>42999</v>
      </c>
      <c r="M533" s="116">
        <v>132.35</v>
      </c>
      <c r="N533" s="116">
        <v>136</v>
      </c>
      <c r="O533" s="116">
        <v>128.9</v>
      </c>
      <c r="P533" s="116">
        <v>136</v>
      </c>
      <c r="Q533" s="116">
        <v>132.35</v>
      </c>
      <c r="R533">
        <v>723474</v>
      </c>
    </row>
    <row r="534" spans="1:18" x14ac:dyDescent="0.25">
      <c r="A534" s="170">
        <v>43000</v>
      </c>
      <c r="B534" s="116">
        <v>134</v>
      </c>
      <c r="C534" s="116">
        <v>128.65</v>
      </c>
      <c r="D534" s="116">
        <v>127.85</v>
      </c>
      <c r="E534" s="116">
        <v>132.1</v>
      </c>
      <c r="F534" s="116">
        <v>128.65</v>
      </c>
      <c r="G534">
        <v>101319</v>
      </c>
      <c r="H534" s="116"/>
      <c r="I534" s="116"/>
      <c r="L534" s="170">
        <v>43000</v>
      </c>
      <c r="M534" s="116">
        <v>128.6</v>
      </c>
      <c r="N534" s="116">
        <v>134</v>
      </c>
      <c r="O534" s="116">
        <v>127.15</v>
      </c>
      <c r="P534" s="116">
        <v>132.5</v>
      </c>
      <c r="Q534" s="116">
        <v>128.6</v>
      </c>
      <c r="R534">
        <v>687250</v>
      </c>
    </row>
    <row r="535" spans="1:18" x14ac:dyDescent="0.25">
      <c r="A535" s="170">
        <v>43003</v>
      </c>
      <c r="B535" s="116">
        <v>133.94999999999999</v>
      </c>
      <c r="C535" s="116">
        <v>127.35</v>
      </c>
      <c r="D535" s="116">
        <v>124.5</v>
      </c>
      <c r="E535" s="116">
        <v>130.6</v>
      </c>
      <c r="F535" s="116">
        <v>127.35</v>
      </c>
      <c r="G535">
        <v>106872</v>
      </c>
      <c r="H535" s="116"/>
      <c r="I535" s="116"/>
      <c r="L535" s="170">
        <v>43003</v>
      </c>
      <c r="M535" s="116">
        <v>127.25</v>
      </c>
      <c r="N535" s="116">
        <v>134.35</v>
      </c>
      <c r="O535" s="116">
        <v>124.5</v>
      </c>
      <c r="P535" s="116">
        <v>130.5</v>
      </c>
      <c r="Q535" s="116">
        <v>127.25</v>
      </c>
      <c r="R535">
        <v>639027</v>
      </c>
    </row>
    <row r="536" spans="1:18" x14ac:dyDescent="0.25">
      <c r="A536" s="170">
        <v>43004</v>
      </c>
      <c r="B536" s="116">
        <v>135.15</v>
      </c>
      <c r="C536" s="116">
        <v>133.6</v>
      </c>
      <c r="D536" s="116">
        <v>129.9</v>
      </c>
      <c r="E536" s="116">
        <v>129.9</v>
      </c>
      <c r="F536" s="116">
        <v>133.6</v>
      </c>
      <c r="G536">
        <v>140906</v>
      </c>
      <c r="H536" s="116"/>
      <c r="I536" s="116"/>
      <c r="L536" s="170">
        <v>43004</v>
      </c>
      <c r="M536" s="116">
        <v>133.75</v>
      </c>
      <c r="N536" s="116">
        <v>135</v>
      </c>
      <c r="O536" s="116">
        <v>130.25</v>
      </c>
      <c r="P536" s="116">
        <v>132</v>
      </c>
      <c r="Q536" s="116">
        <v>133.75</v>
      </c>
      <c r="R536">
        <v>829577</v>
      </c>
    </row>
    <row r="537" spans="1:18" x14ac:dyDescent="0.25">
      <c r="A537" s="170">
        <v>43005</v>
      </c>
      <c r="B537" s="116">
        <v>138</v>
      </c>
      <c r="C537" s="116">
        <v>134.85</v>
      </c>
      <c r="D537" s="116">
        <v>133.69999999999999</v>
      </c>
      <c r="E537" s="116">
        <v>138</v>
      </c>
      <c r="F537" s="116">
        <v>134.85</v>
      </c>
      <c r="G537">
        <v>100775</v>
      </c>
      <c r="H537" s="116"/>
      <c r="I537" s="116"/>
      <c r="L537" s="170">
        <v>43005</v>
      </c>
      <c r="M537" s="116">
        <v>135.5</v>
      </c>
      <c r="N537" s="116">
        <v>138.4</v>
      </c>
      <c r="O537" s="116">
        <v>135</v>
      </c>
      <c r="P537" s="116">
        <v>135.9</v>
      </c>
      <c r="Q537" s="116">
        <v>135.5</v>
      </c>
      <c r="R537">
        <v>640332</v>
      </c>
    </row>
    <row r="538" spans="1:18" x14ac:dyDescent="0.25">
      <c r="A538" s="170">
        <v>43006</v>
      </c>
      <c r="B538" s="116">
        <v>148.30000000000001</v>
      </c>
      <c r="C538" s="116">
        <v>146.6</v>
      </c>
      <c r="D538" s="116">
        <v>130.6</v>
      </c>
      <c r="E538" s="116">
        <v>136.69999999999999</v>
      </c>
      <c r="F538" s="116">
        <v>146.6</v>
      </c>
      <c r="G538">
        <v>349866</v>
      </c>
      <c r="H538" s="116"/>
      <c r="I538" s="116"/>
      <c r="L538" s="170">
        <v>43006</v>
      </c>
      <c r="M538" s="116">
        <v>146.80000000000001</v>
      </c>
      <c r="N538" s="116">
        <v>148.85</v>
      </c>
      <c r="O538" s="116">
        <v>130.5</v>
      </c>
      <c r="P538" s="116">
        <v>136.4</v>
      </c>
      <c r="Q538" s="116">
        <v>146.80000000000001</v>
      </c>
      <c r="R538">
        <v>1757522</v>
      </c>
    </row>
    <row r="539" spans="1:18" x14ac:dyDescent="0.25">
      <c r="A539" s="170">
        <v>43007</v>
      </c>
      <c r="B539" s="116">
        <v>155</v>
      </c>
      <c r="C539" s="116">
        <v>152.44999999999999</v>
      </c>
      <c r="D539" s="116">
        <v>145.30000000000001</v>
      </c>
      <c r="E539" s="116">
        <v>148.5</v>
      </c>
      <c r="F539" s="116">
        <v>152.44999999999999</v>
      </c>
      <c r="G539">
        <v>230786</v>
      </c>
      <c r="H539" s="116"/>
      <c r="I539" s="116"/>
      <c r="L539" s="170">
        <v>43007</v>
      </c>
      <c r="M539" s="116">
        <v>152.80000000000001</v>
      </c>
      <c r="N539" s="116">
        <v>155.4</v>
      </c>
      <c r="O539" s="116">
        <v>145.55000000000001</v>
      </c>
      <c r="P539" s="116">
        <v>147.80000000000001</v>
      </c>
      <c r="Q539" s="116">
        <v>152.80000000000001</v>
      </c>
      <c r="R539">
        <v>1647445</v>
      </c>
    </row>
    <row r="540" spans="1:18" x14ac:dyDescent="0.25">
      <c r="A540" s="170">
        <v>43011</v>
      </c>
      <c r="B540" s="116">
        <v>160.5</v>
      </c>
      <c r="C540" s="116">
        <v>158.6</v>
      </c>
      <c r="D540" s="116">
        <v>153.05000000000001</v>
      </c>
      <c r="E540" s="116">
        <v>155</v>
      </c>
      <c r="F540" s="116">
        <v>158.6</v>
      </c>
      <c r="G540">
        <v>252548</v>
      </c>
      <c r="H540" s="116"/>
      <c r="I540" s="116"/>
      <c r="L540" s="170">
        <v>43011</v>
      </c>
      <c r="M540" s="116">
        <v>158.6</v>
      </c>
      <c r="N540" s="116">
        <v>160.30000000000001</v>
      </c>
      <c r="O540" s="116">
        <v>153.15</v>
      </c>
      <c r="P540" s="116">
        <v>154.6</v>
      </c>
      <c r="Q540" s="116">
        <v>158.6</v>
      </c>
      <c r="R540">
        <v>1477026</v>
      </c>
    </row>
    <row r="541" spans="1:18" x14ac:dyDescent="0.25">
      <c r="A541" s="170">
        <v>43012</v>
      </c>
      <c r="B541" s="116">
        <v>167</v>
      </c>
      <c r="C541" s="116">
        <v>165.1</v>
      </c>
      <c r="D541" s="116">
        <v>153.80000000000001</v>
      </c>
      <c r="E541" s="116">
        <v>158.5</v>
      </c>
      <c r="F541" s="116">
        <v>165.1</v>
      </c>
      <c r="G541">
        <v>311831</v>
      </c>
      <c r="H541" s="116"/>
      <c r="I541" s="116"/>
      <c r="L541" s="170">
        <v>43012</v>
      </c>
      <c r="M541" s="116">
        <v>165.15</v>
      </c>
      <c r="N541" s="116">
        <v>167.3</v>
      </c>
      <c r="O541" s="116">
        <v>153.80000000000001</v>
      </c>
      <c r="P541" s="116">
        <v>159.25</v>
      </c>
      <c r="Q541" s="116">
        <v>165.15</v>
      </c>
      <c r="R541">
        <v>1792141</v>
      </c>
    </row>
    <row r="542" spans="1:18" x14ac:dyDescent="0.25">
      <c r="A542" s="170">
        <v>43013</v>
      </c>
      <c r="B542" s="116">
        <v>168.45</v>
      </c>
      <c r="C542" s="116">
        <v>166.85</v>
      </c>
      <c r="D542" s="116">
        <v>162.19999999999999</v>
      </c>
      <c r="E542" s="116">
        <v>164</v>
      </c>
      <c r="F542" s="116">
        <v>166.85</v>
      </c>
      <c r="G542">
        <v>173676</v>
      </c>
      <c r="H542" s="116"/>
      <c r="I542" s="116"/>
      <c r="L542" s="170">
        <v>43013</v>
      </c>
      <c r="M542" s="116">
        <v>167.3</v>
      </c>
      <c r="N542" s="116">
        <v>169</v>
      </c>
      <c r="O542" s="116">
        <v>162.05000000000001</v>
      </c>
      <c r="P542" s="116">
        <v>162.05000000000001</v>
      </c>
      <c r="Q542" s="116">
        <v>167.3</v>
      </c>
      <c r="R542">
        <v>1394374</v>
      </c>
    </row>
    <row r="543" spans="1:18" x14ac:dyDescent="0.25">
      <c r="A543" s="170">
        <v>43014</v>
      </c>
      <c r="B543" s="116">
        <v>171.3</v>
      </c>
      <c r="C543" s="116">
        <v>169.7</v>
      </c>
      <c r="D543" s="116">
        <v>166.9</v>
      </c>
      <c r="E543" s="116">
        <v>168.55</v>
      </c>
      <c r="F543" s="116">
        <v>169.7</v>
      </c>
      <c r="G543">
        <v>78503</v>
      </c>
      <c r="H543" s="116"/>
      <c r="I543" s="116"/>
      <c r="L543" s="170">
        <v>43014</v>
      </c>
      <c r="M543" s="116">
        <v>169.9</v>
      </c>
      <c r="N543" s="116">
        <v>171.5</v>
      </c>
      <c r="O543" s="116">
        <v>166.15</v>
      </c>
      <c r="P543" s="116">
        <v>167</v>
      </c>
      <c r="Q543" s="116">
        <v>169.9</v>
      </c>
      <c r="R543">
        <v>1261876</v>
      </c>
    </row>
    <row r="544" spans="1:18" x14ac:dyDescent="0.25">
      <c r="A544" s="170">
        <v>43017</v>
      </c>
      <c r="B544" s="116">
        <v>177.4</v>
      </c>
      <c r="C544" s="116">
        <v>175.7</v>
      </c>
      <c r="D544" s="116">
        <v>164.6</v>
      </c>
      <c r="E544" s="116">
        <v>169.7</v>
      </c>
      <c r="F544" s="116">
        <v>175.7</v>
      </c>
      <c r="G544">
        <v>178644</v>
      </c>
      <c r="H544" s="116"/>
      <c r="I544" s="116"/>
      <c r="L544" s="170">
        <v>43017</v>
      </c>
      <c r="M544" s="116">
        <v>175.6</v>
      </c>
      <c r="N544" s="116">
        <v>177.5</v>
      </c>
      <c r="O544" s="116">
        <v>164.65</v>
      </c>
      <c r="P544" s="116">
        <v>169.7</v>
      </c>
      <c r="Q544" s="116">
        <v>175.6</v>
      </c>
      <c r="R544">
        <v>1388756</v>
      </c>
    </row>
    <row r="545" spans="1:18" x14ac:dyDescent="0.25">
      <c r="A545" s="170">
        <v>43018</v>
      </c>
      <c r="B545" s="116">
        <v>193.25</v>
      </c>
      <c r="C545" s="116">
        <v>193.25</v>
      </c>
      <c r="D545" s="116">
        <v>174.05</v>
      </c>
      <c r="E545" s="116">
        <v>177.5</v>
      </c>
      <c r="F545" s="116">
        <v>193.25</v>
      </c>
      <c r="G545">
        <v>479704</v>
      </c>
      <c r="H545" s="116"/>
      <c r="I545" s="116"/>
      <c r="L545" s="170">
        <v>43018</v>
      </c>
      <c r="M545" s="116">
        <v>193.15</v>
      </c>
      <c r="N545" s="116">
        <v>193.15</v>
      </c>
      <c r="O545" s="116">
        <v>173.1</v>
      </c>
      <c r="P545" s="116">
        <v>174.7</v>
      </c>
      <c r="Q545" s="116">
        <v>193.15</v>
      </c>
      <c r="R545">
        <v>2461581</v>
      </c>
    </row>
    <row r="546" spans="1:18" x14ac:dyDescent="0.25">
      <c r="A546" s="170">
        <v>43019</v>
      </c>
      <c r="B546" s="116">
        <v>211.7</v>
      </c>
      <c r="C546" s="116">
        <v>202.65</v>
      </c>
      <c r="D546" s="116">
        <v>195.55</v>
      </c>
      <c r="E546" s="116">
        <v>201</v>
      </c>
      <c r="F546" s="116">
        <v>202.65</v>
      </c>
      <c r="G546">
        <v>530261</v>
      </c>
      <c r="H546" s="116"/>
      <c r="I546" s="116"/>
      <c r="L546" s="170">
        <v>43019</v>
      </c>
      <c r="M546" s="116">
        <v>203.05</v>
      </c>
      <c r="N546" s="116">
        <v>212</v>
      </c>
      <c r="O546" s="116">
        <v>195.6</v>
      </c>
      <c r="P546" s="116">
        <v>202.8</v>
      </c>
      <c r="Q546" s="116">
        <v>203.05</v>
      </c>
      <c r="R546">
        <v>2534259</v>
      </c>
    </row>
    <row r="547" spans="1:18" x14ac:dyDescent="0.25">
      <c r="A547" s="170">
        <v>43020</v>
      </c>
      <c r="B547" s="116">
        <v>212.75</v>
      </c>
      <c r="C547" s="116">
        <v>212.75</v>
      </c>
      <c r="D547" s="116">
        <v>197.1</v>
      </c>
      <c r="E547" s="116">
        <v>204</v>
      </c>
      <c r="F547" s="116">
        <v>212.75</v>
      </c>
      <c r="G547">
        <v>233999</v>
      </c>
      <c r="H547" s="116"/>
      <c r="I547" s="116"/>
      <c r="L547" s="170">
        <v>43020</v>
      </c>
      <c r="M547" s="116">
        <v>213.2</v>
      </c>
      <c r="N547" s="116">
        <v>213.2</v>
      </c>
      <c r="O547" s="116">
        <v>196.8</v>
      </c>
      <c r="P547" s="116">
        <v>202.8</v>
      </c>
      <c r="Q547" s="116">
        <v>213.2</v>
      </c>
      <c r="R547">
        <v>1938274</v>
      </c>
    </row>
    <row r="548" spans="1:18" x14ac:dyDescent="0.25">
      <c r="A548" s="170">
        <v>43021</v>
      </c>
      <c r="B548" s="116">
        <v>223.35</v>
      </c>
      <c r="C548" s="116">
        <v>217.85</v>
      </c>
      <c r="D548" s="116">
        <v>211.5</v>
      </c>
      <c r="E548" s="116">
        <v>219.8</v>
      </c>
      <c r="F548" s="116">
        <v>217.85</v>
      </c>
      <c r="G548">
        <v>467498</v>
      </c>
      <c r="H548" s="116"/>
      <c r="I548" s="116"/>
      <c r="L548" s="170">
        <v>43021</v>
      </c>
      <c r="M548" s="116">
        <v>218.2</v>
      </c>
      <c r="N548" s="116">
        <v>223.85</v>
      </c>
      <c r="O548" s="116">
        <v>211.3</v>
      </c>
      <c r="P548" s="116">
        <v>222</v>
      </c>
      <c r="Q548" s="116">
        <v>218.2</v>
      </c>
      <c r="R548">
        <v>3706238</v>
      </c>
    </row>
    <row r="549" spans="1:18" x14ac:dyDescent="0.25">
      <c r="A549" s="170">
        <v>43024</v>
      </c>
      <c r="B549" s="116">
        <v>222.55</v>
      </c>
      <c r="C549" s="116">
        <v>218.85</v>
      </c>
      <c r="D549" s="116">
        <v>211.55</v>
      </c>
      <c r="E549" s="116">
        <v>220</v>
      </c>
      <c r="F549" s="116">
        <v>218.85</v>
      </c>
      <c r="G549">
        <v>190005</v>
      </c>
      <c r="H549" s="116"/>
      <c r="I549" s="116"/>
      <c r="L549" s="170">
        <v>43024</v>
      </c>
      <c r="M549" s="116">
        <v>219</v>
      </c>
      <c r="N549" s="116">
        <v>222.7</v>
      </c>
      <c r="O549" s="116">
        <v>211.1</v>
      </c>
      <c r="P549" s="116">
        <v>219.6</v>
      </c>
      <c r="Q549" s="116">
        <v>219</v>
      </c>
      <c r="R549">
        <v>2141024</v>
      </c>
    </row>
    <row r="550" spans="1:18" x14ac:dyDescent="0.25">
      <c r="A550" s="170">
        <v>43025</v>
      </c>
      <c r="B550" s="116">
        <v>229.75</v>
      </c>
      <c r="C550" s="116">
        <v>228.85</v>
      </c>
      <c r="D550" s="116">
        <v>216.8</v>
      </c>
      <c r="E550" s="116">
        <v>220.7</v>
      </c>
      <c r="F550" s="116">
        <v>228.85</v>
      </c>
      <c r="G550">
        <v>478916</v>
      </c>
      <c r="H550" s="116"/>
      <c r="I550" s="116"/>
      <c r="L550" s="170">
        <v>43025</v>
      </c>
      <c r="M550" s="116">
        <v>229.1</v>
      </c>
      <c r="N550" s="116">
        <v>229.95</v>
      </c>
      <c r="O550" s="116">
        <v>216</v>
      </c>
      <c r="P550" s="116">
        <v>221.7</v>
      </c>
      <c r="Q550" s="116">
        <v>229.1</v>
      </c>
      <c r="R550">
        <v>3088343</v>
      </c>
    </row>
    <row r="551" spans="1:18" x14ac:dyDescent="0.25">
      <c r="A551" s="170">
        <v>43026</v>
      </c>
      <c r="B551" s="116">
        <v>232</v>
      </c>
      <c r="C551" s="116">
        <v>229.1</v>
      </c>
      <c r="D551" s="116">
        <v>224.25</v>
      </c>
      <c r="E551" s="116">
        <v>230.25</v>
      </c>
      <c r="F551" s="116">
        <v>229.1</v>
      </c>
      <c r="G551">
        <v>188802</v>
      </c>
      <c r="H551" s="116"/>
      <c r="I551" s="116"/>
      <c r="L551" s="170">
        <v>43026</v>
      </c>
      <c r="M551" s="116">
        <v>229.7</v>
      </c>
      <c r="N551" s="116">
        <v>232.3</v>
      </c>
      <c r="O551" s="116">
        <v>224.2</v>
      </c>
      <c r="P551" s="116">
        <v>230.2</v>
      </c>
      <c r="Q551" s="116">
        <v>229.7</v>
      </c>
      <c r="R551">
        <v>2354620</v>
      </c>
    </row>
    <row r="552" spans="1:18" x14ac:dyDescent="0.25">
      <c r="A552" s="170">
        <v>43027</v>
      </c>
      <c r="B552" s="116">
        <v>231.8</v>
      </c>
      <c r="C552" s="116">
        <v>226.8</v>
      </c>
      <c r="D552" s="116">
        <v>224.5</v>
      </c>
      <c r="E552" s="116">
        <v>230</v>
      </c>
      <c r="F552" s="116">
        <v>226.8</v>
      </c>
      <c r="G552">
        <v>57656</v>
      </c>
      <c r="H552" s="116"/>
      <c r="I552" s="116"/>
      <c r="L552" s="170">
        <v>43027</v>
      </c>
      <c r="M552" s="116">
        <v>226.65</v>
      </c>
      <c r="N552" s="116">
        <v>231.8</v>
      </c>
      <c r="O552" s="116">
        <v>225</v>
      </c>
      <c r="P552" s="116">
        <v>230.7</v>
      </c>
      <c r="Q552" s="116">
        <v>226.65</v>
      </c>
      <c r="R552">
        <v>228566</v>
      </c>
    </row>
    <row r="553" spans="1:18" x14ac:dyDescent="0.25">
      <c r="A553" s="170">
        <v>43031</v>
      </c>
      <c r="B553" s="116">
        <v>231</v>
      </c>
      <c r="C553" s="116">
        <v>228.3</v>
      </c>
      <c r="D553" s="116">
        <v>225</v>
      </c>
      <c r="E553" s="116">
        <v>225</v>
      </c>
      <c r="F553" s="116">
        <v>228.3</v>
      </c>
      <c r="G553">
        <v>116090</v>
      </c>
      <c r="H553" s="116"/>
      <c r="I553" s="116"/>
      <c r="L553" s="170">
        <v>43031</v>
      </c>
      <c r="M553" s="116">
        <v>228.9</v>
      </c>
      <c r="N553" s="116">
        <v>231</v>
      </c>
      <c r="O553" s="116">
        <v>226</v>
      </c>
      <c r="P553" s="116">
        <v>228.75</v>
      </c>
      <c r="Q553" s="116">
        <v>228.9</v>
      </c>
      <c r="R553">
        <v>2044336</v>
      </c>
    </row>
    <row r="554" spans="1:18" x14ac:dyDescent="0.25">
      <c r="A554" s="170">
        <v>43032</v>
      </c>
      <c r="B554" s="116">
        <v>237.1</v>
      </c>
      <c r="C554" s="116">
        <v>229.95</v>
      </c>
      <c r="D554" s="116">
        <v>226.65</v>
      </c>
      <c r="E554" s="116">
        <v>229.9</v>
      </c>
      <c r="F554" s="116">
        <v>229.95</v>
      </c>
      <c r="G554">
        <v>119737</v>
      </c>
      <c r="H554" s="116"/>
      <c r="I554" s="116"/>
      <c r="L554" s="170">
        <v>43032</v>
      </c>
      <c r="M554" s="116">
        <v>230.55</v>
      </c>
      <c r="N554" s="116">
        <v>237</v>
      </c>
      <c r="O554" s="116">
        <v>226.05</v>
      </c>
      <c r="P554" s="116">
        <v>230.4</v>
      </c>
      <c r="Q554" s="116">
        <v>230.55</v>
      </c>
      <c r="R554">
        <v>2257984</v>
      </c>
    </row>
    <row r="555" spans="1:18" x14ac:dyDescent="0.25">
      <c r="A555" s="170">
        <v>43033</v>
      </c>
      <c r="B555" s="116">
        <v>234.9</v>
      </c>
      <c r="C555" s="116">
        <v>231.75</v>
      </c>
      <c r="D555" s="116">
        <v>229</v>
      </c>
      <c r="E555" s="116">
        <v>232.55</v>
      </c>
      <c r="F555" s="116">
        <v>231.75</v>
      </c>
      <c r="G555">
        <v>87389</v>
      </c>
      <c r="H555" s="116"/>
      <c r="I555" s="116"/>
      <c r="L555" s="170">
        <v>43033</v>
      </c>
      <c r="M555" s="116">
        <v>231.75</v>
      </c>
      <c r="N555" s="116">
        <v>235.05</v>
      </c>
      <c r="O555" s="116">
        <v>228.3</v>
      </c>
      <c r="P555" s="116">
        <v>233.4</v>
      </c>
      <c r="Q555" s="116">
        <v>231.75</v>
      </c>
      <c r="R555">
        <v>2024637</v>
      </c>
    </row>
    <row r="556" spans="1:18" x14ac:dyDescent="0.25">
      <c r="A556" s="170">
        <v>43034</v>
      </c>
      <c r="B556" s="116">
        <v>232</v>
      </c>
      <c r="C556" s="116">
        <v>230.65</v>
      </c>
      <c r="D556" s="116">
        <v>228.45</v>
      </c>
      <c r="E556" s="116">
        <v>231.75</v>
      </c>
      <c r="F556" s="116">
        <v>230.65</v>
      </c>
      <c r="G556">
        <v>52904</v>
      </c>
      <c r="H556" s="116"/>
      <c r="I556" s="116"/>
      <c r="L556" s="170">
        <v>43034</v>
      </c>
      <c r="M556" s="116">
        <v>230.8</v>
      </c>
      <c r="N556" s="116">
        <v>232</v>
      </c>
      <c r="O556" s="116">
        <v>228.15</v>
      </c>
      <c r="P556" s="116">
        <v>230.05</v>
      </c>
      <c r="Q556" s="116">
        <v>230.8</v>
      </c>
      <c r="R556">
        <v>1929352</v>
      </c>
    </row>
    <row r="557" spans="1:18" x14ac:dyDescent="0.25">
      <c r="A557" s="170">
        <v>43035</v>
      </c>
      <c r="B557" s="116">
        <v>236.8</v>
      </c>
      <c r="C557" s="116">
        <v>229.8</v>
      </c>
      <c r="D557" s="116">
        <v>227.85</v>
      </c>
      <c r="E557" s="116">
        <v>231</v>
      </c>
      <c r="F557" s="116">
        <v>229.8</v>
      </c>
      <c r="G557">
        <v>97722</v>
      </c>
      <c r="H557" s="116"/>
      <c r="I557" s="116"/>
      <c r="L557" s="170">
        <v>43035</v>
      </c>
      <c r="M557" s="116">
        <v>230.4</v>
      </c>
      <c r="N557" s="116">
        <v>237</v>
      </c>
      <c r="O557" s="116">
        <v>226</v>
      </c>
      <c r="P557" s="116">
        <v>231.3</v>
      </c>
      <c r="Q557" s="116">
        <v>230.4</v>
      </c>
      <c r="R557">
        <v>1117424</v>
      </c>
    </row>
    <row r="558" spans="1:18" x14ac:dyDescent="0.25">
      <c r="A558" s="170">
        <v>43038</v>
      </c>
      <c r="B558" s="116">
        <v>224.15</v>
      </c>
      <c r="C558" s="116">
        <v>218.35</v>
      </c>
      <c r="D558" s="116">
        <v>218.35</v>
      </c>
      <c r="E558" s="116">
        <v>222</v>
      </c>
      <c r="F558" s="116">
        <v>218.35</v>
      </c>
      <c r="G558">
        <v>121602</v>
      </c>
      <c r="H558" s="116"/>
      <c r="I558" s="116"/>
      <c r="L558" s="170">
        <v>43038</v>
      </c>
      <c r="M558" s="116">
        <v>218.9</v>
      </c>
      <c r="N558" s="116">
        <v>225</v>
      </c>
      <c r="O558" s="116">
        <v>218.9</v>
      </c>
      <c r="P558" s="116">
        <v>222.8</v>
      </c>
      <c r="Q558" s="116">
        <v>218.9</v>
      </c>
      <c r="R558">
        <v>1037663</v>
      </c>
    </row>
    <row r="559" spans="1:18" x14ac:dyDescent="0.25">
      <c r="A559" s="170">
        <v>43039</v>
      </c>
      <c r="B559" s="116">
        <v>210</v>
      </c>
      <c r="C559" s="116">
        <v>207.45</v>
      </c>
      <c r="D559" s="116">
        <v>207.45</v>
      </c>
      <c r="E559" s="116">
        <v>210</v>
      </c>
      <c r="F559" s="116">
        <v>207.45</v>
      </c>
      <c r="G559">
        <v>52555</v>
      </c>
      <c r="H559" s="116"/>
      <c r="I559" s="116"/>
      <c r="L559" s="170">
        <v>43039</v>
      </c>
      <c r="M559" s="116">
        <v>208</v>
      </c>
      <c r="N559" s="116">
        <v>211.95</v>
      </c>
      <c r="O559" s="116">
        <v>208</v>
      </c>
      <c r="P559" s="116">
        <v>208</v>
      </c>
      <c r="Q559" s="116">
        <v>208</v>
      </c>
      <c r="R559">
        <v>602860</v>
      </c>
    </row>
    <row r="560" spans="1:18" x14ac:dyDescent="0.25">
      <c r="A560" s="170">
        <v>43040</v>
      </c>
      <c r="B560" s="116">
        <v>210.8</v>
      </c>
      <c r="C560" s="116">
        <v>206</v>
      </c>
      <c r="D560" s="116">
        <v>198</v>
      </c>
      <c r="E560" s="116">
        <v>198</v>
      </c>
      <c r="F560" s="116">
        <v>206</v>
      </c>
      <c r="G560">
        <v>336269</v>
      </c>
      <c r="H560" s="116"/>
      <c r="I560" s="116"/>
      <c r="L560" s="170">
        <v>43040</v>
      </c>
      <c r="M560" s="116">
        <v>204.55</v>
      </c>
      <c r="N560" s="116">
        <v>211</v>
      </c>
      <c r="O560" s="116">
        <v>197.65</v>
      </c>
      <c r="P560" s="116">
        <v>201</v>
      </c>
      <c r="Q560" s="116">
        <v>204.55</v>
      </c>
      <c r="R560">
        <v>1924281</v>
      </c>
    </row>
    <row r="561" spans="1:18" x14ac:dyDescent="0.25">
      <c r="A561" s="170">
        <v>43041</v>
      </c>
      <c r="B561" s="116">
        <v>215.95</v>
      </c>
      <c r="C561" s="116">
        <v>209</v>
      </c>
      <c r="D561" s="116">
        <v>206.05</v>
      </c>
      <c r="E561" s="116">
        <v>210</v>
      </c>
      <c r="F561" s="116">
        <v>209</v>
      </c>
      <c r="G561">
        <v>168397</v>
      </c>
      <c r="H561" s="116"/>
      <c r="I561" s="116"/>
      <c r="L561" s="170">
        <v>43041</v>
      </c>
      <c r="M561" s="116">
        <v>209.3</v>
      </c>
      <c r="N561" s="116">
        <v>214.75</v>
      </c>
      <c r="O561" s="116">
        <v>206.85</v>
      </c>
      <c r="P561" s="116">
        <v>208.95</v>
      </c>
      <c r="Q561" s="116">
        <v>209.3</v>
      </c>
      <c r="R561">
        <v>1138000</v>
      </c>
    </row>
    <row r="562" spans="1:18" x14ac:dyDescent="0.25">
      <c r="A562" s="170">
        <v>43042</v>
      </c>
      <c r="B562" s="116">
        <v>213.2</v>
      </c>
      <c r="C562" s="116">
        <v>203.85</v>
      </c>
      <c r="D562" s="116">
        <v>202.2</v>
      </c>
      <c r="E562" s="116">
        <v>208.05</v>
      </c>
      <c r="F562" s="116">
        <v>203.85</v>
      </c>
      <c r="G562">
        <v>97206</v>
      </c>
      <c r="H562" s="116"/>
      <c r="I562" s="116"/>
      <c r="L562" s="170">
        <v>43042</v>
      </c>
      <c r="M562" s="116">
        <v>203.65</v>
      </c>
      <c r="N562" s="116">
        <v>212.95</v>
      </c>
      <c r="O562" s="116">
        <v>202.2</v>
      </c>
      <c r="P562" s="116">
        <v>211.6</v>
      </c>
      <c r="Q562" s="116">
        <v>203.65</v>
      </c>
      <c r="R562">
        <v>872952</v>
      </c>
    </row>
    <row r="563" spans="1:18" x14ac:dyDescent="0.25">
      <c r="A563" s="170">
        <v>43045</v>
      </c>
      <c r="B563" s="116">
        <v>207</v>
      </c>
      <c r="C563" s="116">
        <v>200.7</v>
      </c>
      <c r="D563" s="116">
        <v>197.7</v>
      </c>
      <c r="E563" s="116">
        <v>203.05</v>
      </c>
      <c r="F563" s="116">
        <v>200.7</v>
      </c>
      <c r="G563">
        <v>123268</v>
      </c>
      <c r="H563" s="116"/>
      <c r="I563" s="116"/>
      <c r="L563" s="170">
        <v>43045</v>
      </c>
      <c r="M563" s="116">
        <v>201.4</v>
      </c>
      <c r="N563" s="116">
        <v>208.95</v>
      </c>
      <c r="O563" s="116">
        <v>198</v>
      </c>
      <c r="P563" s="116">
        <v>204</v>
      </c>
      <c r="Q563" s="116">
        <v>201.4</v>
      </c>
      <c r="R563">
        <v>857651</v>
      </c>
    </row>
    <row r="564" spans="1:18" x14ac:dyDescent="0.25">
      <c r="A564" s="170">
        <v>43046</v>
      </c>
      <c r="B564" s="116">
        <v>205.5</v>
      </c>
      <c r="C564" s="116">
        <v>199.4</v>
      </c>
      <c r="D564" s="116">
        <v>196.3</v>
      </c>
      <c r="E564" s="116">
        <v>202.75</v>
      </c>
      <c r="F564" s="116">
        <v>199.4</v>
      </c>
      <c r="G564">
        <v>77630</v>
      </c>
      <c r="H564" s="116"/>
      <c r="I564" s="116"/>
      <c r="L564" s="170">
        <v>43046</v>
      </c>
      <c r="M564" s="116">
        <v>199.9</v>
      </c>
      <c r="N564" s="116">
        <v>205.9</v>
      </c>
      <c r="O564" s="116">
        <v>196.05</v>
      </c>
      <c r="P564" s="116">
        <v>203</v>
      </c>
      <c r="Q564" s="116">
        <v>199.9</v>
      </c>
      <c r="R564">
        <v>895108</v>
      </c>
    </row>
    <row r="565" spans="1:18" x14ac:dyDescent="0.25">
      <c r="A565" s="170">
        <v>43047</v>
      </c>
      <c r="B565" s="116">
        <v>201.7</v>
      </c>
      <c r="C565" s="116">
        <v>197.55</v>
      </c>
      <c r="D565" s="116">
        <v>195</v>
      </c>
      <c r="E565" s="116">
        <v>200.55</v>
      </c>
      <c r="F565" s="116">
        <v>197.55</v>
      </c>
      <c r="G565">
        <v>61844</v>
      </c>
      <c r="H565" s="116"/>
      <c r="I565" s="116"/>
      <c r="L565" s="170">
        <v>43047</v>
      </c>
      <c r="M565" s="116">
        <v>197.55</v>
      </c>
      <c r="N565" s="116">
        <v>203</v>
      </c>
      <c r="O565" s="116">
        <v>195</v>
      </c>
      <c r="P565" s="116">
        <v>203</v>
      </c>
      <c r="Q565" s="116">
        <v>197.55</v>
      </c>
      <c r="R565">
        <v>708653</v>
      </c>
    </row>
    <row r="566" spans="1:18" x14ac:dyDescent="0.25">
      <c r="A566" s="170">
        <v>43048</v>
      </c>
      <c r="B566" s="116">
        <v>200.85</v>
      </c>
      <c r="C566" s="116">
        <v>195.45</v>
      </c>
      <c r="D566" s="116">
        <v>188</v>
      </c>
      <c r="E566" s="116">
        <v>200.85</v>
      </c>
      <c r="F566" s="116">
        <v>195.45</v>
      </c>
      <c r="G566">
        <v>93223</v>
      </c>
      <c r="H566" s="116"/>
      <c r="I566" s="116"/>
      <c r="L566" s="170">
        <v>43048</v>
      </c>
      <c r="M566" s="116">
        <v>196</v>
      </c>
      <c r="N566" s="116">
        <v>199.9</v>
      </c>
      <c r="O566" s="116">
        <v>188.05</v>
      </c>
      <c r="P566" s="116">
        <v>197.15</v>
      </c>
      <c r="Q566" s="116">
        <v>196</v>
      </c>
      <c r="R566">
        <v>796394</v>
      </c>
    </row>
    <row r="567" spans="1:18" x14ac:dyDescent="0.25">
      <c r="A567" s="170">
        <v>43049</v>
      </c>
      <c r="B567" s="116">
        <v>205.2</v>
      </c>
      <c r="C567" s="116">
        <v>204.45</v>
      </c>
      <c r="D567" s="116">
        <v>191</v>
      </c>
      <c r="E567" s="116">
        <v>200</v>
      </c>
      <c r="F567" s="116">
        <v>204.45</v>
      </c>
      <c r="G567">
        <v>154620</v>
      </c>
      <c r="H567" s="116"/>
      <c r="I567" s="116"/>
      <c r="L567" s="170">
        <v>43049</v>
      </c>
      <c r="M567" s="116">
        <v>205</v>
      </c>
      <c r="N567" s="116">
        <v>205.8</v>
      </c>
      <c r="O567" s="116">
        <v>191.1</v>
      </c>
      <c r="P567" s="116">
        <v>195.1</v>
      </c>
      <c r="Q567" s="116">
        <v>205</v>
      </c>
      <c r="R567">
        <v>1171039</v>
      </c>
    </row>
    <row r="568" spans="1:18" x14ac:dyDescent="0.25">
      <c r="A568" s="170">
        <v>43052</v>
      </c>
      <c r="B568" s="116">
        <v>214.65</v>
      </c>
      <c r="C568" s="116">
        <v>214.65</v>
      </c>
      <c r="D568" s="116">
        <v>205.1</v>
      </c>
      <c r="E568" s="116">
        <v>213.35</v>
      </c>
      <c r="F568" s="116">
        <v>214.65</v>
      </c>
      <c r="G568">
        <v>139671</v>
      </c>
      <c r="H568" s="116"/>
      <c r="I568" s="116"/>
      <c r="L568" s="170">
        <v>43052</v>
      </c>
      <c r="M568" s="116">
        <v>215.25</v>
      </c>
      <c r="N568" s="116">
        <v>215.25</v>
      </c>
      <c r="O568" s="116">
        <v>205.75</v>
      </c>
      <c r="P568" s="116">
        <v>208.4</v>
      </c>
      <c r="Q568" s="116">
        <v>215.25</v>
      </c>
      <c r="R568">
        <v>1314450</v>
      </c>
    </row>
    <row r="569" spans="1:18" x14ac:dyDescent="0.25">
      <c r="A569" s="170">
        <v>43053</v>
      </c>
      <c r="B569" s="116">
        <v>222.35</v>
      </c>
      <c r="C569" s="116">
        <v>208.05</v>
      </c>
      <c r="D569" s="116">
        <v>207</v>
      </c>
      <c r="E569" s="116">
        <v>219.4</v>
      </c>
      <c r="F569" s="116">
        <v>208.05</v>
      </c>
      <c r="G569">
        <v>143152</v>
      </c>
      <c r="H569" s="116"/>
      <c r="I569" s="116"/>
      <c r="L569" s="170">
        <v>43053</v>
      </c>
      <c r="M569" s="116">
        <v>208.05</v>
      </c>
      <c r="N569" s="116">
        <v>222</v>
      </c>
      <c r="O569" s="116">
        <v>206.8</v>
      </c>
      <c r="P569" s="116">
        <v>218.9</v>
      </c>
      <c r="Q569" s="116">
        <v>208.05</v>
      </c>
      <c r="R569">
        <v>1017150</v>
      </c>
    </row>
    <row r="570" spans="1:18" x14ac:dyDescent="0.25">
      <c r="A570" s="170">
        <v>43054</v>
      </c>
      <c r="B570" s="116">
        <v>209</v>
      </c>
      <c r="C570" s="116">
        <v>198.6</v>
      </c>
      <c r="D570" s="116">
        <v>198</v>
      </c>
      <c r="E570" s="116">
        <v>208.85</v>
      </c>
      <c r="F570" s="116">
        <v>198.6</v>
      </c>
      <c r="G570">
        <v>72919</v>
      </c>
      <c r="H570" s="116"/>
      <c r="I570" s="116"/>
      <c r="L570" s="170">
        <v>43054</v>
      </c>
      <c r="M570" s="116">
        <v>198.45</v>
      </c>
      <c r="N570" s="116">
        <v>209.4</v>
      </c>
      <c r="O570" s="116">
        <v>197.65</v>
      </c>
      <c r="P570" s="116">
        <v>209.4</v>
      </c>
      <c r="Q570" s="116">
        <v>198.45</v>
      </c>
      <c r="R570">
        <v>844015</v>
      </c>
    </row>
    <row r="571" spans="1:18" x14ac:dyDescent="0.25">
      <c r="A571" s="170">
        <v>43055</v>
      </c>
      <c r="B571" s="116">
        <v>208.1</v>
      </c>
      <c r="C571" s="116">
        <v>206.3</v>
      </c>
      <c r="D571" s="116">
        <v>199.25</v>
      </c>
      <c r="E571" s="116">
        <v>200</v>
      </c>
      <c r="F571" s="116">
        <v>206.3</v>
      </c>
      <c r="G571">
        <v>112547</v>
      </c>
      <c r="H571" s="116"/>
      <c r="I571" s="116"/>
      <c r="L571" s="170">
        <v>43055</v>
      </c>
      <c r="M571" s="116">
        <v>206.15</v>
      </c>
      <c r="N571" s="116">
        <v>208.3</v>
      </c>
      <c r="O571" s="116">
        <v>199.1</v>
      </c>
      <c r="P571" s="116">
        <v>199.1</v>
      </c>
      <c r="Q571" s="116">
        <v>206.15</v>
      </c>
      <c r="R571">
        <v>925057</v>
      </c>
    </row>
    <row r="572" spans="1:18" x14ac:dyDescent="0.25">
      <c r="A572" s="170">
        <v>43056</v>
      </c>
      <c r="B572" s="116">
        <v>213</v>
      </c>
      <c r="C572" s="116">
        <v>210.3</v>
      </c>
      <c r="D572" s="116">
        <v>205.15</v>
      </c>
      <c r="E572" s="116">
        <v>206</v>
      </c>
      <c r="F572" s="116">
        <v>210.3</v>
      </c>
      <c r="G572">
        <v>81215</v>
      </c>
      <c r="H572" s="116"/>
      <c r="I572" s="116"/>
      <c r="L572" s="170">
        <v>43056</v>
      </c>
      <c r="M572" s="116">
        <v>211.15</v>
      </c>
      <c r="N572" s="116">
        <v>213</v>
      </c>
      <c r="O572" s="116">
        <v>205.25</v>
      </c>
      <c r="P572" s="116">
        <v>207.55</v>
      </c>
      <c r="Q572" s="116">
        <v>211.15</v>
      </c>
      <c r="R572">
        <v>967367</v>
      </c>
    </row>
    <row r="573" spans="1:18" x14ac:dyDescent="0.25">
      <c r="A573" s="170">
        <v>43059</v>
      </c>
      <c r="B573" s="116">
        <v>213.95</v>
      </c>
      <c r="C573" s="116">
        <v>210.9</v>
      </c>
      <c r="D573" s="116">
        <v>206</v>
      </c>
      <c r="E573" s="116">
        <v>211</v>
      </c>
      <c r="F573" s="116">
        <v>210.9</v>
      </c>
      <c r="G573">
        <v>63176</v>
      </c>
      <c r="H573" s="116"/>
      <c r="I573" s="116"/>
      <c r="L573" s="170">
        <v>43059</v>
      </c>
      <c r="M573" s="116">
        <v>211.05</v>
      </c>
      <c r="N573" s="116">
        <v>214.1</v>
      </c>
      <c r="O573" s="116">
        <v>205.75</v>
      </c>
      <c r="P573" s="116">
        <v>211</v>
      </c>
      <c r="Q573" s="116">
        <v>211.05</v>
      </c>
      <c r="R573">
        <v>656023</v>
      </c>
    </row>
    <row r="574" spans="1:18" x14ac:dyDescent="0.25">
      <c r="A574" s="170">
        <v>43060</v>
      </c>
      <c r="B574" s="116">
        <v>213.1</v>
      </c>
      <c r="C574" s="116">
        <v>206.05</v>
      </c>
      <c r="D574" s="116">
        <v>204.3</v>
      </c>
      <c r="E574" s="116">
        <v>212.45</v>
      </c>
      <c r="F574" s="116">
        <v>206.05</v>
      </c>
      <c r="G574">
        <v>115761</v>
      </c>
      <c r="H574" s="116"/>
      <c r="I574" s="116"/>
      <c r="L574" s="170">
        <v>43060</v>
      </c>
      <c r="M574" s="116">
        <v>206</v>
      </c>
      <c r="N574" s="116">
        <v>213.4</v>
      </c>
      <c r="O574" s="116">
        <v>203.8</v>
      </c>
      <c r="P574" s="116">
        <v>212.1</v>
      </c>
      <c r="Q574" s="116">
        <v>206</v>
      </c>
      <c r="R574">
        <v>904329</v>
      </c>
    </row>
    <row r="575" spans="1:18" x14ac:dyDescent="0.25">
      <c r="A575" s="170">
        <v>43061</v>
      </c>
      <c r="B575" s="116">
        <v>209</v>
      </c>
      <c r="C575" s="116">
        <v>206.45</v>
      </c>
      <c r="D575" s="116">
        <v>203.4</v>
      </c>
      <c r="E575" s="116">
        <v>204.5</v>
      </c>
      <c r="F575" s="116">
        <v>206.45</v>
      </c>
      <c r="G575">
        <v>94612</v>
      </c>
      <c r="H575" s="116"/>
      <c r="I575" s="116"/>
      <c r="L575" s="170">
        <v>43061</v>
      </c>
      <c r="M575" s="116">
        <v>205.75</v>
      </c>
      <c r="N575" s="116">
        <v>208.85</v>
      </c>
      <c r="O575" s="116">
        <v>203.2</v>
      </c>
      <c r="P575" s="116">
        <v>205.7</v>
      </c>
      <c r="Q575" s="116">
        <v>205.75</v>
      </c>
      <c r="R575">
        <v>1223861</v>
      </c>
    </row>
    <row r="576" spans="1:18" x14ac:dyDescent="0.25">
      <c r="A576" s="170">
        <v>43062</v>
      </c>
      <c r="B576" s="116">
        <v>211</v>
      </c>
      <c r="C576" s="116">
        <v>205.4</v>
      </c>
      <c r="D576" s="116">
        <v>204.45</v>
      </c>
      <c r="E576" s="116">
        <v>207.65</v>
      </c>
      <c r="F576" s="116">
        <v>205.4</v>
      </c>
      <c r="G576">
        <v>86266</v>
      </c>
      <c r="H576" s="116"/>
      <c r="I576" s="116"/>
      <c r="L576" s="170">
        <v>43062</v>
      </c>
      <c r="M576" s="116">
        <v>205.3</v>
      </c>
      <c r="N576" s="116">
        <v>211</v>
      </c>
      <c r="O576" s="116">
        <v>204</v>
      </c>
      <c r="P576" s="116">
        <v>208.65</v>
      </c>
      <c r="Q576" s="116">
        <v>205.3</v>
      </c>
      <c r="R576">
        <v>830315</v>
      </c>
    </row>
    <row r="577" spans="1:18" x14ac:dyDescent="0.25">
      <c r="A577" s="170">
        <v>43063</v>
      </c>
      <c r="B577" s="116">
        <v>208</v>
      </c>
      <c r="C577" s="116">
        <v>201</v>
      </c>
      <c r="D577" s="116">
        <v>198.8</v>
      </c>
      <c r="E577" s="116">
        <v>207</v>
      </c>
      <c r="F577" s="116">
        <v>201</v>
      </c>
      <c r="G577">
        <v>106959</v>
      </c>
      <c r="H577" s="116"/>
      <c r="I577" s="116"/>
      <c r="L577" s="170">
        <v>43063</v>
      </c>
      <c r="M577" s="116">
        <v>201.7</v>
      </c>
      <c r="N577" s="116">
        <v>208</v>
      </c>
      <c r="O577" s="116">
        <v>198.4</v>
      </c>
      <c r="P577" s="116">
        <v>207</v>
      </c>
      <c r="Q577" s="116">
        <v>201.7</v>
      </c>
      <c r="R577">
        <v>1261697</v>
      </c>
    </row>
    <row r="578" spans="1:18" x14ac:dyDescent="0.25">
      <c r="A578" s="170">
        <v>43066</v>
      </c>
      <c r="B578" s="116">
        <v>203.5</v>
      </c>
      <c r="C578" s="116">
        <v>196.95</v>
      </c>
      <c r="D578" s="116">
        <v>195.7</v>
      </c>
      <c r="E578" s="116">
        <v>202</v>
      </c>
      <c r="F578" s="116">
        <v>196.95</v>
      </c>
      <c r="G578">
        <v>74974</v>
      </c>
      <c r="H578" s="116"/>
      <c r="I578" s="116"/>
      <c r="L578" s="170">
        <v>43066</v>
      </c>
      <c r="M578" s="116">
        <v>196.25</v>
      </c>
      <c r="N578" s="116">
        <v>203.8</v>
      </c>
      <c r="O578" s="116">
        <v>195.15</v>
      </c>
      <c r="P578" s="116">
        <v>202</v>
      </c>
      <c r="Q578" s="116">
        <v>196.25</v>
      </c>
      <c r="R578">
        <v>1230420</v>
      </c>
    </row>
    <row r="579" spans="1:18" x14ac:dyDescent="0.25">
      <c r="A579" s="170">
        <v>43067</v>
      </c>
      <c r="B579" s="116">
        <v>198</v>
      </c>
      <c r="C579" s="116">
        <v>193.05</v>
      </c>
      <c r="D579" s="116">
        <v>191.55</v>
      </c>
      <c r="E579" s="116">
        <v>198</v>
      </c>
      <c r="F579" s="116">
        <v>193.05</v>
      </c>
      <c r="G579">
        <v>70839</v>
      </c>
      <c r="H579" s="116"/>
      <c r="I579" s="116"/>
      <c r="L579" s="170">
        <v>43067</v>
      </c>
      <c r="M579" s="116">
        <v>193.65</v>
      </c>
      <c r="N579" s="116">
        <v>200</v>
      </c>
      <c r="O579" s="116">
        <v>191.6</v>
      </c>
      <c r="P579" s="116">
        <v>200</v>
      </c>
      <c r="Q579" s="116">
        <v>193.65</v>
      </c>
      <c r="R579">
        <v>867488</v>
      </c>
    </row>
    <row r="580" spans="1:18" x14ac:dyDescent="0.25">
      <c r="A580" s="170">
        <v>43068</v>
      </c>
      <c r="B580" s="116">
        <v>194</v>
      </c>
      <c r="C580" s="116">
        <v>190.45</v>
      </c>
      <c r="D580" s="116">
        <v>189.15</v>
      </c>
      <c r="E580" s="116">
        <v>194</v>
      </c>
      <c r="F580" s="116">
        <v>190.45</v>
      </c>
      <c r="G580">
        <v>55768</v>
      </c>
      <c r="H580" s="116"/>
      <c r="I580" s="116"/>
      <c r="L580" s="170">
        <v>43068</v>
      </c>
      <c r="M580" s="116">
        <v>190.8</v>
      </c>
      <c r="N580" s="116">
        <v>196.65</v>
      </c>
      <c r="O580" s="116">
        <v>189</v>
      </c>
      <c r="P580" s="116">
        <v>193.6</v>
      </c>
      <c r="Q580" s="116">
        <v>190.8</v>
      </c>
      <c r="R580">
        <v>1052988</v>
      </c>
    </row>
    <row r="581" spans="1:18" x14ac:dyDescent="0.25">
      <c r="A581" s="170">
        <v>43069</v>
      </c>
      <c r="B581" s="116">
        <v>195.3</v>
      </c>
      <c r="C581" s="116">
        <v>183.4</v>
      </c>
      <c r="D581" s="116">
        <v>180.95</v>
      </c>
      <c r="E581" s="116">
        <v>191.15</v>
      </c>
      <c r="F581" s="116">
        <v>183.4</v>
      </c>
      <c r="G581">
        <v>115888</v>
      </c>
      <c r="H581" s="116"/>
      <c r="I581" s="116"/>
      <c r="L581" s="170">
        <v>43069</v>
      </c>
      <c r="M581" s="116">
        <v>183.7</v>
      </c>
      <c r="N581" s="116">
        <v>194.9</v>
      </c>
      <c r="O581" s="116">
        <v>181.3</v>
      </c>
      <c r="P581" s="116">
        <v>192.55</v>
      </c>
      <c r="Q581" s="116">
        <v>183.7</v>
      </c>
      <c r="R581">
        <v>4420320</v>
      </c>
    </row>
    <row r="582" spans="1:18" x14ac:dyDescent="0.25">
      <c r="A582" s="170">
        <v>43070</v>
      </c>
      <c r="B582" s="116">
        <v>183</v>
      </c>
      <c r="C582" s="116">
        <v>174.25</v>
      </c>
      <c r="D582" s="116">
        <v>174.25</v>
      </c>
      <c r="E582" s="116">
        <v>175</v>
      </c>
      <c r="F582" s="116">
        <v>174.25</v>
      </c>
      <c r="G582">
        <v>163773</v>
      </c>
      <c r="H582" s="116"/>
      <c r="I582" s="116"/>
      <c r="L582" s="170">
        <v>43070</v>
      </c>
      <c r="M582" s="116">
        <v>174.55</v>
      </c>
      <c r="N582" s="116">
        <v>183.7</v>
      </c>
      <c r="O582" s="116">
        <v>174.55</v>
      </c>
      <c r="P582" s="116">
        <v>180.7</v>
      </c>
      <c r="Q582" s="116">
        <v>174.55</v>
      </c>
      <c r="R582">
        <v>2198035</v>
      </c>
    </row>
    <row r="583" spans="1:18" x14ac:dyDescent="0.25">
      <c r="A583" s="170">
        <v>43073</v>
      </c>
      <c r="B583" s="116">
        <v>182.95</v>
      </c>
      <c r="C583" s="116">
        <v>182.6</v>
      </c>
      <c r="D583" s="116">
        <v>165.55</v>
      </c>
      <c r="E583" s="116">
        <v>174</v>
      </c>
      <c r="F583" s="116">
        <v>182.6</v>
      </c>
      <c r="G583">
        <v>149666</v>
      </c>
      <c r="H583" s="116"/>
      <c r="I583" s="116"/>
      <c r="L583" s="170">
        <v>43073</v>
      </c>
      <c r="M583" s="116">
        <v>182.95</v>
      </c>
      <c r="N583" s="116">
        <v>183.25</v>
      </c>
      <c r="O583" s="116">
        <v>165.85</v>
      </c>
      <c r="P583" s="116">
        <v>171.3</v>
      </c>
      <c r="Q583" s="116">
        <v>182.95</v>
      </c>
      <c r="R583">
        <v>1608006</v>
      </c>
    </row>
    <row r="584" spans="1:18" x14ac:dyDescent="0.25">
      <c r="A584" s="170">
        <v>43074</v>
      </c>
      <c r="B584" s="116">
        <v>191.7</v>
      </c>
      <c r="C584" s="116">
        <v>191.1</v>
      </c>
      <c r="D584" s="116">
        <v>176</v>
      </c>
      <c r="E584" s="116">
        <v>188.7</v>
      </c>
      <c r="F584" s="116">
        <v>191.1</v>
      </c>
      <c r="G584">
        <v>200726</v>
      </c>
      <c r="H584" s="116"/>
      <c r="I584" s="116"/>
      <c r="L584" s="170">
        <v>43074</v>
      </c>
      <c r="M584" s="116">
        <v>191.55</v>
      </c>
      <c r="N584" s="116">
        <v>192.05</v>
      </c>
      <c r="O584" s="116">
        <v>175.75</v>
      </c>
      <c r="P584" s="116">
        <v>185.05</v>
      </c>
      <c r="Q584" s="116">
        <v>191.55</v>
      </c>
      <c r="R584">
        <v>1363769</v>
      </c>
    </row>
    <row r="585" spans="1:18" x14ac:dyDescent="0.25">
      <c r="A585" s="170">
        <v>43075</v>
      </c>
      <c r="B585" s="116">
        <v>196.25</v>
      </c>
      <c r="C585" s="116">
        <v>194.5</v>
      </c>
      <c r="D585" s="116">
        <v>185.55</v>
      </c>
      <c r="E585" s="116">
        <v>190</v>
      </c>
      <c r="F585" s="116">
        <v>194.5</v>
      </c>
      <c r="G585">
        <v>119411</v>
      </c>
      <c r="H585" s="116"/>
      <c r="I585" s="116"/>
      <c r="L585" s="170">
        <v>43075</v>
      </c>
      <c r="M585" s="116">
        <v>194.75</v>
      </c>
      <c r="N585" s="116">
        <v>196.7</v>
      </c>
      <c r="O585" s="116">
        <v>185.3</v>
      </c>
      <c r="P585" s="116">
        <v>189.8</v>
      </c>
      <c r="Q585" s="116">
        <v>194.75</v>
      </c>
      <c r="R585">
        <v>1348007</v>
      </c>
    </row>
    <row r="586" spans="1:18" x14ac:dyDescent="0.25">
      <c r="A586" s="170">
        <v>43076</v>
      </c>
      <c r="B586" s="116">
        <v>196.55</v>
      </c>
      <c r="C586" s="116">
        <v>195.75</v>
      </c>
      <c r="D586" s="116">
        <v>191.55</v>
      </c>
      <c r="E586" s="116">
        <v>194</v>
      </c>
      <c r="F586" s="116">
        <v>195.75</v>
      </c>
      <c r="G586">
        <v>79237</v>
      </c>
      <c r="H586" s="116"/>
      <c r="I586" s="116"/>
      <c r="L586" s="170">
        <v>43076</v>
      </c>
      <c r="M586" s="116">
        <v>195.55</v>
      </c>
      <c r="N586" s="116">
        <v>196.8</v>
      </c>
      <c r="O586" s="116">
        <v>191.15</v>
      </c>
      <c r="P586" s="116">
        <v>195.3</v>
      </c>
      <c r="Q586" s="116">
        <v>195.55</v>
      </c>
      <c r="R586">
        <v>1123937</v>
      </c>
    </row>
    <row r="587" spans="1:18" x14ac:dyDescent="0.25">
      <c r="A587" s="170">
        <v>43077</v>
      </c>
      <c r="B587" s="116">
        <v>200.1</v>
      </c>
      <c r="C587" s="116">
        <v>195.6</v>
      </c>
      <c r="D587" s="116">
        <v>192.5</v>
      </c>
      <c r="E587" s="116">
        <v>197.7</v>
      </c>
      <c r="F587" s="116">
        <v>195.6</v>
      </c>
      <c r="G587">
        <v>157086</v>
      </c>
      <c r="H587" s="116"/>
      <c r="I587" s="116"/>
      <c r="L587" s="170">
        <v>43077</v>
      </c>
      <c r="M587" s="116">
        <v>195.3</v>
      </c>
      <c r="N587" s="116">
        <v>200</v>
      </c>
      <c r="O587" s="116">
        <v>192</v>
      </c>
      <c r="P587" s="116">
        <v>196.95</v>
      </c>
      <c r="Q587" s="116">
        <v>195.3</v>
      </c>
      <c r="R587">
        <v>964681</v>
      </c>
    </row>
    <row r="588" spans="1:18" x14ac:dyDescent="0.25">
      <c r="A588" s="170">
        <v>43080</v>
      </c>
      <c r="B588" s="116">
        <v>197</v>
      </c>
      <c r="C588" s="116">
        <v>196.1</v>
      </c>
      <c r="D588" s="116">
        <v>192.25</v>
      </c>
      <c r="E588" s="116">
        <v>195</v>
      </c>
      <c r="F588" s="116">
        <v>196.1</v>
      </c>
      <c r="G588">
        <v>51003</v>
      </c>
      <c r="H588" s="116"/>
      <c r="I588" s="116"/>
      <c r="L588" s="170">
        <v>43080</v>
      </c>
      <c r="M588" s="116">
        <v>195.85</v>
      </c>
      <c r="N588" s="116">
        <v>197.9</v>
      </c>
      <c r="O588" s="116">
        <v>192.1</v>
      </c>
      <c r="P588" s="116">
        <v>197.9</v>
      </c>
      <c r="Q588" s="116">
        <v>195.85</v>
      </c>
      <c r="R588">
        <v>479496</v>
      </c>
    </row>
    <row r="589" spans="1:18" x14ac:dyDescent="0.25">
      <c r="A589" s="170">
        <v>43081</v>
      </c>
      <c r="B589" s="116">
        <v>196.5</v>
      </c>
      <c r="C589" s="116">
        <v>193.2</v>
      </c>
      <c r="D589" s="116">
        <v>191.6</v>
      </c>
      <c r="E589" s="116">
        <v>196.35</v>
      </c>
      <c r="F589" s="116">
        <v>193.2</v>
      </c>
      <c r="G589">
        <v>46582</v>
      </c>
      <c r="H589" s="116"/>
      <c r="I589" s="116"/>
      <c r="L589" s="170">
        <v>43081</v>
      </c>
      <c r="M589" s="116">
        <v>193.9</v>
      </c>
      <c r="N589" s="116">
        <v>197.4</v>
      </c>
      <c r="O589" s="116">
        <v>191</v>
      </c>
      <c r="P589" s="116">
        <v>197</v>
      </c>
      <c r="Q589" s="116">
        <v>193.9</v>
      </c>
      <c r="R589">
        <v>971595</v>
      </c>
    </row>
    <row r="590" spans="1:18" x14ac:dyDescent="0.25">
      <c r="A590" s="170">
        <v>43082</v>
      </c>
      <c r="B590" s="116">
        <v>194.85</v>
      </c>
      <c r="C590" s="116">
        <v>191.95</v>
      </c>
      <c r="D590" s="116">
        <v>189.3</v>
      </c>
      <c r="E590" s="116">
        <v>193.8</v>
      </c>
      <c r="F590" s="116">
        <v>191.95</v>
      </c>
      <c r="G590">
        <v>50487</v>
      </c>
      <c r="H590" s="116"/>
      <c r="I590" s="116"/>
      <c r="L590" s="170">
        <v>43082</v>
      </c>
      <c r="M590" s="116">
        <v>192</v>
      </c>
      <c r="N590" s="116">
        <v>194.8</v>
      </c>
      <c r="O590" s="116">
        <v>189.55</v>
      </c>
      <c r="P590" s="116">
        <v>194.1</v>
      </c>
      <c r="Q590" s="116">
        <v>192</v>
      </c>
      <c r="R590">
        <v>869756</v>
      </c>
    </row>
    <row r="591" spans="1:18" x14ac:dyDescent="0.25">
      <c r="A591" s="170">
        <v>43083</v>
      </c>
      <c r="B591" s="116">
        <v>193.85</v>
      </c>
      <c r="C591" s="116">
        <v>192.15</v>
      </c>
      <c r="D591" s="116">
        <v>189.5</v>
      </c>
      <c r="E591" s="116">
        <v>191</v>
      </c>
      <c r="F591" s="116">
        <v>192.15</v>
      </c>
      <c r="G591">
        <v>25017</v>
      </c>
      <c r="H591" s="116"/>
      <c r="I591" s="116"/>
      <c r="L591" s="170">
        <v>43083</v>
      </c>
      <c r="M591" s="116">
        <v>192.25</v>
      </c>
      <c r="N591" s="116">
        <v>193.85</v>
      </c>
      <c r="O591" s="116">
        <v>189.1</v>
      </c>
      <c r="P591" s="116">
        <v>190.3</v>
      </c>
      <c r="Q591" s="116">
        <v>192.25</v>
      </c>
      <c r="R591">
        <v>939984</v>
      </c>
    </row>
    <row r="592" spans="1:18" x14ac:dyDescent="0.25">
      <c r="A592" s="170">
        <v>43084</v>
      </c>
      <c r="B592" s="116">
        <v>208.9</v>
      </c>
      <c r="C592" s="116">
        <v>203.65</v>
      </c>
      <c r="D592" s="116">
        <v>195.45</v>
      </c>
      <c r="E592" s="116">
        <v>198.9</v>
      </c>
      <c r="F592" s="116">
        <v>203.65</v>
      </c>
      <c r="G592">
        <v>106743</v>
      </c>
      <c r="H592" s="116"/>
      <c r="I592" s="116"/>
      <c r="L592" s="170">
        <v>43084</v>
      </c>
      <c r="M592" s="116">
        <v>203.45</v>
      </c>
      <c r="N592" s="116">
        <v>209</v>
      </c>
      <c r="O592" s="116">
        <v>195.25</v>
      </c>
      <c r="P592" s="116">
        <v>200</v>
      </c>
      <c r="Q592" s="116">
        <v>203.45</v>
      </c>
      <c r="R592">
        <v>1831623</v>
      </c>
    </row>
    <row r="593" spans="1:18" x14ac:dyDescent="0.25">
      <c r="A593" s="170">
        <v>43087</v>
      </c>
      <c r="B593" s="116">
        <v>214.5</v>
      </c>
      <c r="C593" s="116">
        <v>202.95</v>
      </c>
      <c r="D593" s="116">
        <v>184</v>
      </c>
      <c r="E593" s="116">
        <v>204</v>
      </c>
      <c r="F593" s="116">
        <v>202.95</v>
      </c>
      <c r="G593">
        <v>281779</v>
      </c>
      <c r="H593" s="116"/>
      <c r="I593" s="116"/>
      <c r="L593" s="170">
        <v>43087</v>
      </c>
      <c r="M593" s="116">
        <v>203.45</v>
      </c>
      <c r="N593" s="116">
        <v>214.8</v>
      </c>
      <c r="O593" s="116">
        <v>186.6</v>
      </c>
      <c r="P593" s="116">
        <v>200</v>
      </c>
      <c r="Q593" s="116">
        <v>203.45</v>
      </c>
      <c r="R593">
        <v>1572428</v>
      </c>
    </row>
    <row r="594" spans="1:18" x14ac:dyDescent="0.25">
      <c r="A594" s="170">
        <v>43088</v>
      </c>
      <c r="B594" s="116">
        <v>219.7</v>
      </c>
      <c r="C594" s="116">
        <v>204.2</v>
      </c>
      <c r="D594" s="116">
        <v>201</v>
      </c>
      <c r="E594" s="116">
        <v>219.7</v>
      </c>
      <c r="F594" s="116">
        <v>204.2</v>
      </c>
      <c r="G594">
        <v>146892</v>
      </c>
      <c r="H594" s="116"/>
      <c r="I594" s="116"/>
      <c r="L594" s="170">
        <v>43088</v>
      </c>
      <c r="M594" s="116">
        <v>203.85</v>
      </c>
      <c r="N594" s="116">
        <v>213.4</v>
      </c>
      <c r="O594" s="116">
        <v>200.25</v>
      </c>
      <c r="P594" s="116">
        <v>208</v>
      </c>
      <c r="Q594" s="116">
        <v>203.85</v>
      </c>
      <c r="R594">
        <v>1006549</v>
      </c>
    </row>
    <row r="595" spans="1:18" x14ac:dyDescent="0.25">
      <c r="A595" s="170">
        <v>43089</v>
      </c>
      <c r="B595" s="116">
        <v>207.8</v>
      </c>
      <c r="C595" s="116">
        <v>204.85</v>
      </c>
      <c r="D595" s="116">
        <v>202.7</v>
      </c>
      <c r="E595" s="116">
        <v>206</v>
      </c>
      <c r="F595" s="116">
        <v>204.85</v>
      </c>
      <c r="G595">
        <v>74932</v>
      </c>
      <c r="H595" s="116"/>
      <c r="I595" s="116"/>
      <c r="L595" s="170">
        <v>43089</v>
      </c>
      <c r="M595" s="116">
        <v>205.5</v>
      </c>
      <c r="N595" s="116">
        <v>208.05</v>
      </c>
      <c r="O595" s="116">
        <v>202.15</v>
      </c>
      <c r="P595" s="116">
        <v>207.9</v>
      </c>
      <c r="Q595" s="116">
        <v>205.5</v>
      </c>
      <c r="R595">
        <v>1080232</v>
      </c>
    </row>
    <row r="596" spans="1:18" x14ac:dyDescent="0.25">
      <c r="A596" s="170">
        <v>43090</v>
      </c>
      <c r="B596" s="116">
        <v>225.3</v>
      </c>
      <c r="C596" s="116">
        <v>225.25</v>
      </c>
      <c r="D596" s="116">
        <v>204.05</v>
      </c>
      <c r="E596" s="116">
        <v>205.5</v>
      </c>
      <c r="F596" s="116">
        <v>225.25</v>
      </c>
      <c r="G596">
        <v>474834</v>
      </c>
      <c r="H596" s="116"/>
      <c r="I596" s="116"/>
      <c r="L596" s="170">
        <v>43090</v>
      </c>
      <c r="M596" s="116">
        <v>225.85</v>
      </c>
      <c r="N596" s="116">
        <v>226.05</v>
      </c>
      <c r="O596" s="116">
        <v>203.55</v>
      </c>
      <c r="P596" s="116">
        <v>205</v>
      </c>
      <c r="Q596" s="116">
        <v>225.85</v>
      </c>
      <c r="R596">
        <v>3925014</v>
      </c>
    </row>
    <row r="597" spans="1:18" x14ac:dyDescent="0.25">
      <c r="A597" s="170">
        <v>43091</v>
      </c>
      <c r="B597" s="116">
        <v>247.75</v>
      </c>
      <c r="C597" s="116">
        <v>235.6</v>
      </c>
      <c r="D597" s="116">
        <v>228.45</v>
      </c>
      <c r="E597" s="116">
        <v>228.95</v>
      </c>
      <c r="F597" s="116">
        <v>235.6</v>
      </c>
      <c r="G597">
        <v>552633</v>
      </c>
      <c r="H597" s="116"/>
      <c r="I597" s="116"/>
      <c r="L597" s="170">
        <v>43091</v>
      </c>
      <c r="M597" s="116">
        <v>235.8</v>
      </c>
      <c r="N597" s="116">
        <v>248</v>
      </c>
      <c r="O597" s="116">
        <v>229</v>
      </c>
      <c r="P597" s="116">
        <v>229</v>
      </c>
      <c r="Q597" s="116">
        <v>235.8</v>
      </c>
      <c r="R597">
        <v>4404014</v>
      </c>
    </row>
    <row r="598" spans="1:18" x14ac:dyDescent="0.25">
      <c r="A598" s="170">
        <v>43095</v>
      </c>
      <c r="B598" s="116">
        <v>238</v>
      </c>
      <c r="C598" s="116">
        <v>227.5</v>
      </c>
      <c r="D598" s="116">
        <v>223.35</v>
      </c>
      <c r="E598" s="116">
        <v>238</v>
      </c>
      <c r="F598" s="116">
        <v>227.5</v>
      </c>
      <c r="G598">
        <v>166994</v>
      </c>
      <c r="H598" s="116"/>
      <c r="I598" s="116"/>
      <c r="L598" s="170">
        <v>43095</v>
      </c>
      <c r="M598" s="116">
        <v>227.05</v>
      </c>
      <c r="N598" s="116">
        <v>237.6</v>
      </c>
      <c r="O598" s="116">
        <v>222.6</v>
      </c>
      <c r="P598" s="116">
        <v>236.75</v>
      </c>
      <c r="Q598" s="116">
        <v>227.05</v>
      </c>
      <c r="R598">
        <v>1039559</v>
      </c>
    </row>
    <row r="599" spans="1:18" x14ac:dyDescent="0.25">
      <c r="A599" s="170">
        <v>43096</v>
      </c>
      <c r="B599" s="116">
        <v>231.25</v>
      </c>
      <c r="C599" s="116">
        <v>222.65</v>
      </c>
      <c r="D599" s="116">
        <v>219.5</v>
      </c>
      <c r="E599" s="116">
        <v>227.5</v>
      </c>
      <c r="F599" s="116">
        <v>222.65</v>
      </c>
      <c r="G599">
        <v>81577</v>
      </c>
      <c r="H599" s="116"/>
      <c r="I599" s="116"/>
      <c r="L599" s="170">
        <v>43096</v>
      </c>
      <c r="M599" s="116">
        <v>223.85</v>
      </c>
      <c r="N599" s="116">
        <v>231.6</v>
      </c>
      <c r="O599" s="116">
        <v>222.5</v>
      </c>
      <c r="P599" s="116">
        <v>227</v>
      </c>
      <c r="Q599" s="116">
        <v>223.85</v>
      </c>
      <c r="R599">
        <v>955956</v>
      </c>
    </row>
    <row r="600" spans="1:18" x14ac:dyDescent="0.25">
      <c r="A600" s="170">
        <v>43097</v>
      </c>
      <c r="B600" s="116">
        <v>226.25</v>
      </c>
      <c r="C600" s="116">
        <v>221.9</v>
      </c>
      <c r="D600" s="116">
        <v>219.05</v>
      </c>
      <c r="E600" s="116">
        <v>223</v>
      </c>
      <c r="F600" s="116">
        <v>221.9</v>
      </c>
      <c r="G600">
        <v>85185</v>
      </c>
      <c r="H600" s="116"/>
      <c r="I600" s="116"/>
      <c r="L600" s="170">
        <v>43097</v>
      </c>
      <c r="M600" s="116">
        <v>222.2</v>
      </c>
      <c r="N600" s="116">
        <v>226.5</v>
      </c>
      <c r="O600" s="116">
        <v>218.9</v>
      </c>
      <c r="P600" s="116">
        <v>224.7</v>
      </c>
      <c r="Q600" s="116">
        <v>222.2</v>
      </c>
      <c r="R600">
        <v>1305203</v>
      </c>
    </row>
    <row r="601" spans="1:18" x14ac:dyDescent="0.25">
      <c r="A601" s="170">
        <v>43098</v>
      </c>
      <c r="B601" s="116">
        <v>228.6</v>
      </c>
      <c r="C601" s="116">
        <v>223.5</v>
      </c>
      <c r="D601" s="116">
        <v>219.45</v>
      </c>
      <c r="E601" s="116">
        <v>221.95</v>
      </c>
      <c r="F601" s="116">
        <v>223.5</v>
      </c>
      <c r="G601">
        <v>58006</v>
      </c>
      <c r="H601" s="116"/>
      <c r="I601" s="116"/>
      <c r="L601" s="170">
        <v>43098</v>
      </c>
      <c r="M601" s="116">
        <v>224.15</v>
      </c>
      <c r="N601" s="116">
        <v>228.65</v>
      </c>
      <c r="O601" s="116">
        <v>219.4</v>
      </c>
      <c r="P601" s="116">
        <v>223.9</v>
      </c>
      <c r="Q601" s="116">
        <v>224.15</v>
      </c>
      <c r="R601">
        <v>959283</v>
      </c>
    </row>
    <row r="602" spans="1:18" x14ac:dyDescent="0.25">
      <c r="A602" s="170">
        <v>43101</v>
      </c>
      <c r="B602" s="116">
        <v>227</v>
      </c>
      <c r="C602" s="116">
        <v>219.25</v>
      </c>
      <c r="D602" s="116">
        <v>218</v>
      </c>
      <c r="E602" s="116">
        <v>223.55</v>
      </c>
      <c r="F602" s="116">
        <v>219.25</v>
      </c>
      <c r="G602">
        <v>76276</v>
      </c>
      <c r="H602" s="116"/>
      <c r="I602" s="116"/>
      <c r="L602" s="170">
        <v>43101</v>
      </c>
      <c r="M602" s="116">
        <v>219.7</v>
      </c>
      <c r="N602" s="116">
        <v>226.8</v>
      </c>
      <c r="O602" s="116">
        <v>218.5</v>
      </c>
      <c r="P602" s="116">
        <v>224.15</v>
      </c>
      <c r="Q602" s="116">
        <v>219.7</v>
      </c>
      <c r="R602">
        <v>1005616</v>
      </c>
    </row>
    <row r="603" spans="1:18" x14ac:dyDescent="0.25">
      <c r="A603" s="170">
        <v>43102</v>
      </c>
      <c r="B603" s="116">
        <v>222.1</v>
      </c>
      <c r="C603" s="116">
        <v>210.5</v>
      </c>
      <c r="D603" s="116">
        <v>207.85</v>
      </c>
      <c r="E603" s="116">
        <v>220.1</v>
      </c>
      <c r="F603" s="116">
        <v>210.5</v>
      </c>
      <c r="G603">
        <v>133832</v>
      </c>
      <c r="H603" s="116"/>
      <c r="I603" s="116"/>
      <c r="L603" s="170">
        <v>43102</v>
      </c>
      <c r="M603" s="116">
        <v>210.5</v>
      </c>
      <c r="N603" s="116">
        <v>222</v>
      </c>
      <c r="O603" s="116">
        <v>207.2</v>
      </c>
      <c r="P603" s="116">
        <v>221.65</v>
      </c>
      <c r="Q603" s="116">
        <v>210.5</v>
      </c>
      <c r="R603">
        <v>1147294</v>
      </c>
    </row>
    <row r="604" spans="1:18" x14ac:dyDescent="0.25">
      <c r="A604" s="170">
        <v>43103</v>
      </c>
      <c r="B604" s="116">
        <v>217.5</v>
      </c>
      <c r="C604" s="116">
        <v>212</v>
      </c>
      <c r="D604" s="116">
        <v>210.25</v>
      </c>
      <c r="E604" s="116">
        <v>212.55</v>
      </c>
      <c r="F604" s="116">
        <v>212</v>
      </c>
      <c r="G604">
        <v>104675</v>
      </c>
      <c r="H604" s="116"/>
      <c r="I604" s="116"/>
      <c r="L604" s="170">
        <v>43103</v>
      </c>
      <c r="M604" s="116">
        <v>212</v>
      </c>
      <c r="N604" s="116">
        <v>217.45</v>
      </c>
      <c r="O604" s="116">
        <v>210</v>
      </c>
      <c r="P604" s="116">
        <v>212.8</v>
      </c>
      <c r="Q604" s="116">
        <v>212</v>
      </c>
      <c r="R604">
        <v>900926</v>
      </c>
    </row>
    <row r="605" spans="1:18" x14ac:dyDescent="0.25">
      <c r="A605" s="170">
        <v>43104</v>
      </c>
      <c r="B605" s="116">
        <v>215.35</v>
      </c>
      <c r="C605" s="116">
        <v>212.6</v>
      </c>
      <c r="D605" s="116">
        <v>211.05</v>
      </c>
      <c r="E605" s="116">
        <v>215</v>
      </c>
      <c r="F605" s="116">
        <v>212.6</v>
      </c>
      <c r="G605">
        <v>62143</v>
      </c>
      <c r="H605" s="116"/>
      <c r="I605" s="116"/>
      <c r="L605" s="170">
        <v>43104</v>
      </c>
      <c r="M605" s="116">
        <v>212.6</v>
      </c>
      <c r="N605" s="116">
        <v>215.45</v>
      </c>
      <c r="O605" s="116">
        <v>211.5</v>
      </c>
      <c r="P605" s="116">
        <v>214.1</v>
      </c>
      <c r="Q605" s="116">
        <v>212.6</v>
      </c>
      <c r="R605">
        <v>979025</v>
      </c>
    </row>
    <row r="606" spans="1:18" x14ac:dyDescent="0.25">
      <c r="A606" s="170">
        <v>43105</v>
      </c>
      <c r="B606" s="116">
        <v>215.25</v>
      </c>
      <c r="C606" s="116">
        <v>210.25</v>
      </c>
      <c r="D606" s="116">
        <v>208.85</v>
      </c>
      <c r="E606" s="116">
        <v>214.3</v>
      </c>
      <c r="F606" s="116">
        <v>210.25</v>
      </c>
      <c r="G606">
        <v>117135</v>
      </c>
      <c r="H606" s="116"/>
      <c r="I606" s="116"/>
      <c r="L606" s="170">
        <v>43105</v>
      </c>
      <c r="M606" s="116">
        <v>209.65</v>
      </c>
      <c r="N606" s="116">
        <v>215</v>
      </c>
      <c r="O606" s="116">
        <v>208.15</v>
      </c>
      <c r="P606" s="116">
        <v>214.1</v>
      </c>
      <c r="Q606" s="116">
        <v>209.65</v>
      </c>
      <c r="R606">
        <v>1147372</v>
      </c>
    </row>
    <row r="607" spans="1:18" x14ac:dyDescent="0.25">
      <c r="A607" s="170">
        <v>43108</v>
      </c>
      <c r="B607" s="116">
        <v>215</v>
      </c>
      <c r="C607" s="116">
        <v>211</v>
      </c>
      <c r="D607" s="116">
        <v>209.3</v>
      </c>
      <c r="E607" s="116">
        <v>214.95</v>
      </c>
      <c r="F607" s="116">
        <v>211</v>
      </c>
      <c r="G607">
        <v>93427</v>
      </c>
      <c r="H607" s="116"/>
      <c r="I607" s="116"/>
      <c r="L607" s="170">
        <v>43108</v>
      </c>
      <c r="M607" s="116">
        <v>210.95</v>
      </c>
      <c r="N607" s="116">
        <v>213</v>
      </c>
      <c r="O607" s="116">
        <v>208.65</v>
      </c>
      <c r="P607" s="116">
        <v>211.95</v>
      </c>
      <c r="Q607" s="116">
        <v>210.95</v>
      </c>
      <c r="R607">
        <v>981657</v>
      </c>
    </row>
    <row r="608" spans="1:18" x14ac:dyDescent="0.25">
      <c r="A608" s="170">
        <v>43109</v>
      </c>
      <c r="B608" s="116">
        <v>214</v>
      </c>
      <c r="C608" s="116">
        <v>211.7</v>
      </c>
      <c r="D608" s="116">
        <v>209.65</v>
      </c>
      <c r="E608" s="116">
        <v>213</v>
      </c>
      <c r="F608" s="116">
        <v>211.7</v>
      </c>
      <c r="G608">
        <v>62311</v>
      </c>
      <c r="H608" s="116"/>
      <c r="I608" s="116"/>
      <c r="L608" s="170">
        <v>43109</v>
      </c>
      <c r="M608" s="116">
        <v>212.1</v>
      </c>
      <c r="N608" s="116">
        <v>214</v>
      </c>
      <c r="O608" s="116">
        <v>209.35</v>
      </c>
      <c r="P608" s="116">
        <v>212.5</v>
      </c>
      <c r="Q608" s="116">
        <v>212.1</v>
      </c>
      <c r="R608">
        <v>911476</v>
      </c>
    </row>
    <row r="609" spans="1:18" x14ac:dyDescent="0.25">
      <c r="A609" s="170">
        <v>43110</v>
      </c>
      <c r="B609" s="116">
        <v>221.2</v>
      </c>
      <c r="C609" s="116">
        <v>214.5</v>
      </c>
      <c r="D609" s="116">
        <v>210</v>
      </c>
      <c r="E609" s="116">
        <v>214.9</v>
      </c>
      <c r="F609" s="116">
        <v>214.5</v>
      </c>
      <c r="G609">
        <v>116962</v>
      </c>
      <c r="H609" s="116"/>
      <c r="I609" s="116"/>
      <c r="L609" s="170">
        <v>43110</v>
      </c>
      <c r="M609" s="116">
        <v>214.15</v>
      </c>
      <c r="N609" s="116">
        <v>221.4</v>
      </c>
      <c r="O609" s="116">
        <v>209.65</v>
      </c>
      <c r="P609" s="116">
        <v>213</v>
      </c>
      <c r="Q609" s="116">
        <v>214.15</v>
      </c>
      <c r="R609">
        <v>1079707</v>
      </c>
    </row>
    <row r="610" spans="1:18" x14ac:dyDescent="0.25">
      <c r="A610" s="170">
        <v>43111</v>
      </c>
      <c r="B610" s="116">
        <v>222.25</v>
      </c>
      <c r="C610" s="116">
        <v>218</v>
      </c>
      <c r="D610" s="116">
        <v>212</v>
      </c>
      <c r="E610" s="116">
        <v>212</v>
      </c>
      <c r="F610" s="116">
        <v>218</v>
      </c>
      <c r="G610">
        <v>60171</v>
      </c>
      <c r="H610" s="116"/>
      <c r="I610" s="116"/>
      <c r="L610" s="170">
        <v>43111</v>
      </c>
      <c r="M610" s="116">
        <v>218.25</v>
      </c>
      <c r="N610" s="116">
        <v>222.75</v>
      </c>
      <c r="O610" s="116">
        <v>213.8</v>
      </c>
      <c r="P610" s="116">
        <v>215.85</v>
      </c>
      <c r="Q610" s="116">
        <v>218.25</v>
      </c>
      <c r="R610">
        <v>931263</v>
      </c>
    </row>
    <row r="611" spans="1:18" x14ac:dyDescent="0.25">
      <c r="A611" s="170">
        <v>43112</v>
      </c>
      <c r="B611" s="116">
        <v>225</v>
      </c>
      <c r="C611" s="116">
        <v>219.75</v>
      </c>
      <c r="D611" s="116">
        <v>217.85</v>
      </c>
      <c r="E611" s="116">
        <v>218.5</v>
      </c>
      <c r="F611" s="116">
        <v>219.75</v>
      </c>
      <c r="G611">
        <v>97923</v>
      </c>
      <c r="H611" s="116"/>
      <c r="I611" s="116"/>
      <c r="L611" s="170">
        <v>43112</v>
      </c>
      <c r="M611" s="116">
        <v>220.35</v>
      </c>
      <c r="N611" s="116">
        <v>225</v>
      </c>
      <c r="O611" s="116">
        <v>218.4</v>
      </c>
      <c r="P611" s="116">
        <v>219</v>
      </c>
      <c r="Q611" s="116">
        <v>220.35</v>
      </c>
      <c r="R611">
        <v>988880</v>
      </c>
    </row>
    <row r="612" spans="1:18" x14ac:dyDescent="0.25">
      <c r="A612" s="170">
        <v>43115</v>
      </c>
      <c r="B612" s="116">
        <v>227</v>
      </c>
      <c r="C612" s="116">
        <v>223.7</v>
      </c>
      <c r="D612" s="116">
        <v>221.05</v>
      </c>
      <c r="E612" s="116">
        <v>223.55</v>
      </c>
      <c r="F612" s="116">
        <v>223.7</v>
      </c>
      <c r="G612">
        <v>71762</v>
      </c>
      <c r="H612" s="116"/>
      <c r="I612" s="116"/>
      <c r="L612" s="170">
        <v>43115</v>
      </c>
      <c r="M612" s="116">
        <v>223.85</v>
      </c>
      <c r="N612" s="116">
        <v>227</v>
      </c>
      <c r="O612" s="116">
        <v>220.8</v>
      </c>
      <c r="P612" s="116">
        <v>222</v>
      </c>
      <c r="Q612" s="116">
        <v>223.85</v>
      </c>
      <c r="R612">
        <v>949054</v>
      </c>
    </row>
    <row r="613" spans="1:18" x14ac:dyDescent="0.25">
      <c r="A613" s="170">
        <v>43116</v>
      </c>
      <c r="B613" s="116">
        <v>229</v>
      </c>
      <c r="C613" s="116">
        <v>223.4</v>
      </c>
      <c r="D613" s="116">
        <v>219.4</v>
      </c>
      <c r="E613" s="116">
        <v>222.25</v>
      </c>
      <c r="F613" s="116">
        <v>223.4</v>
      </c>
      <c r="G613">
        <v>114697</v>
      </c>
      <c r="H613" s="116"/>
      <c r="I613" s="116"/>
      <c r="L613" s="170">
        <v>43116</v>
      </c>
      <c r="M613" s="116">
        <v>223.9</v>
      </c>
      <c r="N613" s="116">
        <v>228.45</v>
      </c>
      <c r="O613" s="116">
        <v>219</v>
      </c>
      <c r="P613" s="116">
        <v>224.35</v>
      </c>
      <c r="Q613" s="116">
        <v>223.9</v>
      </c>
      <c r="R613">
        <v>1020929</v>
      </c>
    </row>
    <row r="614" spans="1:18" x14ac:dyDescent="0.25">
      <c r="A614" s="170">
        <v>43117</v>
      </c>
      <c r="B614" s="116">
        <v>234.9</v>
      </c>
      <c r="C614" s="116">
        <v>231.4</v>
      </c>
      <c r="D614" s="116">
        <v>223</v>
      </c>
      <c r="E614" s="116">
        <v>227.95</v>
      </c>
      <c r="F614" s="116">
        <v>231.4</v>
      </c>
      <c r="G614">
        <v>296101</v>
      </c>
      <c r="H614" s="116"/>
      <c r="I614" s="116"/>
      <c r="L614" s="170">
        <v>43117</v>
      </c>
      <c r="M614" s="116">
        <v>231.1</v>
      </c>
      <c r="N614" s="116">
        <v>235</v>
      </c>
      <c r="O614" s="116">
        <v>221.05</v>
      </c>
      <c r="P614" s="116">
        <v>224.9</v>
      </c>
      <c r="Q614" s="116">
        <v>231.1</v>
      </c>
      <c r="R614">
        <v>1750126</v>
      </c>
    </row>
    <row r="615" spans="1:18" x14ac:dyDescent="0.25">
      <c r="A615" s="170">
        <v>43118</v>
      </c>
      <c r="B615" s="116">
        <v>252</v>
      </c>
      <c r="C615" s="116">
        <v>228.45</v>
      </c>
      <c r="D615" s="116">
        <v>221.7</v>
      </c>
      <c r="E615" s="116">
        <v>252</v>
      </c>
      <c r="F615" s="116">
        <v>228.45</v>
      </c>
      <c r="G615">
        <v>394731</v>
      </c>
      <c r="H615" s="116"/>
      <c r="I615" s="116"/>
      <c r="L615" s="170">
        <v>43118</v>
      </c>
      <c r="M615" s="116">
        <v>227.75</v>
      </c>
      <c r="N615" s="116">
        <v>254.2</v>
      </c>
      <c r="O615" s="116">
        <v>221.05</v>
      </c>
      <c r="P615" s="116">
        <v>251</v>
      </c>
      <c r="Q615" s="116">
        <v>227.75</v>
      </c>
      <c r="R615">
        <v>2368055</v>
      </c>
    </row>
    <row r="616" spans="1:18" x14ac:dyDescent="0.25">
      <c r="A616" s="170">
        <v>43119</v>
      </c>
      <c r="B616" s="116">
        <v>232.4</v>
      </c>
      <c r="C616" s="116">
        <v>227.85</v>
      </c>
      <c r="D616" s="116">
        <v>222.05</v>
      </c>
      <c r="E616" s="116">
        <v>227</v>
      </c>
      <c r="F616" s="116">
        <v>227.85</v>
      </c>
      <c r="G616">
        <v>123482</v>
      </c>
      <c r="H616" s="116"/>
      <c r="I616" s="116"/>
      <c r="L616" s="170">
        <v>43119</v>
      </c>
      <c r="M616" s="116">
        <v>228.35</v>
      </c>
      <c r="N616" s="116">
        <v>232.45</v>
      </c>
      <c r="O616" s="116">
        <v>222.15</v>
      </c>
      <c r="P616" s="116">
        <v>226.1</v>
      </c>
      <c r="Q616" s="116">
        <v>228.35</v>
      </c>
      <c r="R616">
        <v>892009</v>
      </c>
    </row>
    <row r="617" spans="1:18" x14ac:dyDescent="0.25">
      <c r="A617" s="170">
        <v>43122</v>
      </c>
      <c r="B617" s="116">
        <v>228.85</v>
      </c>
      <c r="C617" s="116">
        <v>226.15</v>
      </c>
      <c r="D617" s="116">
        <v>221.45</v>
      </c>
      <c r="E617" s="116">
        <v>225.2</v>
      </c>
      <c r="F617" s="116">
        <v>226.15</v>
      </c>
      <c r="G617">
        <v>218191</v>
      </c>
      <c r="H617" s="116"/>
      <c r="I617" s="116"/>
      <c r="L617" s="170">
        <v>43122</v>
      </c>
      <c r="M617" s="116">
        <v>227.3</v>
      </c>
      <c r="N617" s="116">
        <v>230</v>
      </c>
      <c r="O617" s="116">
        <v>221.9</v>
      </c>
      <c r="P617" s="116">
        <v>225.1</v>
      </c>
      <c r="Q617" s="116">
        <v>227.3</v>
      </c>
      <c r="R617">
        <v>868153</v>
      </c>
    </row>
    <row r="618" spans="1:18" x14ac:dyDescent="0.25">
      <c r="A618" s="170">
        <v>43123</v>
      </c>
      <c r="B618" s="116">
        <v>228.3</v>
      </c>
      <c r="C618" s="116">
        <v>222.85</v>
      </c>
      <c r="D618" s="116">
        <v>221.5</v>
      </c>
      <c r="E618" s="116">
        <v>226.3</v>
      </c>
      <c r="F618" s="116">
        <v>222.85</v>
      </c>
      <c r="G618">
        <v>70667</v>
      </c>
      <c r="H618" s="116"/>
      <c r="I618" s="116"/>
      <c r="L618" s="170">
        <v>43123</v>
      </c>
      <c r="M618" s="116">
        <v>222.85</v>
      </c>
      <c r="N618" s="116">
        <v>229</v>
      </c>
      <c r="O618" s="116">
        <v>221.65</v>
      </c>
      <c r="P618" s="116">
        <v>225.35</v>
      </c>
      <c r="Q618" s="116">
        <v>222.85</v>
      </c>
      <c r="R618">
        <v>886270</v>
      </c>
    </row>
    <row r="619" spans="1:18" x14ac:dyDescent="0.25">
      <c r="A619" s="170">
        <v>43124</v>
      </c>
      <c r="B619" s="116">
        <v>223.7</v>
      </c>
      <c r="C619" s="116">
        <v>219.7</v>
      </c>
      <c r="D619" s="116">
        <v>217.1</v>
      </c>
      <c r="E619" s="116">
        <v>222.9</v>
      </c>
      <c r="F619" s="116">
        <v>219.7</v>
      </c>
      <c r="G619">
        <v>58295</v>
      </c>
      <c r="H619" s="116"/>
      <c r="I619" s="116"/>
      <c r="L619" s="170">
        <v>43124</v>
      </c>
      <c r="M619" s="116">
        <v>219.75</v>
      </c>
      <c r="N619" s="116">
        <v>223.95</v>
      </c>
      <c r="O619" s="116">
        <v>216.9</v>
      </c>
      <c r="P619" s="116">
        <v>222.1</v>
      </c>
      <c r="Q619" s="116">
        <v>219.75</v>
      </c>
      <c r="R619">
        <v>859738</v>
      </c>
    </row>
    <row r="620" spans="1:18" x14ac:dyDescent="0.25">
      <c r="A620" s="170">
        <v>43125</v>
      </c>
      <c r="B620" s="116">
        <v>223.8</v>
      </c>
      <c r="C620" s="116">
        <v>216.65</v>
      </c>
      <c r="D620" s="116">
        <v>216</v>
      </c>
      <c r="E620" s="116">
        <v>219.75</v>
      </c>
      <c r="F620" s="116">
        <v>216.65</v>
      </c>
      <c r="G620">
        <v>71738</v>
      </c>
      <c r="H620" s="116"/>
      <c r="I620" s="116"/>
      <c r="L620" s="170">
        <v>43125</v>
      </c>
      <c r="M620" s="116">
        <v>216.45</v>
      </c>
      <c r="N620" s="116">
        <v>223.8</v>
      </c>
      <c r="O620" s="116">
        <v>215.4</v>
      </c>
      <c r="P620" s="116">
        <v>221</v>
      </c>
      <c r="Q620" s="116">
        <v>216.45</v>
      </c>
      <c r="R620">
        <v>813884</v>
      </c>
    </row>
    <row r="621" spans="1:18" x14ac:dyDescent="0.25">
      <c r="A621" s="170">
        <v>43129</v>
      </c>
      <c r="B621" s="116">
        <v>219.2</v>
      </c>
      <c r="C621" s="116">
        <v>212.65</v>
      </c>
      <c r="D621" s="116">
        <v>211.55</v>
      </c>
      <c r="E621" s="116">
        <v>219.2</v>
      </c>
      <c r="F621" s="116">
        <v>212.65</v>
      </c>
      <c r="G621">
        <v>63841</v>
      </c>
      <c r="H621" s="116"/>
      <c r="I621" s="116"/>
      <c r="L621" s="170">
        <v>43129</v>
      </c>
      <c r="M621" s="116">
        <v>212.8</v>
      </c>
      <c r="N621" s="116">
        <v>218.9</v>
      </c>
      <c r="O621" s="116">
        <v>211.05</v>
      </c>
      <c r="P621" s="116">
        <v>218.9</v>
      </c>
      <c r="Q621" s="116">
        <v>212.8</v>
      </c>
      <c r="R621">
        <v>859180</v>
      </c>
    </row>
    <row r="622" spans="1:18" x14ac:dyDescent="0.25">
      <c r="A622" s="170">
        <v>43130</v>
      </c>
      <c r="B622" s="116">
        <v>212.3</v>
      </c>
      <c r="C622" s="116">
        <v>209.1</v>
      </c>
      <c r="D622" s="116">
        <v>206.55</v>
      </c>
      <c r="E622" s="116">
        <v>212</v>
      </c>
      <c r="F622" s="116">
        <v>209.1</v>
      </c>
      <c r="G622">
        <v>48814</v>
      </c>
      <c r="H622" s="116"/>
      <c r="I622" s="116"/>
      <c r="L622" s="170">
        <v>43130</v>
      </c>
      <c r="M622" s="116">
        <v>209.15</v>
      </c>
      <c r="N622" s="116">
        <v>213</v>
      </c>
      <c r="O622" s="116">
        <v>206.55</v>
      </c>
      <c r="P622" s="116">
        <v>213</v>
      </c>
      <c r="Q622" s="116">
        <v>209.15</v>
      </c>
      <c r="R622">
        <v>879412</v>
      </c>
    </row>
    <row r="623" spans="1:18" x14ac:dyDescent="0.25">
      <c r="A623" s="170">
        <v>43131</v>
      </c>
      <c r="B623" s="116">
        <v>214.85</v>
      </c>
      <c r="C623" s="116">
        <v>209.25</v>
      </c>
      <c r="D623" s="116">
        <v>206.75</v>
      </c>
      <c r="E623" s="116">
        <v>209</v>
      </c>
      <c r="F623" s="116">
        <v>209.25</v>
      </c>
      <c r="G623">
        <v>68769</v>
      </c>
      <c r="H623" s="116"/>
      <c r="I623" s="116"/>
      <c r="L623" s="170">
        <v>43131</v>
      </c>
      <c r="M623" s="116">
        <v>208.9</v>
      </c>
      <c r="N623" s="116">
        <v>215</v>
      </c>
      <c r="O623" s="116">
        <v>206.6</v>
      </c>
      <c r="P623" s="116">
        <v>208</v>
      </c>
      <c r="Q623" s="116">
        <v>208.9</v>
      </c>
      <c r="R623">
        <v>889978</v>
      </c>
    </row>
    <row r="624" spans="1:18" x14ac:dyDescent="0.25">
      <c r="A624" s="170">
        <v>43132</v>
      </c>
      <c r="B624" s="116">
        <v>213</v>
      </c>
      <c r="C624" s="116">
        <v>207.35</v>
      </c>
      <c r="D624" s="116">
        <v>206.1</v>
      </c>
      <c r="E624" s="116">
        <v>209.55</v>
      </c>
      <c r="F624" s="116">
        <v>207.35</v>
      </c>
      <c r="G624">
        <v>68005</v>
      </c>
      <c r="H624" s="116"/>
      <c r="I624" s="116"/>
      <c r="L624" s="170">
        <v>43132</v>
      </c>
      <c r="M624" s="116">
        <v>207.3</v>
      </c>
      <c r="N624" s="116">
        <v>212.7</v>
      </c>
      <c r="O624" s="116">
        <v>205.7</v>
      </c>
      <c r="P624" s="116">
        <v>210</v>
      </c>
      <c r="Q624" s="116">
        <v>207.3</v>
      </c>
      <c r="R624">
        <v>766441</v>
      </c>
    </row>
    <row r="625" spans="1:18" x14ac:dyDescent="0.25">
      <c r="A625" s="170">
        <v>43133</v>
      </c>
      <c r="B625" s="116">
        <v>210.1</v>
      </c>
      <c r="C625" s="116">
        <v>193</v>
      </c>
      <c r="D625" s="116">
        <v>188</v>
      </c>
      <c r="E625" s="116">
        <v>204</v>
      </c>
      <c r="F625" s="116">
        <v>193</v>
      </c>
      <c r="G625">
        <v>161442</v>
      </c>
      <c r="H625" s="116"/>
      <c r="I625" s="116"/>
      <c r="L625" s="170">
        <v>43133</v>
      </c>
      <c r="M625" s="116">
        <v>193.8</v>
      </c>
      <c r="N625" s="116">
        <v>210.8</v>
      </c>
      <c r="O625" s="116">
        <v>188.1</v>
      </c>
      <c r="P625" s="116">
        <v>206</v>
      </c>
      <c r="Q625" s="116">
        <v>193.8</v>
      </c>
      <c r="R625">
        <v>647152</v>
      </c>
    </row>
    <row r="626" spans="1:18" x14ac:dyDescent="0.25">
      <c r="A626" s="170">
        <v>43136</v>
      </c>
      <c r="B626" s="116">
        <v>198</v>
      </c>
      <c r="C626" s="116">
        <v>193.85</v>
      </c>
      <c r="D626" s="116">
        <v>178</v>
      </c>
      <c r="E626" s="116">
        <v>191</v>
      </c>
      <c r="F626" s="116">
        <v>193.85</v>
      </c>
      <c r="G626">
        <v>118774</v>
      </c>
      <c r="H626" s="116"/>
      <c r="I626" s="116"/>
      <c r="L626" s="170">
        <v>43136</v>
      </c>
      <c r="M626" s="116">
        <v>194.4</v>
      </c>
      <c r="N626" s="116">
        <v>198</v>
      </c>
      <c r="O626" s="116">
        <v>177.05</v>
      </c>
      <c r="P626" s="116">
        <v>189</v>
      </c>
      <c r="Q626" s="116">
        <v>194.4</v>
      </c>
      <c r="R626">
        <v>795688</v>
      </c>
    </row>
    <row r="627" spans="1:18" x14ac:dyDescent="0.25">
      <c r="A627" s="170">
        <v>43137</v>
      </c>
      <c r="B627" s="116">
        <v>191.75</v>
      </c>
      <c r="C627" s="116">
        <v>189.45</v>
      </c>
      <c r="D627" s="116">
        <v>178</v>
      </c>
      <c r="E627" s="116">
        <v>179</v>
      </c>
      <c r="F627" s="116">
        <v>189.45</v>
      </c>
      <c r="G627">
        <v>90281</v>
      </c>
      <c r="H627" s="116"/>
      <c r="I627" s="116"/>
      <c r="L627" s="170">
        <v>43137</v>
      </c>
      <c r="M627" s="116">
        <v>190.65</v>
      </c>
      <c r="N627" s="116">
        <v>194</v>
      </c>
      <c r="O627" s="116">
        <v>178.55</v>
      </c>
      <c r="P627" s="116">
        <v>184</v>
      </c>
      <c r="Q627" s="116">
        <v>190.65</v>
      </c>
      <c r="R627">
        <v>823111</v>
      </c>
    </row>
    <row r="628" spans="1:18" x14ac:dyDescent="0.25">
      <c r="A628" s="170">
        <v>43138</v>
      </c>
      <c r="B628" s="116">
        <v>199</v>
      </c>
      <c r="C628" s="116">
        <v>193.65</v>
      </c>
      <c r="D628" s="116">
        <v>190</v>
      </c>
      <c r="E628" s="116">
        <v>190</v>
      </c>
      <c r="F628" s="116">
        <v>193.65</v>
      </c>
      <c r="G628">
        <v>48440</v>
      </c>
      <c r="H628" s="116"/>
      <c r="I628" s="116"/>
      <c r="L628" s="170">
        <v>43138</v>
      </c>
      <c r="M628" s="116">
        <v>193.35</v>
      </c>
      <c r="N628" s="116">
        <v>198.95</v>
      </c>
      <c r="O628" s="116">
        <v>192.55</v>
      </c>
      <c r="P628" s="116">
        <v>195</v>
      </c>
      <c r="Q628" s="116">
        <v>193.35</v>
      </c>
      <c r="R628">
        <v>762771</v>
      </c>
    </row>
    <row r="629" spans="1:18" x14ac:dyDescent="0.25">
      <c r="A629" s="170">
        <v>43139</v>
      </c>
      <c r="B629" s="116">
        <v>200.95</v>
      </c>
      <c r="C629" s="116">
        <v>197.9</v>
      </c>
      <c r="D629" s="116">
        <v>193</v>
      </c>
      <c r="E629" s="116">
        <v>193</v>
      </c>
      <c r="F629" s="116">
        <v>197.9</v>
      </c>
      <c r="G629">
        <v>61925</v>
      </c>
      <c r="H629" s="116"/>
      <c r="I629" s="116"/>
      <c r="L629" s="170">
        <v>43139</v>
      </c>
      <c r="M629" s="116">
        <v>197.55</v>
      </c>
      <c r="N629" s="116">
        <v>201</v>
      </c>
      <c r="O629" s="116">
        <v>191.6</v>
      </c>
      <c r="P629" s="116">
        <v>191.6</v>
      </c>
      <c r="Q629" s="116">
        <v>197.55</v>
      </c>
      <c r="R629">
        <v>819438</v>
      </c>
    </row>
    <row r="630" spans="1:18" x14ac:dyDescent="0.25">
      <c r="A630" s="170">
        <v>43140</v>
      </c>
      <c r="B630" s="116">
        <v>218.75</v>
      </c>
      <c r="C630" s="116">
        <v>204.75</v>
      </c>
      <c r="D630" s="116">
        <v>190.95</v>
      </c>
      <c r="E630" s="116">
        <v>193</v>
      </c>
      <c r="F630" s="116">
        <v>204.75</v>
      </c>
      <c r="G630">
        <v>172136</v>
      </c>
      <c r="H630" s="116"/>
      <c r="I630" s="116"/>
      <c r="L630" s="170">
        <v>43140</v>
      </c>
      <c r="M630" s="116">
        <v>205</v>
      </c>
      <c r="N630" s="116">
        <v>219</v>
      </c>
      <c r="O630" s="116">
        <v>190.55</v>
      </c>
      <c r="P630" s="116">
        <v>193</v>
      </c>
      <c r="Q630" s="116">
        <v>205</v>
      </c>
      <c r="R630">
        <v>1066912</v>
      </c>
    </row>
    <row r="631" spans="1:18" x14ac:dyDescent="0.25">
      <c r="A631" s="170">
        <v>43143</v>
      </c>
      <c r="B631" s="116">
        <v>215</v>
      </c>
      <c r="C631" s="116">
        <v>210.3</v>
      </c>
      <c r="D631" s="116">
        <v>208.45</v>
      </c>
      <c r="E631" s="116">
        <v>208.95</v>
      </c>
      <c r="F631" s="116">
        <v>210.3</v>
      </c>
      <c r="G631">
        <v>97404</v>
      </c>
      <c r="H631" s="116"/>
      <c r="I631" s="116"/>
      <c r="L631" s="170">
        <v>43143</v>
      </c>
      <c r="M631" s="116">
        <v>210.5</v>
      </c>
      <c r="N631" s="116">
        <v>215</v>
      </c>
      <c r="O631" s="116">
        <v>207.7</v>
      </c>
      <c r="P631" s="116">
        <v>207.95</v>
      </c>
      <c r="Q631" s="116">
        <v>210.5</v>
      </c>
      <c r="R631">
        <v>787993</v>
      </c>
    </row>
    <row r="632" spans="1:18" x14ac:dyDescent="0.25">
      <c r="A632" s="170">
        <v>43145</v>
      </c>
      <c r="B632" s="116">
        <v>218</v>
      </c>
      <c r="C632" s="116">
        <v>212.05</v>
      </c>
      <c r="D632" s="116">
        <v>210.5</v>
      </c>
      <c r="E632" s="116">
        <v>218</v>
      </c>
      <c r="F632" s="116">
        <v>212.05</v>
      </c>
      <c r="G632">
        <v>45118</v>
      </c>
      <c r="H632" s="116"/>
      <c r="I632" s="116"/>
      <c r="L632" s="170">
        <v>43145</v>
      </c>
      <c r="M632" s="116">
        <v>212</v>
      </c>
      <c r="N632" s="116">
        <v>217.75</v>
      </c>
      <c r="O632" s="116">
        <v>210.5</v>
      </c>
      <c r="P632" s="116">
        <v>214</v>
      </c>
      <c r="Q632" s="116">
        <v>212</v>
      </c>
      <c r="R632">
        <v>883313</v>
      </c>
    </row>
    <row r="633" spans="1:18" x14ac:dyDescent="0.25">
      <c r="A633" s="170">
        <v>43146</v>
      </c>
      <c r="B633" s="116">
        <v>214.2</v>
      </c>
      <c r="C633" s="116">
        <v>208.6</v>
      </c>
      <c r="D633" s="116">
        <v>205.6</v>
      </c>
      <c r="E633" s="116">
        <v>214</v>
      </c>
      <c r="F633" s="116">
        <v>208.6</v>
      </c>
      <c r="G633">
        <v>69688</v>
      </c>
      <c r="H633" s="116"/>
      <c r="I633" s="116"/>
      <c r="L633" s="170">
        <v>43146</v>
      </c>
      <c r="M633" s="116">
        <v>209.35</v>
      </c>
      <c r="N633" s="116">
        <v>214.5</v>
      </c>
      <c r="O633" s="116">
        <v>205.25</v>
      </c>
      <c r="P633" s="116">
        <v>213.3</v>
      </c>
      <c r="Q633" s="116">
        <v>209.35</v>
      </c>
      <c r="R633">
        <v>764953</v>
      </c>
    </row>
    <row r="634" spans="1:18" x14ac:dyDescent="0.25">
      <c r="A634" s="170">
        <v>43147</v>
      </c>
      <c r="B634" s="116">
        <v>214.95</v>
      </c>
      <c r="C634" s="116">
        <v>203.8</v>
      </c>
      <c r="D634" s="116">
        <v>201</v>
      </c>
      <c r="E634" s="116">
        <v>214.95</v>
      </c>
      <c r="F634" s="116">
        <v>203.8</v>
      </c>
      <c r="G634">
        <v>74520</v>
      </c>
      <c r="H634" s="116"/>
      <c r="I634" s="116"/>
      <c r="L634" s="170">
        <v>43147</v>
      </c>
      <c r="M634" s="116">
        <v>203.8</v>
      </c>
      <c r="N634" s="116">
        <v>212</v>
      </c>
      <c r="O634" s="116">
        <v>201.95</v>
      </c>
      <c r="P634" s="116">
        <v>210</v>
      </c>
      <c r="Q634" s="116">
        <v>203.8</v>
      </c>
      <c r="R634">
        <v>678670</v>
      </c>
    </row>
    <row r="635" spans="1:18" x14ac:dyDescent="0.25">
      <c r="A635" s="170">
        <v>43150</v>
      </c>
      <c r="B635" s="116">
        <v>203.9</v>
      </c>
      <c r="C635" s="116">
        <v>195.6</v>
      </c>
      <c r="D635" s="116">
        <v>192</v>
      </c>
      <c r="E635" s="116">
        <v>203.55</v>
      </c>
      <c r="F635" s="116">
        <v>195.6</v>
      </c>
      <c r="G635">
        <v>73295</v>
      </c>
      <c r="H635" s="116"/>
      <c r="I635" s="116"/>
      <c r="L635" s="170">
        <v>43150</v>
      </c>
      <c r="M635" s="116">
        <v>195.8</v>
      </c>
      <c r="N635" s="116">
        <v>204.7</v>
      </c>
      <c r="O635" s="116">
        <v>194</v>
      </c>
      <c r="P635" s="116">
        <v>204.7</v>
      </c>
      <c r="Q635" s="116">
        <v>195.8</v>
      </c>
      <c r="R635">
        <v>629298</v>
      </c>
    </row>
    <row r="636" spans="1:18" x14ac:dyDescent="0.25">
      <c r="A636" s="170">
        <v>43151</v>
      </c>
      <c r="B636" s="116">
        <v>198.2</v>
      </c>
      <c r="C636" s="116">
        <v>196.5</v>
      </c>
      <c r="D636" s="116">
        <v>193.4</v>
      </c>
      <c r="E636" s="116">
        <v>195.7</v>
      </c>
      <c r="F636" s="116">
        <v>196.5</v>
      </c>
      <c r="G636">
        <v>69656</v>
      </c>
      <c r="H636" s="116"/>
      <c r="I636" s="116"/>
      <c r="L636" s="170">
        <v>43151</v>
      </c>
      <c r="M636" s="116">
        <v>197.1</v>
      </c>
      <c r="N636" s="116">
        <v>200</v>
      </c>
      <c r="O636" s="116">
        <v>193.3</v>
      </c>
      <c r="P636" s="116">
        <v>195.8</v>
      </c>
      <c r="Q636" s="116">
        <v>197.1</v>
      </c>
      <c r="R636">
        <v>745452</v>
      </c>
    </row>
    <row r="637" spans="1:18" x14ac:dyDescent="0.25">
      <c r="A637" s="170">
        <v>43152</v>
      </c>
      <c r="B637" s="116">
        <v>205</v>
      </c>
      <c r="C637" s="116">
        <v>202.9</v>
      </c>
      <c r="D637" s="116">
        <v>196.55</v>
      </c>
      <c r="E637" s="116">
        <v>196.55</v>
      </c>
      <c r="F637" s="116">
        <v>202.9</v>
      </c>
      <c r="G637">
        <v>51501</v>
      </c>
      <c r="H637" s="116"/>
      <c r="I637" s="116"/>
      <c r="L637" s="170">
        <v>43152</v>
      </c>
      <c r="M637" s="116">
        <v>203.45</v>
      </c>
      <c r="N637" s="116">
        <v>208</v>
      </c>
      <c r="O637" s="116">
        <v>197.25</v>
      </c>
      <c r="P637" s="116">
        <v>199.95</v>
      </c>
      <c r="Q637" s="116">
        <v>203.45</v>
      </c>
      <c r="R637">
        <v>891682</v>
      </c>
    </row>
    <row r="638" spans="1:18" x14ac:dyDescent="0.25">
      <c r="A638" s="170">
        <v>43153</v>
      </c>
      <c r="B638" s="116">
        <v>211.6</v>
      </c>
      <c r="C638" s="116">
        <v>207.55</v>
      </c>
      <c r="D638" s="116">
        <v>201</v>
      </c>
      <c r="E638" s="116">
        <v>204.45</v>
      </c>
      <c r="F638" s="116">
        <v>207.55</v>
      </c>
      <c r="G638">
        <v>61303</v>
      </c>
      <c r="H638" s="116"/>
      <c r="I638" s="116"/>
      <c r="L638" s="170">
        <v>43153</v>
      </c>
      <c r="M638" s="116">
        <v>208.05</v>
      </c>
      <c r="N638" s="116">
        <v>211.95</v>
      </c>
      <c r="O638" s="116">
        <v>200.7</v>
      </c>
      <c r="P638" s="116">
        <v>205</v>
      </c>
      <c r="Q638" s="116">
        <v>208.05</v>
      </c>
      <c r="R638">
        <v>794996</v>
      </c>
    </row>
    <row r="639" spans="1:18" x14ac:dyDescent="0.25">
      <c r="A639" s="170">
        <v>43154</v>
      </c>
      <c r="B639" s="116">
        <v>214.3</v>
      </c>
      <c r="C639" s="116">
        <v>209.3</v>
      </c>
      <c r="D639" s="116">
        <v>207.6</v>
      </c>
      <c r="E639" s="116">
        <v>210.1</v>
      </c>
      <c r="F639" s="116">
        <v>209.3</v>
      </c>
      <c r="G639">
        <v>39813</v>
      </c>
      <c r="H639" s="116"/>
      <c r="I639" s="116"/>
      <c r="L639" s="170">
        <v>43154</v>
      </c>
      <c r="M639" s="116">
        <v>209.4</v>
      </c>
      <c r="N639" s="116">
        <v>213.6</v>
      </c>
      <c r="O639" s="116">
        <v>207</v>
      </c>
      <c r="P639" s="116">
        <v>211.5</v>
      </c>
      <c r="Q639" s="116">
        <v>209.4</v>
      </c>
      <c r="R639">
        <v>791438</v>
      </c>
    </row>
    <row r="640" spans="1:18" x14ac:dyDescent="0.25">
      <c r="A640" s="170">
        <v>43157</v>
      </c>
      <c r="B640" s="116">
        <v>211.15</v>
      </c>
      <c r="C640" s="116">
        <v>208.05</v>
      </c>
      <c r="D640" s="116">
        <v>206.25</v>
      </c>
      <c r="E640" s="116">
        <v>210</v>
      </c>
      <c r="F640" s="116">
        <v>208.05</v>
      </c>
      <c r="G640">
        <v>23171</v>
      </c>
      <c r="H640" s="116"/>
      <c r="I640" s="116"/>
      <c r="L640" s="170">
        <v>43157</v>
      </c>
      <c r="M640" s="116">
        <v>208.45</v>
      </c>
      <c r="N640" s="116">
        <v>211</v>
      </c>
      <c r="O640" s="116">
        <v>205.95</v>
      </c>
      <c r="P640" s="116">
        <v>210</v>
      </c>
      <c r="Q640" s="116">
        <v>208.45</v>
      </c>
      <c r="R640">
        <v>697106</v>
      </c>
    </row>
    <row r="641" spans="1:18" x14ac:dyDescent="0.25">
      <c r="A641" s="170">
        <v>43158</v>
      </c>
      <c r="B641" s="116">
        <v>212</v>
      </c>
      <c r="C641" s="116">
        <v>203.25</v>
      </c>
      <c r="D641" s="116">
        <v>201.2</v>
      </c>
      <c r="E641" s="116">
        <v>212</v>
      </c>
      <c r="F641" s="116">
        <v>203.25</v>
      </c>
      <c r="G641">
        <v>24848</v>
      </c>
      <c r="H641" s="116"/>
      <c r="I641" s="116"/>
      <c r="L641" s="170">
        <v>43158</v>
      </c>
      <c r="M641" s="116">
        <v>203.9</v>
      </c>
      <c r="N641" s="116">
        <v>209.5</v>
      </c>
      <c r="O641" s="116">
        <v>201.5</v>
      </c>
      <c r="P641" s="116">
        <v>208</v>
      </c>
      <c r="Q641" s="116">
        <v>203.9</v>
      </c>
      <c r="R641">
        <v>783414</v>
      </c>
    </row>
    <row r="642" spans="1:18" x14ac:dyDescent="0.25">
      <c r="A642" s="170">
        <v>43159</v>
      </c>
      <c r="B642" s="116">
        <v>206.35</v>
      </c>
      <c r="C642" s="116">
        <v>202.65</v>
      </c>
      <c r="D642" s="116">
        <v>199.15</v>
      </c>
      <c r="E642" s="116">
        <v>202</v>
      </c>
      <c r="F642" s="116">
        <v>202.65</v>
      </c>
      <c r="G642">
        <v>52984</v>
      </c>
      <c r="H642" s="116"/>
      <c r="I642" s="116"/>
      <c r="L642" s="170">
        <v>43159</v>
      </c>
      <c r="M642" s="116">
        <v>203</v>
      </c>
      <c r="N642" s="116">
        <v>209</v>
      </c>
      <c r="O642" s="116">
        <v>198.55</v>
      </c>
      <c r="P642" s="116">
        <v>201</v>
      </c>
      <c r="Q642" s="116">
        <v>203</v>
      </c>
      <c r="R642">
        <v>785133</v>
      </c>
    </row>
    <row r="643" spans="1:18" x14ac:dyDescent="0.25">
      <c r="A643" s="170">
        <v>43160</v>
      </c>
      <c r="B643" s="116">
        <v>206.15</v>
      </c>
      <c r="C643" s="116">
        <v>203.45</v>
      </c>
      <c r="D643" s="116">
        <v>201.85</v>
      </c>
      <c r="E643" s="116">
        <v>204.35</v>
      </c>
      <c r="F643" s="116">
        <v>203.45</v>
      </c>
      <c r="G643">
        <v>31350</v>
      </c>
      <c r="H643" s="116"/>
      <c r="I643" s="116"/>
      <c r="L643" s="170">
        <v>43160</v>
      </c>
      <c r="M643" s="116">
        <v>204.2</v>
      </c>
      <c r="N643" s="116">
        <v>208.9</v>
      </c>
      <c r="O643" s="116">
        <v>201.55</v>
      </c>
      <c r="P643" s="116">
        <v>204.95</v>
      </c>
      <c r="Q643" s="116">
        <v>204.2</v>
      </c>
      <c r="R643">
        <v>764453</v>
      </c>
    </row>
    <row r="644" spans="1:18" x14ac:dyDescent="0.25">
      <c r="A644" s="170">
        <v>43164</v>
      </c>
      <c r="B644" s="116">
        <v>207.25</v>
      </c>
      <c r="C644" s="116">
        <v>201.65</v>
      </c>
      <c r="D644" s="116">
        <v>200.05</v>
      </c>
      <c r="E644" s="116">
        <v>205</v>
      </c>
      <c r="F644" s="116">
        <v>201.65</v>
      </c>
      <c r="G644">
        <v>68307</v>
      </c>
      <c r="H644" s="116"/>
      <c r="I644" s="116"/>
      <c r="L644" s="170">
        <v>43164</v>
      </c>
      <c r="M644" s="116">
        <v>202.05</v>
      </c>
      <c r="N644" s="116">
        <v>207</v>
      </c>
      <c r="O644" s="116">
        <v>199.5</v>
      </c>
      <c r="P644" s="116">
        <v>206.45</v>
      </c>
      <c r="Q644" s="116">
        <v>202.05</v>
      </c>
      <c r="R644">
        <v>757008</v>
      </c>
    </row>
    <row r="645" spans="1:18" x14ac:dyDescent="0.25">
      <c r="A645" s="170">
        <v>43165</v>
      </c>
      <c r="B645" s="116">
        <v>203.65</v>
      </c>
      <c r="C645" s="116">
        <v>194.9</v>
      </c>
      <c r="D645" s="116">
        <v>188</v>
      </c>
      <c r="E645" s="116">
        <v>202.1</v>
      </c>
      <c r="F645" s="116">
        <v>194.9</v>
      </c>
      <c r="G645">
        <v>51055</v>
      </c>
      <c r="H645" s="116"/>
      <c r="I645" s="116"/>
      <c r="L645" s="170">
        <v>43165</v>
      </c>
      <c r="M645" s="116">
        <v>194.65</v>
      </c>
      <c r="N645" s="116">
        <v>204.5</v>
      </c>
      <c r="O645" s="116">
        <v>187.5</v>
      </c>
      <c r="P645" s="116">
        <v>202.5</v>
      </c>
      <c r="Q645" s="116">
        <v>194.65</v>
      </c>
      <c r="R645">
        <v>689262</v>
      </c>
    </row>
    <row r="646" spans="1:18" x14ac:dyDescent="0.25">
      <c r="A646" s="170">
        <v>43166</v>
      </c>
      <c r="B646" s="116">
        <v>194</v>
      </c>
      <c r="C646" s="116">
        <v>179.85</v>
      </c>
      <c r="D646" s="116">
        <v>173.45</v>
      </c>
      <c r="E646" s="116">
        <v>194</v>
      </c>
      <c r="F646" s="116">
        <v>179.85</v>
      </c>
      <c r="G646">
        <v>129411</v>
      </c>
      <c r="H646" s="116"/>
      <c r="I646" s="116"/>
      <c r="L646" s="170">
        <v>43166</v>
      </c>
      <c r="M646" s="116">
        <v>180.55</v>
      </c>
      <c r="N646" s="116">
        <v>194.05</v>
      </c>
      <c r="O646" s="116">
        <v>173.45</v>
      </c>
      <c r="P646" s="116">
        <v>194</v>
      </c>
      <c r="Q646" s="116">
        <v>180.55</v>
      </c>
      <c r="R646">
        <v>977303</v>
      </c>
    </row>
    <row r="647" spans="1:18" x14ac:dyDescent="0.25">
      <c r="A647" s="170">
        <v>43167</v>
      </c>
      <c r="B647" s="116">
        <v>188.05</v>
      </c>
      <c r="C647" s="116">
        <v>177</v>
      </c>
      <c r="D647" s="116">
        <v>154.80000000000001</v>
      </c>
      <c r="E647" s="116">
        <v>182</v>
      </c>
      <c r="F647" s="116">
        <v>177</v>
      </c>
      <c r="G647">
        <v>460415</v>
      </c>
      <c r="H647" s="116"/>
      <c r="I647" s="116"/>
      <c r="L647" s="170">
        <v>43167</v>
      </c>
      <c r="M647" s="116">
        <v>177.5</v>
      </c>
      <c r="N647" s="116">
        <v>189</v>
      </c>
      <c r="O647" s="116">
        <v>155.65</v>
      </c>
      <c r="P647" s="116">
        <v>181.5</v>
      </c>
      <c r="Q647" s="116">
        <v>177.5</v>
      </c>
      <c r="R647">
        <v>2445681</v>
      </c>
    </row>
    <row r="648" spans="1:18" x14ac:dyDescent="0.25">
      <c r="A648" s="170">
        <v>43168</v>
      </c>
      <c r="B648" s="116">
        <v>184.4</v>
      </c>
      <c r="C648" s="116">
        <v>182.5</v>
      </c>
      <c r="D648" s="116">
        <v>170</v>
      </c>
      <c r="E648" s="116">
        <v>177</v>
      </c>
      <c r="F648" s="116">
        <v>182.5</v>
      </c>
      <c r="G648">
        <v>140523</v>
      </c>
      <c r="H648" s="116"/>
      <c r="I648" s="116"/>
      <c r="L648" s="170">
        <v>43168</v>
      </c>
      <c r="M648" s="116">
        <v>182.75</v>
      </c>
      <c r="N648" s="116">
        <v>184.7</v>
      </c>
      <c r="O648" s="116">
        <v>170</v>
      </c>
      <c r="P648" s="116">
        <v>177.55</v>
      </c>
      <c r="Q648" s="116">
        <v>182.75</v>
      </c>
      <c r="R648">
        <v>1162366</v>
      </c>
    </row>
    <row r="649" spans="1:18" x14ac:dyDescent="0.25">
      <c r="A649" s="170">
        <v>43171</v>
      </c>
      <c r="B649" s="116">
        <v>186.5</v>
      </c>
      <c r="C649" s="116">
        <v>185.1</v>
      </c>
      <c r="D649" s="116">
        <v>176.4</v>
      </c>
      <c r="E649" s="116">
        <v>182.5</v>
      </c>
      <c r="F649" s="116">
        <v>185.1</v>
      </c>
      <c r="G649">
        <v>89634</v>
      </c>
      <c r="H649" s="116"/>
      <c r="I649" s="116"/>
      <c r="L649" s="170">
        <v>43171</v>
      </c>
      <c r="M649" s="116">
        <v>185.3</v>
      </c>
      <c r="N649" s="116">
        <v>187.4</v>
      </c>
      <c r="O649" s="116">
        <v>176.55</v>
      </c>
      <c r="P649" s="116">
        <v>180.1</v>
      </c>
      <c r="Q649" s="116">
        <v>185.3</v>
      </c>
      <c r="R649">
        <v>847233</v>
      </c>
    </row>
    <row r="650" spans="1:18" x14ac:dyDescent="0.25">
      <c r="A650" s="170">
        <v>43172</v>
      </c>
      <c r="B650" s="116">
        <v>191.6</v>
      </c>
      <c r="C650" s="116">
        <v>185</v>
      </c>
      <c r="D650" s="116">
        <v>182.35</v>
      </c>
      <c r="E650" s="116">
        <v>185</v>
      </c>
      <c r="F650" s="116">
        <v>185</v>
      </c>
      <c r="G650">
        <v>71864</v>
      </c>
      <c r="H650" s="116"/>
      <c r="I650" s="116"/>
      <c r="L650" s="170">
        <v>43172</v>
      </c>
      <c r="M650" s="116">
        <v>184.4</v>
      </c>
      <c r="N650" s="116">
        <v>192</v>
      </c>
      <c r="O650" s="116">
        <v>180.6</v>
      </c>
      <c r="P650" s="116">
        <v>180.6</v>
      </c>
      <c r="Q650" s="116">
        <v>184.4</v>
      </c>
      <c r="R650">
        <v>750055</v>
      </c>
    </row>
    <row r="651" spans="1:18" x14ac:dyDescent="0.25">
      <c r="A651" s="170">
        <v>43173</v>
      </c>
      <c r="B651" s="116">
        <v>185.95</v>
      </c>
      <c r="C651" s="116">
        <v>183.8</v>
      </c>
      <c r="D651" s="116">
        <v>178.35</v>
      </c>
      <c r="E651" s="116">
        <v>183</v>
      </c>
      <c r="F651" s="116">
        <v>183.8</v>
      </c>
      <c r="G651">
        <v>58191</v>
      </c>
      <c r="H651" s="116"/>
      <c r="I651" s="116"/>
      <c r="L651" s="170">
        <v>43173</v>
      </c>
      <c r="M651" s="116">
        <v>184.05</v>
      </c>
      <c r="N651" s="116">
        <v>185.8</v>
      </c>
      <c r="O651" s="116">
        <v>178.05</v>
      </c>
      <c r="P651" s="116">
        <v>182.1</v>
      </c>
      <c r="Q651" s="116">
        <v>184.05</v>
      </c>
      <c r="R651">
        <v>849486</v>
      </c>
    </row>
    <row r="652" spans="1:18" x14ac:dyDescent="0.25">
      <c r="A652" s="170">
        <v>43174</v>
      </c>
      <c r="B652" s="116">
        <v>185.8</v>
      </c>
      <c r="C652" s="116">
        <v>182.65</v>
      </c>
      <c r="D652" s="116">
        <v>181.45</v>
      </c>
      <c r="E652" s="116">
        <v>182.95</v>
      </c>
      <c r="F652" s="116">
        <v>182.65</v>
      </c>
      <c r="G652">
        <v>53460</v>
      </c>
      <c r="H652" s="116"/>
      <c r="I652" s="116"/>
      <c r="L652" s="170">
        <v>43174</v>
      </c>
      <c r="M652" s="116">
        <v>183.5</v>
      </c>
      <c r="N652" s="116">
        <v>186.15</v>
      </c>
      <c r="O652" s="116">
        <v>181.9</v>
      </c>
      <c r="P652" s="116">
        <v>184</v>
      </c>
      <c r="Q652" s="116">
        <v>183.5</v>
      </c>
      <c r="R652">
        <v>1092977</v>
      </c>
    </row>
    <row r="653" spans="1:18" x14ac:dyDescent="0.25">
      <c r="A653" s="170">
        <v>43175</v>
      </c>
      <c r="B653" s="116">
        <v>190.95</v>
      </c>
      <c r="C653" s="116">
        <v>190.2</v>
      </c>
      <c r="D653" s="116">
        <v>184</v>
      </c>
      <c r="E653" s="116">
        <v>184.4</v>
      </c>
      <c r="F653" s="116">
        <v>190.2</v>
      </c>
      <c r="G653">
        <v>82823</v>
      </c>
      <c r="H653" s="116"/>
      <c r="I653" s="116"/>
      <c r="L653" s="170">
        <v>43175</v>
      </c>
      <c r="M653" s="116">
        <v>190.85</v>
      </c>
      <c r="N653" s="116">
        <v>191.8</v>
      </c>
      <c r="O653" s="116">
        <v>183.15</v>
      </c>
      <c r="P653" s="116">
        <v>183.15</v>
      </c>
      <c r="Q653" s="116">
        <v>190.85</v>
      </c>
      <c r="R653">
        <v>1155751</v>
      </c>
    </row>
    <row r="654" spans="1:18" x14ac:dyDescent="0.25">
      <c r="A654" s="170">
        <v>43178</v>
      </c>
      <c r="B654" s="116">
        <v>195</v>
      </c>
      <c r="C654" s="116">
        <v>186.15</v>
      </c>
      <c r="D654" s="116">
        <v>184.1</v>
      </c>
      <c r="E654" s="116">
        <v>191.55</v>
      </c>
      <c r="F654" s="116">
        <v>186.15</v>
      </c>
      <c r="G654">
        <v>95912</v>
      </c>
      <c r="H654" s="116"/>
      <c r="I654" s="116"/>
      <c r="L654" s="170">
        <v>43178</v>
      </c>
      <c r="M654" s="116">
        <v>186.75</v>
      </c>
      <c r="N654" s="116">
        <v>194.8</v>
      </c>
      <c r="O654" s="116">
        <v>184</v>
      </c>
      <c r="P654" s="116">
        <v>191.5</v>
      </c>
      <c r="Q654" s="116">
        <v>186.75</v>
      </c>
      <c r="R654">
        <v>1406753</v>
      </c>
    </row>
    <row r="655" spans="1:18" x14ac:dyDescent="0.25">
      <c r="A655" s="170">
        <v>43179</v>
      </c>
      <c r="B655" s="116">
        <v>203.7</v>
      </c>
      <c r="C655" s="116">
        <v>194.3</v>
      </c>
      <c r="D655" s="116">
        <v>184.55</v>
      </c>
      <c r="E655" s="116">
        <v>185</v>
      </c>
      <c r="F655" s="116">
        <v>194.3</v>
      </c>
      <c r="G655">
        <v>151987</v>
      </c>
      <c r="H655" s="116"/>
      <c r="I655" s="116"/>
      <c r="L655" s="170">
        <v>43179</v>
      </c>
      <c r="M655" s="116">
        <v>194.5</v>
      </c>
      <c r="N655" s="116">
        <v>204</v>
      </c>
      <c r="O655" s="116">
        <v>184.05</v>
      </c>
      <c r="P655" s="116">
        <v>185</v>
      </c>
      <c r="Q655" s="116">
        <v>194.5</v>
      </c>
      <c r="R655">
        <v>2407465</v>
      </c>
    </row>
    <row r="656" spans="1:18" x14ac:dyDescent="0.25">
      <c r="A656" s="170">
        <v>43180</v>
      </c>
      <c r="B656" s="116">
        <v>200.6</v>
      </c>
      <c r="C656" s="116">
        <v>198.4</v>
      </c>
      <c r="D656" s="116">
        <v>197</v>
      </c>
      <c r="E656" s="116">
        <v>199.95</v>
      </c>
      <c r="F656" s="116">
        <v>198.4</v>
      </c>
      <c r="G656">
        <v>69709</v>
      </c>
      <c r="H656" s="116"/>
      <c r="I656" s="116"/>
      <c r="L656" s="170">
        <v>43180</v>
      </c>
      <c r="M656" s="116">
        <v>198.8</v>
      </c>
      <c r="N656" s="116">
        <v>201</v>
      </c>
      <c r="O656" s="116">
        <v>196.2</v>
      </c>
      <c r="P656" s="116">
        <v>197.2</v>
      </c>
      <c r="Q656" s="116">
        <v>198.8</v>
      </c>
      <c r="R656">
        <v>1127234</v>
      </c>
    </row>
    <row r="657" spans="1:18" x14ac:dyDescent="0.25">
      <c r="A657" s="170">
        <v>43181</v>
      </c>
      <c r="B657" s="116">
        <v>203</v>
      </c>
      <c r="C657" s="116">
        <v>200.25</v>
      </c>
      <c r="D657" s="116">
        <v>195.3</v>
      </c>
      <c r="E657" s="116">
        <v>198.5</v>
      </c>
      <c r="F657" s="116">
        <v>200.25</v>
      </c>
      <c r="G657">
        <v>43947</v>
      </c>
      <c r="H657" s="116"/>
      <c r="I657" s="116"/>
      <c r="L657" s="170">
        <v>43181</v>
      </c>
      <c r="M657" s="116">
        <v>200.75</v>
      </c>
      <c r="N657" s="116">
        <v>203.4</v>
      </c>
      <c r="O657" s="116">
        <v>195.2</v>
      </c>
      <c r="P657" s="116">
        <v>198</v>
      </c>
      <c r="Q657" s="116">
        <v>200.75</v>
      </c>
      <c r="R657">
        <v>854532</v>
      </c>
    </row>
    <row r="658" spans="1:18" x14ac:dyDescent="0.25">
      <c r="A658" s="170">
        <v>43182</v>
      </c>
      <c r="B658" s="116">
        <v>196.45</v>
      </c>
      <c r="C658" s="116">
        <v>191</v>
      </c>
      <c r="D658" s="116">
        <v>186.7</v>
      </c>
      <c r="E658" s="116">
        <v>193</v>
      </c>
      <c r="F658" s="116">
        <v>191</v>
      </c>
      <c r="G658">
        <v>73891</v>
      </c>
      <c r="H658" s="116"/>
      <c r="I658" s="116"/>
      <c r="L658" s="170">
        <v>43182</v>
      </c>
      <c r="M658" s="116">
        <v>191.6</v>
      </c>
      <c r="N658" s="116">
        <v>196.8</v>
      </c>
      <c r="O658" s="116">
        <v>186.6</v>
      </c>
      <c r="P658" s="116">
        <v>193.35</v>
      </c>
      <c r="Q658" s="116">
        <v>191.6</v>
      </c>
      <c r="R658">
        <v>588981</v>
      </c>
    </row>
    <row r="659" spans="1:18" x14ac:dyDescent="0.25">
      <c r="A659" s="170">
        <v>43185</v>
      </c>
      <c r="B659" s="116">
        <v>198.25</v>
      </c>
      <c r="C659" s="116">
        <v>194.8</v>
      </c>
      <c r="D659" s="116">
        <v>187.5</v>
      </c>
      <c r="E659" s="116">
        <v>190.7</v>
      </c>
      <c r="F659" s="116">
        <v>194.8</v>
      </c>
      <c r="G659">
        <v>63646</v>
      </c>
      <c r="H659" s="116"/>
      <c r="I659" s="116"/>
      <c r="L659" s="170">
        <v>43185</v>
      </c>
      <c r="M659" s="116">
        <v>194.7</v>
      </c>
      <c r="N659" s="116">
        <v>199.45</v>
      </c>
      <c r="O659" s="116">
        <v>186.45</v>
      </c>
      <c r="P659" s="116">
        <v>191</v>
      </c>
      <c r="Q659" s="116">
        <v>194.7</v>
      </c>
      <c r="R659">
        <v>919477</v>
      </c>
    </row>
    <row r="660" spans="1:18" x14ac:dyDescent="0.25">
      <c r="A660" s="170">
        <v>43186</v>
      </c>
      <c r="B660" s="116">
        <v>199.7</v>
      </c>
      <c r="C660" s="116">
        <v>191.15</v>
      </c>
      <c r="D660" s="116">
        <v>189.3</v>
      </c>
      <c r="E660" s="116">
        <v>197</v>
      </c>
      <c r="F660" s="116">
        <v>191.15</v>
      </c>
      <c r="G660">
        <v>39450</v>
      </c>
      <c r="H660" s="116"/>
      <c r="I660" s="116"/>
      <c r="L660" s="170">
        <v>43186</v>
      </c>
      <c r="M660" s="116">
        <v>190.15</v>
      </c>
      <c r="N660" s="116">
        <v>199.45</v>
      </c>
      <c r="O660" s="116">
        <v>188.15</v>
      </c>
      <c r="P660" s="116">
        <v>196.2</v>
      </c>
      <c r="Q660" s="116">
        <v>190.15</v>
      </c>
      <c r="R660">
        <v>1568800</v>
      </c>
    </row>
    <row r="661" spans="1:18" x14ac:dyDescent="0.25">
      <c r="A661" s="170">
        <v>43187</v>
      </c>
      <c r="B661" s="116">
        <v>197</v>
      </c>
      <c r="C661" s="116">
        <v>191.25</v>
      </c>
      <c r="D661" s="116">
        <v>184.95</v>
      </c>
      <c r="E661" s="116">
        <v>190</v>
      </c>
      <c r="F661" s="116">
        <v>191.25</v>
      </c>
      <c r="G661">
        <v>51424</v>
      </c>
      <c r="H661" s="116"/>
      <c r="I661" s="116"/>
      <c r="L661" s="170">
        <v>43187</v>
      </c>
      <c r="M661" s="116">
        <v>193.7</v>
      </c>
      <c r="N661" s="116">
        <v>199.5</v>
      </c>
      <c r="O661" s="116">
        <v>184.6</v>
      </c>
      <c r="P661" s="116">
        <v>188.4</v>
      </c>
      <c r="Q661" s="116">
        <v>193.7</v>
      </c>
      <c r="R661">
        <v>2125130</v>
      </c>
    </row>
    <row r="662" spans="1:18" x14ac:dyDescent="0.25">
      <c r="A662" s="170">
        <v>43192</v>
      </c>
      <c r="B662" s="116">
        <v>198.65</v>
      </c>
      <c r="C662" s="116">
        <v>190.25</v>
      </c>
      <c r="D662" s="116">
        <v>178</v>
      </c>
      <c r="E662" s="116">
        <v>193.55</v>
      </c>
      <c r="F662" s="116">
        <v>190.25</v>
      </c>
      <c r="G662">
        <v>83814</v>
      </c>
      <c r="H662" s="116"/>
      <c r="I662" s="116"/>
      <c r="L662" s="170">
        <v>43192</v>
      </c>
      <c r="M662" s="116">
        <v>193.6</v>
      </c>
      <c r="N662" s="116">
        <v>198</v>
      </c>
      <c r="O662" s="116">
        <v>191.55</v>
      </c>
      <c r="P662" s="116">
        <v>191.55</v>
      </c>
      <c r="Q662" s="116">
        <v>193.6</v>
      </c>
      <c r="R662">
        <v>1760432</v>
      </c>
    </row>
    <row r="663" spans="1:18" x14ac:dyDescent="0.25">
      <c r="A663" s="170">
        <v>43193</v>
      </c>
      <c r="B663" s="116">
        <v>198.9</v>
      </c>
      <c r="C663" s="116">
        <v>191.7</v>
      </c>
      <c r="D663" s="116">
        <v>187</v>
      </c>
      <c r="E663" s="116">
        <v>194</v>
      </c>
      <c r="F663" s="116">
        <v>191.7</v>
      </c>
      <c r="G663">
        <v>61705</v>
      </c>
      <c r="H663" s="116"/>
      <c r="I663" s="116"/>
      <c r="L663" s="170">
        <v>43193</v>
      </c>
      <c r="M663" s="116">
        <v>191.35</v>
      </c>
      <c r="N663" s="116">
        <v>199.25</v>
      </c>
      <c r="O663" s="116">
        <v>186.5</v>
      </c>
      <c r="P663" s="116">
        <v>191.5</v>
      </c>
      <c r="Q663" s="116">
        <v>191.35</v>
      </c>
      <c r="R663">
        <v>3472192</v>
      </c>
    </row>
    <row r="664" spans="1:18" x14ac:dyDescent="0.25">
      <c r="A664" s="170">
        <v>43194</v>
      </c>
      <c r="B664" s="116">
        <v>194</v>
      </c>
      <c r="C664" s="116">
        <v>183.45</v>
      </c>
      <c r="D664" s="116">
        <v>181.6</v>
      </c>
      <c r="E664" s="116">
        <v>192.2</v>
      </c>
      <c r="F664" s="116">
        <v>183.45</v>
      </c>
      <c r="G664">
        <v>55937</v>
      </c>
      <c r="H664" s="116"/>
      <c r="I664" s="116"/>
      <c r="L664" s="170">
        <v>43194</v>
      </c>
      <c r="M664" s="116">
        <v>182.8</v>
      </c>
      <c r="N664" s="116">
        <v>194</v>
      </c>
      <c r="O664" s="116">
        <v>180.1</v>
      </c>
      <c r="P664" s="116">
        <v>192.5</v>
      </c>
      <c r="Q664" s="116">
        <v>182.8</v>
      </c>
      <c r="R664">
        <v>3331179</v>
      </c>
    </row>
    <row r="665" spans="1:18" x14ac:dyDescent="0.25">
      <c r="A665" s="170">
        <v>43195</v>
      </c>
      <c r="B665" s="116">
        <v>188.2</v>
      </c>
      <c r="C665" s="116">
        <v>182.6</v>
      </c>
      <c r="D665" s="116">
        <v>179.2</v>
      </c>
      <c r="E665" s="116">
        <v>186.65</v>
      </c>
      <c r="F665" s="116">
        <v>182.6</v>
      </c>
      <c r="G665">
        <v>109763</v>
      </c>
      <c r="H665" s="116"/>
      <c r="I665" s="116"/>
      <c r="L665" s="170">
        <v>43195</v>
      </c>
      <c r="M665" s="116">
        <v>183.4</v>
      </c>
      <c r="N665" s="116">
        <v>188.2</v>
      </c>
      <c r="O665" s="116">
        <v>178.85</v>
      </c>
      <c r="P665" s="116">
        <v>186</v>
      </c>
      <c r="Q665" s="116">
        <v>183.4</v>
      </c>
      <c r="R665">
        <v>3855330</v>
      </c>
    </row>
    <row r="666" spans="1:18" x14ac:dyDescent="0.25">
      <c r="A666" s="170">
        <v>43196</v>
      </c>
      <c r="B666" s="116">
        <v>187</v>
      </c>
      <c r="C666" s="116">
        <v>179.7</v>
      </c>
      <c r="D666" s="116">
        <v>178.8</v>
      </c>
      <c r="E666" s="116">
        <v>187</v>
      </c>
      <c r="F666" s="116">
        <v>179.7</v>
      </c>
      <c r="G666">
        <v>108648</v>
      </c>
      <c r="H666" s="116"/>
      <c r="I666" s="116"/>
      <c r="L666" s="170">
        <v>43196</v>
      </c>
      <c r="M666" s="116">
        <v>178.85</v>
      </c>
      <c r="N666" s="116">
        <v>185.95</v>
      </c>
      <c r="O666" s="116">
        <v>178.1</v>
      </c>
      <c r="P666" s="116">
        <v>185.5</v>
      </c>
      <c r="Q666" s="116">
        <v>178.85</v>
      </c>
      <c r="R666">
        <v>3313712</v>
      </c>
    </row>
    <row r="667" spans="1:18" x14ac:dyDescent="0.25">
      <c r="A667" s="170">
        <v>43199</v>
      </c>
      <c r="B667" s="116">
        <v>183.4</v>
      </c>
      <c r="C667" s="116">
        <v>177.75</v>
      </c>
      <c r="D667" s="116">
        <v>177</v>
      </c>
      <c r="E667" s="116">
        <v>183.4</v>
      </c>
      <c r="F667" s="116">
        <v>177.75</v>
      </c>
      <c r="G667">
        <v>54211</v>
      </c>
      <c r="H667" s="116"/>
      <c r="I667" s="116"/>
      <c r="L667" s="170">
        <v>43199</v>
      </c>
      <c r="M667" s="116">
        <v>178.35</v>
      </c>
      <c r="N667" s="116">
        <v>182.9</v>
      </c>
      <c r="O667" s="116">
        <v>177</v>
      </c>
      <c r="P667" s="116">
        <v>180</v>
      </c>
      <c r="Q667" s="116">
        <v>178.35</v>
      </c>
      <c r="R667">
        <v>489263</v>
      </c>
    </row>
    <row r="668" spans="1:18" x14ac:dyDescent="0.25">
      <c r="A668" s="170">
        <v>43200</v>
      </c>
      <c r="B668" s="116">
        <v>184.9</v>
      </c>
      <c r="C668" s="116">
        <v>180.95</v>
      </c>
      <c r="D668" s="116">
        <v>178</v>
      </c>
      <c r="E668" s="116">
        <v>179.3</v>
      </c>
      <c r="F668" s="116">
        <v>180.95</v>
      </c>
      <c r="G668">
        <v>122862</v>
      </c>
      <c r="H668" s="116"/>
      <c r="I668" s="116"/>
      <c r="L668" s="170">
        <v>43200</v>
      </c>
      <c r="M668" s="116">
        <v>182.1</v>
      </c>
      <c r="N668" s="116">
        <v>184.4</v>
      </c>
      <c r="O668" s="116">
        <v>177.3</v>
      </c>
      <c r="P668" s="116">
        <v>180</v>
      </c>
      <c r="Q668" s="116">
        <v>182.1</v>
      </c>
      <c r="R668">
        <v>1964532</v>
      </c>
    </row>
    <row r="669" spans="1:18" x14ac:dyDescent="0.25">
      <c r="A669" s="170">
        <v>43201</v>
      </c>
      <c r="B669" s="116">
        <v>184.6</v>
      </c>
      <c r="C669" s="116">
        <v>179.6</v>
      </c>
      <c r="D669" s="116">
        <v>178</v>
      </c>
      <c r="E669" s="116">
        <v>178.7</v>
      </c>
      <c r="F669" s="116">
        <v>179.6</v>
      </c>
      <c r="G669">
        <v>56695</v>
      </c>
      <c r="H669" s="116"/>
      <c r="I669" s="116"/>
      <c r="L669" s="170">
        <v>43201</v>
      </c>
      <c r="M669" s="116">
        <v>178.75</v>
      </c>
      <c r="N669" s="116">
        <v>184.75</v>
      </c>
      <c r="O669" s="116">
        <v>176</v>
      </c>
      <c r="P669" s="116">
        <v>182</v>
      </c>
      <c r="Q669" s="116">
        <v>178.75</v>
      </c>
      <c r="R669">
        <v>3162766</v>
      </c>
    </row>
    <row r="670" spans="1:18" x14ac:dyDescent="0.25">
      <c r="A670" s="170">
        <v>43202</v>
      </c>
      <c r="B670" s="116">
        <v>184</v>
      </c>
      <c r="C670" s="116">
        <v>175.95</v>
      </c>
      <c r="D670" s="116">
        <v>173</v>
      </c>
      <c r="E670" s="116">
        <v>178.95</v>
      </c>
      <c r="F670" s="116">
        <v>175.95</v>
      </c>
      <c r="G670">
        <v>67236</v>
      </c>
      <c r="H670" s="116"/>
      <c r="I670" s="116"/>
      <c r="L670" s="170">
        <v>43202</v>
      </c>
      <c r="M670" s="116">
        <v>177.05</v>
      </c>
      <c r="N670" s="116">
        <v>180.8</v>
      </c>
      <c r="O670" s="116">
        <v>172.3</v>
      </c>
      <c r="P670" s="116">
        <v>179.45</v>
      </c>
      <c r="Q670" s="116">
        <v>177.05</v>
      </c>
      <c r="R670">
        <v>4068219</v>
      </c>
    </row>
    <row r="671" spans="1:18" x14ac:dyDescent="0.25">
      <c r="A671" s="170">
        <v>43203</v>
      </c>
      <c r="B671" s="116">
        <v>182.75</v>
      </c>
      <c r="C671" s="116">
        <v>176.45</v>
      </c>
      <c r="D671" s="116">
        <v>175</v>
      </c>
      <c r="E671" s="116">
        <v>177.85</v>
      </c>
      <c r="F671" s="116">
        <v>176.45</v>
      </c>
      <c r="G671">
        <v>81313</v>
      </c>
      <c r="H671" s="116"/>
      <c r="I671" s="116"/>
      <c r="L671" s="170">
        <v>43203</v>
      </c>
      <c r="M671" s="116">
        <v>176.55</v>
      </c>
      <c r="N671" s="116">
        <v>182.9</v>
      </c>
      <c r="O671" s="116">
        <v>175</v>
      </c>
      <c r="P671" s="116">
        <v>178.6</v>
      </c>
      <c r="Q671" s="116">
        <v>176.55</v>
      </c>
      <c r="R671">
        <v>3357955</v>
      </c>
    </row>
    <row r="672" spans="1:18" x14ac:dyDescent="0.25">
      <c r="A672" s="170">
        <v>43206</v>
      </c>
      <c r="B672" s="116">
        <v>182.55</v>
      </c>
      <c r="C672" s="116">
        <v>177.4</v>
      </c>
      <c r="D672" s="116">
        <v>174.3</v>
      </c>
      <c r="E672" s="116">
        <v>175.9</v>
      </c>
      <c r="F672" s="116">
        <v>177.4</v>
      </c>
      <c r="G672">
        <v>76279</v>
      </c>
      <c r="H672" s="116"/>
      <c r="I672" s="116"/>
      <c r="L672" s="170">
        <v>43206</v>
      </c>
      <c r="M672" s="116">
        <v>176.8</v>
      </c>
      <c r="N672" s="116">
        <v>182.8</v>
      </c>
      <c r="O672" s="116">
        <v>173.3</v>
      </c>
      <c r="P672" s="116">
        <v>176.2</v>
      </c>
      <c r="Q672" s="116">
        <v>176.8</v>
      </c>
      <c r="R672">
        <v>3829578</v>
      </c>
    </row>
    <row r="673" spans="1:18" x14ac:dyDescent="0.25">
      <c r="A673" s="170">
        <v>43207</v>
      </c>
      <c r="B673" s="116">
        <v>181.2</v>
      </c>
      <c r="C673" s="116">
        <v>175.6</v>
      </c>
      <c r="D673" s="116">
        <v>173.95</v>
      </c>
      <c r="E673" s="116">
        <v>177.45</v>
      </c>
      <c r="F673" s="116">
        <v>175.6</v>
      </c>
      <c r="G673">
        <v>52041</v>
      </c>
      <c r="H673" s="116"/>
      <c r="I673" s="116"/>
      <c r="L673" s="170">
        <v>43207</v>
      </c>
      <c r="M673" s="116">
        <v>175.35</v>
      </c>
      <c r="N673" s="116">
        <v>181.6</v>
      </c>
      <c r="O673" s="116">
        <v>173.1</v>
      </c>
      <c r="P673" s="116">
        <v>177.05</v>
      </c>
      <c r="Q673" s="116">
        <v>175.35</v>
      </c>
      <c r="R673">
        <v>4234550</v>
      </c>
    </row>
    <row r="674" spans="1:18" x14ac:dyDescent="0.25">
      <c r="A674" s="170">
        <v>43208</v>
      </c>
      <c r="B674" s="116">
        <v>179.5</v>
      </c>
      <c r="C674" s="116">
        <v>174.4</v>
      </c>
      <c r="D674" s="116">
        <v>173.8</v>
      </c>
      <c r="E674" s="116">
        <v>176.95</v>
      </c>
      <c r="F674" s="116">
        <v>174.4</v>
      </c>
      <c r="G674">
        <v>80496</v>
      </c>
      <c r="H674" s="116"/>
      <c r="I674" s="116"/>
      <c r="L674" s="170">
        <v>43208</v>
      </c>
      <c r="M674" s="116">
        <v>174</v>
      </c>
      <c r="N674" s="116">
        <v>179.95</v>
      </c>
      <c r="O674" s="116">
        <v>173.1</v>
      </c>
      <c r="P674" s="116">
        <v>177.45</v>
      </c>
      <c r="Q674" s="116">
        <v>174</v>
      </c>
      <c r="R674">
        <v>4322748</v>
      </c>
    </row>
    <row r="675" spans="1:18" x14ac:dyDescent="0.25">
      <c r="A675" s="170">
        <v>43209</v>
      </c>
      <c r="B675" s="116">
        <v>178</v>
      </c>
      <c r="C675" s="116">
        <v>173.65</v>
      </c>
      <c r="D675" s="116">
        <v>172.9</v>
      </c>
      <c r="E675" s="116">
        <v>175</v>
      </c>
      <c r="F675" s="116">
        <v>173.65</v>
      </c>
      <c r="G675">
        <v>45352</v>
      </c>
      <c r="H675" s="116"/>
      <c r="I675" s="116"/>
      <c r="L675" s="170">
        <v>43209</v>
      </c>
      <c r="M675" s="116">
        <v>173.5</v>
      </c>
      <c r="N675" s="116">
        <v>178.5</v>
      </c>
      <c r="O675" s="116">
        <v>171.85</v>
      </c>
      <c r="P675" s="116">
        <v>175</v>
      </c>
      <c r="Q675" s="116">
        <v>173.5</v>
      </c>
      <c r="R675">
        <v>3946735</v>
      </c>
    </row>
    <row r="676" spans="1:18" x14ac:dyDescent="0.25">
      <c r="A676" s="170">
        <v>43210</v>
      </c>
      <c r="B676" s="116">
        <v>178.05</v>
      </c>
      <c r="C676" s="116">
        <v>171.85</v>
      </c>
      <c r="D676" s="116">
        <v>170.8</v>
      </c>
      <c r="E676" s="116">
        <v>174.4</v>
      </c>
      <c r="F676" s="116">
        <v>171.85</v>
      </c>
      <c r="G676">
        <v>102315</v>
      </c>
      <c r="H676" s="116"/>
      <c r="I676" s="116"/>
      <c r="L676" s="170">
        <v>43210</v>
      </c>
      <c r="M676" s="116">
        <v>172.35</v>
      </c>
      <c r="N676" s="116">
        <v>178.5</v>
      </c>
      <c r="O676" s="116">
        <v>170.85</v>
      </c>
      <c r="P676" s="116">
        <v>173.5</v>
      </c>
      <c r="Q676" s="116">
        <v>172.35</v>
      </c>
      <c r="R676">
        <v>2994479</v>
      </c>
    </row>
    <row r="677" spans="1:18" x14ac:dyDescent="0.25">
      <c r="A677" s="170">
        <v>43213</v>
      </c>
      <c r="B677" s="116">
        <v>174.95</v>
      </c>
      <c r="C677" s="116">
        <v>170.75</v>
      </c>
      <c r="D677" s="116">
        <v>169.5</v>
      </c>
      <c r="E677" s="116">
        <v>172.6</v>
      </c>
      <c r="F677" s="116">
        <v>170.75</v>
      </c>
      <c r="G677">
        <v>52145</v>
      </c>
      <c r="H677" s="116"/>
      <c r="I677" s="116"/>
      <c r="L677" s="170">
        <v>43213</v>
      </c>
      <c r="M677" s="116">
        <v>170.7</v>
      </c>
      <c r="N677" s="116">
        <v>175.35</v>
      </c>
      <c r="O677" s="116">
        <v>168.6</v>
      </c>
      <c r="P677" s="116">
        <v>172.5</v>
      </c>
      <c r="Q677" s="116">
        <v>170.7</v>
      </c>
      <c r="R677">
        <v>3795969</v>
      </c>
    </row>
    <row r="678" spans="1:18" x14ac:dyDescent="0.25">
      <c r="A678" s="170">
        <v>43214</v>
      </c>
      <c r="B678" s="116">
        <v>173.25</v>
      </c>
      <c r="C678" s="116">
        <v>168.75</v>
      </c>
      <c r="D678" s="116">
        <v>167.2</v>
      </c>
      <c r="E678" s="116">
        <v>171.5</v>
      </c>
      <c r="F678" s="116">
        <v>168.75</v>
      </c>
      <c r="G678">
        <v>52703</v>
      </c>
      <c r="H678" s="116"/>
      <c r="I678" s="116"/>
      <c r="L678" s="170">
        <v>43214</v>
      </c>
      <c r="M678" s="116">
        <v>168.35</v>
      </c>
      <c r="N678" s="116">
        <v>173.5</v>
      </c>
      <c r="O678" s="116">
        <v>166.55</v>
      </c>
      <c r="P678" s="116">
        <v>171.05</v>
      </c>
      <c r="Q678" s="116">
        <v>168.35</v>
      </c>
      <c r="R678">
        <v>3607369</v>
      </c>
    </row>
    <row r="679" spans="1:18" x14ac:dyDescent="0.25">
      <c r="A679" s="170">
        <v>43215</v>
      </c>
      <c r="B679" s="116">
        <v>170.5</v>
      </c>
      <c r="C679" s="116">
        <v>167.65</v>
      </c>
      <c r="D679" s="116">
        <v>166.2</v>
      </c>
      <c r="E679" s="116">
        <v>168.55</v>
      </c>
      <c r="F679" s="116">
        <v>167.65</v>
      </c>
      <c r="G679">
        <v>47777</v>
      </c>
      <c r="H679" s="116"/>
      <c r="I679" s="116"/>
      <c r="L679" s="170">
        <v>43215</v>
      </c>
      <c r="M679" s="116">
        <v>168</v>
      </c>
      <c r="N679" s="116">
        <v>170.45</v>
      </c>
      <c r="O679" s="116">
        <v>165.8</v>
      </c>
      <c r="P679" s="116">
        <v>167.9</v>
      </c>
      <c r="Q679" s="116">
        <v>168</v>
      </c>
      <c r="R679">
        <v>3060309</v>
      </c>
    </row>
    <row r="680" spans="1:18" x14ac:dyDescent="0.25">
      <c r="A680" s="170">
        <v>43216</v>
      </c>
      <c r="B680" s="116">
        <v>169.25</v>
      </c>
      <c r="C680" s="116">
        <v>167.45</v>
      </c>
      <c r="D680" s="116">
        <v>164</v>
      </c>
      <c r="E680" s="116">
        <v>168.75</v>
      </c>
      <c r="F680" s="116">
        <v>167.45</v>
      </c>
      <c r="G680">
        <v>21476</v>
      </c>
      <c r="H680" s="116"/>
      <c r="I680" s="116"/>
      <c r="L680" s="170">
        <v>43216</v>
      </c>
      <c r="M680" s="116">
        <v>168.05</v>
      </c>
      <c r="N680" s="116">
        <v>169.8</v>
      </c>
      <c r="O680" s="116">
        <v>166.35</v>
      </c>
      <c r="P680" s="116">
        <v>168.9</v>
      </c>
      <c r="Q680" s="116">
        <v>168.05</v>
      </c>
      <c r="R680">
        <v>848090</v>
      </c>
    </row>
    <row r="681" spans="1:18" x14ac:dyDescent="0.25">
      <c r="A681" s="170">
        <v>43217</v>
      </c>
      <c r="B681" s="116">
        <v>174.5</v>
      </c>
      <c r="C681" s="116">
        <v>169.5</v>
      </c>
      <c r="D681" s="116">
        <v>168.3</v>
      </c>
      <c r="E681" s="116">
        <v>168.5</v>
      </c>
      <c r="F681" s="116">
        <v>169.5</v>
      </c>
      <c r="G681">
        <v>51249</v>
      </c>
      <c r="H681" s="116"/>
      <c r="I681" s="116"/>
      <c r="L681" s="170">
        <v>43217</v>
      </c>
      <c r="M681" s="116">
        <v>169.55</v>
      </c>
      <c r="N681" s="116">
        <v>174.8</v>
      </c>
      <c r="O681" s="116">
        <v>167.4</v>
      </c>
      <c r="P681" s="116">
        <v>169</v>
      </c>
      <c r="Q681" s="116">
        <v>169.55</v>
      </c>
      <c r="R681">
        <v>1921518</v>
      </c>
    </row>
    <row r="682" spans="1:18" x14ac:dyDescent="0.25">
      <c r="A682" s="170">
        <v>43220</v>
      </c>
      <c r="B682" s="116">
        <v>172.05</v>
      </c>
      <c r="C682" s="116">
        <v>168.95</v>
      </c>
      <c r="D682" s="116">
        <v>167.55</v>
      </c>
      <c r="E682" s="116">
        <v>169.25</v>
      </c>
      <c r="F682" s="116">
        <v>168.95</v>
      </c>
      <c r="G682">
        <v>39685</v>
      </c>
      <c r="H682" s="116"/>
      <c r="I682" s="116"/>
      <c r="L682" s="170">
        <v>43220</v>
      </c>
      <c r="M682" s="116">
        <v>168.6</v>
      </c>
      <c r="N682" s="116">
        <v>172.5</v>
      </c>
      <c r="O682" s="116">
        <v>167.55</v>
      </c>
      <c r="P682" s="116">
        <v>169.9</v>
      </c>
      <c r="Q682" s="116">
        <v>168.6</v>
      </c>
      <c r="R682">
        <v>1394162</v>
      </c>
    </row>
    <row r="683" spans="1:18" x14ac:dyDescent="0.25">
      <c r="A683" s="170">
        <v>43222</v>
      </c>
      <c r="B683" s="116">
        <v>172</v>
      </c>
      <c r="C683" s="116">
        <v>167</v>
      </c>
      <c r="D683" s="116">
        <v>165.65</v>
      </c>
      <c r="E683" s="116">
        <v>169.9</v>
      </c>
      <c r="F683" s="116">
        <v>167</v>
      </c>
      <c r="G683">
        <v>41495</v>
      </c>
      <c r="H683" s="116"/>
      <c r="I683" s="116"/>
      <c r="L683" s="170">
        <v>43222</v>
      </c>
      <c r="M683" s="116">
        <v>167.1</v>
      </c>
      <c r="N683" s="116">
        <v>172.45</v>
      </c>
      <c r="O683" s="116">
        <v>165</v>
      </c>
      <c r="P683" s="116">
        <v>170.95</v>
      </c>
      <c r="Q683" s="116">
        <v>167.1</v>
      </c>
      <c r="R683">
        <v>1834208</v>
      </c>
    </row>
    <row r="684" spans="1:18" x14ac:dyDescent="0.25">
      <c r="A684" s="170">
        <v>43223</v>
      </c>
      <c r="B684" s="116">
        <v>171</v>
      </c>
      <c r="C684" s="116">
        <v>167</v>
      </c>
      <c r="D684" s="116">
        <v>164.25</v>
      </c>
      <c r="E684" s="116">
        <v>170</v>
      </c>
      <c r="F684" s="116">
        <v>167</v>
      </c>
      <c r="G684">
        <v>47318</v>
      </c>
      <c r="H684" s="116"/>
      <c r="I684" s="116"/>
      <c r="L684" s="170">
        <v>43223</v>
      </c>
      <c r="M684" s="116">
        <v>166.05</v>
      </c>
      <c r="N684" s="116">
        <v>170.5</v>
      </c>
      <c r="O684" s="116">
        <v>163.69999999999999</v>
      </c>
      <c r="P684" s="116">
        <v>167.3</v>
      </c>
      <c r="Q684" s="116">
        <v>166.05</v>
      </c>
      <c r="R684">
        <v>2626145</v>
      </c>
    </row>
    <row r="685" spans="1:18" x14ac:dyDescent="0.25">
      <c r="A685" s="170">
        <v>43224</v>
      </c>
      <c r="B685" s="116">
        <v>168.25</v>
      </c>
      <c r="C685" s="116">
        <v>164.3</v>
      </c>
      <c r="D685" s="116">
        <v>162.1</v>
      </c>
      <c r="E685" s="116">
        <v>167</v>
      </c>
      <c r="F685" s="116">
        <v>164.3</v>
      </c>
      <c r="G685">
        <v>29510</v>
      </c>
      <c r="H685" s="116"/>
      <c r="I685" s="116"/>
      <c r="L685" s="170">
        <v>43224</v>
      </c>
      <c r="M685" s="116">
        <v>164.8</v>
      </c>
      <c r="N685" s="116">
        <v>168.5</v>
      </c>
      <c r="O685" s="116">
        <v>164</v>
      </c>
      <c r="P685" s="116">
        <v>166</v>
      </c>
      <c r="Q685" s="116">
        <v>164.8</v>
      </c>
      <c r="R685">
        <v>904580</v>
      </c>
    </row>
    <row r="686" spans="1:18" x14ac:dyDescent="0.25">
      <c r="A686" s="170">
        <v>43227</v>
      </c>
      <c r="B686" s="116">
        <v>169</v>
      </c>
      <c r="C686" s="116">
        <v>166.3</v>
      </c>
      <c r="D686" s="116">
        <v>163.44999999999999</v>
      </c>
      <c r="E686" s="116">
        <v>166</v>
      </c>
      <c r="F686" s="116">
        <v>166.3</v>
      </c>
      <c r="G686">
        <v>47143</v>
      </c>
      <c r="H686" s="116"/>
      <c r="I686" s="116"/>
      <c r="L686" s="170">
        <v>43227</v>
      </c>
      <c r="M686" s="116">
        <v>165.65</v>
      </c>
      <c r="N686" s="116">
        <v>168.2</v>
      </c>
      <c r="O686" s="116">
        <v>163.1</v>
      </c>
      <c r="P686" s="116">
        <v>165.1</v>
      </c>
      <c r="Q686" s="116">
        <v>165.65</v>
      </c>
      <c r="R686">
        <v>779241</v>
      </c>
    </row>
    <row r="687" spans="1:18" x14ac:dyDescent="0.25">
      <c r="A687" s="170">
        <v>43228</v>
      </c>
      <c r="B687" s="116">
        <v>167.5</v>
      </c>
      <c r="C687" s="116">
        <v>165.6</v>
      </c>
      <c r="D687" s="116">
        <v>163.55000000000001</v>
      </c>
      <c r="E687" s="116">
        <v>167.45</v>
      </c>
      <c r="F687" s="116">
        <v>165.6</v>
      </c>
      <c r="G687">
        <v>17105</v>
      </c>
      <c r="H687" s="116"/>
      <c r="I687" s="116"/>
      <c r="L687" s="170">
        <v>43228</v>
      </c>
      <c r="M687" s="116">
        <v>165.85</v>
      </c>
      <c r="N687" s="116">
        <v>167.7</v>
      </c>
      <c r="O687" s="116">
        <v>163.1</v>
      </c>
      <c r="P687" s="116">
        <v>167.7</v>
      </c>
      <c r="Q687" s="116">
        <v>165.85</v>
      </c>
      <c r="R687">
        <v>756227</v>
      </c>
    </row>
    <row r="688" spans="1:18" x14ac:dyDescent="0.25">
      <c r="A688" s="170">
        <v>43229</v>
      </c>
      <c r="B688" s="116">
        <v>167</v>
      </c>
      <c r="C688" s="116">
        <v>163.69999999999999</v>
      </c>
      <c r="D688" s="116">
        <v>162.15</v>
      </c>
      <c r="E688" s="116">
        <v>165.95</v>
      </c>
      <c r="F688" s="116">
        <v>163.69999999999999</v>
      </c>
      <c r="G688">
        <v>23267</v>
      </c>
      <c r="H688" s="116"/>
      <c r="I688" s="116"/>
      <c r="L688" s="170">
        <v>43229</v>
      </c>
      <c r="M688" s="116">
        <v>164.25</v>
      </c>
      <c r="N688" s="116">
        <v>167.4</v>
      </c>
      <c r="O688" s="116">
        <v>161.9</v>
      </c>
      <c r="P688" s="116">
        <v>164.65</v>
      </c>
      <c r="Q688" s="116">
        <v>164.25</v>
      </c>
      <c r="R688">
        <v>897968</v>
      </c>
    </row>
    <row r="689" spans="1:18" x14ac:dyDescent="0.25">
      <c r="A689" s="170">
        <v>43230</v>
      </c>
      <c r="B689" s="116">
        <v>174</v>
      </c>
      <c r="C689" s="116">
        <v>168.95</v>
      </c>
      <c r="D689" s="116">
        <v>159</v>
      </c>
      <c r="E689" s="116">
        <v>165.5</v>
      </c>
      <c r="F689" s="116">
        <v>168.95</v>
      </c>
      <c r="G689">
        <v>231523</v>
      </c>
      <c r="H689" s="116"/>
      <c r="I689" s="116"/>
      <c r="L689" s="170">
        <v>43230</v>
      </c>
      <c r="M689" s="116">
        <v>168.65</v>
      </c>
      <c r="N689" s="116">
        <v>174.75</v>
      </c>
      <c r="O689" s="116">
        <v>160.30000000000001</v>
      </c>
      <c r="P689" s="116">
        <v>164.85</v>
      </c>
      <c r="Q689" s="116">
        <v>168.65</v>
      </c>
      <c r="R689">
        <v>2608475</v>
      </c>
    </row>
    <row r="690" spans="1:18" x14ac:dyDescent="0.25">
      <c r="A690" s="170">
        <v>43231</v>
      </c>
      <c r="B690" s="116">
        <v>177.75</v>
      </c>
      <c r="C690" s="116">
        <v>165.1</v>
      </c>
      <c r="D690" s="116">
        <v>163.5</v>
      </c>
      <c r="E690" s="116">
        <v>177.75</v>
      </c>
      <c r="F690" s="116">
        <v>165.1</v>
      </c>
      <c r="G690">
        <v>78350</v>
      </c>
      <c r="H690" s="116"/>
      <c r="I690" s="116"/>
      <c r="L690" s="170">
        <v>43231</v>
      </c>
      <c r="M690" s="116">
        <v>164.8</v>
      </c>
      <c r="N690" s="116">
        <v>174</v>
      </c>
      <c r="O690" s="116">
        <v>163.05000000000001</v>
      </c>
      <c r="P690" s="116">
        <v>174</v>
      </c>
      <c r="Q690" s="116">
        <v>164.8</v>
      </c>
      <c r="R690">
        <v>939316</v>
      </c>
    </row>
    <row r="691" spans="1:18" x14ac:dyDescent="0.25">
      <c r="A691" s="170">
        <v>43234</v>
      </c>
      <c r="B691" s="116">
        <v>164.35</v>
      </c>
      <c r="C691" s="116">
        <v>158.44999999999999</v>
      </c>
      <c r="D691" s="116">
        <v>157.19999999999999</v>
      </c>
      <c r="E691" s="116">
        <v>164</v>
      </c>
      <c r="F691" s="116">
        <v>158.44999999999999</v>
      </c>
      <c r="G691">
        <v>34008</v>
      </c>
      <c r="H691" s="116"/>
      <c r="I691" s="116"/>
      <c r="L691" s="170">
        <v>43234</v>
      </c>
      <c r="M691" s="116">
        <v>158.80000000000001</v>
      </c>
      <c r="N691" s="116">
        <v>164.3</v>
      </c>
      <c r="O691" s="116">
        <v>157</v>
      </c>
      <c r="P691" s="116">
        <v>164</v>
      </c>
      <c r="Q691" s="116">
        <v>158.80000000000001</v>
      </c>
      <c r="R691">
        <v>617969</v>
      </c>
    </row>
    <row r="692" spans="1:18" x14ac:dyDescent="0.25">
      <c r="A692" s="170">
        <v>43235</v>
      </c>
      <c r="B692" s="116">
        <v>158</v>
      </c>
      <c r="C692" s="116">
        <v>141.35</v>
      </c>
      <c r="D692" s="116">
        <v>138</v>
      </c>
      <c r="E692" s="116">
        <v>158</v>
      </c>
      <c r="F692" s="116">
        <v>141.35</v>
      </c>
      <c r="G692">
        <v>137787</v>
      </c>
      <c r="H692" s="116"/>
      <c r="I692" s="116"/>
      <c r="L692" s="170">
        <v>43235</v>
      </c>
      <c r="M692" s="116">
        <v>142.19999999999999</v>
      </c>
      <c r="N692" s="116">
        <v>158</v>
      </c>
      <c r="O692" s="116">
        <v>134.5</v>
      </c>
      <c r="P692" s="116">
        <v>158</v>
      </c>
      <c r="Q692" s="116">
        <v>142.19999999999999</v>
      </c>
      <c r="R692">
        <v>1059599</v>
      </c>
    </row>
    <row r="693" spans="1:18" x14ac:dyDescent="0.25">
      <c r="A693" s="170">
        <v>43236</v>
      </c>
      <c r="B693" s="116">
        <v>142.9</v>
      </c>
      <c r="C693" s="116">
        <v>129.65</v>
      </c>
      <c r="D693" s="116">
        <v>128.35</v>
      </c>
      <c r="E693" s="116">
        <v>142.9</v>
      </c>
      <c r="F693" s="116">
        <v>129.65</v>
      </c>
      <c r="G693">
        <v>242779</v>
      </c>
      <c r="H693" s="116"/>
      <c r="I693" s="116"/>
      <c r="L693" s="170">
        <v>43236</v>
      </c>
      <c r="M693" s="116">
        <v>130.05000000000001</v>
      </c>
      <c r="N693" s="116">
        <v>142</v>
      </c>
      <c r="O693" s="116">
        <v>128.55000000000001</v>
      </c>
      <c r="P693" s="116">
        <v>142</v>
      </c>
      <c r="Q693" s="116">
        <v>130.05000000000001</v>
      </c>
      <c r="R693">
        <v>6194972</v>
      </c>
    </row>
    <row r="694" spans="1:18" x14ac:dyDescent="0.25">
      <c r="A694" s="170">
        <v>43237</v>
      </c>
      <c r="B694" s="116">
        <v>139.5</v>
      </c>
      <c r="C694" s="116">
        <v>131.69999999999999</v>
      </c>
      <c r="D694" s="116">
        <v>130.05000000000001</v>
      </c>
      <c r="E694" s="116">
        <v>131.69999999999999</v>
      </c>
      <c r="F694" s="116">
        <v>131.69999999999999</v>
      </c>
      <c r="G694">
        <v>268549</v>
      </c>
      <c r="H694" s="116"/>
      <c r="I694" s="116"/>
      <c r="L694" s="170">
        <v>43237</v>
      </c>
      <c r="M694" s="116">
        <v>131.69999999999999</v>
      </c>
      <c r="N694" s="116">
        <v>139.65</v>
      </c>
      <c r="O694" s="116">
        <v>130.55000000000001</v>
      </c>
      <c r="P694" s="116">
        <v>130.80000000000001</v>
      </c>
      <c r="Q694" s="116">
        <v>131.69999999999999</v>
      </c>
      <c r="R694">
        <v>7049064</v>
      </c>
    </row>
    <row r="695" spans="1:18" x14ac:dyDescent="0.25">
      <c r="A695" s="170">
        <v>43238</v>
      </c>
      <c r="B695" s="116">
        <v>132.80000000000001</v>
      </c>
      <c r="C695" s="116">
        <v>127.55</v>
      </c>
      <c r="D695" s="116">
        <v>123.25</v>
      </c>
      <c r="E695" s="116">
        <v>132.5</v>
      </c>
      <c r="F695" s="116">
        <v>127.55</v>
      </c>
      <c r="G695">
        <v>168497</v>
      </c>
      <c r="H695" s="116"/>
      <c r="I695" s="116"/>
      <c r="L695" s="170">
        <v>43238</v>
      </c>
      <c r="M695" s="116">
        <v>128.15</v>
      </c>
      <c r="N695" s="116">
        <v>132.80000000000001</v>
      </c>
      <c r="O695" s="116">
        <v>122.9</v>
      </c>
      <c r="P695" s="116">
        <v>132.44999999999999</v>
      </c>
      <c r="Q695" s="116">
        <v>128.15</v>
      </c>
      <c r="R695">
        <v>1385463</v>
      </c>
    </row>
    <row r="696" spans="1:18" x14ac:dyDescent="0.25">
      <c r="A696" s="170">
        <v>43241</v>
      </c>
      <c r="B696" s="116">
        <v>131.44999999999999</v>
      </c>
      <c r="C696" s="116">
        <v>124.75</v>
      </c>
      <c r="D696" s="116">
        <v>123.3</v>
      </c>
      <c r="E696" s="116">
        <v>129</v>
      </c>
      <c r="F696" s="116">
        <v>124.75</v>
      </c>
      <c r="G696">
        <v>88575</v>
      </c>
      <c r="H696" s="116"/>
      <c r="I696" s="116"/>
      <c r="L696" s="170">
        <v>43241</v>
      </c>
      <c r="M696" s="116">
        <v>125.3</v>
      </c>
      <c r="N696" s="116">
        <v>131.69999999999999</v>
      </c>
      <c r="O696" s="116">
        <v>123.2</v>
      </c>
      <c r="P696" s="116">
        <v>129</v>
      </c>
      <c r="Q696" s="116">
        <v>125.3</v>
      </c>
      <c r="R696">
        <v>510767</v>
      </c>
    </row>
    <row r="697" spans="1:18" x14ac:dyDescent="0.25">
      <c r="A697" s="170">
        <v>43242</v>
      </c>
      <c r="B697" s="116">
        <v>126.75</v>
      </c>
      <c r="C697" s="116">
        <v>123.95</v>
      </c>
      <c r="D697" s="116">
        <v>122.5</v>
      </c>
      <c r="E697" s="116">
        <v>126</v>
      </c>
      <c r="F697" s="116">
        <v>123.95</v>
      </c>
      <c r="G697">
        <v>38568</v>
      </c>
      <c r="H697" s="116"/>
      <c r="I697" s="116"/>
      <c r="L697" s="170">
        <v>43242</v>
      </c>
      <c r="M697" s="116">
        <v>123.75</v>
      </c>
      <c r="N697" s="116">
        <v>127</v>
      </c>
      <c r="O697" s="116">
        <v>122.1</v>
      </c>
      <c r="P697" s="116">
        <v>125.4</v>
      </c>
      <c r="Q697" s="116">
        <v>123.75</v>
      </c>
      <c r="R697">
        <v>653579</v>
      </c>
    </row>
    <row r="698" spans="1:18" x14ac:dyDescent="0.25">
      <c r="A698" s="170">
        <v>43243</v>
      </c>
      <c r="B698" s="116">
        <v>124.6</v>
      </c>
      <c r="C698" s="116">
        <v>120.7</v>
      </c>
      <c r="D698" s="116">
        <v>119.6</v>
      </c>
      <c r="E698" s="116">
        <v>124</v>
      </c>
      <c r="F698" s="116">
        <v>120.7</v>
      </c>
      <c r="G698">
        <v>33739</v>
      </c>
      <c r="H698" s="116"/>
      <c r="I698" s="116"/>
      <c r="L698" s="170">
        <v>43243</v>
      </c>
      <c r="M698" s="116">
        <v>120.4</v>
      </c>
      <c r="N698" s="116">
        <v>125.6</v>
      </c>
      <c r="O698" s="116">
        <v>119.05</v>
      </c>
      <c r="P698" s="116">
        <v>125.6</v>
      </c>
      <c r="Q698" s="116">
        <v>120.4</v>
      </c>
      <c r="R698">
        <v>707476</v>
      </c>
    </row>
    <row r="699" spans="1:18" x14ac:dyDescent="0.25">
      <c r="A699" s="170">
        <v>43244</v>
      </c>
      <c r="B699" s="116">
        <v>127.5</v>
      </c>
      <c r="C699" s="116">
        <v>124.5</v>
      </c>
      <c r="D699" s="116">
        <v>115</v>
      </c>
      <c r="E699" s="116">
        <v>121.25</v>
      </c>
      <c r="F699" s="116">
        <v>124.5</v>
      </c>
      <c r="G699">
        <v>109961</v>
      </c>
      <c r="H699" s="116"/>
      <c r="I699" s="116"/>
      <c r="L699" s="170">
        <v>43244</v>
      </c>
      <c r="M699" s="116">
        <v>124.7</v>
      </c>
      <c r="N699" s="116">
        <v>127.75</v>
      </c>
      <c r="O699" s="116">
        <v>115.7</v>
      </c>
      <c r="P699" s="116">
        <v>120.85</v>
      </c>
      <c r="Q699" s="116">
        <v>124.7</v>
      </c>
      <c r="R699">
        <v>910221</v>
      </c>
    </row>
    <row r="700" spans="1:18" x14ac:dyDescent="0.25">
      <c r="A700" s="170">
        <v>43245</v>
      </c>
      <c r="B700" s="116">
        <v>130</v>
      </c>
      <c r="C700" s="116">
        <v>129.1</v>
      </c>
      <c r="D700" s="116">
        <v>122.6</v>
      </c>
      <c r="E700" s="116">
        <v>125</v>
      </c>
      <c r="F700" s="116">
        <v>129.1</v>
      </c>
      <c r="G700">
        <v>59555</v>
      </c>
      <c r="H700" s="116"/>
      <c r="I700" s="116"/>
      <c r="L700" s="170">
        <v>43245</v>
      </c>
      <c r="M700" s="116">
        <v>129.4</v>
      </c>
      <c r="N700" s="116">
        <v>130.5</v>
      </c>
      <c r="O700" s="116">
        <v>122.3</v>
      </c>
      <c r="P700" s="116">
        <v>125</v>
      </c>
      <c r="Q700" s="116">
        <v>129.4</v>
      </c>
      <c r="R700">
        <v>779631</v>
      </c>
    </row>
    <row r="701" spans="1:18" x14ac:dyDescent="0.25">
      <c r="A701" s="170">
        <v>43248</v>
      </c>
      <c r="B701" s="116">
        <v>141.80000000000001</v>
      </c>
      <c r="C701" s="116">
        <v>138.9</v>
      </c>
      <c r="D701" s="116">
        <v>127.7</v>
      </c>
      <c r="E701" s="116">
        <v>131.5</v>
      </c>
      <c r="F701" s="116">
        <v>138.9</v>
      </c>
      <c r="G701">
        <v>181810</v>
      </c>
      <c r="H701" s="116"/>
      <c r="I701" s="116"/>
      <c r="L701" s="170">
        <v>43248</v>
      </c>
      <c r="M701" s="116">
        <v>138.94999999999999</v>
      </c>
      <c r="N701" s="116">
        <v>142.5</v>
      </c>
      <c r="O701" s="116">
        <v>127.55</v>
      </c>
      <c r="P701" s="116">
        <v>130</v>
      </c>
      <c r="Q701" s="116">
        <v>138.94999999999999</v>
      </c>
      <c r="R701">
        <v>1171817</v>
      </c>
    </row>
    <row r="702" spans="1:18" x14ac:dyDescent="0.25">
      <c r="A702" s="170">
        <v>43249</v>
      </c>
      <c r="B702" s="116">
        <v>155</v>
      </c>
      <c r="C702" s="116">
        <v>140.25</v>
      </c>
      <c r="D702" s="116">
        <v>134.1</v>
      </c>
      <c r="E702" s="116">
        <v>138</v>
      </c>
      <c r="F702" s="116">
        <v>140.25</v>
      </c>
      <c r="G702">
        <v>154661</v>
      </c>
      <c r="H702" s="116"/>
      <c r="I702" s="116"/>
      <c r="L702" s="170">
        <v>43249</v>
      </c>
      <c r="M702" s="116">
        <v>140.05000000000001</v>
      </c>
      <c r="N702" s="116">
        <v>164</v>
      </c>
      <c r="O702" s="116">
        <v>134</v>
      </c>
      <c r="P702" s="116">
        <v>136.9</v>
      </c>
      <c r="Q702" s="116">
        <v>140.05000000000001</v>
      </c>
      <c r="R702">
        <v>1039569</v>
      </c>
    </row>
    <row r="703" spans="1:18" x14ac:dyDescent="0.25">
      <c r="A703" s="170">
        <v>43250</v>
      </c>
      <c r="B703" s="116">
        <v>140</v>
      </c>
      <c r="C703" s="116">
        <v>136.44999999999999</v>
      </c>
      <c r="D703" s="116">
        <v>135.5</v>
      </c>
      <c r="E703" s="116">
        <v>136.1</v>
      </c>
      <c r="F703" s="116">
        <v>136.44999999999999</v>
      </c>
      <c r="G703">
        <v>53388</v>
      </c>
      <c r="H703" s="116"/>
      <c r="I703" s="116"/>
      <c r="L703" s="170">
        <v>43250</v>
      </c>
      <c r="M703" s="116">
        <v>136.30000000000001</v>
      </c>
      <c r="N703" s="116">
        <v>139.80000000000001</v>
      </c>
      <c r="O703" s="116">
        <v>135.25</v>
      </c>
      <c r="P703" s="116">
        <v>137.25</v>
      </c>
      <c r="Q703" s="116">
        <v>136.30000000000001</v>
      </c>
      <c r="R703">
        <v>751366</v>
      </c>
    </row>
    <row r="704" spans="1:18" x14ac:dyDescent="0.25">
      <c r="A704" s="170">
        <v>43251</v>
      </c>
      <c r="B704" s="116">
        <v>140.5</v>
      </c>
      <c r="C704" s="116">
        <v>135.85</v>
      </c>
      <c r="D704" s="116">
        <v>134.44999999999999</v>
      </c>
      <c r="E704" s="116">
        <v>137.1</v>
      </c>
      <c r="F704" s="116">
        <v>135.85</v>
      </c>
      <c r="G704">
        <v>48560</v>
      </c>
      <c r="H704" s="116"/>
      <c r="I704" s="116"/>
      <c r="L704" s="170">
        <v>43251</v>
      </c>
      <c r="M704" s="116">
        <v>136.05000000000001</v>
      </c>
      <c r="N704" s="116">
        <v>140.5</v>
      </c>
      <c r="O704" s="116">
        <v>134.69999999999999</v>
      </c>
      <c r="P704" s="116">
        <v>136.30000000000001</v>
      </c>
      <c r="Q704" s="116">
        <v>136.05000000000001</v>
      </c>
      <c r="R704">
        <v>421790</v>
      </c>
    </row>
    <row r="705" spans="1:18" x14ac:dyDescent="0.25">
      <c r="A705" s="170">
        <v>43252</v>
      </c>
      <c r="B705" s="116">
        <v>137</v>
      </c>
      <c r="C705" s="116">
        <v>134.55000000000001</v>
      </c>
      <c r="D705" s="116">
        <v>132</v>
      </c>
      <c r="E705" s="116">
        <v>134</v>
      </c>
      <c r="F705" s="116">
        <v>134.55000000000001</v>
      </c>
      <c r="G705">
        <v>43758</v>
      </c>
      <c r="H705" s="116"/>
      <c r="I705" s="116"/>
      <c r="L705" s="170">
        <v>43252</v>
      </c>
      <c r="M705" s="116">
        <v>135</v>
      </c>
      <c r="N705" s="116">
        <v>136.75</v>
      </c>
      <c r="O705" s="116">
        <v>131.75</v>
      </c>
      <c r="P705" s="116">
        <v>136.1</v>
      </c>
      <c r="Q705" s="116">
        <v>135</v>
      </c>
      <c r="R705">
        <v>712165</v>
      </c>
    </row>
    <row r="706" spans="1:18" x14ac:dyDescent="0.25">
      <c r="A706" s="170">
        <v>43255</v>
      </c>
      <c r="B706" s="116">
        <v>138.5</v>
      </c>
      <c r="C706" s="116">
        <v>135.1</v>
      </c>
      <c r="D706" s="116">
        <v>130.44999999999999</v>
      </c>
      <c r="E706" s="116">
        <v>133</v>
      </c>
      <c r="F706" s="116">
        <v>135.1</v>
      </c>
      <c r="G706">
        <v>86152</v>
      </c>
      <c r="H706" s="116"/>
      <c r="I706" s="116"/>
      <c r="L706" s="170">
        <v>43255</v>
      </c>
      <c r="M706" s="116">
        <v>135</v>
      </c>
      <c r="N706" s="116">
        <v>140</v>
      </c>
      <c r="O706" s="116">
        <v>130.19999999999999</v>
      </c>
      <c r="P706" s="116">
        <v>135.25</v>
      </c>
      <c r="Q706" s="116">
        <v>135</v>
      </c>
      <c r="R706">
        <v>646384</v>
      </c>
    </row>
    <row r="707" spans="1:18" x14ac:dyDescent="0.25">
      <c r="A707" s="170">
        <v>43256</v>
      </c>
      <c r="B707" s="116">
        <v>145</v>
      </c>
      <c r="C707" s="116">
        <v>131.25</v>
      </c>
      <c r="D707" s="116">
        <v>126.65</v>
      </c>
      <c r="E707" s="116">
        <v>134</v>
      </c>
      <c r="F707" s="116">
        <v>131.25</v>
      </c>
      <c r="G707">
        <v>435618</v>
      </c>
      <c r="H707" s="116"/>
      <c r="I707" s="116"/>
      <c r="L707" s="170">
        <v>43256</v>
      </c>
      <c r="M707" s="116">
        <v>129.25</v>
      </c>
      <c r="N707" s="116">
        <v>135.05000000000001</v>
      </c>
      <c r="O707" s="116">
        <v>126.35</v>
      </c>
      <c r="P707" s="116">
        <v>133.25</v>
      </c>
      <c r="Q707" s="116">
        <v>129.25</v>
      </c>
      <c r="R707">
        <v>608400</v>
      </c>
    </row>
    <row r="708" spans="1:18" x14ac:dyDescent="0.25">
      <c r="A708" s="170">
        <v>43257</v>
      </c>
      <c r="B708" s="116">
        <v>134.4</v>
      </c>
      <c r="C708" s="116">
        <v>132.44999999999999</v>
      </c>
      <c r="D708" s="116">
        <v>125.95</v>
      </c>
      <c r="E708" s="116">
        <v>127</v>
      </c>
      <c r="F708" s="116">
        <v>132.44999999999999</v>
      </c>
      <c r="G708">
        <v>57249</v>
      </c>
      <c r="H708" s="116"/>
      <c r="I708" s="116"/>
      <c r="L708" s="170">
        <v>43257</v>
      </c>
      <c r="M708" s="116">
        <v>132.15</v>
      </c>
      <c r="N708" s="116">
        <v>135</v>
      </c>
      <c r="O708" s="116">
        <v>125.1</v>
      </c>
      <c r="P708" s="116">
        <v>129</v>
      </c>
      <c r="Q708" s="116">
        <v>132.15</v>
      </c>
      <c r="R708">
        <v>692479</v>
      </c>
    </row>
    <row r="709" spans="1:18" x14ac:dyDescent="0.25">
      <c r="A709" s="170">
        <v>43258</v>
      </c>
      <c r="B709" s="116">
        <v>141.5</v>
      </c>
      <c r="C709" s="116">
        <v>138.6</v>
      </c>
      <c r="D709" s="116">
        <v>131</v>
      </c>
      <c r="E709" s="116">
        <v>131</v>
      </c>
      <c r="F709" s="116">
        <v>138.6</v>
      </c>
      <c r="G709">
        <v>62687</v>
      </c>
      <c r="H709" s="116"/>
      <c r="I709" s="116"/>
      <c r="L709" s="170">
        <v>43258</v>
      </c>
      <c r="M709" s="116">
        <v>139.15</v>
      </c>
      <c r="N709" s="116">
        <v>141.25</v>
      </c>
      <c r="O709" s="116">
        <v>132.6</v>
      </c>
      <c r="P709" s="116">
        <v>132.6</v>
      </c>
      <c r="Q709" s="116">
        <v>139.15</v>
      </c>
      <c r="R709">
        <v>922097</v>
      </c>
    </row>
    <row r="710" spans="1:18" x14ac:dyDescent="0.25">
      <c r="A710" s="170">
        <v>43259</v>
      </c>
      <c r="B710" s="116">
        <v>139.5</v>
      </c>
      <c r="C710" s="116">
        <v>137.6</v>
      </c>
      <c r="D710" s="116">
        <v>134.9</v>
      </c>
      <c r="E710" s="116">
        <v>137.5</v>
      </c>
      <c r="F710" s="116">
        <v>137.6</v>
      </c>
      <c r="G710">
        <v>49722</v>
      </c>
      <c r="H710" s="116"/>
      <c r="I710" s="116"/>
      <c r="L710" s="170">
        <v>43259</v>
      </c>
      <c r="M710" s="116">
        <v>137.85</v>
      </c>
      <c r="N710" s="116">
        <v>139.85</v>
      </c>
      <c r="O710" s="116">
        <v>134.25</v>
      </c>
      <c r="P710" s="116">
        <v>137.19999999999999</v>
      </c>
      <c r="Q710" s="116">
        <v>137.85</v>
      </c>
      <c r="R710">
        <v>698776</v>
      </c>
    </row>
    <row r="711" spans="1:18" x14ac:dyDescent="0.25">
      <c r="A711" s="170">
        <v>43262</v>
      </c>
      <c r="B711" s="116">
        <v>149.5</v>
      </c>
      <c r="C711" s="116">
        <v>142.5</v>
      </c>
      <c r="D711" s="116">
        <v>136</v>
      </c>
      <c r="E711" s="116">
        <v>136</v>
      </c>
      <c r="F711" s="116">
        <v>142.5</v>
      </c>
      <c r="G711">
        <v>111617</v>
      </c>
      <c r="H711" s="116"/>
      <c r="I711" s="116"/>
      <c r="L711" s="170">
        <v>43262</v>
      </c>
      <c r="M711" s="116">
        <v>142.94999999999999</v>
      </c>
      <c r="N711" s="116">
        <v>149.80000000000001</v>
      </c>
      <c r="O711" s="116">
        <v>138</v>
      </c>
      <c r="P711" s="116">
        <v>138</v>
      </c>
      <c r="Q711" s="116">
        <v>142.94999999999999</v>
      </c>
      <c r="R711">
        <v>928939</v>
      </c>
    </row>
    <row r="712" spans="1:18" x14ac:dyDescent="0.25">
      <c r="A712" s="170">
        <v>43263</v>
      </c>
      <c r="B712" s="116">
        <v>146.69999999999999</v>
      </c>
      <c r="C712" s="116">
        <v>143.80000000000001</v>
      </c>
      <c r="D712" s="116">
        <v>141</v>
      </c>
      <c r="E712" s="116">
        <v>141</v>
      </c>
      <c r="F712" s="116">
        <v>143.80000000000001</v>
      </c>
      <c r="G712">
        <v>39364</v>
      </c>
      <c r="H712" s="116"/>
      <c r="I712" s="116"/>
      <c r="L712" s="170">
        <v>43263</v>
      </c>
      <c r="M712" s="116">
        <v>144.55000000000001</v>
      </c>
      <c r="N712" s="116">
        <v>146.5</v>
      </c>
      <c r="O712" s="116">
        <v>142.1</v>
      </c>
      <c r="P712" s="116">
        <v>143</v>
      </c>
      <c r="Q712" s="116">
        <v>144.55000000000001</v>
      </c>
      <c r="R712">
        <v>588366</v>
      </c>
    </row>
    <row r="713" spans="1:18" x14ac:dyDescent="0.25">
      <c r="A713" s="170">
        <v>43264</v>
      </c>
      <c r="B713" s="116">
        <v>146.9</v>
      </c>
      <c r="C713" s="116">
        <v>142.44999999999999</v>
      </c>
      <c r="D713" s="116">
        <v>142</v>
      </c>
      <c r="E713" s="116">
        <v>142.25</v>
      </c>
      <c r="F713" s="116">
        <v>142.44999999999999</v>
      </c>
      <c r="G713">
        <v>38938</v>
      </c>
      <c r="H713" s="116"/>
      <c r="I713" s="116"/>
      <c r="L713" s="170">
        <v>43264</v>
      </c>
      <c r="M713" s="116">
        <v>142.80000000000001</v>
      </c>
      <c r="N713" s="116">
        <v>146.69999999999999</v>
      </c>
      <c r="O713" s="116">
        <v>142</v>
      </c>
      <c r="P713" s="116">
        <v>143.4</v>
      </c>
      <c r="Q713" s="116">
        <v>142.80000000000001</v>
      </c>
      <c r="R713">
        <v>613086</v>
      </c>
    </row>
    <row r="714" spans="1:18" x14ac:dyDescent="0.25">
      <c r="A714" s="170">
        <v>43265</v>
      </c>
      <c r="B714" s="116">
        <v>147</v>
      </c>
      <c r="C714" s="116">
        <v>144.80000000000001</v>
      </c>
      <c r="D714" s="116">
        <v>143.30000000000001</v>
      </c>
      <c r="E714" s="116">
        <v>143.80000000000001</v>
      </c>
      <c r="F714" s="116">
        <v>144.80000000000001</v>
      </c>
      <c r="G714">
        <v>94375</v>
      </c>
      <c r="H714" s="116"/>
      <c r="I714" s="116"/>
      <c r="L714" s="170">
        <v>43265</v>
      </c>
      <c r="M714" s="116">
        <v>144.80000000000001</v>
      </c>
      <c r="N714" s="116">
        <v>146.75</v>
      </c>
      <c r="O714" s="116">
        <v>142.85</v>
      </c>
      <c r="P714" s="116">
        <v>144.94999999999999</v>
      </c>
      <c r="Q714" s="116">
        <v>144.80000000000001</v>
      </c>
      <c r="R714">
        <v>647330</v>
      </c>
    </row>
    <row r="715" spans="1:18" x14ac:dyDescent="0.25">
      <c r="A715" s="170">
        <v>43266</v>
      </c>
      <c r="B715" s="116">
        <v>149.5</v>
      </c>
      <c r="C715" s="116">
        <v>148.85</v>
      </c>
      <c r="D715" s="116">
        <v>143.05000000000001</v>
      </c>
      <c r="E715" s="116">
        <v>143.05000000000001</v>
      </c>
      <c r="F715" s="116">
        <v>148.85</v>
      </c>
      <c r="G715">
        <v>55015</v>
      </c>
      <c r="H715" s="116"/>
      <c r="I715" s="116"/>
      <c r="L715" s="170">
        <v>43266</v>
      </c>
      <c r="M715" s="116">
        <v>149.15</v>
      </c>
      <c r="N715" s="116">
        <v>150.15</v>
      </c>
      <c r="O715" s="116">
        <v>143.75</v>
      </c>
      <c r="P715" s="116">
        <v>144.05000000000001</v>
      </c>
      <c r="Q715" s="116">
        <v>149.15</v>
      </c>
      <c r="R715">
        <v>916873</v>
      </c>
    </row>
    <row r="716" spans="1:18" x14ac:dyDescent="0.25">
      <c r="A716" s="170">
        <v>43269</v>
      </c>
      <c r="B716" s="116">
        <v>152.69999999999999</v>
      </c>
      <c r="C716" s="116">
        <v>151.55000000000001</v>
      </c>
      <c r="D716" s="116">
        <v>146</v>
      </c>
      <c r="E716" s="116">
        <v>147.94999999999999</v>
      </c>
      <c r="F716" s="116">
        <v>151.55000000000001</v>
      </c>
      <c r="G716">
        <v>67783</v>
      </c>
      <c r="H716" s="116"/>
      <c r="I716" s="116"/>
      <c r="L716" s="170">
        <v>43269</v>
      </c>
      <c r="M716" s="116">
        <v>151.25</v>
      </c>
      <c r="N716" s="116">
        <v>153</v>
      </c>
      <c r="O716" s="116">
        <v>146.25</v>
      </c>
      <c r="P716" s="116">
        <v>147.25</v>
      </c>
      <c r="Q716" s="116">
        <v>151.25</v>
      </c>
      <c r="R716">
        <v>768689</v>
      </c>
    </row>
    <row r="717" spans="1:18" x14ac:dyDescent="0.25">
      <c r="A717" s="170">
        <v>43270</v>
      </c>
      <c r="B717" s="116">
        <v>153.69999999999999</v>
      </c>
      <c r="C717" s="116">
        <v>152.25</v>
      </c>
      <c r="D717" s="116">
        <v>149</v>
      </c>
      <c r="E717" s="116">
        <v>151</v>
      </c>
      <c r="F717" s="116">
        <v>152.25</v>
      </c>
      <c r="G717">
        <v>43770</v>
      </c>
      <c r="H717" s="116"/>
      <c r="I717" s="116"/>
      <c r="L717" s="170">
        <v>43270</v>
      </c>
      <c r="M717" s="116">
        <v>152.4</v>
      </c>
      <c r="N717" s="116">
        <v>154.5</v>
      </c>
      <c r="O717" s="116">
        <v>148.05000000000001</v>
      </c>
      <c r="P717" s="116">
        <v>151</v>
      </c>
      <c r="Q717" s="116">
        <v>152.4</v>
      </c>
      <c r="R717">
        <v>587429</v>
      </c>
    </row>
    <row r="718" spans="1:18" x14ac:dyDescent="0.25">
      <c r="A718" s="170">
        <v>43271</v>
      </c>
      <c r="B718" s="116">
        <v>154.9</v>
      </c>
      <c r="C718" s="116">
        <v>152.19999999999999</v>
      </c>
      <c r="D718" s="116">
        <v>151.25</v>
      </c>
      <c r="E718" s="116">
        <v>151.25</v>
      </c>
      <c r="F718" s="116">
        <v>152.19999999999999</v>
      </c>
      <c r="G718">
        <v>53912</v>
      </c>
      <c r="H718" s="116"/>
      <c r="I718" s="116"/>
      <c r="L718" s="170">
        <v>43271</v>
      </c>
      <c r="M718" s="116">
        <v>152.1</v>
      </c>
      <c r="N718" s="116">
        <v>154.94999999999999</v>
      </c>
      <c r="O718" s="116">
        <v>150.9</v>
      </c>
      <c r="P718" s="116">
        <v>153.25</v>
      </c>
      <c r="Q718" s="116">
        <v>152.1</v>
      </c>
      <c r="R718">
        <v>290935</v>
      </c>
    </row>
    <row r="719" spans="1:18" x14ac:dyDescent="0.25">
      <c r="A719" s="170">
        <v>43272</v>
      </c>
      <c r="B719" s="116">
        <v>157.55000000000001</v>
      </c>
      <c r="C719" s="116">
        <v>154.85</v>
      </c>
      <c r="D719" s="116">
        <v>151</v>
      </c>
      <c r="E719" s="116">
        <v>152.19999999999999</v>
      </c>
      <c r="F719" s="116">
        <v>154.85</v>
      </c>
      <c r="G719">
        <v>130469</v>
      </c>
      <c r="H719" s="116"/>
      <c r="I719" s="116"/>
      <c r="L719" s="170">
        <v>43272</v>
      </c>
      <c r="M719" s="116">
        <v>155.19999999999999</v>
      </c>
      <c r="N719" s="116">
        <v>157.75</v>
      </c>
      <c r="O719" s="116">
        <v>151.85</v>
      </c>
      <c r="P719" s="116">
        <v>152.30000000000001</v>
      </c>
      <c r="Q719" s="116">
        <v>155.19999999999999</v>
      </c>
      <c r="R719">
        <v>821800</v>
      </c>
    </row>
    <row r="720" spans="1:18" x14ac:dyDescent="0.25">
      <c r="A720" s="170">
        <v>43273</v>
      </c>
      <c r="B720" s="116">
        <v>168</v>
      </c>
      <c r="C720" s="116">
        <v>164.7</v>
      </c>
      <c r="D720" s="116">
        <v>153.85</v>
      </c>
      <c r="E720" s="116">
        <v>155</v>
      </c>
      <c r="F720" s="116">
        <v>164.7</v>
      </c>
      <c r="G720">
        <v>133872</v>
      </c>
      <c r="H720" s="116"/>
      <c r="I720" s="116"/>
      <c r="L720" s="170">
        <v>43273</v>
      </c>
      <c r="M720" s="116">
        <v>164</v>
      </c>
      <c r="N720" s="116">
        <v>167.85</v>
      </c>
      <c r="O720" s="116">
        <v>154</v>
      </c>
      <c r="P720" s="116">
        <v>156.30000000000001</v>
      </c>
      <c r="Q720" s="116">
        <v>164</v>
      </c>
      <c r="R720">
        <v>823213</v>
      </c>
    </row>
    <row r="721" spans="1:18" x14ac:dyDescent="0.25">
      <c r="A721" s="170">
        <v>43276</v>
      </c>
      <c r="B721" s="116">
        <v>170.5</v>
      </c>
      <c r="C721" s="116">
        <v>168.9</v>
      </c>
      <c r="D721" s="116">
        <v>164.45</v>
      </c>
      <c r="E721" s="116">
        <v>165.8</v>
      </c>
      <c r="F721" s="116">
        <v>168.9</v>
      </c>
      <c r="G721">
        <v>123740</v>
      </c>
      <c r="H721" s="116"/>
      <c r="I721" s="116"/>
      <c r="L721" s="170">
        <v>43276</v>
      </c>
      <c r="M721" s="116">
        <v>168.2</v>
      </c>
      <c r="N721" s="116">
        <v>169.9</v>
      </c>
      <c r="O721" s="116">
        <v>164.3</v>
      </c>
      <c r="P721" s="116">
        <v>167.45</v>
      </c>
      <c r="Q721" s="116">
        <v>168.2</v>
      </c>
      <c r="R721">
        <v>845932</v>
      </c>
    </row>
    <row r="722" spans="1:18" x14ac:dyDescent="0.25">
      <c r="A722" s="170">
        <v>43277</v>
      </c>
      <c r="B722" s="116">
        <v>168.65</v>
      </c>
      <c r="C722" s="116">
        <v>162.75</v>
      </c>
      <c r="D722" s="116">
        <v>160.15</v>
      </c>
      <c r="E722" s="116">
        <v>166.6</v>
      </c>
      <c r="F722" s="116">
        <v>162.75</v>
      </c>
      <c r="G722">
        <v>92225</v>
      </c>
      <c r="H722" s="116"/>
      <c r="I722" s="116"/>
      <c r="L722" s="170">
        <v>43277</v>
      </c>
      <c r="M722" s="116">
        <v>163.25</v>
      </c>
      <c r="N722" s="116">
        <v>168.8</v>
      </c>
      <c r="O722" s="116">
        <v>159.9</v>
      </c>
      <c r="P722" s="116">
        <v>166.25</v>
      </c>
      <c r="Q722" s="116">
        <v>163.25</v>
      </c>
      <c r="R722">
        <v>603624</v>
      </c>
    </row>
    <row r="723" spans="1:18" x14ac:dyDescent="0.25">
      <c r="A723" s="170">
        <v>43278</v>
      </c>
      <c r="B723" s="116">
        <v>163</v>
      </c>
      <c r="C723" s="116">
        <v>151.30000000000001</v>
      </c>
      <c r="D723" s="116">
        <v>144.80000000000001</v>
      </c>
      <c r="E723" s="116">
        <v>161</v>
      </c>
      <c r="F723" s="116">
        <v>151.30000000000001</v>
      </c>
      <c r="G723">
        <v>69058</v>
      </c>
      <c r="H723" s="116"/>
      <c r="I723" s="116"/>
      <c r="L723" s="170">
        <v>43278</v>
      </c>
      <c r="M723" s="116">
        <v>151.94999999999999</v>
      </c>
      <c r="N723" s="116">
        <v>163.80000000000001</v>
      </c>
      <c r="O723" s="116">
        <v>149.25</v>
      </c>
      <c r="P723" s="116">
        <v>163.75</v>
      </c>
      <c r="Q723" s="116">
        <v>151.94999999999999</v>
      </c>
      <c r="R723">
        <v>369640</v>
      </c>
    </row>
    <row r="724" spans="1:18" x14ac:dyDescent="0.25">
      <c r="A724" s="170">
        <v>43279</v>
      </c>
      <c r="B724" s="116">
        <v>150.55000000000001</v>
      </c>
      <c r="C724" s="116">
        <v>145.80000000000001</v>
      </c>
      <c r="D724" s="116">
        <v>143</v>
      </c>
      <c r="E724" s="116">
        <v>147.5</v>
      </c>
      <c r="F724" s="116">
        <v>145.80000000000001</v>
      </c>
      <c r="G724">
        <v>92515</v>
      </c>
      <c r="H724" s="116"/>
      <c r="I724" s="116"/>
      <c r="L724" s="170">
        <v>43279</v>
      </c>
      <c r="M724" s="116">
        <v>146.55000000000001</v>
      </c>
      <c r="N724" s="116">
        <v>150.85</v>
      </c>
      <c r="O724" s="116">
        <v>142.65</v>
      </c>
      <c r="P724" s="116">
        <v>149</v>
      </c>
      <c r="Q724" s="116">
        <v>146.55000000000001</v>
      </c>
      <c r="R724">
        <v>392178</v>
      </c>
    </row>
    <row r="725" spans="1:18" x14ac:dyDescent="0.25">
      <c r="A725" s="170">
        <v>43280</v>
      </c>
      <c r="B725" s="116">
        <v>160.44999999999999</v>
      </c>
      <c r="C725" s="116">
        <v>155.94999999999999</v>
      </c>
      <c r="D725" s="116">
        <v>146.19999999999999</v>
      </c>
      <c r="E725" s="116">
        <v>146.19999999999999</v>
      </c>
      <c r="F725" s="116">
        <v>155.94999999999999</v>
      </c>
      <c r="G725">
        <v>103768</v>
      </c>
      <c r="H725" s="116"/>
      <c r="I725" s="116"/>
      <c r="L725" s="170">
        <v>43280</v>
      </c>
      <c r="M725" s="116">
        <v>156.15</v>
      </c>
      <c r="N725" s="116">
        <v>160</v>
      </c>
      <c r="O725" s="116">
        <v>146.5</v>
      </c>
      <c r="P725" s="116">
        <v>146.5</v>
      </c>
      <c r="Q725" s="116">
        <v>156.15</v>
      </c>
      <c r="R725">
        <v>587531</v>
      </c>
    </row>
    <row r="726" spans="1:18" x14ac:dyDescent="0.25">
      <c r="A726" s="170">
        <v>43283</v>
      </c>
      <c r="B726" s="116">
        <v>161.5</v>
      </c>
      <c r="C726" s="116">
        <v>154.9</v>
      </c>
      <c r="D726" s="116">
        <v>151.19999999999999</v>
      </c>
      <c r="E726" s="116">
        <v>161.5</v>
      </c>
      <c r="F726" s="116">
        <v>154.9</v>
      </c>
      <c r="G726">
        <v>56199</v>
      </c>
      <c r="H726" s="116"/>
      <c r="I726" s="116"/>
      <c r="L726" s="170">
        <v>43283</v>
      </c>
      <c r="M726" s="116">
        <v>154.75</v>
      </c>
      <c r="N726" s="116">
        <v>161.55000000000001</v>
      </c>
      <c r="O726" s="116">
        <v>150.69999999999999</v>
      </c>
      <c r="P726" s="116">
        <v>158.80000000000001</v>
      </c>
      <c r="Q726" s="116">
        <v>154.75</v>
      </c>
      <c r="R726">
        <v>537963</v>
      </c>
    </row>
    <row r="727" spans="1:18" x14ac:dyDescent="0.25">
      <c r="A727" s="170">
        <v>43284</v>
      </c>
      <c r="B727" s="116">
        <v>154.35</v>
      </c>
      <c r="C727" s="116">
        <v>153.30000000000001</v>
      </c>
      <c r="D727" s="116">
        <v>148.6</v>
      </c>
      <c r="E727" s="116">
        <v>153</v>
      </c>
      <c r="F727" s="116">
        <v>153.30000000000001</v>
      </c>
      <c r="G727">
        <v>48145</v>
      </c>
      <c r="H727" s="116"/>
      <c r="I727" s="116"/>
      <c r="L727" s="170">
        <v>43284</v>
      </c>
      <c r="M727" s="116">
        <v>153.65</v>
      </c>
      <c r="N727" s="116">
        <v>154.80000000000001</v>
      </c>
      <c r="O727" s="116">
        <v>148.30000000000001</v>
      </c>
      <c r="P727" s="116">
        <v>154</v>
      </c>
      <c r="Q727" s="116">
        <v>153.65</v>
      </c>
      <c r="R727">
        <v>594571</v>
      </c>
    </row>
    <row r="728" spans="1:18" x14ac:dyDescent="0.25">
      <c r="A728" s="170">
        <v>43285</v>
      </c>
      <c r="B728" s="116">
        <v>159.5</v>
      </c>
      <c r="C728" s="116">
        <v>156.75</v>
      </c>
      <c r="D728" s="116">
        <v>151.1</v>
      </c>
      <c r="E728" s="116">
        <v>152</v>
      </c>
      <c r="F728" s="116">
        <v>156.75</v>
      </c>
      <c r="G728">
        <v>32473</v>
      </c>
      <c r="H728" s="116"/>
      <c r="I728" s="116"/>
      <c r="L728" s="170">
        <v>43285</v>
      </c>
      <c r="M728" s="116">
        <v>156.85</v>
      </c>
      <c r="N728" s="116">
        <v>159.5</v>
      </c>
      <c r="O728" s="116">
        <v>151.25</v>
      </c>
      <c r="P728" s="116">
        <v>151.25</v>
      </c>
      <c r="Q728" s="116">
        <v>156.85</v>
      </c>
      <c r="R728">
        <v>593481</v>
      </c>
    </row>
    <row r="729" spans="1:18" x14ac:dyDescent="0.25">
      <c r="A729" s="170">
        <v>43286</v>
      </c>
      <c r="B729" s="116">
        <v>159.69999999999999</v>
      </c>
      <c r="C729" s="116">
        <v>158.19999999999999</v>
      </c>
      <c r="D729" s="116">
        <v>155</v>
      </c>
      <c r="E729" s="116">
        <v>155</v>
      </c>
      <c r="F729" s="116">
        <v>158.19999999999999</v>
      </c>
      <c r="G729">
        <v>50176</v>
      </c>
      <c r="H729" s="116"/>
      <c r="I729" s="116"/>
      <c r="L729" s="170">
        <v>43286</v>
      </c>
      <c r="M729" s="116">
        <v>159.1</v>
      </c>
      <c r="N729" s="116">
        <v>160</v>
      </c>
      <c r="O729" s="116">
        <v>155.19999999999999</v>
      </c>
      <c r="P729" s="116">
        <v>155.19999999999999</v>
      </c>
      <c r="Q729" s="116">
        <v>159.1</v>
      </c>
      <c r="R729">
        <v>568007</v>
      </c>
    </row>
    <row r="730" spans="1:18" x14ac:dyDescent="0.25">
      <c r="A730" s="170">
        <v>43287</v>
      </c>
      <c r="B730" s="116">
        <v>162.4</v>
      </c>
      <c r="C730" s="116">
        <v>159.5</v>
      </c>
      <c r="D730" s="116">
        <v>157</v>
      </c>
      <c r="E730" s="116">
        <v>157</v>
      </c>
      <c r="F730" s="116">
        <v>159.5</v>
      </c>
      <c r="G730">
        <v>67862</v>
      </c>
      <c r="H730" s="116"/>
      <c r="I730" s="116"/>
      <c r="L730" s="170">
        <v>43287</v>
      </c>
      <c r="M730" s="116">
        <v>160.30000000000001</v>
      </c>
      <c r="N730" s="116">
        <v>162.69999999999999</v>
      </c>
      <c r="O730" s="116">
        <v>157.15</v>
      </c>
      <c r="P730" s="116">
        <v>158</v>
      </c>
      <c r="Q730" s="116">
        <v>160.30000000000001</v>
      </c>
      <c r="R730">
        <v>625598</v>
      </c>
    </row>
    <row r="731" spans="1:18" x14ac:dyDescent="0.25">
      <c r="A731" s="170">
        <v>43290</v>
      </c>
      <c r="B731" s="116">
        <v>162.80000000000001</v>
      </c>
      <c r="C731" s="116">
        <v>161.44999999999999</v>
      </c>
      <c r="D731" s="116">
        <v>156.5</v>
      </c>
      <c r="E731" s="116">
        <v>160</v>
      </c>
      <c r="F731" s="116">
        <v>161.44999999999999</v>
      </c>
      <c r="G731">
        <v>38579</v>
      </c>
      <c r="H731" s="116"/>
      <c r="I731" s="116"/>
      <c r="L731" s="170">
        <v>43290</v>
      </c>
      <c r="M731" s="116">
        <v>161.55000000000001</v>
      </c>
      <c r="N731" s="116">
        <v>162.44999999999999</v>
      </c>
      <c r="O731" s="116">
        <v>156.15</v>
      </c>
      <c r="P731" s="116">
        <v>160.5</v>
      </c>
      <c r="Q731" s="116">
        <v>161.55000000000001</v>
      </c>
      <c r="R731">
        <v>536408</v>
      </c>
    </row>
    <row r="732" spans="1:18" x14ac:dyDescent="0.25">
      <c r="A732" s="170">
        <v>43291</v>
      </c>
      <c r="B732" s="116">
        <v>162.80000000000001</v>
      </c>
      <c r="C732" s="116">
        <v>160.1</v>
      </c>
      <c r="D732" s="116">
        <v>156.30000000000001</v>
      </c>
      <c r="E732" s="116">
        <v>160</v>
      </c>
      <c r="F732" s="116">
        <v>160.1</v>
      </c>
      <c r="G732">
        <v>44112</v>
      </c>
      <c r="H732" s="116"/>
      <c r="I732" s="116"/>
      <c r="L732" s="170">
        <v>43291</v>
      </c>
      <c r="M732" s="116">
        <v>160.4</v>
      </c>
      <c r="N732" s="116">
        <v>162.4</v>
      </c>
      <c r="O732" s="116">
        <v>156</v>
      </c>
      <c r="P732" s="116">
        <v>161.15</v>
      </c>
      <c r="Q732" s="116">
        <v>160.4</v>
      </c>
      <c r="R732">
        <v>484788</v>
      </c>
    </row>
    <row r="733" spans="1:18" x14ac:dyDescent="0.25">
      <c r="A733" s="170">
        <v>43292</v>
      </c>
      <c r="B733" s="116">
        <v>169.7</v>
      </c>
      <c r="C733" s="116">
        <v>164.15</v>
      </c>
      <c r="D733" s="116">
        <v>158</v>
      </c>
      <c r="E733" s="116">
        <v>160</v>
      </c>
      <c r="F733" s="116">
        <v>164.15</v>
      </c>
      <c r="G733">
        <v>232133</v>
      </c>
      <c r="H733" s="116"/>
      <c r="I733" s="116"/>
      <c r="L733" s="170">
        <v>43292</v>
      </c>
      <c r="M733" s="116">
        <v>163.69999999999999</v>
      </c>
      <c r="N733" s="116">
        <v>169.7</v>
      </c>
      <c r="O733" s="116">
        <v>158.5</v>
      </c>
      <c r="P733" s="116">
        <v>160</v>
      </c>
      <c r="Q733" s="116">
        <v>163.69999999999999</v>
      </c>
      <c r="R733">
        <v>1258151</v>
      </c>
    </row>
    <row r="734" spans="1:18" x14ac:dyDescent="0.25">
      <c r="A734" s="170">
        <v>43293</v>
      </c>
      <c r="B734" s="116">
        <v>168.5</v>
      </c>
      <c r="C734" s="116">
        <v>165.85</v>
      </c>
      <c r="D734" s="116">
        <v>163.55000000000001</v>
      </c>
      <c r="E734" s="116">
        <v>164</v>
      </c>
      <c r="F734" s="116">
        <v>165.85</v>
      </c>
      <c r="G734">
        <v>58162</v>
      </c>
      <c r="H734" s="116"/>
      <c r="I734" s="116"/>
      <c r="L734" s="170">
        <v>43293</v>
      </c>
      <c r="M734" s="116">
        <v>166.25</v>
      </c>
      <c r="N734" s="116">
        <v>168.4</v>
      </c>
      <c r="O734" s="116">
        <v>163.35</v>
      </c>
      <c r="P734" s="116">
        <v>163.65</v>
      </c>
      <c r="Q734" s="116">
        <v>166.25</v>
      </c>
      <c r="R734">
        <v>507159</v>
      </c>
    </row>
    <row r="735" spans="1:18" x14ac:dyDescent="0.25">
      <c r="A735" s="170">
        <v>43294</v>
      </c>
      <c r="B735" s="116">
        <v>167.5</v>
      </c>
      <c r="C735" s="116">
        <v>160.5</v>
      </c>
      <c r="D735" s="116">
        <v>159.1</v>
      </c>
      <c r="E735" s="116">
        <v>167.5</v>
      </c>
      <c r="F735" s="116">
        <v>160.5</v>
      </c>
      <c r="G735">
        <v>77271</v>
      </c>
      <c r="H735" s="116"/>
      <c r="I735" s="116"/>
      <c r="L735" s="170">
        <v>43294</v>
      </c>
      <c r="M735" s="116">
        <v>160.85</v>
      </c>
      <c r="N735" s="116">
        <v>167.5</v>
      </c>
      <c r="O735" s="116">
        <v>159.19999999999999</v>
      </c>
      <c r="P735" s="116">
        <v>167</v>
      </c>
      <c r="Q735" s="116">
        <v>160.85</v>
      </c>
      <c r="R735">
        <v>571055</v>
      </c>
    </row>
    <row r="736" spans="1:18" x14ac:dyDescent="0.25">
      <c r="A736" s="170">
        <v>43297</v>
      </c>
      <c r="B736" s="116">
        <v>160.30000000000001</v>
      </c>
      <c r="C736" s="116">
        <v>154.15</v>
      </c>
      <c r="D736" s="116">
        <v>152.1</v>
      </c>
      <c r="E736" s="116">
        <v>158.4</v>
      </c>
      <c r="F736" s="116">
        <v>154.15</v>
      </c>
      <c r="G736">
        <v>50948</v>
      </c>
      <c r="H736" s="116"/>
      <c r="I736" s="116"/>
      <c r="L736" s="170">
        <v>43297</v>
      </c>
      <c r="M736" s="116">
        <v>153.94999999999999</v>
      </c>
      <c r="N736" s="116">
        <v>160.80000000000001</v>
      </c>
      <c r="O736" s="116">
        <v>152.30000000000001</v>
      </c>
      <c r="P736" s="116">
        <v>159.9</v>
      </c>
      <c r="Q736" s="116">
        <v>153.94999999999999</v>
      </c>
      <c r="R736">
        <v>351796</v>
      </c>
    </row>
    <row r="737" spans="1:18" x14ac:dyDescent="0.25">
      <c r="A737" s="170">
        <v>43298</v>
      </c>
      <c r="B737" s="116">
        <v>158.4</v>
      </c>
      <c r="C737" s="116">
        <v>156.1</v>
      </c>
      <c r="D737" s="116">
        <v>154.4</v>
      </c>
      <c r="E737" s="116">
        <v>154.4</v>
      </c>
      <c r="F737" s="116">
        <v>156.1</v>
      </c>
      <c r="G737">
        <v>69376</v>
      </c>
      <c r="H737" s="116"/>
      <c r="I737" s="116"/>
      <c r="L737" s="170">
        <v>43298</v>
      </c>
      <c r="M737" s="116">
        <v>156.44999999999999</v>
      </c>
      <c r="N737" s="116">
        <v>158.4</v>
      </c>
      <c r="O737" s="116">
        <v>153</v>
      </c>
      <c r="P737" s="116">
        <v>155</v>
      </c>
      <c r="Q737" s="116">
        <v>156.44999999999999</v>
      </c>
      <c r="R737">
        <v>497912</v>
      </c>
    </row>
    <row r="738" spans="1:18" x14ac:dyDescent="0.25">
      <c r="A738" s="170">
        <v>43299</v>
      </c>
      <c r="B738" s="116">
        <v>158.05000000000001</v>
      </c>
      <c r="C738" s="116">
        <v>149.69999999999999</v>
      </c>
      <c r="D738" s="116">
        <v>145.65</v>
      </c>
      <c r="E738" s="116">
        <v>157.05000000000001</v>
      </c>
      <c r="F738" s="116">
        <v>149.69999999999999</v>
      </c>
      <c r="G738">
        <v>45886</v>
      </c>
      <c r="H738" s="116"/>
      <c r="I738" s="116"/>
      <c r="L738" s="170">
        <v>43299</v>
      </c>
      <c r="M738" s="116">
        <v>149.55000000000001</v>
      </c>
      <c r="N738" s="116">
        <v>158</v>
      </c>
      <c r="O738" s="116">
        <v>145.1</v>
      </c>
      <c r="P738" s="116">
        <v>157.94999999999999</v>
      </c>
      <c r="Q738" s="116">
        <v>149.55000000000001</v>
      </c>
      <c r="R738">
        <v>534401</v>
      </c>
    </row>
    <row r="739" spans="1:18" x14ac:dyDescent="0.25">
      <c r="A739" s="170">
        <v>43300</v>
      </c>
      <c r="B739" s="116">
        <v>151.5</v>
      </c>
      <c r="C739" s="116">
        <v>148.65</v>
      </c>
      <c r="D739" s="116">
        <v>146</v>
      </c>
      <c r="E739" s="116">
        <v>150.25</v>
      </c>
      <c r="F739" s="116">
        <v>148.65</v>
      </c>
      <c r="G739">
        <v>60051</v>
      </c>
      <c r="H739" s="116"/>
      <c r="I739" s="116"/>
      <c r="L739" s="170">
        <v>43300</v>
      </c>
      <c r="M739" s="116">
        <v>149.19999999999999</v>
      </c>
      <c r="N739" s="116">
        <v>152.1</v>
      </c>
      <c r="O739" s="116">
        <v>146</v>
      </c>
      <c r="P739" s="116">
        <v>150</v>
      </c>
      <c r="Q739" s="116">
        <v>149.19999999999999</v>
      </c>
      <c r="R739">
        <v>540525</v>
      </c>
    </row>
    <row r="740" spans="1:18" x14ac:dyDescent="0.25">
      <c r="A740" s="170">
        <v>43301</v>
      </c>
      <c r="B740" s="116">
        <v>157</v>
      </c>
      <c r="C740" s="116">
        <v>149.69999999999999</v>
      </c>
      <c r="D740" s="116">
        <v>147.94999999999999</v>
      </c>
      <c r="E740" s="116">
        <v>147.94999999999999</v>
      </c>
      <c r="F740" s="116">
        <v>149.69999999999999</v>
      </c>
      <c r="G740">
        <v>134320</v>
      </c>
      <c r="H740" s="116"/>
      <c r="I740" s="116"/>
      <c r="L740" s="170">
        <v>43301</v>
      </c>
      <c r="M740" s="116">
        <v>150.4</v>
      </c>
      <c r="N740" s="116">
        <v>157.44999999999999</v>
      </c>
      <c r="O740" s="116">
        <v>147.80000000000001</v>
      </c>
      <c r="P740" s="116">
        <v>149.19999999999999</v>
      </c>
      <c r="Q740" s="116">
        <v>150.4</v>
      </c>
      <c r="R740">
        <v>464642</v>
      </c>
    </row>
    <row r="741" spans="1:18" x14ac:dyDescent="0.25">
      <c r="A741" s="170">
        <v>43304</v>
      </c>
      <c r="B741" s="116">
        <v>163.4</v>
      </c>
      <c r="C741" s="116">
        <v>160.75</v>
      </c>
      <c r="D741" s="116">
        <v>150.69999999999999</v>
      </c>
      <c r="E741" s="116">
        <v>151.05000000000001</v>
      </c>
      <c r="F741" s="116">
        <v>160.75</v>
      </c>
      <c r="G741">
        <v>129623</v>
      </c>
      <c r="H741" s="116"/>
      <c r="I741" s="116"/>
      <c r="L741" s="170">
        <v>43304</v>
      </c>
      <c r="M741" s="116">
        <v>160.75</v>
      </c>
      <c r="N741" s="116">
        <v>163.80000000000001</v>
      </c>
      <c r="O741" s="116">
        <v>150.9</v>
      </c>
      <c r="P741" s="116">
        <v>151</v>
      </c>
      <c r="Q741" s="116">
        <v>160.75</v>
      </c>
      <c r="R741">
        <v>968167</v>
      </c>
    </row>
    <row r="742" spans="1:18" x14ac:dyDescent="0.25">
      <c r="A742" s="170">
        <v>43305</v>
      </c>
      <c r="B742" s="116">
        <v>184.4</v>
      </c>
      <c r="C742" s="116">
        <v>177.9</v>
      </c>
      <c r="D742" s="116">
        <v>159.44999999999999</v>
      </c>
      <c r="E742" s="116">
        <v>161.94999999999999</v>
      </c>
      <c r="F742" s="116">
        <v>177.9</v>
      </c>
      <c r="G742">
        <v>255395</v>
      </c>
      <c r="H742" s="116"/>
      <c r="I742" s="116"/>
      <c r="L742" s="170">
        <v>43305</v>
      </c>
      <c r="M742" s="116">
        <v>178.3</v>
      </c>
      <c r="N742" s="116">
        <v>184.2</v>
      </c>
      <c r="O742" s="116">
        <v>159</v>
      </c>
      <c r="P742" s="116">
        <v>161.05000000000001</v>
      </c>
      <c r="Q742" s="116">
        <v>178.3</v>
      </c>
      <c r="R742">
        <v>1863404</v>
      </c>
    </row>
    <row r="743" spans="1:18" x14ac:dyDescent="0.25">
      <c r="A743" s="170">
        <v>43306</v>
      </c>
      <c r="B743" s="116">
        <v>184</v>
      </c>
      <c r="C743" s="116">
        <v>174.15</v>
      </c>
      <c r="D743" s="116">
        <v>169.55</v>
      </c>
      <c r="E743" s="116">
        <v>180.25</v>
      </c>
      <c r="F743" s="116">
        <v>174.15</v>
      </c>
      <c r="G743">
        <v>304267</v>
      </c>
      <c r="H743" s="116"/>
      <c r="I743" s="116"/>
      <c r="L743" s="170">
        <v>43306</v>
      </c>
      <c r="M743" s="116">
        <v>172.9</v>
      </c>
      <c r="N743" s="116">
        <v>183.45</v>
      </c>
      <c r="O743" s="116">
        <v>168.2</v>
      </c>
      <c r="P743" s="116">
        <v>180</v>
      </c>
      <c r="Q743" s="116">
        <v>172.9</v>
      </c>
      <c r="R743">
        <v>2048481</v>
      </c>
    </row>
    <row r="744" spans="1:18" x14ac:dyDescent="0.25">
      <c r="A744" s="170">
        <v>43307</v>
      </c>
      <c r="B744" s="116">
        <v>173.3</v>
      </c>
      <c r="C744" s="116">
        <v>167.4</v>
      </c>
      <c r="D744" s="116">
        <v>164.3</v>
      </c>
      <c r="E744" s="116">
        <v>169.95</v>
      </c>
      <c r="F744" s="116">
        <v>167.4</v>
      </c>
      <c r="G744">
        <v>123560</v>
      </c>
      <c r="H744" s="116"/>
      <c r="I744" s="116"/>
      <c r="L744" s="170">
        <v>43307</v>
      </c>
      <c r="M744" s="116">
        <v>166.95</v>
      </c>
      <c r="N744" s="116">
        <v>172.9</v>
      </c>
      <c r="O744" s="116">
        <v>164.05</v>
      </c>
      <c r="P744" s="116">
        <v>169.05</v>
      </c>
      <c r="Q744" s="116">
        <v>166.95</v>
      </c>
      <c r="R744">
        <v>601479</v>
      </c>
    </row>
    <row r="745" spans="1:18" x14ac:dyDescent="0.25">
      <c r="A745" s="170">
        <v>43308</v>
      </c>
      <c r="B745" s="116">
        <v>175.5</v>
      </c>
      <c r="C745" s="116">
        <v>168.6</v>
      </c>
      <c r="D745" s="116">
        <v>164</v>
      </c>
      <c r="E745" s="116">
        <v>164</v>
      </c>
      <c r="F745" s="116">
        <v>168.6</v>
      </c>
      <c r="G745">
        <v>108551</v>
      </c>
      <c r="H745" s="116"/>
      <c r="I745" s="116"/>
      <c r="L745" s="170">
        <v>43308</v>
      </c>
      <c r="M745" s="116">
        <v>168.2</v>
      </c>
      <c r="N745" s="116">
        <v>175</v>
      </c>
      <c r="O745" s="116">
        <v>165.2</v>
      </c>
      <c r="P745" s="116">
        <v>167.35</v>
      </c>
      <c r="Q745" s="116">
        <v>168.2</v>
      </c>
      <c r="R745">
        <v>524875</v>
      </c>
    </row>
    <row r="746" spans="1:18" x14ac:dyDescent="0.25">
      <c r="A746" s="170">
        <v>43311</v>
      </c>
      <c r="B746" s="116">
        <v>174.4</v>
      </c>
      <c r="C746" s="116">
        <v>172.45</v>
      </c>
      <c r="D746" s="116">
        <v>165.65</v>
      </c>
      <c r="E746" s="116">
        <v>169.5</v>
      </c>
      <c r="F746" s="116">
        <v>172.45</v>
      </c>
      <c r="G746">
        <v>114324</v>
      </c>
      <c r="H746" s="116"/>
      <c r="I746" s="116"/>
      <c r="L746" s="170">
        <v>43311</v>
      </c>
      <c r="M746" s="116">
        <v>172.65</v>
      </c>
      <c r="N746" s="116">
        <v>174.7</v>
      </c>
      <c r="O746" s="116">
        <v>165.4</v>
      </c>
      <c r="P746" s="116">
        <v>169</v>
      </c>
      <c r="Q746" s="116">
        <v>172.65</v>
      </c>
      <c r="R746">
        <v>531333</v>
      </c>
    </row>
    <row r="747" spans="1:18" x14ac:dyDescent="0.25">
      <c r="A747" s="170">
        <v>43312</v>
      </c>
      <c r="B747" s="116">
        <v>176</v>
      </c>
      <c r="C747" s="116">
        <v>169.5</v>
      </c>
      <c r="D747" s="116">
        <v>168.35</v>
      </c>
      <c r="E747" s="116">
        <v>172.05</v>
      </c>
      <c r="F747" s="116">
        <v>169.5</v>
      </c>
      <c r="G747">
        <v>121827</v>
      </c>
      <c r="H747" s="116"/>
      <c r="I747" s="116"/>
      <c r="L747" s="170">
        <v>43312</v>
      </c>
      <c r="M747" s="116">
        <v>169.85</v>
      </c>
      <c r="N747" s="116">
        <v>175.3</v>
      </c>
      <c r="O747" s="116">
        <v>168.15</v>
      </c>
      <c r="P747" s="116">
        <v>172</v>
      </c>
      <c r="Q747" s="116">
        <v>169.85</v>
      </c>
      <c r="R747">
        <v>390890</v>
      </c>
    </row>
    <row r="748" spans="1:18" x14ac:dyDescent="0.25">
      <c r="A748" s="170">
        <v>43313</v>
      </c>
      <c r="B748" s="116">
        <v>171.25</v>
      </c>
      <c r="C748" s="116">
        <v>167.55</v>
      </c>
      <c r="D748" s="116">
        <v>166</v>
      </c>
      <c r="E748" s="116">
        <v>170.05</v>
      </c>
      <c r="F748" s="116">
        <v>167.55</v>
      </c>
      <c r="G748">
        <v>89886</v>
      </c>
      <c r="H748" s="116"/>
      <c r="I748" s="116"/>
      <c r="L748" s="170">
        <v>43313</v>
      </c>
      <c r="M748" s="116">
        <v>167.4</v>
      </c>
      <c r="N748" s="116">
        <v>170.95</v>
      </c>
      <c r="O748" s="116">
        <v>165.2</v>
      </c>
      <c r="P748" s="116">
        <v>170.4</v>
      </c>
      <c r="Q748" s="116">
        <v>167.4</v>
      </c>
      <c r="R748">
        <v>467143</v>
      </c>
    </row>
    <row r="749" spans="1:18" x14ac:dyDescent="0.25">
      <c r="A749" s="170">
        <v>43314</v>
      </c>
      <c r="B749" s="116">
        <v>170.9</v>
      </c>
      <c r="C749" s="116">
        <v>166.6</v>
      </c>
      <c r="D749" s="116">
        <v>161.94999999999999</v>
      </c>
      <c r="E749" s="116">
        <v>166.05</v>
      </c>
      <c r="F749" s="116">
        <v>166.6</v>
      </c>
      <c r="G749">
        <v>97470</v>
      </c>
      <c r="H749" s="116"/>
      <c r="I749" s="116"/>
      <c r="L749" s="170">
        <v>43314</v>
      </c>
      <c r="M749" s="116">
        <v>166.45</v>
      </c>
      <c r="N749" s="116">
        <v>170.5</v>
      </c>
      <c r="O749" s="116">
        <v>161.25</v>
      </c>
      <c r="P749" s="116">
        <v>166.75</v>
      </c>
      <c r="Q749" s="116">
        <v>166.45</v>
      </c>
      <c r="R749">
        <v>684270</v>
      </c>
    </row>
    <row r="750" spans="1:18" x14ac:dyDescent="0.25">
      <c r="A750" s="170">
        <v>43315</v>
      </c>
      <c r="B750" s="116">
        <v>171.45</v>
      </c>
      <c r="C750" s="116">
        <v>167.3</v>
      </c>
      <c r="D750" s="116">
        <v>165.4</v>
      </c>
      <c r="E750" s="116">
        <v>168</v>
      </c>
      <c r="F750" s="116">
        <v>167.3</v>
      </c>
      <c r="G750">
        <v>123437</v>
      </c>
      <c r="H750" s="116"/>
      <c r="I750" s="116"/>
      <c r="L750" s="170">
        <v>43315</v>
      </c>
      <c r="M750" s="116">
        <v>168.35</v>
      </c>
      <c r="N750" s="116">
        <v>171.8</v>
      </c>
      <c r="O750" s="116">
        <v>164.7</v>
      </c>
      <c r="P750" s="116">
        <v>167.6</v>
      </c>
      <c r="Q750" s="116">
        <v>168.35</v>
      </c>
      <c r="R750">
        <v>451393</v>
      </c>
    </row>
    <row r="751" spans="1:18" x14ac:dyDescent="0.25">
      <c r="A751" s="170">
        <v>43318</v>
      </c>
      <c r="B751" s="116">
        <v>172.3</v>
      </c>
      <c r="C751" s="116">
        <v>171.1</v>
      </c>
      <c r="D751" s="116">
        <v>168.6</v>
      </c>
      <c r="E751" s="116">
        <v>168.6</v>
      </c>
      <c r="F751" s="116">
        <v>171.1</v>
      </c>
      <c r="G751">
        <v>74313</v>
      </c>
      <c r="H751" s="116"/>
      <c r="I751" s="116"/>
      <c r="L751" s="170">
        <v>43318</v>
      </c>
      <c r="M751" s="116">
        <v>170.95</v>
      </c>
      <c r="N751" s="116">
        <v>172.4</v>
      </c>
      <c r="O751" s="116">
        <v>168.5</v>
      </c>
      <c r="P751" s="116">
        <v>168.9</v>
      </c>
      <c r="Q751" s="116">
        <v>170.95</v>
      </c>
      <c r="R751">
        <v>489570</v>
      </c>
    </row>
    <row r="752" spans="1:18" x14ac:dyDescent="0.25">
      <c r="A752" s="170">
        <v>43319</v>
      </c>
      <c r="B752" s="116">
        <v>182.2</v>
      </c>
      <c r="C752" s="116">
        <v>176.75</v>
      </c>
      <c r="D752" s="116">
        <v>163.30000000000001</v>
      </c>
      <c r="E752" s="116">
        <v>171.1</v>
      </c>
      <c r="F752" s="116">
        <v>176.75</v>
      </c>
      <c r="G752">
        <v>485062</v>
      </c>
      <c r="H752" s="116"/>
      <c r="I752" s="116"/>
      <c r="L752" s="170">
        <v>43319</v>
      </c>
      <c r="M752" s="116">
        <v>176.05</v>
      </c>
      <c r="N752" s="116">
        <v>182.45</v>
      </c>
      <c r="O752" s="116">
        <v>163.4</v>
      </c>
      <c r="P752" s="116">
        <v>171</v>
      </c>
      <c r="Q752" s="116">
        <v>176.05</v>
      </c>
      <c r="R752">
        <v>2972068</v>
      </c>
    </row>
    <row r="753" spans="1:18" x14ac:dyDescent="0.25">
      <c r="A753" s="170">
        <v>43320</v>
      </c>
      <c r="B753" s="116">
        <v>180</v>
      </c>
      <c r="C753" s="116">
        <v>172.6</v>
      </c>
      <c r="D753" s="116">
        <v>171</v>
      </c>
      <c r="E753" s="116">
        <v>177.35</v>
      </c>
      <c r="F753" s="116">
        <v>172.6</v>
      </c>
      <c r="G753">
        <v>179577</v>
      </c>
      <c r="H753" s="116"/>
      <c r="I753" s="116"/>
      <c r="L753" s="170">
        <v>43320</v>
      </c>
      <c r="M753" s="116">
        <v>172.1</v>
      </c>
      <c r="N753" s="116">
        <v>179.85</v>
      </c>
      <c r="O753" s="116">
        <v>171</v>
      </c>
      <c r="P753" s="116">
        <v>176.5</v>
      </c>
      <c r="Q753" s="116">
        <v>172.1</v>
      </c>
      <c r="R753">
        <v>820836</v>
      </c>
    </row>
    <row r="754" spans="1:18" x14ac:dyDescent="0.25">
      <c r="A754" s="170">
        <v>43321</v>
      </c>
      <c r="B754" s="116">
        <v>175.4</v>
      </c>
      <c r="C754" s="116">
        <v>169.05</v>
      </c>
      <c r="D754" s="116">
        <v>168</v>
      </c>
      <c r="E754" s="116">
        <v>170.15</v>
      </c>
      <c r="F754" s="116">
        <v>169.05</v>
      </c>
      <c r="G754">
        <v>84460</v>
      </c>
      <c r="H754" s="116"/>
      <c r="I754" s="116"/>
      <c r="L754" s="170">
        <v>43321</v>
      </c>
      <c r="M754" s="116">
        <v>168.45</v>
      </c>
      <c r="N754" s="116">
        <v>175.05</v>
      </c>
      <c r="O754" s="116">
        <v>167.3</v>
      </c>
      <c r="P754" s="116">
        <v>170.2</v>
      </c>
      <c r="Q754" s="116">
        <v>168.45</v>
      </c>
      <c r="R754">
        <v>482376</v>
      </c>
    </row>
    <row r="755" spans="1:18" x14ac:dyDescent="0.25">
      <c r="A755" s="170">
        <v>43322</v>
      </c>
      <c r="B755" s="116">
        <v>172.1</v>
      </c>
      <c r="C755" s="116">
        <v>163.55000000000001</v>
      </c>
      <c r="D755" s="116">
        <v>162.69999999999999</v>
      </c>
      <c r="E755" s="116">
        <v>169.2</v>
      </c>
      <c r="F755" s="116">
        <v>163.55000000000001</v>
      </c>
      <c r="G755">
        <v>139107</v>
      </c>
      <c r="H755" s="116"/>
      <c r="I755" s="116"/>
      <c r="L755" s="170">
        <v>43322</v>
      </c>
      <c r="M755" s="116">
        <v>163.95</v>
      </c>
      <c r="N755" s="116">
        <v>172.4</v>
      </c>
      <c r="O755" s="116">
        <v>163</v>
      </c>
      <c r="P755" s="116">
        <v>169</v>
      </c>
      <c r="Q755" s="116">
        <v>163.95</v>
      </c>
      <c r="R755">
        <v>389185</v>
      </c>
    </row>
    <row r="756" spans="1:18" x14ac:dyDescent="0.25">
      <c r="A756" s="170">
        <v>43325</v>
      </c>
      <c r="B756" s="116">
        <v>166.35</v>
      </c>
      <c r="C756" s="116">
        <v>161.94999999999999</v>
      </c>
      <c r="D756" s="116">
        <v>158.75</v>
      </c>
      <c r="E756" s="116">
        <v>164</v>
      </c>
      <c r="F756" s="116">
        <v>161.94999999999999</v>
      </c>
      <c r="G756">
        <v>130810</v>
      </c>
      <c r="H756" s="116"/>
      <c r="I756" s="116"/>
      <c r="L756" s="170">
        <v>43325</v>
      </c>
      <c r="M756" s="116">
        <v>161.35</v>
      </c>
      <c r="N756" s="116">
        <v>165.8</v>
      </c>
      <c r="O756" s="116">
        <v>158.55000000000001</v>
      </c>
      <c r="P756" s="116">
        <v>162.9</v>
      </c>
      <c r="Q756" s="116">
        <v>161.35</v>
      </c>
      <c r="R756">
        <v>408895</v>
      </c>
    </row>
    <row r="757" spans="1:18" x14ac:dyDescent="0.25">
      <c r="A757" s="170">
        <v>43326</v>
      </c>
      <c r="B757" s="116">
        <v>175</v>
      </c>
      <c r="C757" s="116">
        <v>165.9</v>
      </c>
      <c r="D757" s="116">
        <v>161.85</v>
      </c>
      <c r="E757" s="116">
        <v>161.85</v>
      </c>
      <c r="F757" s="116">
        <v>165.9</v>
      </c>
      <c r="G757">
        <v>257927</v>
      </c>
      <c r="H757" s="116"/>
      <c r="I757" s="116"/>
      <c r="L757" s="170">
        <v>43326</v>
      </c>
      <c r="M757" s="116">
        <v>165.55</v>
      </c>
      <c r="N757" s="116">
        <v>174.9</v>
      </c>
      <c r="O757" s="116">
        <v>161.75</v>
      </c>
      <c r="P757" s="116">
        <v>161.75</v>
      </c>
      <c r="Q757" s="116">
        <v>165.55</v>
      </c>
      <c r="R757">
        <v>1929451</v>
      </c>
    </row>
    <row r="758" spans="1:18" x14ac:dyDescent="0.25">
      <c r="A758" s="170">
        <v>43328</v>
      </c>
      <c r="B758" s="116">
        <v>169.45</v>
      </c>
      <c r="C758" s="116">
        <v>164.5</v>
      </c>
      <c r="D758" s="116">
        <v>163.55000000000001</v>
      </c>
      <c r="E758" s="116">
        <v>165.7</v>
      </c>
      <c r="F758" s="116">
        <v>164.5</v>
      </c>
      <c r="G758">
        <v>93705</v>
      </c>
      <c r="H758" s="116"/>
      <c r="I758" s="116"/>
      <c r="L758" s="170">
        <v>43328</v>
      </c>
      <c r="M758" s="116">
        <v>164.2</v>
      </c>
      <c r="N758" s="116">
        <v>169.5</v>
      </c>
      <c r="O758" s="116">
        <v>162.94999999999999</v>
      </c>
      <c r="P758" s="116">
        <v>166</v>
      </c>
      <c r="Q758" s="116">
        <v>164.2</v>
      </c>
      <c r="R758">
        <v>514605</v>
      </c>
    </row>
    <row r="759" spans="1:18" x14ac:dyDescent="0.25">
      <c r="A759" s="170">
        <v>43329</v>
      </c>
      <c r="B759" s="116">
        <v>170.95</v>
      </c>
      <c r="C759" s="116">
        <v>166.75</v>
      </c>
      <c r="D759" s="116">
        <v>162</v>
      </c>
      <c r="E759" s="116">
        <v>165.2</v>
      </c>
      <c r="F759" s="116">
        <v>166.75</v>
      </c>
      <c r="G759">
        <v>149217</v>
      </c>
      <c r="H759" s="116"/>
      <c r="I759" s="116"/>
      <c r="L759" s="170">
        <v>43329</v>
      </c>
      <c r="M759" s="116">
        <v>167.6</v>
      </c>
      <c r="N759" s="116">
        <v>171.3</v>
      </c>
      <c r="O759" s="116">
        <v>161.69999999999999</v>
      </c>
      <c r="P759" s="116">
        <v>165.15</v>
      </c>
      <c r="Q759" s="116">
        <v>167.6</v>
      </c>
      <c r="R759">
        <v>870559</v>
      </c>
    </row>
    <row r="760" spans="1:18" x14ac:dyDescent="0.25">
      <c r="A760" s="170">
        <v>43332</v>
      </c>
      <c r="B760" s="116">
        <v>170.05</v>
      </c>
      <c r="C760" s="116">
        <v>168.25</v>
      </c>
      <c r="D760" s="116">
        <v>165.1</v>
      </c>
      <c r="E760" s="116">
        <v>168.95</v>
      </c>
      <c r="F760" s="116">
        <v>168.25</v>
      </c>
      <c r="G760">
        <v>113957</v>
      </c>
      <c r="H760" s="116"/>
      <c r="I760" s="116"/>
      <c r="L760" s="170">
        <v>43332</v>
      </c>
      <c r="M760" s="116">
        <v>168.3</v>
      </c>
      <c r="N760" s="116">
        <v>170.2</v>
      </c>
      <c r="O760" s="116">
        <v>164.4</v>
      </c>
      <c r="P760" s="116">
        <v>169.8</v>
      </c>
      <c r="Q760" s="116">
        <v>168.3</v>
      </c>
      <c r="R760">
        <v>1529644</v>
      </c>
    </row>
    <row r="761" spans="1:18" x14ac:dyDescent="0.25">
      <c r="A761" s="170">
        <v>43333</v>
      </c>
      <c r="B761" s="116">
        <v>174.3</v>
      </c>
      <c r="C761" s="116">
        <v>169.95</v>
      </c>
      <c r="D761" s="116">
        <v>167.3</v>
      </c>
      <c r="E761" s="116">
        <v>168.45</v>
      </c>
      <c r="F761" s="116">
        <v>169.95</v>
      </c>
      <c r="G761">
        <v>122377</v>
      </c>
      <c r="H761" s="116"/>
      <c r="I761" s="116"/>
      <c r="L761" s="170">
        <v>43333</v>
      </c>
      <c r="M761" s="116">
        <v>169.9</v>
      </c>
      <c r="N761" s="116">
        <v>174.4</v>
      </c>
      <c r="O761" s="116">
        <v>167</v>
      </c>
      <c r="P761" s="116">
        <v>168</v>
      </c>
      <c r="Q761" s="116">
        <v>169.9</v>
      </c>
      <c r="R761">
        <v>2501968</v>
      </c>
    </row>
    <row r="762" spans="1:18" x14ac:dyDescent="0.25">
      <c r="A762" s="170">
        <v>43335</v>
      </c>
      <c r="B762" s="116">
        <v>174.3</v>
      </c>
      <c r="C762" s="116">
        <v>170.65</v>
      </c>
      <c r="D762" s="116">
        <v>168.6</v>
      </c>
      <c r="E762" s="116">
        <v>171.7</v>
      </c>
      <c r="F762" s="116">
        <v>170.65</v>
      </c>
      <c r="G762">
        <v>106706</v>
      </c>
      <c r="H762" s="116"/>
      <c r="I762" s="116"/>
      <c r="L762" s="170">
        <v>43335</v>
      </c>
      <c r="M762" s="116">
        <v>171.05</v>
      </c>
      <c r="N762" s="116">
        <v>174.8</v>
      </c>
      <c r="O762" s="116">
        <v>168.6</v>
      </c>
      <c r="P762" s="116">
        <v>170</v>
      </c>
      <c r="Q762" s="116">
        <v>171.05</v>
      </c>
      <c r="R762">
        <v>2334231</v>
      </c>
    </row>
    <row r="763" spans="1:18" x14ac:dyDescent="0.25">
      <c r="A763" s="170">
        <v>43336</v>
      </c>
      <c r="B763" s="116">
        <v>172.7</v>
      </c>
      <c r="C763" s="116">
        <v>169.4</v>
      </c>
      <c r="D763" s="116">
        <v>165</v>
      </c>
      <c r="E763" s="116">
        <v>171</v>
      </c>
      <c r="F763" s="116">
        <v>169.4</v>
      </c>
      <c r="G763">
        <v>105431</v>
      </c>
      <c r="H763" s="116"/>
      <c r="I763" s="116"/>
      <c r="L763" s="170">
        <v>43336</v>
      </c>
      <c r="M763" s="116">
        <v>170</v>
      </c>
      <c r="N763" s="116">
        <v>173</v>
      </c>
      <c r="O763" s="116">
        <v>164.7</v>
      </c>
      <c r="P763" s="116">
        <v>171</v>
      </c>
      <c r="Q763" s="116">
        <v>170</v>
      </c>
      <c r="R763">
        <v>1124391</v>
      </c>
    </row>
    <row r="764" spans="1:18" x14ac:dyDescent="0.25">
      <c r="A764" s="170">
        <v>43339</v>
      </c>
      <c r="B764" s="116">
        <v>203.25</v>
      </c>
      <c r="C764" s="116">
        <v>203.15</v>
      </c>
      <c r="D764" s="116">
        <v>169</v>
      </c>
      <c r="E764" s="116">
        <v>170.55</v>
      </c>
      <c r="F764" s="116">
        <v>203.15</v>
      </c>
      <c r="G764">
        <v>1412912</v>
      </c>
      <c r="H764" s="116"/>
      <c r="I764" s="116"/>
      <c r="L764" s="170">
        <v>43339</v>
      </c>
      <c r="M764" s="116">
        <v>203.85</v>
      </c>
      <c r="N764" s="116">
        <v>204</v>
      </c>
      <c r="O764" s="116">
        <v>168.8</v>
      </c>
      <c r="P764" s="116">
        <v>171.6</v>
      </c>
      <c r="Q764" s="116">
        <v>203.85</v>
      </c>
      <c r="R764">
        <v>8112820</v>
      </c>
    </row>
    <row r="765" spans="1:18" x14ac:dyDescent="0.25">
      <c r="A765" s="170">
        <v>43340</v>
      </c>
      <c r="B765" s="116">
        <v>242</v>
      </c>
      <c r="C765" s="116">
        <v>234.95</v>
      </c>
      <c r="D765" s="116">
        <v>201</v>
      </c>
      <c r="E765" s="116">
        <v>206.8</v>
      </c>
      <c r="F765" s="116">
        <v>234.95</v>
      </c>
      <c r="G765">
        <v>2064016</v>
      </c>
      <c r="H765" s="116"/>
      <c r="I765" s="116"/>
      <c r="L765" s="170">
        <v>43340</v>
      </c>
      <c r="M765" s="116">
        <v>233.4</v>
      </c>
      <c r="N765" s="116">
        <v>240</v>
      </c>
      <c r="O765" s="116">
        <v>201</v>
      </c>
      <c r="P765" s="116">
        <v>204</v>
      </c>
      <c r="Q765" s="116">
        <v>233.4</v>
      </c>
      <c r="R765">
        <v>15146902</v>
      </c>
    </row>
    <row r="766" spans="1:18" x14ac:dyDescent="0.25">
      <c r="A766" s="170">
        <v>43341</v>
      </c>
      <c r="B766" s="116">
        <v>245</v>
      </c>
      <c r="C766" s="116">
        <v>234.15</v>
      </c>
      <c r="D766" s="116">
        <v>228</v>
      </c>
      <c r="E766" s="116">
        <v>231</v>
      </c>
      <c r="F766" s="116">
        <v>234.15</v>
      </c>
      <c r="G766">
        <v>959443</v>
      </c>
      <c r="H766" s="116"/>
      <c r="I766" s="116"/>
      <c r="L766" s="170">
        <v>43341</v>
      </c>
      <c r="M766" s="116">
        <v>233.3</v>
      </c>
      <c r="N766" s="116">
        <v>244.9</v>
      </c>
      <c r="O766" s="116">
        <v>227.35</v>
      </c>
      <c r="P766" s="116">
        <v>230</v>
      </c>
      <c r="Q766" s="116">
        <v>233.3</v>
      </c>
      <c r="R766">
        <v>6834073</v>
      </c>
    </row>
    <row r="767" spans="1:18" x14ac:dyDescent="0.25">
      <c r="A767" s="170">
        <v>43342</v>
      </c>
      <c r="B767" s="116">
        <v>236</v>
      </c>
      <c r="C767" s="116">
        <v>229.3</v>
      </c>
      <c r="D767" s="116">
        <v>222.45</v>
      </c>
      <c r="E767" s="116">
        <v>225.5</v>
      </c>
      <c r="F767" s="116">
        <v>229.3</v>
      </c>
      <c r="G767">
        <v>325519</v>
      </c>
      <c r="H767" s="116"/>
      <c r="I767" s="116"/>
      <c r="L767" s="170">
        <v>43342</v>
      </c>
      <c r="M767" s="116">
        <v>230.45</v>
      </c>
      <c r="N767" s="116">
        <v>236.15</v>
      </c>
      <c r="O767" s="116">
        <v>221.75</v>
      </c>
      <c r="P767" s="116">
        <v>226.3</v>
      </c>
      <c r="Q767" s="116">
        <v>230.45</v>
      </c>
      <c r="R767">
        <v>2607481</v>
      </c>
    </row>
    <row r="768" spans="1:18" x14ac:dyDescent="0.25">
      <c r="A768" s="170">
        <v>43343</v>
      </c>
      <c r="B768" s="116">
        <v>236</v>
      </c>
      <c r="C768" s="116">
        <v>227.9</v>
      </c>
      <c r="D768" s="116">
        <v>225</v>
      </c>
      <c r="E768" s="116">
        <v>229</v>
      </c>
      <c r="F768" s="116">
        <v>227.9</v>
      </c>
      <c r="G768">
        <v>102879</v>
      </c>
      <c r="H768" s="116"/>
      <c r="I768" s="116"/>
      <c r="L768" s="170">
        <v>43343</v>
      </c>
      <c r="M768" s="116">
        <v>228.9</v>
      </c>
      <c r="N768" s="116">
        <v>236.7</v>
      </c>
      <c r="O768" s="116">
        <v>225.5</v>
      </c>
      <c r="P768" s="116">
        <v>230</v>
      </c>
      <c r="Q768" s="116">
        <v>228.9</v>
      </c>
      <c r="R768">
        <v>952355</v>
      </c>
    </row>
    <row r="769" spans="1:18" x14ac:dyDescent="0.25">
      <c r="A769" s="170">
        <v>43346</v>
      </c>
      <c r="B769" s="116">
        <v>231.5</v>
      </c>
      <c r="C769" s="116">
        <v>216.95</v>
      </c>
      <c r="D769" s="116">
        <v>216.55</v>
      </c>
      <c r="E769" s="116">
        <v>229</v>
      </c>
      <c r="F769" s="116">
        <v>216.95</v>
      </c>
      <c r="G769">
        <v>97004</v>
      </c>
      <c r="H769" s="116"/>
      <c r="I769" s="116"/>
      <c r="L769" s="170">
        <v>43346</v>
      </c>
      <c r="M769" s="116">
        <v>217.95</v>
      </c>
      <c r="N769" s="116">
        <v>231.15</v>
      </c>
      <c r="O769" s="116">
        <v>217.5</v>
      </c>
      <c r="P769" s="116">
        <v>229.9</v>
      </c>
      <c r="Q769" s="116">
        <v>217.95</v>
      </c>
      <c r="R769">
        <v>1005765</v>
      </c>
    </row>
    <row r="770" spans="1:18" x14ac:dyDescent="0.25">
      <c r="A770" s="170">
        <v>43347</v>
      </c>
      <c r="B770" s="116">
        <v>222.9</v>
      </c>
      <c r="C770" s="116">
        <v>208</v>
      </c>
      <c r="D770" s="116">
        <v>206.3</v>
      </c>
      <c r="E770" s="116">
        <v>222.9</v>
      </c>
      <c r="F770" s="116">
        <v>208</v>
      </c>
      <c r="G770">
        <v>140689</v>
      </c>
      <c r="H770" s="116"/>
      <c r="I770" s="116"/>
      <c r="L770" s="170">
        <v>43347</v>
      </c>
      <c r="M770" s="116">
        <v>210.4</v>
      </c>
      <c r="N770" s="116">
        <v>221.95</v>
      </c>
      <c r="O770" s="116">
        <v>207.1</v>
      </c>
      <c r="P770" s="116">
        <v>218.4</v>
      </c>
      <c r="Q770" s="116">
        <v>210.4</v>
      </c>
      <c r="R770">
        <v>703609</v>
      </c>
    </row>
    <row r="771" spans="1:18" x14ac:dyDescent="0.25">
      <c r="A771" s="170">
        <v>43348</v>
      </c>
      <c r="B771" s="116">
        <v>211.9</v>
      </c>
      <c r="C771" s="116">
        <v>199.1</v>
      </c>
      <c r="D771" s="116">
        <v>197.6</v>
      </c>
      <c r="E771" s="116">
        <v>210.6</v>
      </c>
      <c r="F771" s="116">
        <v>199.1</v>
      </c>
      <c r="G771">
        <v>125374</v>
      </c>
      <c r="H771" s="116"/>
      <c r="I771" s="116"/>
      <c r="L771" s="170">
        <v>43348</v>
      </c>
      <c r="M771" s="116">
        <v>200.9</v>
      </c>
      <c r="N771" s="116">
        <v>211.95</v>
      </c>
      <c r="O771" s="116">
        <v>199.9</v>
      </c>
      <c r="P771" s="116">
        <v>211.95</v>
      </c>
      <c r="Q771" s="116">
        <v>200.9</v>
      </c>
      <c r="R771">
        <v>774537</v>
      </c>
    </row>
    <row r="772" spans="1:18" x14ac:dyDescent="0.25">
      <c r="A772" s="170">
        <v>43349</v>
      </c>
      <c r="B772" s="116">
        <v>202.3</v>
      </c>
      <c r="C772" s="116">
        <v>198.2</v>
      </c>
      <c r="D772" s="116">
        <v>191</v>
      </c>
      <c r="E772" s="116">
        <v>197.9</v>
      </c>
      <c r="F772" s="116">
        <v>198.2</v>
      </c>
      <c r="G772">
        <v>148643</v>
      </c>
      <c r="H772" s="116"/>
      <c r="I772" s="116"/>
      <c r="L772" s="170">
        <v>43349</v>
      </c>
      <c r="M772" s="116">
        <v>199.45</v>
      </c>
      <c r="N772" s="116">
        <v>202</v>
      </c>
      <c r="O772" s="116">
        <v>192.1</v>
      </c>
      <c r="P772" s="116">
        <v>201</v>
      </c>
      <c r="Q772" s="116">
        <v>199.45</v>
      </c>
      <c r="R772">
        <v>854266</v>
      </c>
    </row>
    <row r="773" spans="1:18" x14ac:dyDescent="0.25">
      <c r="A773" s="170">
        <v>43350</v>
      </c>
      <c r="B773" s="116">
        <v>205.65</v>
      </c>
      <c r="C773" s="116">
        <v>196</v>
      </c>
      <c r="D773" s="116">
        <v>194.6</v>
      </c>
      <c r="E773" s="116">
        <v>200</v>
      </c>
      <c r="F773" s="116">
        <v>196</v>
      </c>
      <c r="G773">
        <v>116103</v>
      </c>
      <c r="H773" s="116"/>
      <c r="I773" s="116"/>
      <c r="L773" s="170">
        <v>43350</v>
      </c>
      <c r="M773" s="116">
        <v>197.15</v>
      </c>
      <c r="N773" s="116">
        <v>205</v>
      </c>
      <c r="O773" s="116">
        <v>196</v>
      </c>
      <c r="P773" s="116">
        <v>203</v>
      </c>
      <c r="Q773" s="116">
        <v>197.15</v>
      </c>
      <c r="R773">
        <v>460778</v>
      </c>
    </row>
    <row r="774" spans="1:18" x14ac:dyDescent="0.25">
      <c r="A774" s="170">
        <v>43353</v>
      </c>
      <c r="B774" s="116">
        <v>200.9</v>
      </c>
      <c r="C774" s="116">
        <v>192.7</v>
      </c>
      <c r="D774" s="116">
        <v>191.85</v>
      </c>
      <c r="E774" s="116">
        <v>196</v>
      </c>
      <c r="F774" s="116">
        <v>192.7</v>
      </c>
      <c r="G774">
        <v>109094</v>
      </c>
      <c r="H774" s="116"/>
      <c r="I774" s="116"/>
      <c r="L774" s="170">
        <v>43353</v>
      </c>
      <c r="M774" s="116">
        <v>191.65</v>
      </c>
      <c r="N774" s="116">
        <v>200.4</v>
      </c>
      <c r="O774" s="116">
        <v>190.4</v>
      </c>
      <c r="P774" s="116">
        <v>196.8</v>
      </c>
      <c r="Q774" s="116">
        <v>191.65</v>
      </c>
      <c r="R774">
        <v>393724</v>
      </c>
    </row>
    <row r="775" spans="1:18" x14ac:dyDescent="0.25">
      <c r="A775" s="170">
        <v>43354</v>
      </c>
      <c r="B775" s="116">
        <v>194.4</v>
      </c>
      <c r="C775" s="116">
        <v>184.15</v>
      </c>
      <c r="D775" s="116">
        <v>183.1</v>
      </c>
      <c r="E775" s="116">
        <v>192.55</v>
      </c>
      <c r="F775" s="116">
        <v>184.15</v>
      </c>
      <c r="G775">
        <v>57724</v>
      </c>
      <c r="H775" s="116"/>
      <c r="I775" s="116"/>
      <c r="L775" s="170">
        <v>43354</v>
      </c>
      <c r="M775" s="116">
        <v>184.75</v>
      </c>
      <c r="N775" s="116">
        <v>194</v>
      </c>
      <c r="O775" s="116">
        <v>182.7</v>
      </c>
      <c r="P775" s="116">
        <v>192.95</v>
      </c>
      <c r="Q775" s="116">
        <v>184.75</v>
      </c>
      <c r="R775">
        <v>276531</v>
      </c>
    </row>
    <row r="776" spans="1:18" x14ac:dyDescent="0.25">
      <c r="A776" s="170">
        <v>43355</v>
      </c>
      <c r="B776" s="116">
        <v>186</v>
      </c>
      <c r="C776" s="116">
        <v>181.3</v>
      </c>
      <c r="D776" s="116">
        <v>175.25</v>
      </c>
      <c r="E776" s="116">
        <v>184</v>
      </c>
      <c r="F776" s="116">
        <v>181.3</v>
      </c>
      <c r="G776">
        <v>133497</v>
      </c>
      <c r="H776" s="116"/>
      <c r="I776" s="116"/>
      <c r="L776" s="170">
        <v>43355</v>
      </c>
      <c r="M776" s="116">
        <v>181.55</v>
      </c>
      <c r="N776" s="116">
        <v>184.6</v>
      </c>
      <c r="O776" s="116">
        <v>175.55</v>
      </c>
      <c r="P776" s="116">
        <v>184</v>
      </c>
      <c r="Q776" s="116">
        <v>181.55</v>
      </c>
      <c r="R776">
        <v>450461</v>
      </c>
    </row>
    <row r="777" spans="1:18" x14ac:dyDescent="0.25">
      <c r="A777" s="170">
        <v>43357</v>
      </c>
      <c r="B777" s="116">
        <v>190.35</v>
      </c>
      <c r="C777" s="116">
        <v>185</v>
      </c>
      <c r="D777" s="116">
        <v>178</v>
      </c>
      <c r="E777" s="116">
        <v>182.9</v>
      </c>
      <c r="F777" s="116">
        <v>185</v>
      </c>
      <c r="G777">
        <v>95911</v>
      </c>
      <c r="H777" s="116"/>
      <c r="I777" s="116"/>
      <c r="L777" s="170">
        <v>43357</v>
      </c>
      <c r="M777" s="116">
        <v>185.7</v>
      </c>
      <c r="N777" s="116">
        <v>190.6</v>
      </c>
      <c r="O777" s="116">
        <v>183</v>
      </c>
      <c r="P777" s="116">
        <v>183</v>
      </c>
      <c r="Q777" s="116">
        <v>185.7</v>
      </c>
      <c r="R777">
        <v>374301</v>
      </c>
    </row>
    <row r="778" spans="1:18" x14ac:dyDescent="0.25">
      <c r="A778" s="170">
        <v>43360</v>
      </c>
      <c r="B778" s="116">
        <v>191</v>
      </c>
      <c r="C778" s="116">
        <v>186.8</v>
      </c>
      <c r="D778" s="116">
        <v>181.95</v>
      </c>
      <c r="E778" s="116">
        <v>184.9</v>
      </c>
      <c r="F778" s="116">
        <v>186.8</v>
      </c>
      <c r="G778">
        <v>100661</v>
      </c>
      <c r="H778" s="116"/>
      <c r="I778" s="116"/>
      <c r="L778" s="170">
        <v>43360</v>
      </c>
      <c r="M778" s="116">
        <v>186.25</v>
      </c>
      <c r="N778" s="116">
        <v>191.4</v>
      </c>
      <c r="O778" s="116">
        <v>181.3</v>
      </c>
      <c r="P778" s="116">
        <v>183.5</v>
      </c>
      <c r="Q778" s="116">
        <v>186.25</v>
      </c>
      <c r="R778">
        <v>275548</v>
      </c>
    </row>
    <row r="779" spans="1:18" x14ac:dyDescent="0.25">
      <c r="A779" s="170">
        <v>43361</v>
      </c>
      <c r="B779" s="116">
        <v>188.5</v>
      </c>
      <c r="C779" s="116">
        <v>183.05</v>
      </c>
      <c r="D779" s="116">
        <v>182.4</v>
      </c>
      <c r="E779" s="116">
        <v>185.05</v>
      </c>
      <c r="F779" s="116">
        <v>183.05</v>
      </c>
      <c r="G779">
        <v>57357</v>
      </c>
      <c r="H779" s="116"/>
      <c r="I779" s="116"/>
      <c r="L779" s="170">
        <v>43361</v>
      </c>
      <c r="M779" s="116">
        <v>182.95</v>
      </c>
      <c r="N779" s="116">
        <v>188.95</v>
      </c>
      <c r="O779" s="116">
        <v>181.95</v>
      </c>
      <c r="P779" s="116">
        <v>184</v>
      </c>
      <c r="Q779" s="116">
        <v>182.95</v>
      </c>
      <c r="R779">
        <v>319150</v>
      </c>
    </row>
    <row r="780" spans="1:18" x14ac:dyDescent="0.25">
      <c r="A780" s="170">
        <v>43362</v>
      </c>
      <c r="B780" s="116">
        <v>186.75</v>
      </c>
      <c r="C780" s="116">
        <v>177.8</v>
      </c>
      <c r="D780" s="116">
        <v>176.5</v>
      </c>
      <c r="E780" s="116">
        <v>184.7</v>
      </c>
      <c r="F780" s="116">
        <v>177.8</v>
      </c>
      <c r="G780">
        <v>42491</v>
      </c>
      <c r="H780" s="116"/>
      <c r="I780" s="116"/>
      <c r="L780" s="170">
        <v>43362</v>
      </c>
      <c r="M780" s="116">
        <v>178.45</v>
      </c>
      <c r="N780" s="116">
        <v>186.9</v>
      </c>
      <c r="O780" s="116">
        <v>176.45</v>
      </c>
      <c r="P780" s="116">
        <v>183.85</v>
      </c>
      <c r="Q780" s="116">
        <v>178.45</v>
      </c>
      <c r="R780">
        <v>178900</v>
      </c>
    </row>
    <row r="781" spans="1:18" x14ac:dyDescent="0.25">
      <c r="A781" s="170">
        <v>43364</v>
      </c>
      <c r="B781" s="116">
        <v>185.85</v>
      </c>
      <c r="C781" s="116">
        <v>182.45</v>
      </c>
      <c r="D781" s="116">
        <v>168.95</v>
      </c>
      <c r="E781" s="116">
        <v>179.85</v>
      </c>
      <c r="F781" s="116">
        <v>182.45</v>
      </c>
      <c r="G781">
        <v>104303</v>
      </c>
      <c r="H781" s="116"/>
      <c r="I781" s="116"/>
      <c r="L781" s="170">
        <v>43364</v>
      </c>
      <c r="M781" s="116">
        <v>182.9</v>
      </c>
      <c r="N781" s="116">
        <v>187.35</v>
      </c>
      <c r="O781" s="116">
        <v>170.05</v>
      </c>
      <c r="P781" s="116">
        <v>179.45</v>
      </c>
      <c r="Q781" s="116">
        <v>182.9</v>
      </c>
      <c r="R781">
        <v>696746</v>
      </c>
    </row>
    <row r="782" spans="1:18" x14ac:dyDescent="0.25">
      <c r="A782" s="170">
        <v>43367</v>
      </c>
      <c r="B782" s="116">
        <v>182.9</v>
      </c>
      <c r="C782" s="116">
        <v>178.65</v>
      </c>
      <c r="D782" s="116">
        <v>174.4</v>
      </c>
      <c r="E782" s="116">
        <v>182.45</v>
      </c>
      <c r="F782" s="116">
        <v>178.65</v>
      </c>
      <c r="G782">
        <v>70005</v>
      </c>
      <c r="H782" s="116"/>
      <c r="I782" s="116"/>
      <c r="L782" s="170">
        <v>43367</v>
      </c>
      <c r="M782" s="116">
        <v>178.9</v>
      </c>
      <c r="N782" s="116">
        <v>183.05</v>
      </c>
      <c r="O782" s="116">
        <v>174.7</v>
      </c>
      <c r="P782" s="116">
        <v>183</v>
      </c>
      <c r="Q782" s="116">
        <v>178.9</v>
      </c>
      <c r="R782">
        <v>273424</v>
      </c>
    </row>
    <row r="783" spans="1:18" x14ac:dyDescent="0.25">
      <c r="A783" s="170">
        <v>43368</v>
      </c>
      <c r="B783" s="116">
        <v>178.55</v>
      </c>
      <c r="C783" s="116">
        <v>171.8</v>
      </c>
      <c r="D783" s="116">
        <v>169.9</v>
      </c>
      <c r="E783" s="116">
        <v>178.55</v>
      </c>
      <c r="F783" s="116">
        <v>171.8</v>
      </c>
      <c r="G783">
        <v>49578</v>
      </c>
      <c r="H783" s="116"/>
      <c r="I783" s="116"/>
      <c r="L783" s="170">
        <v>43368</v>
      </c>
      <c r="M783" s="116">
        <v>172.25</v>
      </c>
      <c r="N783" s="116">
        <v>179</v>
      </c>
      <c r="O783" s="116">
        <v>170</v>
      </c>
      <c r="P783" s="116">
        <v>176.5</v>
      </c>
      <c r="Q783" s="116">
        <v>172.25</v>
      </c>
      <c r="R783">
        <v>321588</v>
      </c>
    </row>
    <row r="784" spans="1:18" x14ac:dyDescent="0.25">
      <c r="A784" s="170">
        <v>43369</v>
      </c>
      <c r="B784" s="116">
        <v>178</v>
      </c>
      <c r="C784" s="116">
        <v>172.5</v>
      </c>
      <c r="D784" s="116">
        <v>167.7</v>
      </c>
      <c r="E784" s="116">
        <v>174</v>
      </c>
      <c r="F784" s="116">
        <v>172.5</v>
      </c>
      <c r="G784">
        <v>29049</v>
      </c>
      <c r="H784" s="116"/>
      <c r="I784" s="116"/>
      <c r="L784" s="170">
        <v>43369</v>
      </c>
      <c r="M784" s="116">
        <v>172.45</v>
      </c>
      <c r="N784" s="116">
        <v>174.8</v>
      </c>
      <c r="O784" s="116">
        <v>167.15</v>
      </c>
      <c r="P784" s="116">
        <v>172.65</v>
      </c>
      <c r="Q784" s="116">
        <v>172.45</v>
      </c>
      <c r="R784">
        <v>306381</v>
      </c>
    </row>
    <row r="785" spans="1:18" x14ac:dyDescent="0.25">
      <c r="A785" s="170">
        <v>43370</v>
      </c>
      <c r="B785" s="116">
        <v>173.9</v>
      </c>
      <c r="C785" s="116">
        <v>168.65</v>
      </c>
      <c r="D785" s="116">
        <v>168</v>
      </c>
      <c r="E785" s="116">
        <v>171.7</v>
      </c>
      <c r="F785" s="116">
        <v>168.65</v>
      </c>
      <c r="G785">
        <v>28772</v>
      </c>
      <c r="H785" s="116"/>
      <c r="I785" s="116"/>
      <c r="L785" s="170">
        <v>43370</v>
      </c>
      <c r="M785" s="116">
        <v>168.8</v>
      </c>
      <c r="N785" s="116">
        <v>174</v>
      </c>
      <c r="O785" s="116">
        <v>167.6</v>
      </c>
      <c r="P785" s="116">
        <v>172.8</v>
      </c>
      <c r="Q785" s="116">
        <v>168.8</v>
      </c>
      <c r="R785">
        <v>117907</v>
      </c>
    </row>
    <row r="786" spans="1:18" x14ac:dyDescent="0.25">
      <c r="A786" s="170">
        <v>43371</v>
      </c>
      <c r="B786" s="116">
        <v>175</v>
      </c>
      <c r="C786" s="116">
        <v>160.25</v>
      </c>
      <c r="D786" s="116">
        <v>160.25</v>
      </c>
      <c r="E786" s="116">
        <v>169.95</v>
      </c>
      <c r="F786" s="116">
        <v>160.25</v>
      </c>
      <c r="G786">
        <v>36551</v>
      </c>
      <c r="H786" s="116"/>
      <c r="I786" s="116"/>
      <c r="L786" s="170">
        <v>43371</v>
      </c>
      <c r="M786" s="116">
        <v>160.4</v>
      </c>
      <c r="N786" s="116">
        <v>171.8</v>
      </c>
      <c r="O786" s="116">
        <v>160.4</v>
      </c>
      <c r="P786" s="116">
        <v>170.4</v>
      </c>
      <c r="Q786" s="116">
        <v>160.4</v>
      </c>
      <c r="R786">
        <v>192493</v>
      </c>
    </row>
    <row r="787" spans="1:18" x14ac:dyDescent="0.25">
      <c r="A787" s="170">
        <v>43374</v>
      </c>
      <c r="B787" s="116">
        <v>161</v>
      </c>
      <c r="C787" s="116">
        <v>157.15</v>
      </c>
      <c r="D787" s="116">
        <v>152.25</v>
      </c>
      <c r="E787" s="116">
        <v>160</v>
      </c>
      <c r="F787" s="116">
        <v>157.15</v>
      </c>
      <c r="G787">
        <v>30211</v>
      </c>
      <c r="H787" s="116"/>
      <c r="I787" s="116"/>
      <c r="L787" s="170">
        <v>43374</v>
      </c>
      <c r="M787" s="116">
        <v>158.30000000000001</v>
      </c>
      <c r="N787" s="116">
        <v>162.5</v>
      </c>
      <c r="O787" s="116">
        <v>152.4</v>
      </c>
      <c r="P787" s="116">
        <v>159</v>
      </c>
      <c r="Q787" s="116">
        <v>158.30000000000001</v>
      </c>
      <c r="R787">
        <v>169207</v>
      </c>
    </row>
    <row r="788" spans="1:18" x14ac:dyDescent="0.25">
      <c r="A788" s="170">
        <v>43376</v>
      </c>
      <c r="B788" s="116">
        <v>159.4</v>
      </c>
      <c r="C788" s="116">
        <v>154.5</v>
      </c>
      <c r="D788" s="116">
        <v>152</v>
      </c>
      <c r="E788" s="116">
        <v>158.05000000000001</v>
      </c>
      <c r="F788" s="116">
        <v>154.5</v>
      </c>
      <c r="G788">
        <v>34561</v>
      </c>
      <c r="H788" s="116"/>
      <c r="I788" s="116"/>
      <c r="L788" s="170">
        <v>43376</v>
      </c>
      <c r="M788" s="116">
        <v>154.85</v>
      </c>
      <c r="N788" s="116">
        <v>161.5</v>
      </c>
      <c r="O788" s="116">
        <v>152.1</v>
      </c>
      <c r="P788" s="116">
        <v>161.5</v>
      </c>
      <c r="Q788" s="116">
        <v>154.85</v>
      </c>
      <c r="R788">
        <v>212429</v>
      </c>
    </row>
    <row r="789" spans="1:18" x14ac:dyDescent="0.25">
      <c r="A789" s="170">
        <v>43377</v>
      </c>
      <c r="B789" s="116">
        <v>156.80000000000001</v>
      </c>
      <c r="C789" s="116">
        <v>151.15</v>
      </c>
      <c r="D789" s="116">
        <v>146.80000000000001</v>
      </c>
      <c r="E789" s="116">
        <v>150</v>
      </c>
      <c r="F789" s="116">
        <v>151.15</v>
      </c>
      <c r="G789">
        <v>18942</v>
      </c>
      <c r="H789" s="116"/>
      <c r="I789" s="116"/>
      <c r="L789" s="170">
        <v>43377</v>
      </c>
      <c r="M789" s="116">
        <v>149.75</v>
      </c>
      <c r="N789" s="116">
        <v>153.69999999999999</v>
      </c>
      <c r="O789" s="116">
        <v>147.15</v>
      </c>
      <c r="P789" s="116">
        <v>151.9</v>
      </c>
      <c r="Q789" s="116">
        <v>149.75</v>
      </c>
      <c r="R789">
        <v>47854</v>
      </c>
    </row>
    <row r="790" spans="1:18" x14ac:dyDescent="0.25">
      <c r="A790" s="170">
        <v>43378</v>
      </c>
      <c r="B790" s="116">
        <v>153</v>
      </c>
      <c r="C790" s="116">
        <v>148.75</v>
      </c>
      <c r="D790" s="116">
        <v>145.55000000000001</v>
      </c>
      <c r="E790" s="116">
        <v>150</v>
      </c>
      <c r="F790" s="116">
        <v>148.75</v>
      </c>
      <c r="G790">
        <v>5296</v>
      </c>
      <c r="H790" s="116"/>
      <c r="I790" s="116"/>
      <c r="L790" s="170">
        <v>43378</v>
      </c>
      <c r="M790" s="116">
        <v>148.9</v>
      </c>
      <c r="N790" s="116">
        <v>153.69999999999999</v>
      </c>
      <c r="O790" s="116">
        <v>145.19999999999999</v>
      </c>
      <c r="P790" s="116">
        <v>153.69999999999999</v>
      </c>
      <c r="Q790" s="116">
        <v>148.9</v>
      </c>
      <c r="R790">
        <v>47470</v>
      </c>
    </row>
    <row r="791" spans="1:18" x14ac:dyDescent="0.25">
      <c r="A791" s="170">
        <v>43381</v>
      </c>
      <c r="B791" s="116">
        <v>148.9</v>
      </c>
      <c r="C791" s="116">
        <v>145.94999999999999</v>
      </c>
      <c r="D791" s="116">
        <v>141.35</v>
      </c>
      <c r="E791" s="116">
        <v>142.5</v>
      </c>
      <c r="F791" s="116">
        <v>145.94999999999999</v>
      </c>
      <c r="G791">
        <v>12315</v>
      </c>
      <c r="H791" s="116"/>
      <c r="I791" s="116"/>
      <c r="L791" s="170">
        <v>43381</v>
      </c>
      <c r="M791" s="116">
        <v>147.94999999999999</v>
      </c>
      <c r="N791" s="116">
        <v>150.9</v>
      </c>
      <c r="O791" s="116">
        <v>141.5</v>
      </c>
      <c r="P791" s="116">
        <v>145</v>
      </c>
      <c r="Q791" s="116">
        <v>147.94999999999999</v>
      </c>
      <c r="R791">
        <v>59012</v>
      </c>
    </row>
    <row r="792" spans="1:18" x14ac:dyDescent="0.25">
      <c r="A792" s="170">
        <v>43382</v>
      </c>
      <c r="B792" s="116">
        <v>149.4</v>
      </c>
      <c r="C792" s="116">
        <v>146.05000000000001</v>
      </c>
      <c r="D792" s="116">
        <v>142</v>
      </c>
      <c r="E792" s="116">
        <v>147</v>
      </c>
      <c r="F792" s="116">
        <v>146.05000000000001</v>
      </c>
      <c r="G792">
        <v>5291</v>
      </c>
      <c r="H792" s="116"/>
      <c r="I792" s="116"/>
      <c r="L792" s="170">
        <v>43382</v>
      </c>
      <c r="M792" s="116">
        <v>148.44999999999999</v>
      </c>
      <c r="N792" s="116">
        <v>149.5</v>
      </c>
      <c r="O792" s="116">
        <v>141</v>
      </c>
      <c r="P792" s="116">
        <v>145</v>
      </c>
      <c r="Q792" s="116">
        <v>148.44999999999999</v>
      </c>
      <c r="R792">
        <v>42072</v>
      </c>
    </row>
    <row r="793" spans="1:18" x14ac:dyDescent="0.25">
      <c r="A793" s="170">
        <v>43383</v>
      </c>
      <c r="B793" s="116">
        <v>153.35</v>
      </c>
      <c r="C793" s="116">
        <v>149.75</v>
      </c>
      <c r="D793" s="116">
        <v>144.6</v>
      </c>
      <c r="E793" s="116">
        <v>144.6</v>
      </c>
      <c r="F793" s="116">
        <v>149.75</v>
      </c>
      <c r="G793">
        <v>26297</v>
      </c>
      <c r="H793" s="116"/>
      <c r="I793" s="116"/>
      <c r="L793" s="170">
        <v>43383</v>
      </c>
      <c r="M793" s="116">
        <v>152.55000000000001</v>
      </c>
      <c r="N793" s="116">
        <v>155.80000000000001</v>
      </c>
      <c r="O793" s="116">
        <v>144.25</v>
      </c>
      <c r="P793" s="116">
        <v>146</v>
      </c>
      <c r="Q793" s="116">
        <v>152.55000000000001</v>
      </c>
      <c r="R793">
        <v>55685</v>
      </c>
    </row>
    <row r="794" spans="1:18" x14ac:dyDescent="0.25">
      <c r="A794" s="170">
        <v>43384</v>
      </c>
      <c r="B794" s="116">
        <v>152.19999999999999</v>
      </c>
      <c r="C794" s="116">
        <v>148.5</v>
      </c>
      <c r="D794" s="116">
        <v>146</v>
      </c>
      <c r="E794" s="116">
        <v>152.19999999999999</v>
      </c>
      <c r="F794" s="116">
        <v>148.5</v>
      </c>
      <c r="G794">
        <v>2501</v>
      </c>
      <c r="H794" s="116"/>
      <c r="I794" s="116"/>
      <c r="L794" s="170">
        <v>43384</v>
      </c>
      <c r="M794" s="116">
        <v>148.9</v>
      </c>
      <c r="N794" s="116">
        <v>151.80000000000001</v>
      </c>
      <c r="O794" s="116">
        <v>145</v>
      </c>
      <c r="P794" s="116">
        <v>145.35</v>
      </c>
      <c r="Q794" s="116">
        <v>148.9</v>
      </c>
      <c r="R794">
        <v>23157</v>
      </c>
    </row>
    <row r="795" spans="1:18" x14ac:dyDescent="0.25">
      <c r="A795" s="170">
        <v>43385</v>
      </c>
      <c r="B795" s="116">
        <v>155.9</v>
      </c>
      <c r="C795" s="116">
        <v>155.9</v>
      </c>
      <c r="D795" s="116">
        <v>152</v>
      </c>
      <c r="E795" s="116">
        <v>152</v>
      </c>
      <c r="F795" s="116">
        <v>155.9</v>
      </c>
      <c r="G795">
        <v>6518</v>
      </c>
      <c r="H795" s="116"/>
      <c r="I795" s="116"/>
      <c r="L795" s="170">
        <v>43385</v>
      </c>
      <c r="M795" s="116">
        <v>156.30000000000001</v>
      </c>
      <c r="N795" s="116">
        <v>156.30000000000001</v>
      </c>
      <c r="O795" s="116">
        <v>150</v>
      </c>
      <c r="P795" s="116">
        <v>155.80000000000001</v>
      </c>
      <c r="Q795" s="116">
        <v>156.30000000000001</v>
      </c>
      <c r="R795">
        <v>28648</v>
      </c>
    </row>
    <row r="796" spans="1:18" x14ac:dyDescent="0.25">
      <c r="A796" s="170">
        <v>43388</v>
      </c>
      <c r="B796" s="116">
        <v>161</v>
      </c>
      <c r="C796" s="116">
        <v>160.15</v>
      </c>
      <c r="D796" s="116">
        <v>154.05000000000001</v>
      </c>
      <c r="E796" s="116">
        <v>156</v>
      </c>
      <c r="F796" s="116">
        <v>160.15</v>
      </c>
      <c r="G796">
        <v>10084</v>
      </c>
      <c r="H796" s="116"/>
      <c r="I796" s="116"/>
      <c r="L796" s="170">
        <v>43388</v>
      </c>
      <c r="M796" s="116">
        <v>161.1</v>
      </c>
      <c r="N796" s="116">
        <v>164</v>
      </c>
      <c r="O796" s="116">
        <v>153</v>
      </c>
      <c r="P796" s="116">
        <v>161</v>
      </c>
      <c r="Q796" s="116">
        <v>161.1</v>
      </c>
      <c r="R796">
        <v>229026</v>
      </c>
    </row>
    <row r="797" spans="1:18" x14ac:dyDescent="0.25">
      <c r="A797" s="170">
        <v>43389</v>
      </c>
      <c r="B797" s="116">
        <v>168</v>
      </c>
      <c r="C797" s="116">
        <v>165.3</v>
      </c>
      <c r="D797" s="116">
        <v>160</v>
      </c>
      <c r="E797" s="116">
        <v>165.95</v>
      </c>
      <c r="F797" s="116">
        <v>165.3</v>
      </c>
      <c r="G797">
        <v>5872</v>
      </c>
      <c r="H797" s="116"/>
      <c r="I797" s="116"/>
      <c r="L797" s="170">
        <v>43389</v>
      </c>
      <c r="M797" s="116">
        <v>163.69999999999999</v>
      </c>
      <c r="N797" s="116">
        <v>164.5</v>
      </c>
      <c r="O797" s="116">
        <v>157.5</v>
      </c>
      <c r="P797" s="116">
        <v>162.69999999999999</v>
      </c>
      <c r="Q797" s="116">
        <v>163.69999999999999</v>
      </c>
      <c r="R797">
        <v>45120</v>
      </c>
    </row>
    <row r="798" spans="1:18" x14ac:dyDescent="0.25">
      <c r="A798" s="170">
        <v>43390</v>
      </c>
      <c r="B798" s="116">
        <v>173.55</v>
      </c>
      <c r="C798" s="116">
        <v>163.30000000000001</v>
      </c>
      <c r="D798" s="116">
        <v>163</v>
      </c>
      <c r="E798" s="116">
        <v>165.35</v>
      </c>
      <c r="F798" s="116">
        <v>163.30000000000001</v>
      </c>
      <c r="G798">
        <v>7102</v>
      </c>
      <c r="H798" s="116"/>
      <c r="I798" s="116"/>
      <c r="L798" s="170">
        <v>43390</v>
      </c>
      <c r="M798" s="116">
        <v>163.1</v>
      </c>
      <c r="N798" s="116">
        <v>170</v>
      </c>
      <c r="O798" s="116">
        <v>162</v>
      </c>
      <c r="P798" s="116">
        <v>169</v>
      </c>
      <c r="Q798" s="116">
        <v>163.1</v>
      </c>
      <c r="R798">
        <v>34124</v>
      </c>
    </row>
    <row r="799" spans="1:18" x14ac:dyDescent="0.25">
      <c r="A799" s="170">
        <v>43392</v>
      </c>
      <c r="B799" s="116">
        <v>165</v>
      </c>
      <c r="C799" s="116">
        <v>159.6</v>
      </c>
      <c r="D799" s="116">
        <v>155.15</v>
      </c>
      <c r="E799" s="116">
        <v>160</v>
      </c>
      <c r="F799" s="116">
        <v>159.6</v>
      </c>
      <c r="G799">
        <v>3734</v>
      </c>
      <c r="H799" s="116"/>
      <c r="I799" s="116"/>
      <c r="L799" s="170">
        <v>43392</v>
      </c>
      <c r="M799" s="116">
        <v>160.05000000000001</v>
      </c>
      <c r="N799" s="116">
        <v>162</v>
      </c>
      <c r="O799" s="116">
        <v>156.6</v>
      </c>
      <c r="P799" s="116">
        <v>158</v>
      </c>
      <c r="Q799" s="116">
        <v>160.05000000000001</v>
      </c>
      <c r="R799">
        <v>16241</v>
      </c>
    </row>
    <row r="800" spans="1:18" x14ac:dyDescent="0.25">
      <c r="A800" s="170">
        <v>43395</v>
      </c>
      <c r="B800" s="116">
        <v>163.95</v>
      </c>
      <c r="C800" s="116">
        <v>157.19999999999999</v>
      </c>
      <c r="D800" s="116">
        <v>156</v>
      </c>
      <c r="E800" s="116">
        <v>163.95</v>
      </c>
      <c r="F800" s="116">
        <v>157.19999999999999</v>
      </c>
      <c r="G800">
        <v>3206</v>
      </c>
      <c r="H800" s="116"/>
      <c r="I800" s="116"/>
      <c r="L800" s="170">
        <v>43395</v>
      </c>
      <c r="M800" s="116">
        <v>158.6</v>
      </c>
      <c r="N800" s="116">
        <v>162</v>
      </c>
      <c r="O800" s="116">
        <v>154.25</v>
      </c>
      <c r="P800" s="116">
        <v>154.25</v>
      </c>
      <c r="Q800" s="116">
        <v>158.6</v>
      </c>
      <c r="R800">
        <v>19514</v>
      </c>
    </row>
    <row r="801" spans="1:18" x14ac:dyDescent="0.25">
      <c r="A801" s="170">
        <v>43396</v>
      </c>
      <c r="B801" s="116">
        <v>160</v>
      </c>
      <c r="C801" s="116">
        <v>157.69999999999999</v>
      </c>
      <c r="D801" s="116">
        <v>154</v>
      </c>
      <c r="E801" s="116">
        <v>160</v>
      </c>
      <c r="F801" s="116">
        <v>157.69999999999999</v>
      </c>
      <c r="G801">
        <v>2751</v>
      </c>
      <c r="H801" s="116"/>
      <c r="I801" s="116"/>
      <c r="L801" s="170">
        <v>43396</v>
      </c>
      <c r="M801" s="116">
        <v>159.19999999999999</v>
      </c>
      <c r="N801" s="116">
        <v>160</v>
      </c>
      <c r="O801" s="116">
        <v>150.69999999999999</v>
      </c>
      <c r="P801" s="116">
        <v>153</v>
      </c>
      <c r="Q801" s="116">
        <v>159.19999999999999</v>
      </c>
      <c r="R801">
        <v>36639</v>
      </c>
    </row>
    <row r="802" spans="1:18" x14ac:dyDescent="0.25">
      <c r="A802" s="170">
        <v>43397</v>
      </c>
      <c r="B802" s="116">
        <v>161.94999999999999</v>
      </c>
      <c r="C802" s="116">
        <v>158.1</v>
      </c>
      <c r="D802" s="116">
        <v>155</v>
      </c>
      <c r="E802" s="116">
        <v>157.69999999999999</v>
      </c>
      <c r="F802" s="116">
        <v>158.1</v>
      </c>
      <c r="G802">
        <v>4027</v>
      </c>
      <c r="H802" s="116"/>
      <c r="I802" s="116"/>
      <c r="L802" s="170">
        <v>43397</v>
      </c>
      <c r="M802" s="116">
        <v>159.80000000000001</v>
      </c>
      <c r="N802" s="116">
        <v>162</v>
      </c>
      <c r="O802" s="116">
        <v>155</v>
      </c>
      <c r="P802" s="116">
        <v>160</v>
      </c>
      <c r="Q802" s="116">
        <v>159.80000000000001</v>
      </c>
      <c r="R802">
        <v>23040</v>
      </c>
    </row>
    <row r="803" spans="1:18" x14ac:dyDescent="0.25">
      <c r="A803" s="170">
        <v>43398</v>
      </c>
      <c r="B803" s="116">
        <v>158.1</v>
      </c>
      <c r="C803" s="116">
        <v>153.94999999999999</v>
      </c>
      <c r="D803" s="116">
        <v>151.6</v>
      </c>
      <c r="E803" s="116">
        <v>157.1</v>
      </c>
      <c r="F803" s="116">
        <v>153.94999999999999</v>
      </c>
      <c r="G803">
        <v>3380</v>
      </c>
      <c r="H803" s="116"/>
      <c r="I803" s="116"/>
      <c r="L803" s="170">
        <v>43398</v>
      </c>
      <c r="M803" s="116">
        <v>155.80000000000001</v>
      </c>
      <c r="N803" s="116">
        <v>159.94999999999999</v>
      </c>
      <c r="O803" s="116">
        <v>152.1</v>
      </c>
      <c r="P803" s="116">
        <v>156.80000000000001</v>
      </c>
      <c r="Q803" s="116">
        <v>155.80000000000001</v>
      </c>
      <c r="R803">
        <v>18952</v>
      </c>
    </row>
    <row r="804" spans="1:18" x14ac:dyDescent="0.25">
      <c r="A804" s="170">
        <v>43399</v>
      </c>
      <c r="B804" s="116">
        <v>157.65</v>
      </c>
      <c r="C804" s="116">
        <v>154.19999999999999</v>
      </c>
      <c r="D804" s="116">
        <v>151.5</v>
      </c>
      <c r="E804" s="116">
        <v>156</v>
      </c>
      <c r="F804" s="116">
        <v>154.19999999999999</v>
      </c>
      <c r="G804">
        <v>1729</v>
      </c>
      <c r="H804" s="116"/>
      <c r="I804" s="116"/>
      <c r="L804" s="170">
        <v>43399</v>
      </c>
      <c r="M804" s="116">
        <v>155.65</v>
      </c>
      <c r="N804" s="116">
        <v>158.1</v>
      </c>
      <c r="O804" s="116">
        <v>152</v>
      </c>
      <c r="P804" s="116">
        <v>157</v>
      </c>
      <c r="Q804" s="116">
        <v>155.65</v>
      </c>
      <c r="R804">
        <v>21721</v>
      </c>
    </row>
    <row r="805" spans="1:18" x14ac:dyDescent="0.25">
      <c r="A805" s="170">
        <v>43402</v>
      </c>
      <c r="B805" s="116">
        <v>161.9</v>
      </c>
      <c r="C805" s="116">
        <v>161.9</v>
      </c>
      <c r="D805" s="116">
        <v>160</v>
      </c>
      <c r="E805" s="116">
        <v>161.9</v>
      </c>
      <c r="F805" s="116">
        <v>161.9</v>
      </c>
      <c r="G805">
        <v>18792</v>
      </c>
      <c r="H805" s="116"/>
      <c r="I805" s="116"/>
      <c r="L805" s="170">
        <v>43402</v>
      </c>
      <c r="M805" s="116">
        <v>163.4</v>
      </c>
      <c r="N805" s="116">
        <v>163.4</v>
      </c>
      <c r="O805" s="116">
        <v>160.1</v>
      </c>
      <c r="P805" s="116">
        <v>162.1</v>
      </c>
      <c r="Q805" s="116">
        <v>163.4</v>
      </c>
      <c r="R805">
        <v>76735</v>
      </c>
    </row>
    <row r="806" spans="1:18" x14ac:dyDescent="0.25">
      <c r="A806" s="170">
        <v>43403</v>
      </c>
      <c r="B806" s="116">
        <v>172.9</v>
      </c>
      <c r="C806" s="116">
        <v>163.25</v>
      </c>
      <c r="D806" s="116">
        <v>162.5</v>
      </c>
      <c r="E806" s="116">
        <v>169.9</v>
      </c>
      <c r="F806" s="116">
        <v>163.25</v>
      </c>
      <c r="G806">
        <v>45694</v>
      </c>
      <c r="H806" s="116"/>
      <c r="I806" s="116"/>
      <c r="L806" s="170">
        <v>43403</v>
      </c>
      <c r="M806" s="116">
        <v>162.6</v>
      </c>
      <c r="N806" s="116">
        <v>174</v>
      </c>
      <c r="O806" s="116">
        <v>162</v>
      </c>
      <c r="P806" s="116">
        <v>167.5</v>
      </c>
      <c r="Q806" s="116">
        <v>162.6</v>
      </c>
      <c r="R806">
        <v>313079</v>
      </c>
    </row>
    <row r="807" spans="1:18" x14ac:dyDescent="0.25">
      <c r="A807" s="170">
        <v>43404</v>
      </c>
      <c r="B807" s="116">
        <v>169</v>
      </c>
      <c r="C807" s="116">
        <v>166.65</v>
      </c>
      <c r="D807" s="116">
        <v>162.44999999999999</v>
      </c>
      <c r="E807" s="116">
        <v>163</v>
      </c>
      <c r="F807" s="116">
        <v>166.65</v>
      </c>
      <c r="G807">
        <v>17557</v>
      </c>
      <c r="H807" s="116"/>
      <c r="I807" s="116"/>
      <c r="L807" s="170">
        <v>43404</v>
      </c>
      <c r="M807" s="116">
        <v>166.45</v>
      </c>
      <c r="N807" s="116">
        <v>168</v>
      </c>
      <c r="O807" s="116">
        <v>162.19999999999999</v>
      </c>
      <c r="P807" s="116">
        <v>165.5</v>
      </c>
      <c r="Q807" s="116">
        <v>166.45</v>
      </c>
      <c r="R807">
        <v>264274</v>
      </c>
    </row>
    <row r="808" spans="1:18" x14ac:dyDescent="0.25">
      <c r="A808" s="170">
        <v>43405</v>
      </c>
      <c r="B808" s="116">
        <v>182.35</v>
      </c>
      <c r="C808" s="116">
        <v>177.15</v>
      </c>
      <c r="D808" s="116">
        <v>165.25</v>
      </c>
      <c r="E808" s="116">
        <v>165.25</v>
      </c>
      <c r="F808" s="116">
        <v>177.15</v>
      </c>
      <c r="G808">
        <v>72039</v>
      </c>
      <c r="H808" s="116"/>
      <c r="I808" s="116"/>
      <c r="L808" s="170">
        <v>43405</v>
      </c>
      <c r="M808" s="116">
        <v>176.6</v>
      </c>
      <c r="N808" s="116">
        <v>183</v>
      </c>
      <c r="O808" s="116">
        <v>166.4</v>
      </c>
      <c r="P808" s="116">
        <v>168</v>
      </c>
      <c r="Q808" s="116">
        <v>176.6</v>
      </c>
      <c r="R808">
        <v>353840</v>
      </c>
    </row>
    <row r="809" spans="1:18" x14ac:dyDescent="0.25">
      <c r="A809" s="170">
        <v>43406</v>
      </c>
      <c r="B809" s="116">
        <v>184.5</v>
      </c>
      <c r="C809" s="116">
        <v>178.1</v>
      </c>
      <c r="D809" s="116">
        <v>177</v>
      </c>
      <c r="E809" s="116">
        <v>178.15</v>
      </c>
      <c r="F809" s="116">
        <v>178.1</v>
      </c>
      <c r="G809">
        <v>41054</v>
      </c>
      <c r="H809" s="116"/>
      <c r="I809" s="116"/>
      <c r="L809" s="170">
        <v>43406</v>
      </c>
      <c r="M809" s="116">
        <v>178.95</v>
      </c>
      <c r="N809" s="116">
        <v>184.1</v>
      </c>
      <c r="O809" s="116">
        <v>178</v>
      </c>
      <c r="P809" s="116">
        <v>178.4</v>
      </c>
      <c r="Q809" s="116">
        <v>178.95</v>
      </c>
      <c r="R809">
        <v>305108</v>
      </c>
    </row>
    <row r="810" spans="1:18" x14ac:dyDescent="0.25">
      <c r="A810" s="170">
        <v>43409</v>
      </c>
      <c r="B810" s="116">
        <v>190</v>
      </c>
      <c r="C810" s="116">
        <v>181.7</v>
      </c>
      <c r="D810" s="116">
        <v>178.3</v>
      </c>
      <c r="E810" s="116">
        <v>180.95</v>
      </c>
      <c r="F810" s="116">
        <v>181.7</v>
      </c>
      <c r="G810">
        <v>51530</v>
      </c>
      <c r="H810" s="116"/>
      <c r="I810" s="116"/>
      <c r="L810" s="170">
        <v>43409</v>
      </c>
      <c r="M810" s="116">
        <v>182.25</v>
      </c>
      <c r="N810" s="116">
        <v>187</v>
      </c>
      <c r="O810" s="116">
        <v>176</v>
      </c>
      <c r="P810" s="116">
        <v>179</v>
      </c>
      <c r="Q810" s="116">
        <v>182.25</v>
      </c>
      <c r="R810">
        <v>348113</v>
      </c>
    </row>
    <row r="811" spans="1:18" x14ac:dyDescent="0.25">
      <c r="A811" s="170">
        <v>43410</v>
      </c>
      <c r="B811" s="116">
        <v>186.15</v>
      </c>
      <c r="C811" s="116">
        <v>178.95</v>
      </c>
      <c r="D811" s="116">
        <v>177</v>
      </c>
      <c r="E811" s="116">
        <v>184</v>
      </c>
      <c r="F811" s="116">
        <v>178.95</v>
      </c>
      <c r="G811">
        <v>20789</v>
      </c>
      <c r="H811" s="116"/>
      <c r="I811" s="116"/>
      <c r="L811" s="170">
        <v>43410</v>
      </c>
      <c r="M811" s="116">
        <v>178.6</v>
      </c>
      <c r="N811" s="116">
        <v>186.9</v>
      </c>
      <c r="O811" s="116">
        <v>176.45</v>
      </c>
      <c r="P811" s="116">
        <v>186.9</v>
      </c>
      <c r="Q811" s="116">
        <v>178.6</v>
      </c>
      <c r="R811">
        <v>241176</v>
      </c>
    </row>
    <row r="812" spans="1:18" x14ac:dyDescent="0.25">
      <c r="A812" s="170">
        <v>43411</v>
      </c>
      <c r="B812" s="116">
        <v>185</v>
      </c>
      <c r="C812" s="116">
        <v>179.45</v>
      </c>
      <c r="D812" s="116">
        <v>178.05</v>
      </c>
      <c r="E812" s="116">
        <v>178.9</v>
      </c>
      <c r="F812" s="116">
        <v>179.45</v>
      </c>
      <c r="G812">
        <v>6506</v>
      </c>
      <c r="H812" s="116"/>
      <c r="I812" s="116"/>
      <c r="L812" s="170">
        <v>43411</v>
      </c>
      <c r="M812" s="116">
        <v>179.2</v>
      </c>
      <c r="N812" s="116">
        <v>181.5</v>
      </c>
      <c r="O812" s="116">
        <v>177.1</v>
      </c>
      <c r="P812" s="116">
        <v>178</v>
      </c>
      <c r="Q812" s="116">
        <v>179.2</v>
      </c>
      <c r="R812">
        <v>39978</v>
      </c>
    </row>
    <row r="813" spans="1:18" x14ac:dyDescent="0.25">
      <c r="A813" s="170">
        <v>43413</v>
      </c>
      <c r="B813" s="116">
        <v>178.9</v>
      </c>
      <c r="C813" s="116">
        <v>176.6</v>
      </c>
      <c r="D813" s="116">
        <v>176</v>
      </c>
      <c r="E813" s="116">
        <v>178.9</v>
      </c>
      <c r="F813" s="116">
        <v>176.6</v>
      </c>
      <c r="G813">
        <v>8682</v>
      </c>
      <c r="H813" s="116"/>
      <c r="I813" s="116"/>
      <c r="L813" s="170">
        <v>43413</v>
      </c>
      <c r="M813" s="116">
        <v>176.3</v>
      </c>
      <c r="N813" s="116">
        <v>179.85</v>
      </c>
      <c r="O813" s="116">
        <v>174.45</v>
      </c>
      <c r="P813" s="116">
        <v>179</v>
      </c>
      <c r="Q813" s="116">
        <v>176.3</v>
      </c>
      <c r="R813">
        <v>49593</v>
      </c>
    </row>
    <row r="814" spans="1:18" x14ac:dyDescent="0.25">
      <c r="A814" s="170">
        <v>43416</v>
      </c>
      <c r="B814" s="116">
        <v>180</v>
      </c>
      <c r="C814" s="116">
        <v>171.6</v>
      </c>
      <c r="D814" s="116">
        <v>170</v>
      </c>
      <c r="E814" s="116">
        <v>176.3</v>
      </c>
      <c r="F814" s="116">
        <v>171.6</v>
      </c>
      <c r="G814">
        <v>15713</v>
      </c>
      <c r="H814" s="116"/>
      <c r="I814" s="116"/>
      <c r="L814" s="170">
        <v>43416</v>
      </c>
      <c r="M814" s="116">
        <v>171.75</v>
      </c>
      <c r="N814" s="116">
        <v>180</v>
      </c>
      <c r="O814" s="116">
        <v>170</v>
      </c>
      <c r="P814" s="116">
        <v>176.3</v>
      </c>
      <c r="Q814" s="116">
        <v>171.75</v>
      </c>
      <c r="R814">
        <v>196822</v>
      </c>
    </row>
    <row r="815" spans="1:18" x14ac:dyDescent="0.25">
      <c r="A815" s="170">
        <v>43417</v>
      </c>
      <c r="B815" s="116">
        <v>175</v>
      </c>
      <c r="C815" s="116">
        <v>173.25</v>
      </c>
      <c r="D815" s="116">
        <v>165.35</v>
      </c>
      <c r="E815" s="116">
        <v>165.35</v>
      </c>
      <c r="F815" s="116">
        <v>173.25</v>
      </c>
      <c r="G815">
        <v>13277</v>
      </c>
      <c r="H815" s="116"/>
      <c r="I815" s="116"/>
      <c r="L815" s="170">
        <v>43417</v>
      </c>
      <c r="M815" s="116">
        <v>173.1</v>
      </c>
      <c r="N815" s="116">
        <v>177.3</v>
      </c>
      <c r="O815" s="116">
        <v>166.25</v>
      </c>
      <c r="P815" s="116">
        <v>171.55</v>
      </c>
      <c r="Q815" s="116">
        <v>173.1</v>
      </c>
      <c r="R815">
        <v>177485</v>
      </c>
    </row>
    <row r="816" spans="1:18" x14ac:dyDescent="0.25">
      <c r="A816" s="170">
        <v>43418</v>
      </c>
      <c r="B816" s="116">
        <v>190.55</v>
      </c>
      <c r="C816" s="116">
        <v>190.55</v>
      </c>
      <c r="D816" s="116">
        <v>174.45</v>
      </c>
      <c r="E816" s="116">
        <v>174.45</v>
      </c>
      <c r="F816" s="116">
        <v>190.55</v>
      </c>
      <c r="G816">
        <v>128819</v>
      </c>
      <c r="H816" s="116"/>
      <c r="I816" s="116"/>
      <c r="L816" s="170">
        <v>43418</v>
      </c>
      <c r="M816" s="116">
        <v>190.4</v>
      </c>
      <c r="N816" s="116">
        <v>190.4</v>
      </c>
      <c r="O816" s="116">
        <v>173.1</v>
      </c>
      <c r="P816" s="116">
        <v>173.1</v>
      </c>
      <c r="Q816" s="116">
        <v>190.4</v>
      </c>
      <c r="R816">
        <v>760789</v>
      </c>
    </row>
    <row r="817" spans="1:18" x14ac:dyDescent="0.25">
      <c r="A817" s="170">
        <v>43419</v>
      </c>
      <c r="B817" s="116">
        <v>209.6</v>
      </c>
      <c r="C817" s="116">
        <v>209.4</v>
      </c>
      <c r="D817" s="116">
        <v>192</v>
      </c>
      <c r="E817" s="116">
        <v>192</v>
      </c>
      <c r="F817" s="116">
        <v>209.4</v>
      </c>
      <c r="G817">
        <v>182309</v>
      </c>
      <c r="H817" s="116"/>
      <c r="I817" s="116"/>
      <c r="L817" s="170">
        <v>43419</v>
      </c>
      <c r="M817" s="116">
        <v>209.3</v>
      </c>
      <c r="N817" s="116">
        <v>209.4</v>
      </c>
      <c r="O817" s="116">
        <v>191.95</v>
      </c>
      <c r="P817" s="116">
        <v>193.9</v>
      </c>
      <c r="Q817" s="116">
        <v>209.3</v>
      </c>
      <c r="R817">
        <v>1302221</v>
      </c>
    </row>
    <row r="818" spans="1:18" x14ac:dyDescent="0.25">
      <c r="A818" s="170">
        <v>43420</v>
      </c>
      <c r="B818" s="116">
        <v>225</v>
      </c>
      <c r="C818" s="116">
        <v>214.6</v>
      </c>
      <c r="D818" s="116">
        <v>201</v>
      </c>
      <c r="E818" s="116">
        <v>211</v>
      </c>
      <c r="F818" s="116">
        <v>214.6</v>
      </c>
      <c r="G818">
        <v>229767</v>
      </c>
      <c r="H818" s="116"/>
      <c r="I818" s="116"/>
      <c r="L818" s="170">
        <v>43420</v>
      </c>
      <c r="M818" s="116">
        <v>216</v>
      </c>
      <c r="N818" s="116">
        <v>224.8</v>
      </c>
      <c r="O818" s="116">
        <v>212</v>
      </c>
      <c r="P818" s="116">
        <v>213</v>
      </c>
      <c r="Q818" s="116">
        <v>216</v>
      </c>
      <c r="R818">
        <v>977464</v>
      </c>
    </row>
    <row r="819" spans="1:18" x14ac:dyDescent="0.25">
      <c r="A819" s="170">
        <v>43423</v>
      </c>
      <c r="B819" s="116">
        <v>235</v>
      </c>
      <c r="C819" s="116">
        <v>232.2</v>
      </c>
      <c r="D819" s="116">
        <v>209.2</v>
      </c>
      <c r="E819" s="116">
        <v>212.2</v>
      </c>
      <c r="F819" s="116">
        <v>232.2</v>
      </c>
      <c r="G819">
        <v>204636</v>
      </c>
      <c r="H819" s="116"/>
      <c r="I819" s="116"/>
      <c r="L819" s="170">
        <v>43423</v>
      </c>
      <c r="M819" s="116">
        <v>232.5</v>
      </c>
      <c r="N819" s="116">
        <v>235.4</v>
      </c>
      <c r="O819" s="116">
        <v>209.65</v>
      </c>
      <c r="P819" s="116">
        <v>213.15</v>
      </c>
      <c r="Q819" s="116">
        <v>232.5</v>
      </c>
      <c r="R819">
        <v>1310187</v>
      </c>
    </row>
    <row r="820" spans="1:18" x14ac:dyDescent="0.25">
      <c r="A820" s="170">
        <v>43424</v>
      </c>
      <c r="B820" s="116">
        <v>240.8</v>
      </c>
      <c r="C820" s="116">
        <v>235.7</v>
      </c>
      <c r="D820" s="116">
        <v>226.5</v>
      </c>
      <c r="E820" s="116">
        <v>229</v>
      </c>
      <c r="F820" s="116">
        <v>235.7</v>
      </c>
      <c r="G820">
        <v>183652</v>
      </c>
      <c r="H820" s="116"/>
      <c r="I820" s="116"/>
      <c r="L820" s="170">
        <v>43424</v>
      </c>
      <c r="M820" s="116">
        <v>237.15</v>
      </c>
      <c r="N820" s="116">
        <v>241.9</v>
      </c>
      <c r="O820" s="116">
        <v>226</v>
      </c>
      <c r="P820" s="116">
        <v>229.95</v>
      </c>
      <c r="Q820" s="116">
        <v>237.15</v>
      </c>
      <c r="R820">
        <v>1134477</v>
      </c>
    </row>
    <row r="821" spans="1:18" x14ac:dyDescent="0.25">
      <c r="A821" s="170">
        <v>43425</v>
      </c>
      <c r="B821" s="116">
        <v>244.2</v>
      </c>
      <c r="C821" s="116">
        <v>236.4</v>
      </c>
      <c r="D821" s="116">
        <v>233.1</v>
      </c>
      <c r="E821" s="116">
        <v>236</v>
      </c>
      <c r="F821" s="116">
        <v>236.4</v>
      </c>
      <c r="G821">
        <v>101328</v>
      </c>
      <c r="H821" s="116"/>
      <c r="I821" s="116"/>
      <c r="L821" s="170">
        <v>43425</v>
      </c>
      <c r="M821" s="116">
        <v>237.75</v>
      </c>
      <c r="N821" s="116">
        <v>244.55</v>
      </c>
      <c r="O821" s="116">
        <v>232.75</v>
      </c>
      <c r="P821" s="116">
        <v>235.25</v>
      </c>
      <c r="Q821" s="116">
        <v>237.75</v>
      </c>
      <c r="R821">
        <v>673717</v>
      </c>
    </row>
    <row r="822" spans="1:18" x14ac:dyDescent="0.25">
      <c r="A822" s="170">
        <v>43426</v>
      </c>
      <c r="B822" s="116">
        <v>240</v>
      </c>
      <c r="C822" s="116">
        <v>233.2</v>
      </c>
      <c r="D822" s="116">
        <v>226.65</v>
      </c>
      <c r="E822" s="116">
        <v>236.3</v>
      </c>
      <c r="F822" s="116">
        <v>233.2</v>
      </c>
      <c r="G822">
        <v>76508</v>
      </c>
      <c r="H822" s="116"/>
      <c r="I822" s="116"/>
      <c r="L822" s="170">
        <v>43426</v>
      </c>
      <c r="M822" s="116">
        <v>235.15</v>
      </c>
      <c r="N822" s="116">
        <v>239.9</v>
      </c>
      <c r="O822" s="116">
        <v>226.55</v>
      </c>
      <c r="P822" s="116">
        <v>237.1</v>
      </c>
      <c r="Q822" s="116">
        <v>235.15</v>
      </c>
      <c r="R822">
        <v>574258</v>
      </c>
    </row>
    <row r="823" spans="1:18" x14ac:dyDescent="0.25">
      <c r="A823" s="170">
        <v>43430</v>
      </c>
      <c r="B823" s="116">
        <v>241</v>
      </c>
      <c r="C823" s="116">
        <v>238.65</v>
      </c>
      <c r="D823" s="116">
        <v>235.05</v>
      </c>
      <c r="E823" s="116">
        <v>236</v>
      </c>
      <c r="F823" s="116">
        <v>238.65</v>
      </c>
      <c r="G823">
        <v>50740</v>
      </c>
      <c r="H823" s="116"/>
      <c r="I823" s="116"/>
      <c r="L823" s="170">
        <v>43430</v>
      </c>
      <c r="M823" s="116">
        <v>239.5</v>
      </c>
      <c r="N823" s="116">
        <v>241.55</v>
      </c>
      <c r="O823" s="116">
        <v>233.3</v>
      </c>
      <c r="P823" s="116">
        <v>237</v>
      </c>
      <c r="Q823" s="116">
        <v>239.5</v>
      </c>
      <c r="R823">
        <v>428899</v>
      </c>
    </row>
    <row r="824" spans="1:18" x14ac:dyDescent="0.25">
      <c r="A824" s="170">
        <v>43431</v>
      </c>
      <c r="B824" s="116">
        <v>250.55</v>
      </c>
      <c r="C824" s="116">
        <v>250.25</v>
      </c>
      <c r="D824" s="116">
        <v>230</v>
      </c>
      <c r="E824" s="116">
        <v>239.05</v>
      </c>
      <c r="F824" s="116">
        <v>250.25</v>
      </c>
      <c r="G824">
        <v>111415</v>
      </c>
      <c r="H824" s="116"/>
      <c r="I824" s="116"/>
      <c r="L824" s="170">
        <v>43431</v>
      </c>
      <c r="M824" s="116">
        <v>250.95</v>
      </c>
      <c r="N824" s="116">
        <v>251.45</v>
      </c>
      <c r="O824" s="116">
        <v>229.35</v>
      </c>
      <c r="P824" s="116">
        <v>238</v>
      </c>
      <c r="Q824" s="116">
        <v>250.95</v>
      </c>
      <c r="R824">
        <v>1315654</v>
      </c>
    </row>
    <row r="825" spans="1:18" x14ac:dyDescent="0.25">
      <c r="A825" s="170">
        <v>43432</v>
      </c>
      <c r="B825" s="116">
        <v>256.3</v>
      </c>
      <c r="C825" s="116">
        <v>238.35</v>
      </c>
      <c r="D825" s="116">
        <v>237.75</v>
      </c>
      <c r="E825" s="116">
        <v>254.5</v>
      </c>
      <c r="F825" s="116">
        <v>238.35</v>
      </c>
      <c r="G825">
        <v>86400</v>
      </c>
      <c r="H825" s="116"/>
      <c r="I825" s="116"/>
      <c r="L825" s="170">
        <v>43432</v>
      </c>
      <c r="M825" s="116">
        <v>239.2</v>
      </c>
      <c r="N825" s="116">
        <v>256.3</v>
      </c>
      <c r="O825" s="116">
        <v>238.45</v>
      </c>
      <c r="P825" s="116">
        <v>253.95</v>
      </c>
      <c r="Q825" s="116">
        <v>239.2</v>
      </c>
      <c r="R825">
        <v>490143</v>
      </c>
    </row>
    <row r="826" spans="1:18" x14ac:dyDescent="0.25">
      <c r="A826" s="170">
        <v>43433</v>
      </c>
      <c r="B826" s="116">
        <v>236.1</v>
      </c>
      <c r="C826" s="116">
        <v>226.95</v>
      </c>
      <c r="D826" s="116">
        <v>226.45</v>
      </c>
      <c r="E826" s="116">
        <v>235</v>
      </c>
      <c r="F826" s="116">
        <v>226.95</v>
      </c>
      <c r="G826">
        <v>34542</v>
      </c>
      <c r="H826" s="116"/>
      <c r="I826" s="116"/>
      <c r="L826" s="170">
        <v>43433</v>
      </c>
      <c r="M826" s="116">
        <v>227.3</v>
      </c>
      <c r="N826" s="116">
        <v>237.05</v>
      </c>
      <c r="O826" s="116">
        <v>227.25</v>
      </c>
      <c r="P826" s="116">
        <v>233.25</v>
      </c>
      <c r="Q826" s="116">
        <v>227.3</v>
      </c>
      <c r="R826">
        <v>353112</v>
      </c>
    </row>
    <row r="827" spans="1:18" x14ac:dyDescent="0.25">
      <c r="A827" s="170">
        <v>43434</v>
      </c>
      <c r="B827" s="116">
        <v>238.25</v>
      </c>
      <c r="C827" s="116">
        <v>226.45</v>
      </c>
      <c r="D827" s="116">
        <v>222.2</v>
      </c>
      <c r="E827" s="116">
        <v>231</v>
      </c>
      <c r="F827" s="116">
        <v>226.45</v>
      </c>
      <c r="G827">
        <v>49525</v>
      </c>
      <c r="H827" s="116"/>
      <c r="I827" s="116"/>
      <c r="L827" s="170">
        <v>43434</v>
      </c>
      <c r="M827" s="116">
        <v>225.1</v>
      </c>
      <c r="N827" s="116">
        <v>238.65</v>
      </c>
      <c r="O827" s="116">
        <v>222</v>
      </c>
      <c r="P827" s="116">
        <v>230.2</v>
      </c>
      <c r="Q827" s="116">
        <v>225.1</v>
      </c>
      <c r="R827">
        <v>1924259</v>
      </c>
    </row>
    <row r="828" spans="1:18" x14ac:dyDescent="0.25">
      <c r="A828" s="170">
        <v>43437</v>
      </c>
      <c r="B828" s="116">
        <v>228</v>
      </c>
      <c r="C828" s="116">
        <v>217.5</v>
      </c>
      <c r="D828" s="116">
        <v>215.25</v>
      </c>
      <c r="E828" s="116">
        <v>226.2</v>
      </c>
      <c r="F828" s="116">
        <v>217.5</v>
      </c>
      <c r="G828">
        <v>73936</v>
      </c>
      <c r="H828" s="116"/>
      <c r="I828" s="116"/>
      <c r="L828" s="170">
        <v>43437</v>
      </c>
      <c r="M828" s="116">
        <v>218.45</v>
      </c>
      <c r="N828" s="116">
        <v>228</v>
      </c>
      <c r="O828" s="116">
        <v>216.1</v>
      </c>
      <c r="P828" s="116">
        <v>226.8</v>
      </c>
      <c r="Q828" s="116">
        <v>218.45</v>
      </c>
      <c r="R828">
        <v>441042</v>
      </c>
    </row>
    <row r="829" spans="1:18" x14ac:dyDescent="0.25">
      <c r="A829" s="170">
        <v>43438</v>
      </c>
      <c r="B829" s="116">
        <v>223</v>
      </c>
      <c r="C829" s="116">
        <v>218.15</v>
      </c>
      <c r="D829" s="116">
        <v>217.45</v>
      </c>
      <c r="E829" s="116">
        <v>218.95</v>
      </c>
      <c r="F829" s="116">
        <v>218.15</v>
      </c>
      <c r="G829">
        <v>28338</v>
      </c>
      <c r="H829" s="116"/>
      <c r="I829" s="116"/>
      <c r="L829" s="170">
        <v>43438</v>
      </c>
      <c r="M829" s="116">
        <v>218.8</v>
      </c>
      <c r="N829" s="116">
        <v>223.4</v>
      </c>
      <c r="O829" s="116">
        <v>216</v>
      </c>
      <c r="P829" s="116">
        <v>217.95</v>
      </c>
      <c r="Q829" s="116">
        <v>218.8</v>
      </c>
      <c r="R829">
        <v>99604</v>
      </c>
    </row>
    <row r="830" spans="1:18" x14ac:dyDescent="0.25">
      <c r="A830" s="170">
        <v>43439</v>
      </c>
      <c r="B830" s="116">
        <v>226.5</v>
      </c>
      <c r="C830" s="116">
        <v>218.15</v>
      </c>
      <c r="D830" s="116">
        <v>215.45</v>
      </c>
      <c r="E830" s="116">
        <v>216</v>
      </c>
      <c r="F830" s="116">
        <v>218.15</v>
      </c>
      <c r="G830">
        <v>70801</v>
      </c>
      <c r="H830" s="116"/>
      <c r="I830" s="116"/>
      <c r="L830" s="170">
        <v>43439</v>
      </c>
      <c r="M830" s="116">
        <v>218</v>
      </c>
      <c r="N830" s="116">
        <v>226.55</v>
      </c>
      <c r="O830" s="116">
        <v>214.8</v>
      </c>
      <c r="P830" s="116">
        <v>215.6</v>
      </c>
      <c r="Q830" s="116">
        <v>218</v>
      </c>
      <c r="R830">
        <v>463235</v>
      </c>
    </row>
    <row r="831" spans="1:18" x14ac:dyDescent="0.25">
      <c r="A831" s="170">
        <v>43440</v>
      </c>
      <c r="B831" s="116">
        <v>219.3</v>
      </c>
      <c r="C831" s="116">
        <v>216.15</v>
      </c>
      <c r="D831" s="116">
        <v>214.3</v>
      </c>
      <c r="E831" s="116">
        <v>214.3</v>
      </c>
      <c r="F831" s="116">
        <v>216.15</v>
      </c>
      <c r="G831">
        <v>22543</v>
      </c>
      <c r="H831" s="116"/>
      <c r="I831" s="116"/>
      <c r="L831" s="170">
        <v>43440</v>
      </c>
      <c r="M831" s="116">
        <v>216.35</v>
      </c>
      <c r="N831" s="116">
        <v>219.15</v>
      </c>
      <c r="O831" s="116">
        <v>213.65</v>
      </c>
      <c r="P831" s="116">
        <v>216</v>
      </c>
      <c r="Q831" s="116">
        <v>216.35</v>
      </c>
      <c r="R831">
        <v>161154</v>
      </c>
    </row>
    <row r="832" spans="1:18" x14ac:dyDescent="0.25">
      <c r="A832" s="170">
        <v>43441</v>
      </c>
      <c r="B832" s="116">
        <v>220</v>
      </c>
      <c r="C832" s="116">
        <v>217.65</v>
      </c>
      <c r="D832" s="116">
        <v>216.25</v>
      </c>
      <c r="E832" s="116">
        <v>218</v>
      </c>
      <c r="F832" s="116">
        <v>217.65</v>
      </c>
      <c r="G832">
        <v>19063</v>
      </c>
      <c r="H832" s="116"/>
      <c r="I832" s="116"/>
      <c r="L832" s="170">
        <v>43441</v>
      </c>
      <c r="M832" s="116">
        <v>217.8</v>
      </c>
      <c r="N832" s="116">
        <v>220.15</v>
      </c>
      <c r="O832" s="116">
        <v>216.05</v>
      </c>
      <c r="P832" s="116">
        <v>216.5</v>
      </c>
      <c r="Q832" s="116">
        <v>217.8</v>
      </c>
      <c r="R832">
        <v>156303</v>
      </c>
    </row>
    <row r="833" spans="1:18" x14ac:dyDescent="0.25">
      <c r="A833" s="170">
        <v>43444</v>
      </c>
      <c r="B833" s="116">
        <v>214.7</v>
      </c>
      <c r="C833" s="116">
        <v>210.1</v>
      </c>
      <c r="D833" s="116">
        <v>201.8</v>
      </c>
      <c r="E833" s="116">
        <v>207.6</v>
      </c>
      <c r="F833" s="116">
        <v>210.1</v>
      </c>
      <c r="G833">
        <v>16571</v>
      </c>
      <c r="H833" s="116"/>
      <c r="I833" s="116"/>
      <c r="L833" s="170">
        <v>43444</v>
      </c>
      <c r="M833" s="116">
        <v>209.1</v>
      </c>
      <c r="N833" s="116">
        <v>214.2</v>
      </c>
      <c r="O833" s="116">
        <v>201.45</v>
      </c>
      <c r="P833" s="116">
        <v>211.4</v>
      </c>
      <c r="Q833" s="116">
        <v>209.1</v>
      </c>
      <c r="R833">
        <v>194921</v>
      </c>
    </row>
    <row r="834" spans="1:18" x14ac:dyDescent="0.25">
      <c r="A834" s="170">
        <v>43445</v>
      </c>
      <c r="B834" s="116">
        <v>214</v>
      </c>
      <c r="C834" s="116">
        <v>209.9</v>
      </c>
      <c r="D834" s="116">
        <v>202.8</v>
      </c>
      <c r="E834" s="116">
        <v>203</v>
      </c>
      <c r="F834" s="116">
        <v>209.9</v>
      </c>
      <c r="G834">
        <v>17519</v>
      </c>
      <c r="H834" s="116"/>
      <c r="I834" s="116"/>
      <c r="L834" s="170">
        <v>43445</v>
      </c>
      <c r="M834" s="116">
        <v>209.6</v>
      </c>
      <c r="N834" s="116">
        <v>214.2</v>
      </c>
      <c r="O834" s="116">
        <v>201.65</v>
      </c>
      <c r="P834" s="116">
        <v>204.4</v>
      </c>
      <c r="Q834" s="116">
        <v>209.6</v>
      </c>
      <c r="R834">
        <v>122286</v>
      </c>
    </row>
    <row r="835" spans="1:18" x14ac:dyDescent="0.25">
      <c r="A835" s="170">
        <v>43446</v>
      </c>
      <c r="B835" s="116">
        <v>218.4</v>
      </c>
      <c r="C835" s="116">
        <v>216.65</v>
      </c>
      <c r="D835" s="116">
        <v>209.5</v>
      </c>
      <c r="E835" s="116">
        <v>210.25</v>
      </c>
      <c r="F835" s="116">
        <v>216.65</v>
      </c>
      <c r="G835">
        <v>12899</v>
      </c>
      <c r="H835" s="116"/>
      <c r="I835" s="116"/>
      <c r="L835" s="170">
        <v>43446</v>
      </c>
      <c r="M835" s="116">
        <v>216.35</v>
      </c>
      <c r="N835" s="116">
        <v>218</v>
      </c>
      <c r="O835" s="116">
        <v>210</v>
      </c>
      <c r="P835" s="116">
        <v>210</v>
      </c>
      <c r="Q835" s="116">
        <v>216.35</v>
      </c>
      <c r="R835">
        <v>122487</v>
      </c>
    </row>
    <row r="836" spans="1:18" x14ac:dyDescent="0.25">
      <c r="A836" s="170">
        <v>43447</v>
      </c>
      <c r="B836" s="116">
        <v>226.6</v>
      </c>
      <c r="C836" s="116">
        <v>219.8</v>
      </c>
      <c r="D836" s="116">
        <v>216.8</v>
      </c>
      <c r="E836" s="116">
        <v>218.9</v>
      </c>
      <c r="F836" s="116">
        <v>219.8</v>
      </c>
      <c r="G836">
        <v>19689</v>
      </c>
      <c r="H836" s="116"/>
      <c r="I836" s="116"/>
      <c r="L836" s="170">
        <v>43447</v>
      </c>
      <c r="M836" s="116">
        <v>220.9</v>
      </c>
      <c r="N836" s="116">
        <v>226.9</v>
      </c>
      <c r="O836" s="116">
        <v>216.9</v>
      </c>
      <c r="P836" s="116">
        <v>218.45</v>
      </c>
      <c r="Q836" s="116">
        <v>220.9</v>
      </c>
      <c r="R836">
        <v>428704</v>
      </c>
    </row>
    <row r="837" spans="1:18" x14ac:dyDescent="0.25">
      <c r="A837" s="170">
        <v>43448</v>
      </c>
      <c r="B837" s="116">
        <v>226</v>
      </c>
      <c r="C837" s="116">
        <v>219.75</v>
      </c>
      <c r="D837" s="116">
        <v>217.1</v>
      </c>
      <c r="E837" s="116">
        <v>222</v>
      </c>
      <c r="F837" s="116">
        <v>219.75</v>
      </c>
      <c r="G837">
        <v>15635</v>
      </c>
      <c r="H837" s="116"/>
      <c r="I837" s="116"/>
      <c r="L837" s="170">
        <v>43448</v>
      </c>
      <c r="M837" s="116">
        <v>219</v>
      </c>
      <c r="N837" s="116">
        <v>226</v>
      </c>
      <c r="O837" s="116">
        <v>216.5</v>
      </c>
      <c r="P837" s="116">
        <v>222.65</v>
      </c>
      <c r="Q837" s="116">
        <v>219</v>
      </c>
      <c r="R837">
        <v>262002</v>
      </c>
    </row>
    <row r="838" spans="1:18" x14ac:dyDescent="0.25">
      <c r="A838" s="170">
        <v>43451</v>
      </c>
      <c r="B838" s="116">
        <v>219.9</v>
      </c>
      <c r="C838" s="116">
        <v>217.3</v>
      </c>
      <c r="D838" s="116">
        <v>215.2</v>
      </c>
      <c r="E838" s="116">
        <v>218.2</v>
      </c>
      <c r="F838" s="116">
        <v>217.3</v>
      </c>
      <c r="G838">
        <v>8310</v>
      </c>
      <c r="H838" s="116"/>
      <c r="I838" s="116"/>
      <c r="L838" s="170">
        <v>43451</v>
      </c>
      <c r="M838" s="116">
        <v>216.2</v>
      </c>
      <c r="N838" s="116">
        <v>220.2</v>
      </c>
      <c r="O838" s="116">
        <v>214.8</v>
      </c>
      <c r="P838" s="116">
        <v>220.2</v>
      </c>
      <c r="Q838" s="116">
        <v>216.2</v>
      </c>
      <c r="R838">
        <v>117183</v>
      </c>
    </row>
    <row r="839" spans="1:18" x14ac:dyDescent="0.25">
      <c r="A839" s="170">
        <v>43452</v>
      </c>
      <c r="B839" s="116">
        <v>223.4</v>
      </c>
      <c r="C839" s="116">
        <v>217.4</v>
      </c>
      <c r="D839" s="116">
        <v>215.2</v>
      </c>
      <c r="E839" s="116">
        <v>215.2</v>
      </c>
      <c r="F839" s="116">
        <v>217.4</v>
      </c>
      <c r="G839">
        <v>15476</v>
      </c>
      <c r="H839" s="116"/>
      <c r="I839" s="116"/>
      <c r="L839" s="170">
        <v>43452</v>
      </c>
      <c r="M839" s="116">
        <v>218</v>
      </c>
      <c r="N839" s="116">
        <v>223.25</v>
      </c>
      <c r="O839" s="116">
        <v>214.3</v>
      </c>
      <c r="P839" s="116">
        <v>216.4</v>
      </c>
      <c r="Q839" s="116">
        <v>218</v>
      </c>
      <c r="R839">
        <v>445988</v>
      </c>
    </row>
    <row r="840" spans="1:18" x14ac:dyDescent="0.25">
      <c r="A840" s="170">
        <v>43453</v>
      </c>
      <c r="B840" s="116">
        <v>222.25</v>
      </c>
      <c r="C840" s="116">
        <v>219.25</v>
      </c>
      <c r="D840" s="116">
        <v>218.05</v>
      </c>
      <c r="E840" s="116">
        <v>218.9</v>
      </c>
      <c r="F840" s="116">
        <v>219.25</v>
      </c>
      <c r="G840">
        <v>10841</v>
      </c>
      <c r="H840" s="116"/>
      <c r="I840" s="116"/>
      <c r="L840" s="170">
        <v>43453</v>
      </c>
      <c r="M840" s="116">
        <v>219.4</v>
      </c>
      <c r="N840" s="116">
        <v>222.15</v>
      </c>
      <c r="O840" s="116">
        <v>218.4</v>
      </c>
      <c r="P840" s="116">
        <v>220</v>
      </c>
      <c r="Q840" s="116">
        <v>219.4</v>
      </c>
      <c r="R840">
        <v>508628</v>
      </c>
    </row>
    <row r="841" spans="1:18" x14ac:dyDescent="0.25">
      <c r="A841" s="170">
        <v>43454</v>
      </c>
      <c r="B841" s="116">
        <v>225</v>
      </c>
      <c r="C841" s="116">
        <v>216.45</v>
      </c>
      <c r="D841" s="116">
        <v>215.6</v>
      </c>
      <c r="E841" s="116">
        <v>219</v>
      </c>
      <c r="F841" s="116">
        <v>216.45</v>
      </c>
      <c r="G841">
        <v>12267</v>
      </c>
      <c r="H841" s="116"/>
      <c r="I841" s="116"/>
      <c r="L841" s="170">
        <v>43454</v>
      </c>
      <c r="M841" s="116">
        <v>215.75</v>
      </c>
      <c r="N841" s="116">
        <v>224.9</v>
      </c>
      <c r="O841" s="116">
        <v>215</v>
      </c>
      <c r="P841" s="116">
        <v>218.7</v>
      </c>
      <c r="Q841" s="116">
        <v>215.75</v>
      </c>
      <c r="R841">
        <v>290365</v>
      </c>
    </row>
    <row r="842" spans="1:18" x14ac:dyDescent="0.25">
      <c r="A842" s="170">
        <v>43455</v>
      </c>
      <c r="B842" s="116">
        <v>217.2</v>
      </c>
      <c r="C842" s="116">
        <v>209.9</v>
      </c>
      <c r="D842" s="116">
        <v>207.55</v>
      </c>
      <c r="E842" s="116">
        <v>217</v>
      </c>
      <c r="F842" s="116">
        <v>209.9</v>
      </c>
      <c r="G842">
        <v>16238</v>
      </c>
      <c r="H842" s="116"/>
      <c r="I842" s="116"/>
      <c r="L842" s="170">
        <v>43455</v>
      </c>
      <c r="M842" s="116">
        <v>208.35</v>
      </c>
      <c r="N842" s="116">
        <v>217.2</v>
      </c>
      <c r="O842" s="116">
        <v>207.25</v>
      </c>
      <c r="P842" s="116">
        <v>216.85</v>
      </c>
      <c r="Q842" s="116">
        <v>208.35</v>
      </c>
      <c r="R842">
        <v>185052</v>
      </c>
    </row>
    <row r="843" spans="1:18" x14ac:dyDescent="0.25">
      <c r="A843" s="170">
        <v>43458</v>
      </c>
      <c r="B843" s="116">
        <v>209.2</v>
      </c>
      <c r="C843" s="116">
        <v>200.7</v>
      </c>
      <c r="D843" s="116">
        <v>199.75</v>
      </c>
      <c r="E843" s="116">
        <v>201.5</v>
      </c>
      <c r="F843" s="116">
        <v>200.7</v>
      </c>
      <c r="G843">
        <v>21964</v>
      </c>
      <c r="H843" s="116"/>
      <c r="I843" s="116"/>
      <c r="L843" s="170">
        <v>43458</v>
      </c>
      <c r="M843" s="116">
        <v>200.05</v>
      </c>
      <c r="N843" s="116">
        <v>209.8</v>
      </c>
      <c r="O843" s="116">
        <v>199.25</v>
      </c>
      <c r="P843" s="116">
        <v>207.05</v>
      </c>
      <c r="Q843" s="116">
        <v>200.05</v>
      </c>
      <c r="R843">
        <v>132352</v>
      </c>
    </row>
    <row r="844" spans="1:18" x14ac:dyDescent="0.25">
      <c r="A844" s="170">
        <v>43460</v>
      </c>
      <c r="B844" s="116">
        <v>210.8</v>
      </c>
      <c r="C844" s="116">
        <v>198.85</v>
      </c>
      <c r="D844" s="116">
        <v>196</v>
      </c>
      <c r="E844" s="116">
        <v>210.8</v>
      </c>
      <c r="F844" s="116">
        <v>198.85</v>
      </c>
      <c r="G844">
        <v>51722</v>
      </c>
      <c r="H844" s="116"/>
      <c r="I844" s="116"/>
      <c r="L844" s="170">
        <v>43460</v>
      </c>
      <c r="M844" s="116">
        <v>198.2</v>
      </c>
      <c r="N844" s="116">
        <v>208</v>
      </c>
      <c r="O844" s="116">
        <v>195.6</v>
      </c>
      <c r="P844" s="116">
        <v>201.1</v>
      </c>
      <c r="Q844" s="116">
        <v>198.2</v>
      </c>
      <c r="R844">
        <v>401682</v>
      </c>
    </row>
    <row r="845" spans="1:18" x14ac:dyDescent="0.25">
      <c r="A845" s="170">
        <v>43461</v>
      </c>
      <c r="B845" s="116">
        <v>200.05</v>
      </c>
      <c r="C845" s="116">
        <v>195.55</v>
      </c>
      <c r="D845" s="116">
        <v>194.5</v>
      </c>
      <c r="E845" s="116">
        <v>198.7</v>
      </c>
      <c r="F845" s="116">
        <v>195.55</v>
      </c>
      <c r="G845">
        <v>41610</v>
      </c>
      <c r="H845" s="116"/>
      <c r="I845" s="116"/>
      <c r="L845" s="170">
        <v>43461</v>
      </c>
      <c r="M845" s="116">
        <v>196.15</v>
      </c>
      <c r="N845" s="116">
        <v>200.2</v>
      </c>
      <c r="O845" s="116">
        <v>195</v>
      </c>
      <c r="P845" s="116">
        <v>199.5</v>
      </c>
      <c r="Q845" s="116">
        <v>196.15</v>
      </c>
      <c r="R845">
        <v>223691</v>
      </c>
    </row>
    <row r="846" spans="1:18" x14ac:dyDescent="0.25">
      <c r="A846" s="170">
        <v>43462</v>
      </c>
      <c r="B846" s="116">
        <v>202.6</v>
      </c>
      <c r="C846" s="116">
        <v>197.65</v>
      </c>
      <c r="D846" s="116">
        <v>196.55</v>
      </c>
      <c r="E846" s="116">
        <v>196.9</v>
      </c>
      <c r="F846" s="116">
        <v>197.65</v>
      </c>
      <c r="G846">
        <v>27707</v>
      </c>
      <c r="H846" s="116"/>
      <c r="I846" s="116"/>
      <c r="L846" s="170">
        <v>43462</v>
      </c>
      <c r="M846" s="116">
        <v>197.05</v>
      </c>
      <c r="N846" s="116">
        <v>202.9</v>
      </c>
      <c r="O846" s="116">
        <v>196.25</v>
      </c>
      <c r="P846" s="116">
        <v>197.6</v>
      </c>
      <c r="Q846" s="116">
        <v>197.05</v>
      </c>
      <c r="R846">
        <v>182324</v>
      </c>
    </row>
    <row r="847" spans="1:18" x14ac:dyDescent="0.25">
      <c r="A847" s="170">
        <v>43465</v>
      </c>
      <c r="B847" s="116">
        <v>201.9</v>
      </c>
      <c r="C847" s="116">
        <v>198.9</v>
      </c>
      <c r="D847" s="116">
        <v>197.9</v>
      </c>
      <c r="E847" s="116">
        <v>200</v>
      </c>
      <c r="F847" s="116">
        <v>198.9</v>
      </c>
      <c r="G847">
        <v>21563</v>
      </c>
      <c r="H847" s="116"/>
      <c r="I847" s="116"/>
      <c r="L847" s="170">
        <v>43465</v>
      </c>
      <c r="M847" s="116">
        <v>198.4</v>
      </c>
      <c r="N847" s="116">
        <v>201.7</v>
      </c>
      <c r="O847" s="116">
        <v>197.35</v>
      </c>
      <c r="P847" s="116">
        <v>198</v>
      </c>
      <c r="Q847" s="116">
        <v>198.4</v>
      </c>
      <c r="R847">
        <v>127476</v>
      </c>
    </row>
    <row r="848" spans="1:18" x14ac:dyDescent="0.25">
      <c r="A848" s="170">
        <v>43466</v>
      </c>
      <c r="B848" s="116">
        <v>202.4</v>
      </c>
      <c r="C848" s="116">
        <v>200.65</v>
      </c>
      <c r="D848" s="116">
        <v>199.5</v>
      </c>
      <c r="E848" s="116">
        <v>199.5</v>
      </c>
      <c r="F848" s="116">
        <v>200.65</v>
      </c>
      <c r="G848">
        <v>18839</v>
      </c>
      <c r="H848" s="116"/>
      <c r="I848" s="116"/>
      <c r="L848" s="170">
        <v>43466</v>
      </c>
      <c r="M848" s="116">
        <v>200.5</v>
      </c>
      <c r="N848" s="116">
        <v>202.35</v>
      </c>
      <c r="O848" s="116">
        <v>199</v>
      </c>
      <c r="P848" s="116">
        <v>199.2</v>
      </c>
      <c r="Q848" s="116">
        <v>200.5</v>
      </c>
      <c r="R848">
        <v>66954</v>
      </c>
    </row>
    <row r="849" spans="1:18" x14ac:dyDescent="0.25">
      <c r="A849" s="170">
        <v>43467</v>
      </c>
      <c r="B849" s="116">
        <v>202</v>
      </c>
      <c r="C849" s="116">
        <v>199.8</v>
      </c>
      <c r="D849" s="116">
        <v>198.3</v>
      </c>
      <c r="E849" s="116">
        <v>199.05</v>
      </c>
      <c r="F849" s="116">
        <v>199.8</v>
      </c>
      <c r="G849">
        <v>13795</v>
      </c>
      <c r="H849" s="116"/>
      <c r="I849" s="116"/>
      <c r="L849" s="170">
        <v>43467</v>
      </c>
      <c r="M849" s="116">
        <v>200.55</v>
      </c>
      <c r="N849" s="116">
        <v>202</v>
      </c>
      <c r="O849" s="116">
        <v>198.1</v>
      </c>
      <c r="P849" s="116">
        <v>199.7</v>
      </c>
      <c r="Q849" s="116">
        <v>200.55</v>
      </c>
      <c r="R849">
        <v>67391</v>
      </c>
    </row>
    <row r="850" spans="1:18" x14ac:dyDescent="0.25">
      <c r="A850" s="170">
        <v>43468</v>
      </c>
      <c r="B850" s="116">
        <v>202.75</v>
      </c>
      <c r="C850" s="116">
        <v>200.55</v>
      </c>
      <c r="D850" s="116">
        <v>199.1</v>
      </c>
      <c r="E850" s="116">
        <v>199.95</v>
      </c>
      <c r="F850" s="116">
        <v>200.55</v>
      </c>
      <c r="G850">
        <v>10067</v>
      </c>
      <c r="H850" s="116"/>
      <c r="I850" s="116"/>
      <c r="L850" s="170">
        <v>43468</v>
      </c>
      <c r="M850" s="116">
        <v>201.15</v>
      </c>
      <c r="N850" s="116">
        <v>202.2</v>
      </c>
      <c r="O850" s="116">
        <v>199</v>
      </c>
      <c r="P850" s="116">
        <v>199.5</v>
      </c>
      <c r="Q850" s="116">
        <v>201.15</v>
      </c>
      <c r="R850">
        <v>61027</v>
      </c>
    </row>
    <row r="851" spans="1:18" x14ac:dyDescent="0.25">
      <c r="A851" s="170">
        <v>43469</v>
      </c>
      <c r="B851" s="116">
        <v>201.1</v>
      </c>
      <c r="C851" s="116">
        <v>199.3</v>
      </c>
      <c r="D851" s="116">
        <v>197.6</v>
      </c>
      <c r="E851" s="116">
        <v>200</v>
      </c>
      <c r="F851" s="116">
        <v>199.3</v>
      </c>
      <c r="G851">
        <v>9074</v>
      </c>
      <c r="H851" s="116"/>
      <c r="I851" s="116"/>
      <c r="L851" s="170">
        <v>43469</v>
      </c>
      <c r="M851" s="116">
        <v>200.1</v>
      </c>
      <c r="N851" s="116">
        <v>201.55</v>
      </c>
      <c r="O851" s="116">
        <v>197.5</v>
      </c>
      <c r="P851" s="116">
        <v>201.15</v>
      </c>
      <c r="Q851" s="116">
        <v>200.1</v>
      </c>
      <c r="R851">
        <v>70478</v>
      </c>
    </row>
    <row r="852" spans="1:18" x14ac:dyDescent="0.25">
      <c r="A852" s="170">
        <v>43472</v>
      </c>
      <c r="B852" s="116">
        <v>203.6</v>
      </c>
      <c r="C852" s="116">
        <v>200.25</v>
      </c>
      <c r="D852" s="116">
        <v>180</v>
      </c>
      <c r="E852" s="116">
        <v>202</v>
      </c>
      <c r="F852" s="116">
        <v>200.25</v>
      </c>
      <c r="G852">
        <v>15607</v>
      </c>
      <c r="H852" s="116"/>
      <c r="I852" s="116"/>
      <c r="L852" s="170">
        <v>43472</v>
      </c>
      <c r="M852" s="116">
        <v>199.8</v>
      </c>
      <c r="N852" s="116">
        <v>203.2</v>
      </c>
      <c r="O852" s="116">
        <v>198.1</v>
      </c>
      <c r="P852" s="116">
        <v>201.05</v>
      </c>
      <c r="Q852" s="116">
        <v>199.8</v>
      </c>
      <c r="R852">
        <v>69516</v>
      </c>
    </row>
    <row r="853" spans="1:18" x14ac:dyDescent="0.25">
      <c r="A853" s="170">
        <v>43473</v>
      </c>
      <c r="B853" s="116">
        <v>209.15</v>
      </c>
      <c r="C853" s="116">
        <v>205.7</v>
      </c>
      <c r="D853" s="116">
        <v>198</v>
      </c>
      <c r="E853" s="116">
        <v>201.5</v>
      </c>
      <c r="F853" s="116">
        <v>205.7</v>
      </c>
      <c r="G853">
        <v>27898</v>
      </c>
      <c r="H853" s="116"/>
      <c r="I853" s="116"/>
      <c r="L853" s="170">
        <v>43473</v>
      </c>
      <c r="M853" s="116">
        <v>205.95</v>
      </c>
      <c r="N853" s="116">
        <v>209.5</v>
      </c>
      <c r="O853" s="116">
        <v>197.95</v>
      </c>
      <c r="P853" s="116">
        <v>199.9</v>
      </c>
      <c r="Q853" s="116">
        <v>205.95</v>
      </c>
      <c r="R853">
        <v>186210</v>
      </c>
    </row>
    <row r="854" spans="1:18" x14ac:dyDescent="0.25">
      <c r="A854" s="170">
        <v>43474</v>
      </c>
      <c r="B854" s="116">
        <v>209</v>
      </c>
      <c r="C854" s="116">
        <v>207.35</v>
      </c>
      <c r="D854" s="116">
        <v>204</v>
      </c>
      <c r="E854" s="116">
        <v>206.4</v>
      </c>
      <c r="F854" s="116">
        <v>207.35</v>
      </c>
      <c r="G854">
        <v>18260</v>
      </c>
      <c r="H854" s="116"/>
      <c r="I854" s="116"/>
      <c r="L854" s="170">
        <v>43474</v>
      </c>
      <c r="M854" s="116">
        <v>207.45</v>
      </c>
      <c r="N854" s="116">
        <v>208.15</v>
      </c>
      <c r="O854" s="116">
        <v>203.5</v>
      </c>
      <c r="P854" s="116">
        <v>208.15</v>
      </c>
      <c r="Q854" s="116">
        <v>207.45</v>
      </c>
      <c r="R854">
        <v>114197</v>
      </c>
    </row>
    <row r="855" spans="1:18" x14ac:dyDescent="0.25">
      <c r="A855" s="170">
        <v>43475</v>
      </c>
      <c r="B855" s="116">
        <v>218</v>
      </c>
      <c r="C855" s="116">
        <v>215.65</v>
      </c>
      <c r="D855" s="116">
        <v>205.65</v>
      </c>
      <c r="E855" s="116">
        <v>206.25</v>
      </c>
      <c r="F855" s="116">
        <v>215.65</v>
      </c>
      <c r="G855">
        <v>37981</v>
      </c>
      <c r="H855" s="116"/>
      <c r="I855" s="116"/>
      <c r="L855" s="170">
        <v>43475</v>
      </c>
      <c r="M855" s="116">
        <v>215.85</v>
      </c>
      <c r="N855" s="116">
        <v>218.5</v>
      </c>
      <c r="O855" s="116">
        <v>205.65</v>
      </c>
      <c r="P855" s="116">
        <v>208</v>
      </c>
      <c r="Q855" s="116">
        <v>215.85</v>
      </c>
      <c r="R855">
        <v>236148</v>
      </c>
    </row>
    <row r="856" spans="1:18" x14ac:dyDescent="0.25">
      <c r="A856" s="170">
        <v>43476</v>
      </c>
      <c r="B856" s="116">
        <v>231.25</v>
      </c>
      <c r="C856" s="116">
        <v>220.8</v>
      </c>
      <c r="D856" s="116">
        <v>213.8</v>
      </c>
      <c r="E856" s="116">
        <v>218.7</v>
      </c>
      <c r="F856" s="116">
        <v>220.8</v>
      </c>
      <c r="G856">
        <v>113171</v>
      </c>
      <c r="H856" s="116"/>
      <c r="I856" s="116"/>
      <c r="L856" s="170">
        <v>43476</v>
      </c>
      <c r="M856" s="116">
        <v>221.4</v>
      </c>
      <c r="N856" s="116">
        <v>231.85</v>
      </c>
      <c r="O856" s="116">
        <v>213</v>
      </c>
      <c r="P856" s="116">
        <v>217.4</v>
      </c>
      <c r="Q856" s="116">
        <v>221.4</v>
      </c>
      <c r="R856">
        <v>578471</v>
      </c>
    </row>
    <row r="857" spans="1:18" x14ac:dyDescent="0.25">
      <c r="A857" s="170">
        <v>43479</v>
      </c>
      <c r="B857" s="116">
        <v>229.15</v>
      </c>
      <c r="C857" s="116">
        <v>222.9</v>
      </c>
      <c r="D857" s="116">
        <v>217.2</v>
      </c>
      <c r="E857" s="116">
        <v>221.3</v>
      </c>
      <c r="F857" s="116">
        <v>222.9</v>
      </c>
      <c r="G857">
        <v>65214</v>
      </c>
      <c r="H857" s="116"/>
      <c r="I857" s="116"/>
      <c r="L857" s="170">
        <v>43479</v>
      </c>
      <c r="M857" s="116">
        <v>222.8</v>
      </c>
      <c r="N857" s="116">
        <v>229.9</v>
      </c>
      <c r="O857" s="116">
        <v>217.1</v>
      </c>
      <c r="P857" s="116">
        <v>222.4</v>
      </c>
      <c r="Q857" s="116">
        <v>222.8</v>
      </c>
      <c r="R857">
        <v>306887</v>
      </c>
    </row>
    <row r="858" spans="1:18" x14ac:dyDescent="0.25">
      <c r="A858" s="170">
        <v>43480</v>
      </c>
      <c r="B858" s="116">
        <v>226.25</v>
      </c>
      <c r="C858" s="116">
        <v>219.3</v>
      </c>
      <c r="D858" s="116">
        <v>218.5</v>
      </c>
      <c r="E858" s="116">
        <v>224.7</v>
      </c>
      <c r="F858" s="116">
        <v>219.3</v>
      </c>
      <c r="G858">
        <v>15790</v>
      </c>
      <c r="H858" s="116"/>
      <c r="I858" s="116"/>
      <c r="L858" s="170">
        <v>43480</v>
      </c>
      <c r="M858" s="116">
        <v>219.7</v>
      </c>
      <c r="N858" s="116">
        <v>226.2</v>
      </c>
      <c r="O858" s="116">
        <v>218.1</v>
      </c>
      <c r="P858" s="116">
        <v>223</v>
      </c>
      <c r="Q858" s="116">
        <v>219.7</v>
      </c>
      <c r="R858">
        <v>123638</v>
      </c>
    </row>
    <row r="859" spans="1:18" x14ac:dyDescent="0.25">
      <c r="A859" s="170">
        <v>43481</v>
      </c>
      <c r="B859" s="116">
        <v>227.9</v>
      </c>
      <c r="C859" s="116">
        <v>226.7</v>
      </c>
      <c r="D859" s="116">
        <v>218</v>
      </c>
      <c r="E859" s="116">
        <v>221.45</v>
      </c>
      <c r="F859" s="116">
        <v>226.7</v>
      </c>
      <c r="G859">
        <v>30167</v>
      </c>
      <c r="H859" s="116"/>
      <c r="I859" s="116"/>
      <c r="L859" s="170">
        <v>43481</v>
      </c>
      <c r="M859" s="116">
        <v>226.4</v>
      </c>
      <c r="N859" s="116">
        <v>228.5</v>
      </c>
      <c r="O859" s="116">
        <v>218.4</v>
      </c>
      <c r="P859" s="116">
        <v>220.5</v>
      </c>
      <c r="Q859" s="116">
        <v>226.4</v>
      </c>
      <c r="R859">
        <v>232208</v>
      </c>
    </row>
    <row r="860" spans="1:18" x14ac:dyDescent="0.25">
      <c r="A860" s="170">
        <v>43482</v>
      </c>
      <c r="B860" s="116">
        <v>228.9</v>
      </c>
      <c r="C860" s="116">
        <v>220.6</v>
      </c>
      <c r="D860" s="116">
        <v>220</v>
      </c>
      <c r="E860" s="116">
        <v>228.9</v>
      </c>
      <c r="F860" s="116">
        <v>220.6</v>
      </c>
      <c r="G860">
        <v>15429</v>
      </c>
      <c r="H860" s="116"/>
      <c r="I860" s="116"/>
      <c r="L860" s="170">
        <v>43482</v>
      </c>
      <c r="M860" s="116">
        <v>220.35</v>
      </c>
      <c r="N860" s="116">
        <v>228.9</v>
      </c>
      <c r="O860" s="116">
        <v>220</v>
      </c>
      <c r="P860" s="116">
        <v>226.4</v>
      </c>
      <c r="Q860" s="116">
        <v>220.35</v>
      </c>
      <c r="R860">
        <v>103778</v>
      </c>
    </row>
    <row r="861" spans="1:18" x14ac:dyDescent="0.25">
      <c r="A861" s="170">
        <v>43483</v>
      </c>
      <c r="B861" s="116">
        <v>220.7</v>
      </c>
      <c r="C861" s="116">
        <v>215.3</v>
      </c>
      <c r="D861" s="116">
        <v>211.95</v>
      </c>
      <c r="E861" s="116">
        <v>220.7</v>
      </c>
      <c r="F861" s="116">
        <v>215.3</v>
      </c>
      <c r="G861">
        <v>23853</v>
      </c>
      <c r="H861" s="116"/>
      <c r="I861" s="116"/>
      <c r="L861" s="170">
        <v>43483</v>
      </c>
      <c r="M861" s="116">
        <v>216</v>
      </c>
      <c r="N861" s="116">
        <v>221.45</v>
      </c>
      <c r="O861" s="116">
        <v>215.05</v>
      </c>
      <c r="P861" s="116">
        <v>221.15</v>
      </c>
      <c r="Q861" s="116">
        <v>216</v>
      </c>
      <c r="R861">
        <v>64014</v>
      </c>
    </row>
    <row r="862" spans="1:18" x14ac:dyDescent="0.25">
      <c r="A862" s="170">
        <v>43486</v>
      </c>
      <c r="B862" s="116">
        <v>222.2</v>
      </c>
      <c r="C862" s="116">
        <v>217.35</v>
      </c>
      <c r="D862" s="116">
        <v>214.55</v>
      </c>
      <c r="E862" s="116">
        <v>214.55</v>
      </c>
      <c r="F862" s="116">
        <v>217.35</v>
      </c>
      <c r="G862">
        <v>16864</v>
      </c>
      <c r="H862" s="116"/>
      <c r="I862" s="116"/>
      <c r="L862" s="170">
        <v>43486</v>
      </c>
      <c r="M862" s="116">
        <v>217.2</v>
      </c>
      <c r="N862" s="116">
        <v>222.45</v>
      </c>
      <c r="O862" s="116">
        <v>215.6</v>
      </c>
      <c r="P862" s="116">
        <v>217</v>
      </c>
      <c r="Q862" s="116">
        <v>217.2</v>
      </c>
      <c r="R862">
        <v>109305</v>
      </c>
    </row>
    <row r="863" spans="1:18" x14ac:dyDescent="0.25">
      <c r="A863" s="170">
        <v>43487</v>
      </c>
      <c r="B863" s="116">
        <v>217.5</v>
      </c>
      <c r="C863" s="116">
        <v>209.8</v>
      </c>
      <c r="D863" s="116">
        <v>208.5</v>
      </c>
      <c r="E863" s="116">
        <v>216.95</v>
      </c>
      <c r="F863" s="116">
        <v>209.8</v>
      </c>
      <c r="G863">
        <v>17908</v>
      </c>
      <c r="H863" s="116"/>
      <c r="I863" s="116"/>
      <c r="L863" s="170">
        <v>43487</v>
      </c>
      <c r="M863" s="116">
        <v>209.15</v>
      </c>
      <c r="N863" s="116">
        <v>217.7</v>
      </c>
      <c r="O863" s="116">
        <v>208.05</v>
      </c>
      <c r="P863" s="116">
        <v>216.85</v>
      </c>
      <c r="Q863" s="116">
        <v>209.15</v>
      </c>
      <c r="R863">
        <v>54338</v>
      </c>
    </row>
    <row r="864" spans="1:18" x14ac:dyDescent="0.25">
      <c r="A864" s="170">
        <v>43488</v>
      </c>
      <c r="B864" s="116">
        <v>221.5</v>
      </c>
      <c r="C864" s="116">
        <v>208.1</v>
      </c>
      <c r="D864" s="116">
        <v>205.6</v>
      </c>
      <c r="E864" s="116">
        <v>208.15</v>
      </c>
      <c r="F864" s="116">
        <v>208.1</v>
      </c>
      <c r="G864">
        <v>52034</v>
      </c>
      <c r="H864" s="116"/>
      <c r="I864" s="116"/>
      <c r="L864" s="170">
        <v>43488</v>
      </c>
      <c r="M864" s="116">
        <v>207.6</v>
      </c>
      <c r="N864" s="116">
        <v>222</v>
      </c>
      <c r="O864" s="116">
        <v>206.25</v>
      </c>
      <c r="P864" s="116">
        <v>208</v>
      </c>
      <c r="Q864" s="116">
        <v>207.6</v>
      </c>
      <c r="R864">
        <v>382575</v>
      </c>
    </row>
    <row r="865" spans="1:18" x14ac:dyDescent="0.25">
      <c r="A865" s="170">
        <v>43489</v>
      </c>
      <c r="B865" s="116">
        <v>211.3</v>
      </c>
      <c r="C865" s="116">
        <v>204.8</v>
      </c>
      <c r="D865" s="116">
        <v>203.7</v>
      </c>
      <c r="E865" s="116">
        <v>208</v>
      </c>
      <c r="F865" s="116">
        <v>204.8</v>
      </c>
      <c r="G865">
        <v>17689</v>
      </c>
      <c r="H865" s="116"/>
      <c r="I865" s="116"/>
      <c r="L865" s="170">
        <v>43489</v>
      </c>
      <c r="M865" s="116">
        <v>202.95</v>
      </c>
      <c r="N865" s="116">
        <v>211.45</v>
      </c>
      <c r="O865" s="116">
        <v>202</v>
      </c>
      <c r="P865" s="116">
        <v>204</v>
      </c>
      <c r="Q865" s="116">
        <v>202.95</v>
      </c>
      <c r="R865">
        <v>610057</v>
      </c>
    </row>
    <row r="866" spans="1:18" x14ac:dyDescent="0.25">
      <c r="A866" s="170">
        <v>43490</v>
      </c>
      <c r="B866" s="116">
        <v>208.5</v>
      </c>
      <c r="C866" s="116">
        <v>206.2</v>
      </c>
      <c r="D866" s="116">
        <v>202.75</v>
      </c>
      <c r="E866" s="116">
        <v>202.75</v>
      </c>
      <c r="F866" s="116">
        <v>206.2</v>
      </c>
      <c r="G866">
        <v>24677</v>
      </c>
      <c r="H866" s="116"/>
      <c r="I866" s="116"/>
      <c r="L866" s="170">
        <v>43490</v>
      </c>
      <c r="M866" s="116">
        <v>207.9</v>
      </c>
      <c r="N866" s="116">
        <v>209.85</v>
      </c>
      <c r="O866" s="116">
        <v>203.7</v>
      </c>
      <c r="P866" s="116">
        <v>203.7</v>
      </c>
      <c r="Q866" s="116">
        <v>207.9</v>
      </c>
      <c r="R866">
        <v>448644</v>
      </c>
    </row>
    <row r="867" spans="1:18" x14ac:dyDescent="0.25">
      <c r="A867" s="170">
        <v>43493</v>
      </c>
      <c r="B867" s="116">
        <v>213.8</v>
      </c>
      <c r="C867" s="116">
        <v>210.1</v>
      </c>
      <c r="D867" s="116">
        <v>196.25</v>
      </c>
      <c r="E867" s="116">
        <v>204.8</v>
      </c>
      <c r="F867" s="116">
        <v>210.1</v>
      </c>
      <c r="G867">
        <v>61497</v>
      </c>
      <c r="H867" s="116"/>
      <c r="I867" s="116"/>
      <c r="L867" s="170">
        <v>43493</v>
      </c>
      <c r="M867" s="116">
        <v>210.2</v>
      </c>
      <c r="N867" s="116">
        <v>214.65</v>
      </c>
      <c r="O867" s="116">
        <v>196.1</v>
      </c>
      <c r="P867" s="116">
        <v>204.3</v>
      </c>
      <c r="Q867" s="116">
        <v>210.2</v>
      </c>
      <c r="R867">
        <v>423614</v>
      </c>
    </row>
    <row r="868" spans="1:18" x14ac:dyDescent="0.25">
      <c r="A868" s="170">
        <v>43494</v>
      </c>
      <c r="B868" s="116">
        <v>217</v>
      </c>
      <c r="C868" s="116">
        <v>214.5</v>
      </c>
      <c r="D868" s="116">
        <v>205.35</v>
      </c>
      <c r="E868" s="116">
        <v>207.8</v>
      </c>
      <c r="F868" s="116">
        <v>214.5</v>
      </c>
      <c r="G868">
        <v>49132</v>
      </c>
      <c r="H868" s="116"/>
      <c r="I868" s="116"/>
      <c r="L868" s="170">
        <v>43494</v>
      </c>
      <c r="M868" s="116">
        <v>213.95</v>
      </c>
      <c r="N868" s="116">
        <v>217</v>
      </c>
      <c r="O868" s="116">
        <v>205.85</v>
      </c>
      <c r="P868" s="116">
        <v>209</v>
      </c>
      <c r="Q868" s="116">
        <v>213.95</v>
      </c>
      <c r="R868">
        <v>226486</v>
      </c>
    </row>
    <row r="869" spans="1:18" x14ac:dyDescent="0.25">
      <c r="A869" s="170">
        <v>43495</v>
      </c>
      <c r="B869" s="116">
        <v>217.4</v>
      </c>
      <c r="C869" s="116">
        <v>214.1</v>
      </c>
      <c r="D869" s="116">
        <v>210</v>
      </c>
      <c r="E869" s="116">
        <v>215.95</v>
      </c>
      <c r="F869" s="116">
        <v>214.1</v>
      </c>
      <c r="G869">
        <v>25792</v>
      </c>
      <c r="H869" s="116"/>
      <c r="I869" s="116"/>
      <c r="L869" s="170">
        <v>43495</v>
      </c>
      <c r="M869" s="116">
        <v>213.9</v>
      </c>
      <c r="N869" s="116">
        <v>217.85</v>
      </c>
      <c r="O869" s="116">
        <v>210.1</v>
      </c>
      <c r="P869" s="116">
        <v>214.9</v>
      </c>
      <c r="Q869" s="116">
        <v>213.9</v>
      </c>
      <c r="R869">
        <v>175288</v>
      </c>
    </row>
    <row r="870" spans="1:18" x14ac:dyDescent="0.25">
      <c r="A870" s="170">
        <v>43496</v>
      </c>
      <c r="B870" s="116">
        <v>219.3</v>
      </c>
      <c r="C870" s="116">
        <v>212.25</v>
      </c>
      <c r="D870" s="116">
        <v>209.15</v>
      </c>
      <c r="E870" s="116">
        <v>212.55</v>
      </c>
      <c r="F870" s="116">
        <v>212.25</v>
      </c>
      <c r="G870">
        <v>16271</v>
      </c>
      <c r="H870" s="116"/>
      <c r="I870" s="116"/>
      <c r="L870" s="170">
        <v>43496</v>
      </c>
      <c r="M870" s="116">
        <v>213.4</v>
      </c>
      <c r="N870" s="116">
        <v>219.5</v>
      </c>
      <c r="O870" s="116">
        <v>212.5</v>
      </c>
      <c r="P870" s="116">
        <v>214.75</v>
      </c>
      <c r="Q870" s="116">
        <v>213.4</v>
      </c>
      <c r="R870">
        <v>110080</v>
      </c>
    </row>
    <row r="871" spans="1:18" x14ac:dyDescent="0.25">
      <c r="A871" s="170">
        <v>43497</v>
      </c>
      <c r="B871" s="116">
        <v>217</v>
      </c>
      <c r="C871" s="116">
        <v>215.45</v>
      </c>
      <c r="D871" s="116">
        <v>213</v>
      </c>
      <c r="E871" s="116">
        <v>216.95</v>
      </c>
      <c r="F871" s="116">
        <v>215.45</v>
      </c>
      <c r="G871">
        <v>14927</v>
      </c>
      <c r="H871" s="116"/>
      <c r="I871" s="116"/>
      <c r="L871" s="170">
        <v>43497</v>
      </c>
      <c r="M871" s="116">
        <v>215.15</v>
      </c>
      <c r="N871" s="116">
        <v>216.95</v>
      </c>
      <c r="O871" s="116">
        <v>212.65</v>
      </c>
      <c r="P871" s="116">
        <v>213.75</v>
      </c>
      <c r="Q871" s="116">
        <v>215.15</v>
      </c>
      <c r="R871">
        <v>85059</v>
      </c>
    </row>
    <row r="872" spans="1:18" x14ac:dyDescent="0.25">
      <c r="A872" s="170">
        <v>43500</v>
      </c>
      <c r="B872" s="116">
        <v>218.35</v>
      </c>
      <c r="C872" s="116">
        <v>215</v>
      </c>
      <c r="D872" s="116">
        <v>208.2</v>
      </c>
      <c r="E872" s="116">
        <v>214.95</v>
      </c>
      <c r="F872" s="116">
        <v>215</v>
      </c>
      <c r="G872">
        <v>28893</v>
      </c>
      <c r="H872" s="116"/>
      <c r="I872" s="116"/>
      <c r="L872" s="170">
        <v>43500</v>
      </c>
      <c r="M872" s="116">
        <v>215.4</v>
      </c>
      <c r="N872" s="116">
        <v>218.45</v>
      </c>
      <c r="O872" s="116">
        <v>213.5</v>
      </c>
      <c r="P872" s="116">
        <v>215.85</v>
      </c>
      <c r="Q872" s="116">
        <v>215.4</v>
      </c>
      <c r="R872">
        <v>195995</v>
      </c>
    </row>
    <row r="873" spans="1:18" x14ac:dyDescent="0.25">
      <c r="A873" s="170">
        <v>43501</v>
      </c>
      <c r="B873" s="116">
        <v>218.8</v>
      </c>
      <c r="C873" s="116">
        <v>214.3</v>
      </c>
      <c r="D873" s="116">
        <v>213</v>
      </c>
      <c r="E873" s="116">
        <v>217</v>
      </c>
      <c r="F873" s="116">
        <v>214.3</v>
      </c>
      <c r="G873">
        <v>22059</v>
      </c>
      <c r="H873" s="116"/>
      <c r="I873" s="116"/>
      <c r="L873" s="170">
        <v>43501</v>
      </c>
      <c r="M873" s="116">
        <v>214.7</v>
      </c>
      <c r="N873" s="116">
        <v>218.45</v>
      </c>
      <c r="O873" s="116">
        <v>213.4</v>
      </c>
      <c r="P873" s="116">
        <v>216.65</v>
      </c>
      <c r="Q873" s="116">
        <v>214.7</v>
      </c>
      <c r="R873">
        <v>561497</v>
      </c>
    </row>
    <row r="874" spans="1:18" x14ac:dyDescent="0.25">
      <c r="A874" s="170">
        <v>43502</v>
      </c>
      <c r="B874" s="116">
        <v>218.55</v>
      </c>
      <c r="C874" s="116">
        <v>216.1</v>
      </c>
      <c r="D874" s="116">
        <v>214.65</v>
      </c>
      <c r="E874" s="116">
        <v>215.45</v>
      </c>
      <c r="F874" s="116">
        <v>216.1</v>
      </c>
      <c r="G874">
        <v>32755</v>
      </c>
      <c r="H874" s="116"/>
      <c r="I874" s="116"/>
      <c r="L874" s="170">
        <v>43502</v>
      </c>
      <c r="M874" s="116">
        <v>216.2</v>
      </c>
      <c r="N874" s="116">
        <v>219</v>
      </c>
      <c r="O874" s="116">
        <v>214.6</v>
      </c>
      <c r="P874" s="116">
        <v>215</v>
      </c>
      <c r="Q874" s="116">
        <v>216.2</v>
      </c>
      <c r="R874">
        <v>209304</v>
      </c>
    </row>
    <row r="875" spans="1:18" x14ac:dyDescent="0.25">
      <c r="A875" s="170">
        <v>43503</v>
      </c>
      <c r="B875" s="116">
        <v>218</v>
      </c>
      <c r="C875" s="116">
        <v>216.3</v>
      </c>
      <c r="D875" s="116">
        <v>212</v>
      </c>
      <c r="E875" s="116">
        <v>216.85</v>
      </c>
      <c r="F875" s="116">
        <v>216.3</v>
      </c>
      <c r="G875">
        <v>27407</v>
      </c>
      <c r="H875" s="116"/>
      <c r="I875" s="116"/>
      <c r="L875" s="170">
        <v>43503</v>
      </c>
      <c r="M875" s="116">
        <v>215.2</v>
      </c>
      <c r="N875" s="116">
        <v>217.85</v>
      </c>
      <c r="O875" s="116">
        <v>209.55</v>
      </c>
      <c r="P875" s="116">
        <v>216.3</v>
      </c>
      <c r="Q875" s="116">
        <v>215.2</v>
      </c>
      <c r="R875">
        <v>191658</v>
      </c>
    </row>
    <row r="876" spans="1:18" x14ac:dyDescent="0.25">
      <c r="A876" s="170">
        <v>43504</v>
      </c>
      <c r="B876" s="116">
        <v>216.5</v>
      </c>
      <c r="C876" s="116">
        <v>215</v>
      </c>
      <c r="D876" s="116">
        <v>214.3</v>
      </c>
      <c r="E876" s="116">
        <v>215</v>
      </c>
      <c r="F876" s="116">
        <v>215</v>
      </c>
      <c r="G876">
        <v>31034</v>
      </c>
      <c r="H876" s="116"/>
      <c r="I876" s="116"/>
      <c r="L876" s="170">
        <v>43504</v>
      </c>
      <c r="M876" s="116">
        <v>215.4</v>
      </c>
      <c r="N876" s="116">
        <v>217</v>
      </c>
      <c r="O876" s="116">
        <v>213.35</v>
      </c>
      <c r="P876" s="116">
        <v>213.35</v>
      </c>
      <c r="Q876" s="116">
        <v>215.4</v>
      </c>
      <c r="R876">
        <v>171869</v>
      </c>
    </row>
    <row r="877" spans="1:18" x14ac:dyDescent="0.25">
      <c r="A877" s="170">
        <v>43507</v>
      </c>
      <c r="B877" s="116">
        <v>217.75</v>
      </c>
      <c r="C877" s="116">
        <v>214.25</v>
      </c>
      <c r="D877" s="116">
        <v>213.7</v>
      </c>
      <c r="E877" s="116">
        <v>215.95</v>
      </c>
      <c r="F877" s="116">
        <v>214.25</v>
      </c>
      <c r="G877">
        <v>11988</v>
      </c>
      <c r="H877" s="116"/>
      <c r="I877" s="116"/>
      <c r="L877" s="170">
        <v>43507</v>
      </c>
      <c r="M877" s="116">
        <v>215.3</v>
      </c>
      <c r="N877" s="116">
        <v>217.8</v>
      </c>
      <c r="O877" s="116">
        <v>214.55</v>
      </c>
      <c r="P877" s="116">
        <v>215.4</v>
      </c>
      <c r="Q877" s="116">
        <v>215.3</v>
      </c>
      <c r="R877">
        <v>194096</v>
      </c>
    </row>
    <row r="878" spans="1:18" x14ac:dyDescent="0.25">
      <c r="A878" s="170">
        <v>43508</v>
      </c>
      <c r="B878" s="116">
        <v>217</v>
      </c>
      <c r="C878" s="116">
        <v>211.3</v>
      </c>
      <c r="D878" s="116">
        <v>210.7</v>
      </c>
      <c r="E878" s="116">
        <v>216.95</v>
      </c>
      <c r="F878" s="116">
        <v>211.3</v>
      </c>
      <c r="G878">
        <v>7737</v>
      </c>
      <c r="H878" s="116"/>
      <c r="I878" s="116"/>
      <c r="L878" s="170">
        <v>43508</v>
      </c>
      <c r="M878" s="116">
        <v>211.55</v>
      </c>
      <c r="N878" s="116">
        <v>217.3</v>
      </c>
      <c r="O878" s="116">
        <v>210.35</v>
      </c>
      <c r="P878" s="116">
        <v>216.05</v>
      </c>
      <c r="Q878" s="116">
        <v>211.55</v>
      </c>
      <c r="R878">
        <v>73224</v>
      </c>
    </row>
    <row r="879" spans="1:18" x14ac:dyDescent="0.25">
      <c r="A879" s="170">
        <v>43509</v>
      </c>
      <c r="B879" s="116">
        <v>217.4</v>
      </c>
      <c r="C879" s="116">
        <v>212.95</v>
      </c>
      <c r="D879" s="116">
        <v>206</v>
      </c>
      <c r="E879" s="116">
        <v>214.45</v>
      </c>
      <c r="F879" s="116">
        <v>212.95</v>
      </c>
      <c r="G879">
        <v>125428</v>
      </c>
      <c r="H879" s="116"/>
      <c r="I879" s="116"/>
      <c r="L879" s="170">
        <v>43509</v>
      </c>
      <c r="M879" s="116">
        <v>214</v>
      </c>
      <c r="N879" s="116">
        <v>217.85</v>
      </c>
      <c r="O879" s="116">
        <v>202.3</v>
      </c>
      <c r="P879" s="116">
        <v>213</v>
      </c>
      <c r="Q879" s="116">
        <v>214</v>
      </c>
      <c r="R879">
        <v>773169</v>
      </c>
    </row>
    <row r="880" spans="1:18" x14ac:dyDescent="0.25">
      <c r="A880" s="170">
        <v>43510</v>
      </c>
      <c r="B880" s="116">
        <v>216.2</v>
      </c>
      <c r="C880" s="116">
        <v>214.25</v>
      </c>
      <c r="D880" s="116">
        <v>207.25</v>
      </c>
      <c r="E880" s="116">
        <v>210.2</v>
      </c>
      <c r="F880" s="116">
        <v>214.25</v>
      </c>
      <c r="G880">
        <v>16471</v>
      </c>
      <c r="H880" s="116"/>
      <c r="I880" s="116"/>
      <c r="L880" s="170">
        <v>43510</v>
      </c>
      <c r="M880" s="116">
        <v>214.7</v>
      </c>
      <c r="N880" s="116">
        <v>217</v>
      </c>
      <c r="O880" s="116">
        <v>207.75</v>
      </c>
      <c r="P880" s="116">
        <v>210.4</v>
      </c>
      <c r="Q880" s="116">
        <v>214.7</v>
      </c>
      <c r="R880">
        <v>144801</v>
      </c>
    </row>
    <row r="881" spans="1:18" x14ac:dyDescent="0.25">
      <c r="A881" s="170">
        <v>43511</v>
      </c>
      <c r="B881" s="116">
        <v>215.9</v>
      </c>
      <c r="C881" s="116">
        <v>213.85</v>
      </c>
      <c r="D881" s="116">
        <v>211.8</v>
      </c>
      <c r="E881" s="116">
        <v>214.65</v>
      </c>
      <c r="F881" s="116">
        <v>213.85</v>
      </c>
      <c r="G881">
        <v>14108</v>
      </c>
      <c r="H881" s="116"/>
      <c r="I881" s="116"/>
      <c r="L881" s="170">
        <v>43511</v>
      </c>
      <c r="M881" s="116">
        <v>214.4</v>
      </c>
      <c r="N881" s="116">
        <v>216</v>
      </c>
      <c r="O881" s="116">
        <v>212.75</v>
      </c>
      <c r="P881" s="116">
        <v>214.7</v>
      </c>
      <c r="Q881" s="116">
        <v>214.4</v>
      </c>
      <c r="R881">
        <v>70824</v>
      </c>
    </row>
    <row r="882" spans="1:18" x14ac:dyDescent="0.25">
      <c r="A882" s="170">
        <v>43514</v>
      </c>
      <c r="B882" s="116">
        <v>221.95</v>
      </c>
      <c r="C882" s="116">
        <v>219.4</v>
      </c>
      <c r="D882" s="116">
        <v>211</v>
      </c>
      <c r="E882" s="116">
        <v>215.65</v>
      </c>
      <c r="F882" s="116">
        <v>219.4</v>
      </c>
      <c r="G882">
        <v>24562</v>
      </c>
      <c r="H882" s="116"/>
      <c r="I882" s="116"/>
      <c r="L882" s="170">
        <v>43514</v>
      </c>
      <c r="M882" s="116">
        <v>219.05</v>
      </c>
      <c r="N882" s="116">
        <v>222.4</v>
      </c>
      <c r="O882" s="116">
        <v>214.05</v>
      </c>
      <c r="P882" s="116">
        <v>215.5</v>
      </c>
      <c r="Q882" s="116">
        <v>219.05</v>
      </c>
      <c r="R882">
        <v>363193</v>
      </c>
    </row>
    <row r="883" spans="1:18" x14ac:dyDescent="0.25">
      <c r="A883" s="170">
        <v>43515</v>
      </c>
      <c r="B883" s="116">
        <v>224.95</v>
      </c>
      <c r="C883" s="116">
        <v>219.15</v>
      </c>
      <c r="D883" s="116">
        <v>217.8</v>
      </c>
      <c r="E883" s="116">
        <v>218.55</v>
      </c>
      <c r="F883" s="116">
        <v>219.15</v>
      </c>
      <c r="G883">
        <v>11550</v>
      </c>
      <c r="H883" s="116"/>
      <c r="I883" s="116"/>
      <c r="L883" s="170">
        <v>43515</v>
      </c>
      <c r="M883" s="116">
        <v>218.9</v>
      </c>
      <c r="N883" s="116">
        <v>224.9</v>
      </c>
      <c r="O883" s="116">
        <v>216.7</v>
      </c>
      <c r="P883" s="116">
        <v>221.9</v>
      </c>
      <c r="Q883" s="116">
        <v>218.9</v>
      </c>
      <c r="R883">
        <v>207885</v>
      </c>
    </row>
    <row r="884" spans="1:18" x14ac:dyDescent="0.25">
      <c r="A884" s="170">
        <v>43516</v>
      </c>
      <c r="B884" s="116">
        <v>219.65</v>
      </c>
      <c r="C884" s="116">
        <v>215.85</v>
      </c>
      <c r="D884" s="116">
        <v>214.5</v>
      </c>
      <c r="E884" s="116">
        <v>219.45</v>
      </c>
      <c r="F884" s="116">
        <v>215.85</v>
      </c>
      <c r="G884">
        <v>16593</v>
      </c>
      <c r="H884" s="116"/>
      <c r="I884" s="116"/>
      <c r="L884" s="170">
        <v>43516</v>
      </c>
      <c r="M884" s="116">
        <v>216.8</v>
      </c>
      <c r="N884" s="116">
        <v>219.85</v>
      </c>
      <c r="O884" s="116">
        <v>215.15</v>
      </c>
      <c r="P884" s="116">
        <v>217.25</v>
      </c>
      <c r="Q884" s="116">
        <v>216.8</v>
      </c>
      <c r="R884">
        <v>108672</v>
      </c>
    </row>
    <row r="885" spans="1:18" x14ac:dyDescent="0.25">
      <c r="A885" s="170">
        <v>43517</v>
      </c>
      <c r="B885" s="116">
        <v>218.25</v>
      </c>
      <c r="C885" s="116">
        <v>212.1</v>
      </c>
      <c r="D885" s="116">
        <v>207.55</v>
      </c>
      <c r="E885" s="116">
        <v>216.1</v>
      </c>
      <c r="F885" s="116">
        <v>212.1</v>
      </c>
      <c r="G885">
        <v>9397</v>
      </c>
      <c r="H885" s="116"/>
      <c r="I885" s="116"/>
      <c r="L885" s="170">
        <v>43517</v>
      </c>
      <c r="M885" s="116">
        <v>212.4</v>
      </c>
      <c r="N885" s="116">
        <v>219</v>
      </c>
      <c r="O885" s="116">
        <v>210.8</v>
      </c>
      <c r="P885" s="116">
        <v>216.95</v>
      </c>
      <c r="Q885" s="116">
        <v>212.4</v>
      </c>
      <c r="R885">
        <v>121871</v>
      </c>
    </row>
    <row r="886" spans="1:18" x14ac:dyDescent="0.25">
      <c r="A886" s="170">
        <v>43518</v>
      </c>
      <c r="B886" s="116">
        <v>217.1</v>
      </c>
      <c r="C886" s="116">
        <v>213.3</v>
      </c>
      <c r="D886" s="116">
        <v>212.1</v>
      </c>
      <c r="E886" s="116">
        <v>213.05</v>
      </c>
      <c r="F886" s="116">
        <v>213.3</v>
      </c>
      <c r="G886">
        <v>5047</v>
      </c>
      <c r="H886" s="116"/>
      <c r="I886" s="116"/>
      <c r="L886" s="170">
        <v>43518</v>
      </c>
      <c r="M886" s="116">
        <v>213.45</v>
      </c>
      <c r="N886" s="116">
        <v>217.45</v>
      </c>
      <c r="O886" s="116">
        <v>211</v>
      </c>
      <c r="P886" s="116">
        <v>211</v>
      </c>
      <c r="Q886" s="116">
        <v>213.45</v>
      </c>
      <c r="R886">
        <v>48580</v>
      </c>
    </row>
    <row r="887" spans="1:18" x14ac:dyDescent="0.25">
      <c r="A887" s="170">
        <v>43521</v>
      </c>
      <c r="B887" s="116">
        <v>215.95</v>
      </c>
      <c r="C887" s="116">
        <v>210.55</v>
      </c>
      <c r="D887" s="116">
        <v>203</v>
      </c>
      <c r="E887" s="116">
        <v>214.15</v>
      </c>
      <c r="F887" s="116">
        <v>210.55</v>
      </c>
      <c r="G887">
        <v>6918</v>
      </c>
      <c r="H887" s="116"/>
      <c r="I887" s="116"/>
      <c r="L887" s="170">
        <v>43521</v>
      </c>
      <c r="M887" s="116">
        <v>210.3</v>
      </c>
      <c r="N887" s="116">
        <v>216.35</v>
      </c>
      <c r="O887" s="116">
        <v>208.75</v>
      </c>
      <c r="P887" s="116">
        <v>213.2</v>
      </c>
      <c r="Q887" s="116">
        <v>210.3</v>
      </c>
      <c r="R887">
        <v>104497</v>
      </c>
    </row>
    <row r="888" spans="1:18" x14ac:dyDescent="0.25">
      <c r="A888" s="170">
        <v>43522</v>
      </c>
      <c r="B888" s="116">
        <v>211.7</v>
      </c>
      <c r="C888" s="116">
        <v>197.1</v>
      </c>
      <c r="D888" s="116">
        <v>192.75</v>
      </c>
      <c r="E888" s="116">
        <v>204.05</v>
      </c>
      <c r="F888" s="116">
        <v>197.1</v>
      </c>
      <c r="G888">
        <v>47543</v>
      </c>
      <c r="H888" s="116"/>
      <c r="I888" s="116"/>
      <c r="L888" s="170">
        <v>43522</v>
      </c>
      <c r="M888" s="116">
        <v>196.2</v>
      </c>
      <c r="N888" s="116">
        <v>212</v>
      </c>
      <c r="O888" s="116">
        <v>191.45</v>
      </c>
      <c r="P888" s="116">
        <v>209.3</v>
      </c>
      <c r="Q888" s="116">
        <v>196.2</v>
      </c>
      <c r="R888">
        <v>603512</v>
      </c>
    </row>
    <row r="889" spans="1:18" x14ac:dyDescent="0.25">
      <c r="A889" s="170">
        <v>43523</v>
      </c>
      <c r="B889" s="116">
        <v>208.9</v>
      </c>
      <c r="C889" s="116">
        <v>196.05</v>
      </c>
      <c r="D889" s="116">
        <v>193.9</v>
      </c>
      <c r="E889" s="116">
        <v>208.9</v>
      </c>
      <c r="F889" s="116">
        <v>196.05</v>
      </c>
      <c r="G889">
        <v>26119</v>
      </c>
      <c r="H889" s="116"/>
      <c r="I889" s="116"/>
      <c r="L889" s="170">
        <v>43523</v>
      </c>
      <c r="M889" s="116">
        <v>195.25</v>
      </c>
      <c r="N889" s="116">
        <v>202.95</v>
      </c>
      <c r="O889" s="116">
        <v>193.2</v>
      </c>
      <c r="P889" s="116">
        <v>197.75</v>
      </c>
      <c r="Q889" s="116">
        <v>195.25</v>
      </c>
      <c r="R889">
        <v>259098</v>
      </c>
    </row>
    <row r="890" spans="1:18" x14ac:dyDescent="0.25">
      <c r="A890" s="170">
        <v>43524</v>
      </c>
      <c r="B890" s="116">
        <v>208.5</v>
      </c>
      <c r="C890" s="116">
        <v>203.55</v>
      </c>
      <c r="D890" s="116">
        <v>192</v>
      </c>
      <c r="E890" s="116">
        <v>197.75</v>
      </c>
      <c r="F890" s="116">
        <v>203.55</v>
      </c>
      <c r="G890">
        <v>36394</v>
      </c>
      <c r="H890" s="116"/>
      <c r="I890" s="116"/>
      <c r="L890" s="170">
        <v>43524</v>
      </c>
      <c r="M890" s="116">
        <v>203.85</v>
      </c>
      <c r="N890" s="116">
        <v>209</v>
      </c>
      <c r="O890" s="116">
        <v>195.5</v>
      </c>
      <c r="P890" s="116">
        <v>196.85</v>
      </c>
      <c r="Q890" s="116">
        <v>203.85</v>
      </c>
      <c r="R890">
        <v>241279</v>
      </c>
    </row>
    <row r="891" spans="1:18" x14ac:dyDescent="0.25">
      <c r="A891" s="170">
        <v>43525</v>
      </c>
      <c r="B891" s="116">
        <v>212</v>
      </c>
      <c r="C891" s="116">
        <v>205.25</v>
      </c>
      <c r="D891" s="116">
        <v>202</v>
      </c>
      <c r="E891" s="116">
        <v>206.4</v>
      </c>
      <c r="F891" s="116">
        <v>205.25</v>
      </c>
      <c r="G891">
        <v>20057</v>
      </c>
      <c r="H891" s="116"/>
      <c r="I891" s="116"/>
      <c r="L891" s="170">
        <v>43525</v>
      </c>
      <c r="M891" s="116">
        <v>204.75</v>
      </c>
      <c r="N891" s="116">
        <v>210.4</v>
      </c>
      <c r="O891" s="116">
        <v>202.95</v>
      </c>
      <c r="P891" s="116">
        <v>207</v>
      </c>
      <c r="Q891" s="116">
        <v>204.75</v>
      </c>
      <c r="R891">
        <v>111237</v>
      </c>
    </row>
    <row r="892" spans="1:18" x14ac:dyDescent="0.25">
      <c r="A892" s="170">
        <v>43529</v>
      </c>
      <c r="B892" s="116">
        <v>211.5</v>
      </c>
      <c r="C892" s="116">
        <v>208.35</v>
      </c>
      <c r="D892" s="116">
        <v>203.75</v>
      </c>
      <c r="E892" s="116">
        <v>206.05</v>
      </c>
      <c r="F892" s="116">
        <v>208.35</v>
      </c>
      <c r="G892">
        <v>19105</v>
      </c>
      <c r="H892" s="116"/>
      <c r="I892" s="116"/>
      <c r="L892" s="170">
        <v>43529</v>
      </c>
      <c r="M892" s="116">
        <v>209.55</v>
      </c>
      <c r="N892" s="116">
        <v>211.4</v>
      </c>
      <c r="O892" s="116">
        <v>203.5</v>
      </c>
      <c r="P892" s="116">
        <v>204.75</v>
      </c>
      <c r="Q892" s="116">
        <v>209.55</v>
      </c>
      <c r="R892">
        <v>167138</v>
      </c>
    </row>
    <row r="893" spans="1:18" x14ac:dyDescent="0.25">
      <c r="A893" s="170">
        <v>43530</v>
      </c>
      <c r="B893" s="116">
        <v>218.05</v>
      </c>
      <c r="C893" s="116">
        <v>208.25</v>
      </c>
      <c r="D893" s="116">
        <v>207.5</v>
      </c>
      <c r="E893" s="116">
        <v>210</v>
      </c>
      <c r="F893" s="116">
        <v>208.25</v>
      </c>
      <c r="G893">
        <v>33663</v>
      </c>
      <c r="H893" s="116"/>
      <c r="I893" s="116"/>
      <c r="L893" s="170">
        <v>43530</v>
      </c>
      <c r="M893" s="116">
        <v>208.25</v>
      </c>
      <c r="N893" s="116">
        <v>218.45</v>
      </c>
      <c r="O893" s="116">
        <v>207.1</v>
      </c>
      <c r="P893" s="116">
        <v>210.1</v>
      </c>
      <c r="Q893" s="116">
        <v>208.25</v>
      </c>
      <c r="R893">
        <v>381332</v>
      </c>
    </row>
    <row r="894" spans="1:18" x14ac:dyDescent="0.25">
      <c r="A894" s="170">
        <v>43531</v>
      </c>
      <c r="B894" s="116">
        <v>211.4</v>
      </c>
      <c r="C894" s="116">
        <v>205.15</v>
      </c>
      <c r="D894" s="116">
        <v>197</v>
      </c>
      <c r="E894" s="116">
        <v>208.95</v>
      </c>
      <c r="F894" s="116">
        <v>205.15</v>
      </c>
      <c r="G894">
        <v>20364</v>
      </c>
      <c r="H894" s="116"/>
      <c r="I894" s="116"/>
      <c r="L894" s="170">
        <v>43531</v>
      </c>
      <c r="M894" s="116">
        <v>204.65</v>
      </c>
      <c r="N894" s="116">
        <v>211.45</v>
      </c>
      <c r="O894" s="116">
        <v>204.1</v>
      </c>
      <c r="P894" s="116">
        <v>209</v>
      </c>
      <c r="Q894" s="116">
        <v>204.65</v>
      </c>
      <c r="R894">
        <v>158905</v>
      </c>
    </row>
    <row r="895" spans="1:18" x14ac:dyDescent="0.25">
      <c r="A895" s="170">
        <v>43532</v>
      </c>
      <c r="B895" s="116">
        <v>210.3</v>
      </c>
      <c r="C895" s="116">
        <v>206.45</v>
      </c>
      <c r="D895" s="116">
        <v>204.8</v>
      </c>
      <c r="E895" s="116">
        <v>205.65</v>
      </c>
      <c r="F895" s="116">
        <v>206.45</v>
      </c>
      <c r="G895">
        <v>11490</v>
      </c>
      <c r="H895" s="116"/>
      <c r="I895" s="116"/>
      <c r="L895" s="170">
        <v>43532</v>
      </c>
      <c r="M895" s="116">
        <v>206.8</v>
      </c>
      <c r="N895" s="116">
        <v>210.55</v>
      </c>
      <c r="O895" s="116">
        <v>204.1</v>
      </c>
      <c r="P895" s="116">
        <v>204.65</v>
      </c>
      <c r="Q895" s="116">
        <v>206.8</v>
      </c>
      <c r="R895">
        <v>152933</v>
      </c>
    </row>
    <row r="896" spans="1:18" x14ac:dyDescent="0.25">
      <c r="A896" s="170">
        <v>43535</v>
      </c>
      <c r="B896" s="116">
        <v>213.6</v>
      </c>
      <c r="C896" s="116">
        <v>209.9</v>
      </c>
      <c r="D896" s="116">
        <v>207.9</v>
      </c>
      <c r="E896" s="116">
        <v>207.95</v>
      </c>
      <c r="F896" s="116">
        <v>209.9</v>
      </c>
      <c r="G896">
        <v>12406</v>
      </c>
      <c r="H896" s="116"/>
      <c r="I896" s="116"/>
      <c r="L896" s="170">
        <v>43535</v>
      </c>
      <c r="M896" s="116">
        <v>210.15</v>
      </c>
      <c r="N896" s="116">
        <v>213.9</v>
      </c>
      <c r="O896" s="116">
        <v>206.4</v>
      </c>
      <c r="P896" s="116">
        <v>207.75</v>
      </c>
      <c r="Q896" s="116">
        <v>210.15</v>
      </c>
      <c r="R896">
        <v>158339</v>
      </c>
    </row>
    <row r="897" spans="1:18" x14ac:dyDescent="0.25">
      <c r="A897" s="170">
        <v>43536</v>
      </c>
      <c r="B897" s="116">
        <v>217.8</v>
      </c>
      <c r="C897" s="116">
        <v>214.25</v>
      </c>
      <c r="D897" s="116">
        <v>213.2</v>
      </c>
      <c r="E897" s="116">
        <v>217.7</v>
      </c>
      <c r="F897" s="116">
        <v>214.25</v>
      </c>
      <c r="G897">
        <v>24089</v>
      </c>
      <c r="H897" s="116"/>
      <c r="I897" s="116"/>
      <c r="L897" s="170">
        <v>43536</v>
      </c>
      <c r="M897" s="116">
        <v>214.95</v>
      </c>
      <c r="N897" s="116">
        <v>217.8</v>
      </c>
      <c r="O897" s="116">
        <v>213.2</v>
      </c>
      <c r="P897" s="116">
        <v>214.5</v>
      </c>
      <c r="Q897" s="116">
        <v>214.95</v>
      </c>
      <c r="R897">
        <v>327370</v>
      </c>
    </row>
    <row r="898" spans="1:18" x14ac:dyDescent="0.25">
      <c r="A898" s="170">
        <v>43537</v>
      </c>
      <c r="B898" s="116">
        <v>219.7</v>
      </c>
      <c r="C898" s="116">
        <v>213.45</v>
      </c>
      <c r="D898" s="116">
        <v>210.1</v>
      </c>
      <c r="E898" s="116">
        <v>219.5</v>
      </c>
      <c r="F898" s="116">
        <v>213.45</v>
      </c>
      <c r="G898">
        <v>11083</v>
      </c>
      <c r="H898" s="116"/>
      <c r="I898" s="116"/>
      <c r="L898" s="170">
        <v>43537</v>
      </c>
      <c r="M898" s="116">
        <v>213.1</v>
      </c>
      <c r="N898" s="116">
        <v>219.6</v>
      </c>
      <c r="O898" s="116">
        <v>212.45</v>
      </c>
      <c r="P898" s="116">
        <v>216.6</v>
      </c>
      <c r="Q898" s="116">
        <v>213.1</v>
      </c>
      <c r="R898">
        <v>134574</v>
      </c>
    </row>
    <row r="899" spans="1:18" x14ac:dyDescent="0.25">
      <c r="A899" s="170">
        <v>43538</v>
      </c>
      <c r="B899" s="116">
        <v>214.75</v>
      </c>
      <c r="C899" s="116">
        <v>207.35</v>
      </c>
      <c r="D899" s="116">
        <v>206.45</v>
      </c>
      <c r="E899" s="116">
        <v>211</v>
      </c>
      <c r="F899" s="116">
        <v>207.35</v>
      </c>
      <c r="G899">
        <v>10826</v>
      </c>
      <c r="H899" s="116"/>
      <c r="I899" s="116"/>
      <c r="L899" s="170">
        <v>43538</v>
      </c>
      <c r="M899" s="116">
        <v>206.6</v>
      </c>
      <c r="N899" s="116">
        <v>214.1</v>
      </c>
      <c r="O899" s="116">
        <v>206.15</v>
      </c>
      <c r="P899" s="116">
        <v>212.4</v>
      </c>
      <c r="Q899" s="116">
        <v>206.6</v>
      </c>
      <c r="R899">
        <v>91902</v>
      </c>
    </row>
    <row r="900" spans="1:18" x14ac:dyDescent="0.25">
      <c r="A900" s="170">
        <v>43539</v>
      </c>
      <c r="B900" s="116">
        <v>242.5</v>
      </c>
      <c r="C900" s="116">
        <v>236.55</v>
      </c>
      <c r="D900" s="116">
        <v>206.3</v>
      </c>
      <c r="E900" s="116">
        <v>206.3</v>
      </c>
      <c r="F900" s="116">
        <v>236.55</v>
      </c>
      <c r="G900">
        <v>214228</v>
      </c>
      <c r="H900" s="116"/>
      <c r="I900" s="116"/>
      <c r="L900" s="170">
        <v>43539</v>
      </c>
      <c r="M900" s="116">
        <v>235.2</v>
      </c>
      <c r="N900" s="116">
        <v>244.3</v>
      </c>
      <c r="O900" s="116">
        <v>207.35</v>
      </c>
      <c r="P900" s="116">
        <v>208</v>
      </c>
      <c r="Q900" s="116">
        <v>235.2</v>
      </c>
      <c r="R900">
        <v>2881276</v>
      </c>
    </row>
    <row r="901" spans="1:18" x14ac:dyDescent="0.25">
      <c r="A901" s="170">
        <v>43542</v>
      </c>
      <c r="B901" s="116">
        <v>235.9</v>
      </c>
      <c r="C901" s="116">
        <v>226.05</v>
      </c>
      <c r="D901" s="116">
        <v>223.2</v>
      </c>
      <c r="E901" s="116">
        <v>235.9</v>
      </c>
      <c r="F901" s="116">
        <v>226.05</v>
      </c>
      <c r="G901">
        <v>86072</v>
      </c>
      <c r="H901" s="116"/>
      <c r="I901" s="116"/>
      <c r="L901" s="170">
        <v>43542</v>
      </c>
      <c r="M901" s="116">
        <v>225.3</v>
      </c>
      <c r="N901" s="116">
        <v>234.75</v>
      </c>
      <c r="O901" s="116">
        <v>222.2</v>
      </c>
      <c r="P901" s="116">
        <v>234.75</v>
      </c>
      <c r="Q901" s="116">
        <v>225.3</v>
      </c>
      <c r="R901">
        <v>426335</v>
      </c>
    </row>
    <row r="902" spans="1:18" x14ac:dyDescent="0.25">
      <c r="A902" s="170">
        <v>43543</v>
      </c>
      <c r="B902" s="116">
        <v>228.9</v>
      </c>
      <c r="C902" s="116">
        <v>223.8</v>
      </c>
      <c r="D902" s="116">
        <v>222.55</v>
      </c>
      <c r="E902" s="116">
        <v>228.9</v>
      </c>
      <c r="F902" s="116">
        <v>223.8</v>
      </c>
      <c r="G902">
        <v>25686</v>
      </c>
      <c r="H902" s="116"/>
      <c r="I902" s="116"/>
      <c r="L902" s="170">
        <v>43543</v>
      </c>
      <c r="M902" s="116">
        <v>223.5</v>
      </c>
      <c r="N902" s="116">
        <v>228.25</v>
      </c>
      <c r="O902" s="116">
        <v>222.3</v>
      </c>
      <c r="P902" s="116">
        <v>224.1</v>
      </c>
      <c r="Q902" s="116">
        <v>223.5</v>
      </c>
      <c r="R902">
        <v>311485</v>
      </c>
    </row>
    <row r="903" spans="1:18" x14ac:dyDescent="0.25">
      <c r="A903" s="170">
        <v>43544</v>
      </c>
      <c r="B903" s="116">
        <v>230.65</v>
      </c>
      <c r="C903" s="116">
        <v>224.5</v>
      </c>
      <c r="D903" s="116">
        <v>220.4</v>
      </c>
      <c r="E903" s="116">
        <v>223.8</v>
      </c>
      <c r="F903" s="116">
        <v>224.5</v>
      </c>
      <c r="G903">
        <v>17571</v>
      </c>
      <c r="H903" s="116"/>
      <c r="I903" s="116"/>
      <c r="L903" s="170">
        <v>43544</v>
      </c>
      <c r="M903" s="116">
        <v>225.15</v>
      </c>
      <c r="N903" s="116">
        <v>230.7</v>
      </c>
      <c r="O903" s="116">
        <v>219.65</v>
      </c>
      <c r="P903" s="116">
        <v>224.8</v>
      </c>
      <c r="Q903" s="116">
        <v>225.15</v>
      </c>
      <c r="R903">
        <v>402293</v>
      </c>
    </row>
    <row r="904" spans="1:18" x14ac:dyDescent="0.25">
      <c r="A904" s="170">
        <v>43546</v>
      </c>
      <c r="B904" s="116">
        <v>234.75</v>
      </c>
      <c r="C904" s="116">
        <v>224.1</v>
      </c>
      <c r="D904" s="116">
        <v>222</v>
      </c>
      <c r="E904" s="116">
        <v>234.75</v>
      </c>
      <c r="F904" s="116">
        <v>224.1</v>
      </c>
      <c r="G904">
        <v>21157</v>
      </c>
      <c r="H904" s="116"/>
      <c r="I904" s="116"/>
      <c r="L904" s="170">
        <v>43546</v>
      </c>
      <c r="M904" s="116">
        <v>224.65</v>
      </c>
      <c r="N904" s="116">
        <v>232.35</v>
      </c>
      <c r="O904" s="116">
        <v>222.65</v>
      </c>
      <c r="P904" s="116">
        <v>227.4</v>
      </c>
      <c r="Q904" s="116">
        <v>224.65</v>
      </c>
      <c r="R904">
        <v>271212</v>
      </c>
    </row>
    <row r="905" spans="1:18" x14ac:dyDescent="0.25">
      <c r="A905" s="170">
        <v>43549</v>
      </c>
      <c r="B905" s="116">
        <v>223.95</v>
      </c>
      <c r="C905" s="116">
        <v>215.1</v>
      </c>
      <c r="D905" s="116">
        <v>212.4</v>
      </c>
      <c r="E905" s="116">
        <v>220.6</v>
      </c>
      <c r="F905" s="116">
        <v>215.1</v>
      </c>
      <c r="G905">
        <v>22909</v>
      </c>
      <c r="H905" s="116"/>
      <c r="I905" s="116"/>
      <c r="L905" s="170">
        <v>43549</v>
      </c>
      <c r="M905" s="116">
        <v>215.75</v>
      </c>
      <c r="N905" s="116">
        <v>223.65</v>
      </c>
      <c r="O905" s="116">
        <v>212.65</v>
      </c>
      <c r="P905" s="116">
        <v>220.05</v>
      </c>
      <c r="Q905" s="116">
        <v>215.75</v>
      </c>
      <c r="R905">
        <v>139603</v>
      </c>
    </row>
    <row r="906" spans="1:18" x14ac:dyDescent="0.25">
      <c r="A906" s="170">
        <v>43550</v>
      </c>
      <c r="B906" s="116">
        <v>222.15</v>
      </c>
      <c r="C906" s="116">
        <v>216.45</v>
      </c>
      <c r="D906" s="116">
        <v>214.1</v>
      </c>
      <c r="E906" s="116">
        <v>216.95</v>
      </c>
      <c r="F906" s="116">
        <v>216.45</v>
      </c>
      <c r="G906">
        <v>31755</v>
      </c>
      <c r="H906" s="116"/>
      <c r="I906" s="116"/>
      <c r="L906" s="170">
        <v>43550</v>
      </c>
      <c r="M906" s="116">
        <v>216.95</v>
      </c>
      <c r="N906" s="116">
        <v>222.5</v>
      </c>
      <c r="O906" s="116">
        <v>213.7</v>
      </c>
      <c r="P906" s="116">
        <v>216.9</v>
      </c>
      <c r="Q906" s="116">
        <v>216.95</v>
      </c>
      <c r="R906">
        <v>162274</v>
      </c>
    </row>
    <row r="907" spans="1:18" x14ac:dyDescent="0.25">
      <c r="A907" s="170">
        <v>43551</v>
      </c>
      <c r="B907" s="116">
        <v>219.4</v>
      </c>
      <c r="C907" s="116">
        <v>212.3</v>
      </c>
      <c r="D907" s="116">
        <v>210.1</v>
      </c>
      <c r="E907" s="116">
        <v>218.05</v>
      </c>
      <c r="F907" s="116">
        <v>212.3</v>
      </c>
      <c r="G907">
        <v>16916</v>
      </c>
      <c r="H907" s="116"/>
      <c r="I907" s="116"/>
      <c r="L907" s="170">
        <v>43551</v>
      </c>
      <c r="M907" s="116">
        <v>212</v>
      </c>
      <c r="N907" s="116">
        <v>219.2</v>
      </c>
      <c r="O907" s="116">
        <v>210.6</v>
      </c>
      <c r="P907" s="116">
        <v>217.85</v>
      </c>
      <c r="Q907" s="116">
        <v>212</v>
      </c>
      <c r="R907">
        <v>113065</v>
      </c>
    </row>
    <row r="908" spans="1:18" x14ac:dyDescent="0.25">
      <c r="A908" s="170">
        <v>43552</v>
      </c>
      <c r="B908" s="116">
        <v>219.45</v>
      </c>
      <c r="C908" s="116">
        <v>218.1</v>
      </c>
      <c r="D908" s="116">
        <v>209.7</v>
      </c>
      <c r="E908" s="116">
        <v>209.7</v>
      </c>
      <c r="F908" s="116">
        <v>218.1</v>
      </c>
      <c r="G908">
        <v>21350</v>
      </c>
      <c r="H908" s="116"/>
      <c r="I908" s="116"/>
      <c r="L908" s="170">
        <v>43552</v>
      </c>
      <c r="M908" s="116">
        <v>217.75</v>
      </c>
      <c r="N908" s="116">
        <v>218.9</v>
      </c>
      <c r="O908" s="116">
        <v>208.3</v>
      </c>
      <c r="P908" s="116">
        <v>208.3</v>
      </c>
      <c r="Q908" s="116">
        <v>217.75</v>
      </c>
      <c r="R908">
        <v>157719</v>
      </c>
    </row>
    <row r="909" spans="1:18" x14ac:dyDescent="0.25">
      <c r="A909" s="170">
        <v>43553</v>
      </c>
      <c r="B909" s="116">
        <v>227.8</v>
      </c>
      <c r="C909" s="116">
        <v>217.9</v>
      </c>
      <c r="D909" s="116">
        <v>215.85</v>
      </c>
      <c r="E909" s="116">
        <v>216.9</v>
      </c>
      <c r="F909" s="116">
        <v>217.9</v>
      </c>
      <c r="G909">
        <v>61039</v>
      </c>
      <c r="H909" s="116"/>
      <c r="I909" s="116"/>
      <c r="L909" s="170">
        <v>43553</v>
      </c>
      <c r="M909" s="116">
        <v>217.4</v>
      </c>
      <c r="N909" s="116">
        <v>227.25</v>
      </c>
      <c r="O909" s="116">
        <v>216.55</v>
      </c>
      <c r="P909" s="116">
        <v>218.9</v>
      </c>
      <c r="Q909" s="116">
        <v>217.4</v>
      </c>
      <c r="R909">
        <v>401751</v>
      </c>
    </row>
    <row r="910" spans="1:18" x14ac:dyDescent="0.25">
      <c r="A910" s="170">
        <v>43556</v>
      </c>
      <c r="B910" s="116">
        <v>224.4</v>
      </c>
      <c r="C910" s="116">
        <v>221.4</v>
      </c>
      <c r="D910" s="116">
        <v>217.4</v>
      </c>
      <c r="E910" s="116">
        <v>217.4</v>
      </c>
      <c r="F910" s="116">
        <v>221.4</v>
      </c>
      <c r="G910">
        <v>12187</v>
      </c>
      <c r="H910" s="116"/>
      <c r="I910" s="116"/>
      <c r="L910" s="170">
        <v>43556</v>
      </c>
      <c r="M910" s="116">
        <v>220.15</v>
      </c>
      <c r="N910" s="116">
        <v>224.3</v>
      </c>
      <c r="O910" s="116">
        <v>218.85</v>
      </c>
      <c r="P910" s="116">
        <v>218.9</v>
      </c>
      <c r="Q910" s="116">
        <v>220.15</v>
      </c>
      <c r="R910">
        <v>170645</v>
      </c>
    </row>
    <row r="911" spans="1:18" x14ac:dyDescent="0.25">
      <c r="A911" s="170">
        <v>43557</v>
      </c>
      <c r="B911" s="116">
        <v>224.4</v>
      </c>
      <c r="C911" s="116">
        <v>221.85</v>
      </c>
      <c r="D911" s="116">
        <v>219.65</v>
      </c>
      <c r="E911" s="116">
        <v>221.5</v>
      </c>
      <c r="F911" s="116">
        <v>221.85</v>
      </c>
      <c r="G911">
        <v>15011</v>
      </c>
      <c r="H911" s="116"/>
      <c r="I911" s="116"/>
      <c r="L911" s="170">
        <v>43557</v>
      </c>
      <c r="M911" s="116">
        <v>222.4</v>
      </c>
      <c r="N911" s="116">
        <v>224.3</v>
      </c>
      <c r="O911" s="116">
        <v>219</v>
      </c>
      <c r="P911" s="116">
        <v>222</v>
      </c>
      <c r="Q911" s="116">
        <v>222.4</v>
      </c>
      <c r="R911">
        <v>120223</v>
      </c>
    </row>
    <row r="912" spans="1:18" x14ac:dyDescent="0.25">
      <c r="A912" s="170">
        <v>43558</v>
      </c>
      <c r="B912" s="116">
        <v>223.7</v>
      </c>
      <c r="C912" s="116">
        <v>218.2</v>
      </c>
      <c r="D912" s="116">
        <v>216.5</v>
      </c>
      <c r="E912" s="116">
        <v>223.6</v>
      </c>
      <c r="F912" s="116">
        <v>218.2</v>
      </c>
      <c r="G912">
        <v>11808</v>
      </c>
      <c r="H912" s="116"/>
      <c r="I912" s="116"/>
      <c r="L912" s="170">
        <v>43558</v>
      </c>
      <c r="M912" s="116">
        <v>218.4</v>
      </c>
      <c r="N912" s="116">
        <v>223.95</v>
      </c>
      <c r="O912" s="116">
        <v>218</v>
      </c>
      <c r="P912" s="116">
        <v>223.7</v>
      </c>
      <c r="Q912" s="116">
        <v>218.4</v>
      </c>
      <c r="R912">
        <v>77280</v>
      </c>
    </row>
    <row r="913" spans="1:18" x14ac:dyDescent="0.25">
      <c r="A913" s="170">
        <v>43559</v>
      </c>
      <c r="B913" s="116">
        <v>222.6</v>
      </c>
      <c r="C913" s="116">
        <v>221.5</v>
      </c>
      <c r="D913" s="116">
        <v>218.4</v>
      </c>
      <c r="E913" s="116">
        <v>218.4</v>
      </c>
      <c r="F913" s="116">
        <v>221.5</v>
      </c>
      <c r="G913">
        <v>7554</v>
      </c>
      <c r="H913" s="116"/>
      <c r="I913" s="116"/>
      <c r="L913" s="170">
        <v>43559</v>
      </c>
      <c r="M913" s="116">
        <v>221.8</v>
      </c>
      <c r="N913" s="116">
        <v>222.3</v>
      </c>
      <c r="O913" s="116">
        <v>219</v>
      </c>
      <c r="P913" s="116">
        <v>219.45</v>
      </c>
      <c r="Q913" s="116">
        <v>221.8</v>
      </c>
      <c r="R913">
        <v>79401</v>
      </c>
    </row>
    <row r="914" spans="1:18" x14ac:dyDescent="0.25">
      <c r="A914" s="170">
        <v>43560</v>
      </c>
      <c r="B914" s="116">
        <v>223.75</v>
      </c>
      <c r="C914" s="116">
        <v>220.15</v>
      </c>
      <c r="D914" s="116">
        <v>218.2</v>
      </c>
      <c r="E914" s="116">
        <v>222.75</v>
      </c>
      <c r="F914" s="116">
        <v>220.15</v>
      </c>
      <c r="G914">
        <v>5635</v>
      </c>
      <c r="H914" s="116"/>
      <c r="I914" s="116"/>
      <c r="L914" s="170">
        <v>43560</v>
      </c>
      <c r="M914" s="116">
        <v>219.7</v>
      </c>
      <c r="N914" s="116">
        <v>223.75</v>
      </c>
      <c r="O914" s="116">
        <v>219</v>
      </c>
      <c r="P914" s="116">
        <v>222.3</v>
      </c>
      <c r="Q914" s="116">
        <v>219.7</v>
      </c>
      <c r="R914">
        <v>51032</v>
      </c>
    </row>
    <row r="915" spans="1:18" x14ac:dyDescent="0.25">
      <c r="A915" s="170">
        <v>43563</v>
      </c>
      <c r="B915" s="116">
        <v>221.6</v>
      </c>
      <c r="C915" s="116">
        <v>217.85</v>
      </c>
      <c r="D915" s="116">
        <v>216.9</v>
      </c>
      <c r="E915" s="116">
        <v>221</v>
      </c>
      <c r="F915" s="116">
        <v>217.85</v>
      </c>
      <c r="G915">
        <v>8818</v>
      </c>
      <c r="H915" s="116"/>
      <c r="I915" s="116"/>
      <c r="L915" s="170">
        <v>43563</v>
      </c>
      <c r="M915" s="116">
        <v>218.9</v>
      </c>
      <c r="N915" s="116">
        <v>221.75</v>
      </c>
      <c r="O915" s="116">
        <v>216.2</v>
      </c>
      <c r="P915" s="116">
        <v>220</v>
      </c>
      <c r="Q915" s="116">
        <v>218.9</v>
      </c>
      <c r="R915">
        <v>54306</v>
      </c>
    </row>
    <row r="916" spans="1:18" x14ac:dyDescent="0.25">
      <c r="A916" s="170">
        <v>43564</v>
      </c>
      <c r="B916" s="116">
        <v>225.95</v>
      </c>
      <c r="C916" s="116">
        <v>222.25</v>
      </c>
      <c r="D916" s="116">
        <v>217.5</v>
      </c>
      <c r="E916" s="116">
        <v>218.95</v>
      </c>
      <c r="F916" s="116">
        <v>222.25</v>
      </c>
      <c r="G916">
        <v>17050</v>
      </c>
      <c r="H916" s="116"/>
      <c r="I916" s="116"/>
      <c r="L916" s="170">
        <v>43564</v>
      </c>
      <c r="M916" s="116">
        <v>222.85</v>
      </c>
      <c r="N916" s="116">
        <v>226</v>
      </c>
      <c r="O916" s="116">
        <v>217.5</v>
      </c>
      <c r="P916" s="116">
        <v>219.55</v>
      </c>
      <c r="Q916" s="116">
        <v>222.85</v>
      </c>
      <c r="R916">
        <v>160069</v>
      </c>
    </row>
    <row r="917" spans="1:18" x14ac:dyDescent="0.25">
      <c r="A917" s="170">
        <v>43565</v>
      </c>
      <c r="B917" s="116">
        <v>222.9</v>
      </c>
      <c r="C917" s="116">
        <v>216.65</v>
      </c>
      <c r="D917" s="116">
        <v>216</v>
      </c>
      <c r="E917" s="116">
        <v>222.85</v>
      </c>
      <c r="F917" s="116">
        <v>216.65</v>
      </c>
      <c r="G917">
        <v>11275</v>
      </c>
      <c r="H917" s="116"/>
      <c r="I917" s="116"/>
      <c r="L917" s="170">
        <v>43565</v>
      </c>
      <c r="M917" s="116">
        <v>216.8</v>
      </c>
      <c r="N917" s="116">
        <v>223.35</v>
      </c>
      <c r="O917" s="116">
        <v>216</v>
      </c>
      <c r="P917" s="116">
        <v>222.9</v>
      </c>
      <c r="Q917" s="116">
        <v>216.8</v>
      </c>
      <c r="R917">
        <v>65891</v>
      </c>
    </row>
    <row r="918" spans="1:18" x14ac:dyDescent="0.25">
      <c r="A918" s="170">
        <v>43566</v>
      </c>
      <c r="B918" s="116">
        <v>220.5</v>
      </c>
      <c r="C918" s="116">
        <v>217.45</v>
      </c>
      <c r="D918" s="116">
        <v>214.75</v>
      </c>
      <c r="E918" s="116">
        <v>215.05</v>
      </c>
      <c r="F918" s="116">
        <v>217.45</v>
      </c>
      <c r="G918">
        <v>4827</v>
      </c>
      <c r="H918" s="116"/>
      <c r="I918" s="116"/>
      <c r="L918" s="170">
        <v>43566</v>
      </c>
      <c r="M918" s="116">
        <v>218</v>
      </c>
      <c r="N918" s="116">
        <v>219.95</v>
      </c>
      <c r="O918" s="116">
        <v>215.75</v>
      </c>
      <c r="P918" s="116">
        <v>217</v>
      </c>
      <c r="Q918" s="116">
        <v>218</v>
      </c>
      <c r="R918">
        <v>50031</v>
      </c>
    </row>
    <row r="919" spans="1:18" x14ac:dyDescent="0.25">
      <c r="A919" s="170">
        <v>43567</v>
      </c>
      <c r="B919" s="116">
        <v>224.25</v>
      </c>
      <c r="C919" s="116">
        <v>220.6</v>
      </c>
      <c r="D919" s="116">
        <v>217.95</v>
      </c>
      <c r="E919" s="116">
        <v>220.05</v>
      </c>
      <c r="F919" s="116">
        <v>220.6</v>
      </c>
      <c r="G919">
        <v>16552</v>
      </c>
      <c r="H919" s="116"/>
      <c r="I919" s="116"/>
      <c r="L919" s="170">
        <v>43567</v>
      </c>
      <c r="M919" s="116">
        <v>221.45</v>
      </c>
      <c r="N919" s="116">
        <v>223.7</v>
      </c>
      <c r="O919" s="116">
        <v>219.05</v>
      </c>
      <c r="P919" s="116">
        <v>219.05</v>
      </c>
      <c r="Q919" s="116">
        <v>221.45</v>
      </c>
      <c r="R919">
        <v>184368</v>
      </c>
    </row>
    <row r="920" spans="1:18" x14ac:dyDescent="0.25">
      <c r="A920" s="170">
        <v>43570</v>
      </c>
      <c r="B920" s="116">
        <v>224.5</v>
      </c>
      <c r="C920" s="116">
        <v>221.85</v>
      </c>
      <c r="D920" s="116">
        <v>221.25</v>
      </c>
      <c r="E920" s="116">
        <v>224</v>
      </c>
      <c r="F920" s="116">
        <v>221.85</v>
      </c>
      <c r="G920">
        <v>8623</v>
      </c>
      <c r="H920" s="116"/>
      <c r="I920" s="116"/>
      <c r="L920" s="170">
        <v>43570</v>
      </c>
      <c r="M920" s="116">
        <v>222.6</v>
      </c>
      <c r="N920" s="116">
        <v>225</v>
      </c>
      <c r="O920" s="116">
        <v>222</v>
      </c>
      <c r="P920" s="116">
        <v>223.1</v>
      </c>
      <c r="Q920" s="116">
        <v>222.6</v>
      </c>
      <c r="R920">
        <v>75455</v>
      </c>
    </row>
    <row r="921" spans="1:18" x14ac:dyDescent="0.25">
      <c r="A921" s="170">
        <v>43571</v>
      </c>
      <c r="B921" s="116">
        <v>232.7</v>
      </c>
      <c r="C921" s="116">
        <v>229</v>
      </c>
      <c r="D921" s="116">
        <v>221.9</v>
      </c>
      <c r="E921" s="116">
        <v>222.95</v>
      </c>
      <c r="F921" s="116">
        <v>229</v>
      </c>
      <c r="G921">
        <v>56304</v>
      </c>
      <c r="H921" s="116"/>
      <c r="I921" s="116"/>
      <c r="L921" s="170">
        <v>43571</v>
      </c>
      <c r="M921" s="116">
        <v>230.1</v>
      </c>
      <c r="N921" s="116">
        <v>232.85</v>
      </c>
      <c r="O921" s="116">
        <v>222</v>
      </c>
      <c r="P921" s="116">
        <v>222.9</v>
      </c>
      <c r="Q921" s="116">
        <v>230.1</v>
      </c>
      <c r="R921">
        <v>454737</v>
      </c>
    </row>
    <row r="922" spans="1:18" x14ac:dyDescent="0.25">
      <c r="A922" s="170">
        <v>43573</v>
      </c>
      <c r="B922" s="116">
        <v>229.85</v>
      </c>
      <c r="C922" s="116">
        <v>223.8</v>
      </c>
      <c r="D922" s="116">
        <v>221.5</v>
      </c>
      <c r="E922" s="116">
        <v>228.95</v>
      </c>
      <c r="F922" s="116">
        <v>223.8</v>
      </c>
      <c r="G922">
        <v>20403</v>
      </c>
      <c r="H922" s="116"/>
      <c r="I922" s="116"/>
      <c r="L922" s="170">
        <v>43573</v>
      </c>
      <c r="M922" s="116">
        <v>224.35</v>
      </c>
      <c r="N922" s="116">
        <v>230</v>
      </c>
      <c r="O922" s="116">
        <v>221.55</v>
      </c>
      <c r="P922" s="116">
        <v>229.1</v>
      </c>
      <c r="Q922" s="116">
        <v>224.35</v>
      </c>
      <c r="R922">
        <v>283329</v>
      </c>
    </row>
    <row r="923" spans="1:18" x14ac:dyDescent="0.25">
      <c r="A923" s="170">
        <v>43577</v>
      </c>
      <c r="B923" s="116">
        <v>227.5</v>
      </c>
      <c r="C923" s="116">
        <v>221.2</v>
      </c>
      <c r="D923" s="116">
        <v>219.9</v>
      </c>
      <c r="E923" s="116">
        <v>223.6</v>
      </c>
      <c r="F923" s="116">
        <v>221.2</v>
      </c>
      <c r="G923">
        <v>10932</v>
      </c>
      <c r="H923" s="116"/>
      <c r="I923" s="116"/>
      <c r="L923" s="170">
        <v>43577</v>
      </c>
      <c r="M923" s="116">
        <v>220.95</v>
      </c>
      <c r="N923" s="116">
        <v>226.7</v>
      </c>
      <c r="O923" s="116">
        <v>219.2</v>
      </c>
      <c r="P923" s="116">
        <v>223.75</v>
      </c>
      <c r="Q923" s="116">
        <v>220.95</v>
      </c>
      <c r="R923">
        <v>67489</v>
      </c>
    </row>
    <row r="924" spans="1:18" x14ac:dyDescent="0.25">
      <c r="A924" s="170">
        <v>43578</v>
      </c>
      <c r="B924" s="116">
        <v>223.9</v>
      </c>
      <c r="C924" s="116">
        <v>214.95</v>
      </c>
      <c r="D924" s="116">
        <v>212</v>
      </c>
      <c r="E924" s="116">
        <v>220</v>
      </c>
      <c r="F924" s="116">
        <v>214.95</v>
      </c>
      <c r="G924">
        <v>20933</v>
      </c>
      <c r="H924" s="116"/>
      <c r="I924" s="116"/>
      <c r="L924" s="170">
        <v>43578</v>
      </c>
      <c r="M924" s="116">
        <v>217.5</v>
      </c>
      <c r="N924" s="116">
        <v>223.7</v>
      </c>
      <c r="O924" s="116">
        <v>215</v>
      </c>
      <c r="P924" s="116">
        <v>221.6</v>
      </c>
      <c r="Q924" s="116">
        <v>217.5</v>
      </c>
      <c r="R924">
        <v>54957</v>
      </c>
    </row>
    <row r="925" spans="1:18" x14ac:dyDescent="0.25">
      <c r="A925" s="170">
        <v>43579</v>
      </c>
      <c r="B925" s="116">
        <v>221.95</v>
      </c>
      <c r="C925" s="116">
        <v>219.75</v>
      </c>
      <c r="D925" s="116">
        <v>214.6</v>
      </c>
      <c r="E925" s="116">
        <v>218.05</v>
      </c>
      <c r="F925" s="116">
        <v>219.75</v>
      </c>
      <c r="G925">
        <v>2664</v>
      </c>
      <c r="H925" s="116"/>
      <c r="I925" s="116"/>
      <c r="L925" s="170">
        <v>43579</v>
      </c>
      <c r="M925" s="116">
        <v>219.75</v>
      </c>
      <c r="N925" s="116">
        <v>222</v>
      </c>
      <c r="O925" s="116">
        <v>217.5</v>
      </c>
      <c r="P925" s="116">
        <v>217.5</v>
      </c>
      <c r="Q925" s="116">
        <v>219.75</v>
      </c>
      <c r="R925">
        <v>33805</v>
      </c>
    </row>
    <row r="926" spans="1:18" x14ac:dyDescent="0.25">
      <c r="A926" s="170">
        <v>43580</v>
      </c>
      <c r="B926" s="116">
        <v>228.9</v>
      </c>
      <c r="C926" s="116">
        <v>220.95</v>
      </c>
      <c r="D926" s="116">
        <v>220</v>
      </c>
      <c r="E926" s="116">
        <v>220.9</v>
      </c>
      <c r="F926" s="116">
        <v>220.95</v>
      </c>
      <c r="G926">
        <v>15586</v>
      </c>
      <c r="H926" s="116"/>
      <c r="I926" s="116"/>
      <c r="L926" s="170">
        <v>43580</v>
      </c>
      <c r="M926" s="116">
        <v>220.6</v>
      </c>
      <c r="N926" s="116">
        <v>229.6</v>
      </c>
      <c r="O926" s="116">
        <v>219.45</v>
      </c>
      <c r="P926" s="116">
        <v>219.65</v>
      </c>
      <c r="Q926" s="116">
        <v>220.6</v>
      </c>
      <c r="R926">
        <v>118347</v>
      </c>
    </row>
    <row r="927" spans="1:18" x14ac:dyDescent="0.25">
      <c r="A927" s="170">
        <v>43581</v>
      </c>
      <c r="B927" s="116">
        <v>221.65</v>
      </c>
      <c r="C927" s="116">
        <v>219.2</v>
      </c>
      <c r="D927" s="116">
        <v>216.1</v>
      </c>
      <c r="E927" s="116">
        <v>216.1</v>
      </c>
      <c r="F927" s="116">
        <v>219.2</v>
      </c>
      <c r="G927">
        <v>6454</v>
      </c>
      <c r="H927" s="116"/>
      <c r="I927" s="116"/>
      <c r="L927" s="170">
        <v>43581</v>
      </c>
      <c r="M927" s="116">
        <v>218.2</v>
      </c>
      <c r="N927" s="116">
        <v>222.3</v>
      </c>
      <c r="O927" s="116">
        <v>216.3</v>
      </c>
      <c r="P927" s="116">
        <v>222.3</v>
      </c>
      <c r="Q927" s="116">
        <v>218.2</v>
      </c>
      <c r="R927">
        <v>35739</v>
      </c>
    </row>
    <row r="928" spans="1:18" x14ac:dyDescent="0.25">
      <c r="A928" s="170">
        <v>43585</v>
      </c>
      <c r="B928" s="116">
        <v>223.65</v>
      </c>
      <c r="C928" s="116">
        <v>217.05</v>
      </c>
      <c r="D928" s="116">
        <v>211.45</v>
      </c>
      <c r="E928" s="116">
        <v>217.35</v>
      </c>
      <c r="F928" s="116">
        <v>217.05</v>
      </c>
      <c r="G928">
        <v>10848</v>
      </c>
      <c r="H928" s="116"/>
      <c r="I928" s="116"/>
      <c r="L928" s="170">
        <v>43585</v>
      </c>
      <c r="M928" s="116">
        <v>219.05</v>
      </c>
      <c r="N928" s="116">
        <v>223.8</v>
      </c>
      <c r="O928" s="116">
        <v>210.65</v>
      </c>
      <c r="P928" s="116">
        <v>217.4</v>
      </c>
      <c r="Q928" s="116">
        <v>219.05</v>
      </c>
      <c r="R928">
        <v>69041</v>
      </c>
    </row>
    <row r="929" spans="1:18" x14ac:dyDescent="0.25">
      <c r="A929" s="170">
        <v>43587</v>
      </c>
      <c r="B929" s="116">
        <v>219.7</v>
      </c>
      <c r="C929" s="116">
        <v>214.35</v>
      </c>
      <c r="D929" s="116">
        <v>211.05</v>
      </c>
      <c r="E929" s="116">
        <v>216.85</v>
      </c>
      <c r="F929" s="116">
        <v>214.35</v>
      </c>
      <c r="G929">
        <v>8086</v>
      </c>
      <c r="H929" s="116"/>
      <c r="I929" s="116"/>
      <c r="L929" s="170">
        <v>43587</v>
      </c>
      <c r="M929" s="116">
        <v>216.9</v>
      </c>
      <c r="N929" s="116">
        <v>220</v>
      </c>
      <c r="O929" s="116">
        <v>214.05</v>
      </c>
      <c r="P929" s="116">
        <v>219.9</v>
      </c>
      <c r="Q929" s="116">
        <v>216.9</v>
      </c>
      <c r="R929">
        <v>74870</v>
      </c>
    </row>
    <row r="930" spans="1:18" x14ac:dyDescent="0.25">
      <c r="A930" s="170">
        <v>43588</v>
      </c>
      <c r="B930" s="116">
        <v>222.5</v>
      </c>
      <c r="C930" s="116">
        <v>217.7</v>
      </c>
      <c r="D930" s="116">
        <v>214.3</v>
      </c>
      <c r="E930" s="116">
        <v>217.15</v>
      </c>
      <c r="F930" s="116">
        <v>217.7</v>
      </c>
      <c r="G930">
        <v>16488</v>
      </c>
      <c r="H930" s="116"/>
      <c r="I930" s="116"/>
      <c r="L930" s="170">
        <v>43588</v>
      </c>
      <c r="M930" s="116">
        <v>216.4</v>
      </c>
      <c r="N930" s="116">
        <v>222</v>
      </c>
      <c r="O930" s="116">
        <v>213.05</v>
      </c>
      <c r="P930" s="116">
        <v>213.05</v>
      </c>
      <c r="Q930" s="116">
        <v>216.4</v>
      </c>
      <c r="R930">
        <v>92113</v>
      </c>
    </row>
    <row r="931" spans="1:18" x14ac:dyDescent="0.25">
      <c r="A931" s="170">
        <v>43591</v>
      </c>
      <c r="B931" s="116">
        <v>218.95</v>
      </c>
      <c r="C931" s="116">
        <v>214</v>
      </c>
      <c r="D931" s="116">
        <v>208.45</v>
      </c>
      <c r="E931" s="116">
        <v>215.65</v>
      </c>
      <c r="F931" s="116">
        <v>214</v>
      </c>
      <c r="G931">
        <v>9921</v>
      </c>
      <c r="H931" s="116"/>
      <c r="I931" s="116"/>
      <c r="L931" s="170">
        <v>43591</v>
      </c>
      <c r="M931" s="116">
        <v>214.95</v>
      </c>
      <c r="N931" s="116">
        <v>216.55</v>
      </c>
      <c r="O931" s="116">
        <v>213.55</v>
      </c>
      <c r="P931" s="116">
        <v>215</v>
      </c>
      <c r="Q931" s="116">
        <v>214.95</v>
      </c>
      <c r="R931">
        <v>29306</v>
      </c>
    </row>
    <row r="932" spans="1:18" x14ac:dyDescent="0.25">
      <c r="A932" s="170">
        <v>43592</v>
      </c>
      <c r="B932" s="116">
        <v>220</v>
      </c>
      <c r="C932" s="116">
        <v>210.75</v>
      </c>
      <c r="D932" s="116">
        <v>206.15</v>
      </c>
      <c r="E932" s="116">
        <v>214.6</v>
      </c>
      <c r="F932" s="116">
        <v>210.75</v>
      </c>
      <c r="G932">
        <v>9575</v>
      </c>
      <c r="H932" s="116"/>
      <c r="I932" s="116"/>
      <c r="L932" s="170">
        <v>43592</v>
      </c>
      <c r="M932" s="116">
        <v>211.1</v>
      </c>
      <c r="N932" s="116">
        <v>220</v>
      </c>
      <c r="O932" s="116">
        <v>209.45</v>
      </c>
      <c r="P932" s="116">
        <v>215.1</v>
      </c>
      <c r="Q932" s="116">
        <v>211.1</v>
      </c>
      <c r="R932">
        <v>62355</v>
      </c>
    </row>
    <row r="933" spans="1:18" x14ac:dyDescent="0.25">
      <c r="A933" s="170">
        <v>43593</v>
      </c>
      <c r="B933" s="116">
        <v>211.5</v>
      </c>
      <c r="C933" s="116">
        <v>205.15</v>
      </c>
      <c r="D933" s="116">
        <v>204.15</v>
      </c>
      <c r="E933" s="116">
        <v>209.35</v>
      </c>
      <c r="F933" s="116">
        <v>205.15</v>
      </c>
      <c r="G933">
        <v>12189</v>
      </c>
      <c r="H933" s="116"/>
      <c r="I933" s="116"/>
      <c r="L933" s="170">
        <v>43593</v>
      </c>
      <c r="M933" s="116">
        <v>206</v>
      </c>
      <c r="N933" s="116">
        <v>212.45</v>
      </c>
      <c r="O933" s="116">
        <v>204</v>
      </c>
      <c r="P933" s="116">
        <v>207.25</v>
      </c>
      <c r="Q933" s="116">
        <v>206</v>
      </c>
      <c r="R933">
        <v>66922</v>
      </c>
    </row>
    <row r="934" spans="1:18" x14ac:dyDescent="0.25">
      <c r="A934" s="170">
        <v>43594</v>
      </c>
      <c r="B934" s="116">
        <v>209</v>
      </c>
      <c r="C934" s="116">
        <v>205.1</v>
      </c>
      <c r="D934" s="116">
        <v>203.8</v>
      </c>
      <c r="E934" s="116">
        <v>205</v>
      </c>
      <c r="F934" s="116">
        <v>205.1</v>
      </c>
      <c r="G934">
        <v>5979</v>
      </c>
      <c r="H934" s="116"/>
      <c r="I934" s="116"/>
      <c r="L934" s="170">
        <v>43594</v>
      </c>
      <c r="M934" s="116">
        <v>205.5</v>
      </c>
      <c r="N934" s="116">
        <v>209</v>
      </c>
      <c r="O934" s="116">
        <v>202.8</v>
      </c>
      <c r="P934" s="116">
        <v>205</v>
      </c>
      <c r="Q934" s="116">
        <v>205.5</v>
      </c>
      <c r="R934">
        <v>35322</v>
      </c>
    </row>
    <row r="935" spans="1:18" x14ac:dyDescent="0.25">
      <c r="A935" s="170">
        <v>43595</v>
      </c>
      <c r="B935" s="116">
        <v>212.4</v>
      </c>
      <c r="C935" s="116">
        <v>207.7</v>
      </c>
      <c r="D935" s="116">
        <v>205.75</v>
      </c>
      <c r="E935" s="116">
        <v>208.3</v>
      </c>
      <c r="F935" s="116">
        <v>207.7</v>
      </c>
      <c r="G935">
        <v>14471</v>
      </c>
      <c r="H935" s="116"/>
      <c r="I935" s="116"/>
      <c r="L935" s="170">
        <v>43595</v>
      </c>
      <c r="M935" s="116">
        <v>208.25</v>
      </c>
      <c r="N935" s="116">
        <v>211.9</v>
      </c>
      <c r="O935" s="116">
        <v>206</v>
      </c>
      <c r="P935" s="116">
        <v>207.4</v>
      </c>
      <c r="Q935" s="116">
        <v>208.25</v>
      </c>
      <c r="R935">
        <v>46675</v>
      </c>
    </row>
    <row r="936" spans="1:18" x14ac:dyDescent="0.25">
      <c r="A936" s="170">
        <v>43598</v>
      </c>
      <c r="B936" s="116">
        <v>214</v>
      </c>
      <c r="C936" s="116">
        <v>206.2</v>
      </c>
      <c r="D936" s="116">
        <v>202.9</v>
      </c>
      <c r="E936" s="116">
        <v>207.85</v>
      </c>
      <c r="F936" s="116">
        <v>206.2</v>
      </c>
      <c r="G936">
        <v>12895</v>
      </c>
      <c r="H936" s="116"/>
      <c r="I936" s="116"/>
      <c r="L936" s="170">
        <v>43598</v>
      </c>
      <c r="M936" s="116">
        <v>207.65</v>
      </c>
      <c r="N936" s="116">
        <v>214.3</v>
      </c>
      <c r="O936" s="116">
        <v>206.65</v>
      </c>
      <c r="P936" s="116">
        <v>208.3</v>
      </c>
      <c r="Q936" s="116">
        <v>207.65</v>
      </c>
      <c r="R936">
        <v>58644</v>
      </c>
    </row>
    <row r="937" spans="1:18" x14ac:dyDescent="0.25">
      <c r="A937" s="170">
        <v>43599</v>
      </c>
      <c r="B937" s="116">
        <v>211.9</v>
      </c>
      <c r="C937" s="116">
        <v>210.8</v>
      </c>
      <c r="D937" s="116">
        <v>202.95</v>
      </c>
      <c r="E937" s="116">
        <v>206.25</v>
      </c>
      <c r="F937" s="116">
        <v>210.8</v>
      </c>
      <c r="G937">
        <v>27235</v>
      </c>
      <c r="H937" s="116"/>
      <c r="I937" s="116"/>
      <c r="L937" s="170">
        <v>43599</v>
      </c>
      <c r="M937" s="116">
        <v>211.6</v>
      </c>
      <c r="N937" s="116">
        <v>213</v>
      </c>
      <c r="O937" s="116">
        <v>202.3</v>
      </c>
      <c r="P937" s="116">
        <v>205</v>
      </c>
      <c r="Q937" s="116">
        <v>211.6</v>
      </c>
      <c r="R937">
        <v>110286</v>
      </c>
    </row>
    <row r="938" spans="1:18" x14ac:dyDescent="0.25">
      <c r="A938" s="170">
        <v>43600</v>
      </c>
      <c r="B938" s="116">
        <v>214.6</v>
      </c>
      <c r="C938" s="116">
        <v>209.7</v>
      </c>
      <c r="D938" s="116">
        <v>209.1</v>
      </c>
      <c r="E938" s="116">
        <v>209.1</v>
      </c>
      <c r="F938" s="116">
        <v>209.7</v>
      </c>
      <c r="G938">
        <v>10653</v>
      </c>
      <c r="H938" s="116"/>
      <c r="I938" s="116"/>
      <c r="L938" s="170">
        <v>43600</v>
      </c>
      <c r="M938" s="116">
        <v>210.7</v>
      </c>
      <c r="N938" s="116">
        <v>214.8</v>
      </c>
      <c r="O938" s="116">
        <v>208.05</v>
      </c>
      <c r="P938" s="116">
        <v>208.05</v>
      </c>
      <c r="Q938" s="116">
        <v>210.7</v>
      </c>
      <c r="R938">
        <v>48353</v>
      </c>
    </row>
    <row r="939" spans="1:18" x14ac:dyDescent="0.25">
      <c r="A939" s="170">
        <v>43601</v>
      </c>
      <c r="B939" s="116">
        <v>211.75</v>
      </c>
      <c r="C939" s="116">
        <v>208.4</v>
      </c>
      <c r="D939" s="116">
        <v>207</v>
      </c>
      <c r="E939" s="116">
        <v>211.3</v>
      </c>
      <c r="F939" s="116">
        <v>208.4</v>
      </c>
      <c r="G939">
        <v>8132</v>
      </c>
      <c r="H939" s="116"/>
      <c r="I939" s="116"/>
      <c r="L939" s="170">
        <v>43601</v>
      </c>
      <c r="M939" s="116">
        <v>207.75</v>
      </c>
      <c r="N939" s="116">
        <v>212.45</v>
      </c>
      <c r="O939" s="116">
        <v>206.7</v>
      </c>
      <c r="P939" s="116">
        <v>210.7</v>
      </c>
      <c r="Q939" s="116">
        <v>207.75</v>
      </c>
      <c r="R939">
        <v>31800</v>
      </c>
    </row>
    <row r="940" spans="1:18" x14ac:dyDescent="0.25">
      <c r="A940" s="170">
        <v>43602</v>
      </c>
      <c r="B940" s="116">
        <v>208.6</v>
      </c>
      <c r="C940" s="116">
        <v>205.4</v>
      </c>
      <c r="D940" s="116">
        <v>204.45</v>
      </c>
      <c r="E940" s="116">
        <v>208.6</v>
      </c>
      <c r="F940" s="116">
        <v>205.4</v>
      </c>
      <c r="G940">
        <v>7931</v>
      </c>
      <c r="H940" s="116"/>
      <c r="I940" s="116"/>
      <c r="L940" s="170">
        <v>43602</v>
      </c>
      <c r="M940" s="116">
        <v>205.4</v>
      </c>
      <c r="N940" s="116">
        <v>209.35</v>
      </c>
      <c r="O940" s="116">
        <v>204.55</v>
      </c>
      <c r="P940" s="116">
        <v>208.25</v>
      </c>
      <c r="Q940" s="116">
        <v>205.4</v>
      </c>
      <c r="R940">
        <v>42758</v>
      </c>
    </row>
    <row r="941" spans="1:18" x14ac:dyDescent="0.25">
      <c r="A941" s="170">
        <v>43605</v>
      </c>
      <c r="B941" s="116">
        <v>226.7</v>
      </c>
      <c r="C941" s="116">
        <v>223.85</v>
      </c>
      <c r="D941" s="116">
        <v>215.1</v>
      </c>
      <c r="E941" s="116">
        <v>217.4</v>
      </c>
      <c r="F941" s="116">
        <v>223.85</v>
      </c>
      <c r="G941">
        <v>69439</v>
      </c>
      <c r="H941" s="116"/>
      <c r="I941" s="116"/>
      <c r="L941" s="170">
        <v>43605</v>
      </c>
      <c r="M941" s="116">
        <v>224</v>
      </c>
      <c r="N941" s="116">
        <v>226.85</v>
      </c>
      <c r="O941" s="116">
        <v>215</v>
      </c>
      <c r="P941" s="116">
        <v>220</v>
      </c>
      <c r="Q941" s="116">
        <v>224</v>
      </c>
      <c r="R941">
        <v>334597</v>
      </c>
    </row>
    <row r="942" spans="1:18" x14ac:dyDescent="0.25">
      <c r="A942" s="170">
        <v>43606</v>
      </c>
      <c r="B942" s="116">
        <v>232</v>
      </c>
      <c r="C942" s="116">
        <v>225.65</v>
      </c>
      <c r="D942" s="116">
        <v>223</v>
      </c>
      <c r="E942" s="116">
        <v>225</v>
      </c>
      <c r="F942" s="116">
        <v>225.65</v>
      </c>
      <c r="G942">
        <v>25225</v>
      </c>
      <c r="H942" s="116"/>
      <c r="I942" s="116"/>
      <c r="L942" s="170">
        <v>43606</v>
      </c>
      <c r="M942" s="116">
        <v>225.8</v>
      </c>
      <c r="N942" s="116">
        <v>231.7</v>
      </c>
      <c r="O942" s="116">
        <v>222.7</v>
      </c>
      <c r="P942" s="116">
        <v>225</v>
      </c>
      <c r="Q942" s="116">
        <v>225.8</v>
      </c>
      <c r="R942">
        <v>143765</v>
      </c>
    </row>
    <row r="943" spans="1:18" x14ac:dyDescent="0.25">
      <c r="A943" s="170">
        <v>43607</v>
      </c>
      <c r="B943" s="116">
        <v>229.95</v>
      </c>
      <c r="C943" s="116">
        <v>227.9</v>
      </c>
      <c r="D943" s="116">
        <v>224.8</v>
      </c>
      <c r="E943" s="116">
        <v>224.8</v>
      </c>
      <c r="F943" s="116">
        <v>227.9</v>
      </c>
      <c r="G943">
        <v>24024</v>
      </c>
      <c r="H943" s="116"/>
      <c r="I943" s="116"/>
      <c r="L943" s="170">
        <v>43607</v>
      </c>
      <c r="M943" s="116">
        <v>228.7</v>
      </c>
      <c r="N943" s="116">
        <v>231</v>
      </c>
      <c r="O943" s="116">
        <v>225.95</v>
      </c>
      <c r="P943" s="116">
        <v>231</v>
      </c>
      <c r="Q943" s="116">
        <v>228.7</v>
      </c>
      <c r="R943">
        <v>112786</v>
      </c>
    </row>
    <row r="944" spans="1:18" x14ac:dyDescent="0.25">
      <c r="A944" s="170">
        <v>43608</v>
      </c>
      <c r="B944" s="116">
        <v>244.45</v>
      </c>
      <c r="C944" s="116">
        <v>224.1</v>
      </c>
      <c r="D944" s="116">
        <v>218</v>
      </c>
      <c r="E944" s="116">
        <v>233</v>
      </c>
      <c r="F944" s="116">
        <v>224.1</v>
      </c>
      <c r="G944">
        <v>134053</v>
      </c>
      <c r="H944" s="116"/>
      <c r="I944" s="116"/>
      <c r="L944" s="170">
        <v>43608</v>
      </c>
      <c r="M944" s="116">
        <v>225.75</v>
      </c>
      <c r="N944" s="116">
        <v>244.95</v>
      </c>
      <c r="O944" s="116">
        <v>220</v>
      </c>
      <c r="P944" s="116">
        <v>235</v>
      </c>
      <c r="Q944" s="116">
        <v>225.75</v>
      </c>
      <c r="R944">
        <v>778739</v>
      </c>
    </row>
    <row r="945" spans="1:18" x14ac:dyDescent="0.25">
      <c r="A945" s="170">
        <v>43609</v>
      </c>
      <c r="B945" s="116">
        <v>234</v>
      </c>
      <c r="C945" s="116">
        <v>226.85</v>
      </c>
      <c r="D945" s="116">
        <v>226.2</v>
      </c>
      <c r="E945" s="116">
        <v>227.95</v>
      </c>
      <c r="F945" s="116">
        <v>226.85</v>
      </c>
      <c r="G945">
        <v>22342</v>
      </c>
      <c r="H945" s="116"/>
      <c r="I945" s="116"/>
      <c r="L945" s="170">
        <v>43609</v>
      </c>
      <c r="M945" s="116">
        <v>227.5</v>
      </c>
      <c r="N945" s="116">
        <v>233.45</v>
      </c>
      <c r="O945" s="116">
        <v>226.6</v>
      </c>
      <c r="P945" s="116">
        <v>227.5</v>
      </c>
      <c r="Q945" s="116">
        <v>227.5</v>
      </c>
      <c r="R945">
        <v>167598</v>
      </c>
    </row>
    <row r="946" spans="1:18" x14ac:dyDescent="0.25">
      <c r="A946" s="170">
        <v>43612</v>
      </c>
      <c r="B946" s="116">
        <v>229.05</v>
      </c>
      <c r="C946" s="116">
        <v>223.2</v>
      </c>
      <c r="D946" s="116">
        <v>222.4</v>
      </c>
      <c r="E946" s="116">
        <v>227</v>
      </c>
      <c r="F946" s="116">
        <v>223.2</v>
      </c>
      <c r="G946">
        <v>8844</v>
      </c>
      <c r="H946" s="116"/>
      <c r="I946" s="116"/>
      <c r="L946" s="170">
        <v>43612</v>
      </c>
      <c r="M946" s="116">
        <v>222.6</v>
      </c>
      <c r="N946" s="116">
        <v>229</v>
      </c>
      <c r="O946" s="116">
        <v>221.15</v>
      </c>
      <c r="P946" s="116">
        <v>228.5</v>
      </c>
      <c r="Q946" s="116">
        <v>222.6</v>
      </c>
      <c r="R946">
        <v>88593</v>
      </c>
    </row>
    <row r="947" spans="1:18" x14ac:dyDescent="0.25">
      <c r="A947" s="170">
        <v>43613</v>
      </c>
      <c r="B947" s="116">
        <v>243.9</v>
      </c>
      <c r="C947" s="116">
        <v>240.15</v>
      </c>
      <c r="D947" s="116">
        <v>223</v>
      </c>
      <c r="E947" s="116">
        <v>224.75</v>
      </c>
      <c r="F947" s="116">
        <v>240.15</v>
      </c>
      <c r="G947">
        <v>177948</v>
      </c>
      <c r="H947" s="116"/>
      <c r="I947" s="116"/>
      <c r="L947" s="170">
        <v>43613</v>
      </c>
      <c r="M947" s="116">
        <v>241.55</v>
      </c>
      <c r="N947" s="116">
        <v>246.7</v>
      </c>
      <c r="O947" s="116">
        <v>223.55</v>
      </c>
      <c r="P947" s="116">
        <v>224.7</v>
      </c>
      <c r="Q947" s="116">
        <v>241.55</v>
      </c>
      <c r="R947">
        <v>1425980</v>
      </c>
    </row>
    <row r="948" spans="1:18" x14ac:dyDescent="0.25">
      <c r="A948" s="170">
        <v>43614</v>
      </c>
      <c r="B948" s="116">
        <v>253.05</v>
      </c>
      <c r="C948" s="116">
        <v>235.8</v>
      </c>
      <c r="D948" s="116">
        <v>230</v>
      </c>
      <c r="E948" s="116">
        <v>244</v>
      </c>
      <c r="F948" s="116">
        <v>235.8</v>
      </c>
      <c r="G948">
        <v>70343</v>
      </c>
      <c r="H948" s="116"/>
      <c r="I948" s="116"/>
      <c r="L948" s="170">
        <v>43614</v>
      </c>
      <c r="M948" s="116">
        <v>236.7</v>
      </c>
      <c r="N948" s="116">
        <v>252.7</v>
      </c>
      <c r="O948" s="116">
        <v>232.35</v>
      </c>
      <c r="P948" s="116">
        <v>242</v>
      </c>
      <c r="Q948" s="116">
        <v>236.7</v>
      </c>
      <c r="R948">
        <v>510344</v>
      </c>
    </row>
    <row r="949" spans="1:18" x14ac:dyDescent="0.25">
      <c r="A949" s="170">
        <v>43615</v>
      </c>
      <c r="B949" s="116">
        <v>239</v>
      </c>
      <c r="C949" s="116">
        <v>234.8</v>
      </c>
      <c r="D949" s="116">
        <v>231.8</v>
      </c>
      <c r="E949" s="116">
        <v>233</v>
      </c>
      <c r="F949" s="116">
        <v>234.8</v>
      </c>
      <c r="G949">
        <v>34579</v>
      </c>
      <c r="H949" s="116"/>
      <c r="I949" s="116"/>
      <c r="L949" s="170">
        <v>43615</v>
      </c>
      <c r="M949" s="116">
        <v>233.75</v>
      </c>
      <c r="N949" s="116">
        <v>238.75</v>
      </c>
      <c r="O949" s="116">
        <v>230.4</v>
      </c>
      <c r="P949" s="116">
        <v>234.1</v>
      </c>
      <c r="Q949" s="116">
        <v>233.75</v>
      </c>
      <c r="R949">
        <v>236209</v>
      </c>
    </row>
    <row r="950" spans="1:18" x14ac:dyDescent="0.25">
      <c r="A950" s="170">
        <v>43616</v>
      </c>
      <c r="B950" s="116">
        <v>243</v>
      </c>
      <c r="C950" s="116">
        <v>235.6</v>
      </c>
      <c r="D950" s="116">
        <v>230</v>
      </c>
      <c r="E950" s="116">
        <v>235.25</v>
      </c>
      <c r="F950" s="116">
        <v>235.6</v>
      </c>
      <c r="G950">
        <v>36092</v>
      </c>
      <c r="H950" s="116"/>
      <c r="I950" s="116"/>
      <c r="L950" s="170">
        <v>43616</v>
      </c>
      <c r="M950" s="116">
        <v>235.9</v>
      </c>
      <c r="N950" s="116">
        <v>243</v>
      </c>
      <c r="O950" s="116">
        <v>231.95</v>
      </c>
      <c r="P950" s="116">
        <v>234.85</v>
      </c>
      <c r="Q950" s="116">
        <v>235.9</v>
      </c>
      <c r="R950">
        <v>245628</v>
      </c>
    </row>
    <row r="951" spans="1:18" x14ac:dyDescent="0.25">
      <c r="A951" s="170">
        <v>43619</v>
      </c>
      <c r="B951" s="116">
        <v>237</v>
      </c>
      <c r="C951" s="116">
        <v>235.3</v>
      </c>
      <c r="D951" s="116">
        <v>230.9</v>
      </c>
      <c r="E951" s="116">
        <v>237</v>
      </c>
      <c r="F951" s="116">
        <v>235.3</v>
      </c>
      <c r="G951">
        <v>17015</v>
      </c>
      <c r="H951" s="116"/>
      <c r="I951" s="116"/>
      <c r="L951" s="170">
        <v>43619</v>
      </c>
      <c r="M951" s="116">
        <v>235.7</v>
      </c>
      <c r="N951" s="116">
        <v>237</v>
      </c>
      <c r="O951" s="116">
        <v>231.5</v>
      </c>
      <c r="P951" s="116">
        <v>236.4</v>
      </c>
      <c r="Q951" s="116">
        <v>235.7</v>
      </c>
      <c r="R951">
        <v>88802</v>
      </c>
    </row>
    <row r="952" spans="1:18" x14ac:dyDescent="0.25">
      <c r="A952" s="170">
        <v>43620</v>
      </c>
      <c r="B952" s="116">
        <v>240</v>
      </c>
      <c r="C952" s="116">
        <v>232</v>
      </c>
      <c r="D952" s="116">
        <v>231.3</v>
      </c>
      <c r="E952" s="116">
        <v>240</v>
      </c>
      <c r="F952" s="116">
        <v>232</v>
      </c>
      <c r="G952">
        <v>11606</v>
      </c>
      <c r="H952" s="116"/>
      <c r="I952" s="116"/>
      <c r="L952" s="170">
        <v>43620</v>
      </c>
      <c r="M952" s="116">
        <v>231.8</v>
      </c>
      <c r="N952" s="116">
        <v>238</v>
      </c>
      <c r="O952" s="116">
        <v>231</v>
      </c>
      <c r="P952" s="116">
        <v>236.3</v>
      </c>
      <c r="Q952" s="116">
        <v>231.8</v>
      </c>
      <c r="R952">
        <v>57830</v>
      </c>
    </row>
    <row r="953" spans="1:18" x14ac:dyDescent="0.25">
      <c r="A953" s="170">
        <v>43622</v>
      </c>
      <c r="B953" s="116">
        <v>240</v>
      </c>
      <c r="C953" s="116">
        <v>227.5</v>
      </c>
      <c r="D953" s="116">
        <v>225</v>
      </c>
      <c r="E953" s="116">
        <v>231</v>
      </c>
      <c r="F953" s="116">
        <v>227.5</v>
      </c>
      <c r="G953">
        <v>10701</v>
      </c>
      <c r="H953" s="116"/>
      <c r="I953" s="116"/>
      <c r="L953" s="170">
        <v>43622</v>
      </c>
      <c r="M953" s="116">
        <v>228.05</v>
      </c>
      <c r="N953" s="116">
        <v>235.75</v>
      </c>
      <c r="O953" s="116">
        <v>227.95</v>
      </c>
      <c r="P953" s="116">
        <v>232.8</v>
      </c>
      <c r="Q953" s="116">
        <v>228.05</v>
      </c>
      <c r="R953">
        <v>98038</v>
      </c>
    </row>
    <row r="954" spans="1:18" x14ac:dyDescent="0.25">
      <c r="A954" s="170">
        <v>43623</v>
      </c>
      <c r="B954" s="116">
        <v>232</v>
      </c>
      <c r="C954" s="116">
        <v>223</v>
      </c>
      <c r="D954" s="116">
        <v>221.15</v>
      </c>
      <c r="E954" s="116">
        <v>227.95</v>
      </c>
      <c r="F954" s="116">
        <v>223</v>
      </c>
      <c r="G954">
        <v>29474</v>
      </c>
      <c r="H954" s="116"/>
      <c r="I954" s="116"/>
      <c r="L954" s="170">
        <v>43623</v>
      </c>
      <c r="M954" s="116">
        <v>222.6</v>
      </c>
      <c r="N954" s="116">
        <v>232.05</v>
      </c>
      <c r="O954" s="116">
        <v>222</v>
      </c>
      <c r="P954" s="116">
        <v>228.05</v>
      </c>
      <c r="Q954" s="116">
        <v>222.6</v>
      </c>
      <c r="R954">
        <v>107018</v>
      </c>
    </row>
    <row r="955" spans="1:18" x14ac:dyDescent="0.25">
      <c r="A955" s="170">
        <v>43626</v>
      </c>
      <c r="B955" s="116">
        <v>229.4</v>
      </c>
      <c r="C955" s="116">
        <v>224.95</v>
      </c>
      <c r="D955" s="116">
        <v>222.4</v>
      </c>
      <c r="E955" s="116">
        <v>222.7</v>
      </c>
      <c r="F955" s="116">
        <v>224.95</v>
      </c>
      <c r="G955">
        <v>13643</v>
      </c>
      <c r="H955" s="116"/>
      <c r="I955" s="116"/>
      <c r="L955" s="170">
        <v>43626</v>
      </c>
      <c r="M955" s="116">
        <v>224.95</v>
      </c>
      <c r="N955" s="116">
        <v>229.2</v>
      </c>
      <c r="O955" s="116">
        <v>221.8</v>
      </c>
      <c r="P955" s="116">
        <v>224</v>
      </c>
      <c r="Q955" s="116">
        <v>224.95</v>
      </c>
      <c r="R955">
        <v>48964</v>
      </c>
    </row>
    <row r="956" spans="1:18" x14ac:dyDescent="0.25">
      <c r="A956" s="170">
        <v>43627</v>
      </c>
      <c r="B956" s="116">
        <v>230.45</v>
      </c>
      <c r="C956" s="116">
        <v>227.75</v>
      </c>
      <c r="D956" s="116">
        <v>220.5</v>
      </c>
      <c r="E956" s="116">
        <v>224.95</v>
      </c>
      <c r="F956" s="116">
        <v>227.75</v>
      </c>
      <c r="G956">
        <v>9372</v>
      </c>
      <c r="H956" s="116"/>
      <c r="I956" s="116"/>
      <c r="L956" s="170">
        <v>43627</v>
      </c>
      <c r="M956" s="116">
        <v>228.5</v>
      </c>
      <c r="N956" s="116">
        <v>230.5</v>
      </c>
      <c r="O956" s="116">
        <v>224.75</v>
      </c>
      <c r="P956" s="116">
        <v>226</v>
      </c>
      <c r="Q956" s="116">
        <v>228.5</v>
      </c>
      <c r="R956">
        <v>91151</v>
      </c>
    </row>
    <row r="957" spans="1:18" x14ac:dyDescent="0.25">
      <c r="A957" s="170">
        <v>43628</v>
      </c>
      <c r="B957" s="116">
        <v>229</v>
      </c>
      <c r="C957" s="116">
        <v>222.55</v>
      </c>
      <c r="D957" s="116">
        <v>221.65</v>
      </c>
      <c r="E957" s="116">
        <v>229</v>
      </c>
      <c r="F957" s="116">
        <v>222.55</v>
      </c>
      <c r="G957">
        <v>10289</v>
      </c>
      <c r="H957" s="116"/>
      <c r="I957" s="116"/>
      <c r="L957" s="170">
        <v>43628</v>
      </c>
      <c r="M957" s="116">
        <v>222.95</v>
      </c>
      <c r="N957" s="116">
        <v>229</v>
      </c>
      <c r="O957" s="116">
        <v>222.25</v>
      </c>
      <c r="P957" s="116">
        <v>228.5</v>
      </c>
      <c r="Q957" s="116">
        <v>222.95</v>
      </c>
      <c r="R957">
        <v>37862</v>
      </c>
    </row>
    <row r="958" spans="1:18" x14ac:dyDescent="0.25">
      <c r="A958" s="170">
        <v>43629</v>
      </c>
      <c r="B958" s="116">
        <v>239</v>
      </c>
      <c r="C958" s="116">
        <v>234.65</v>
      </c>
      <c r="D958" s="116">
        <v>222.25</v>
      </c>
      <c r="E958" s="116">
        <v>226</v>
      </c>
      <c r="F958" s="116">
        <v>234.65</v>
      </c>
      <c r="G958">
        <v>43801</v>
      </c>
      <c r="H958" s="116"/>
      <c r="I958" s="116"/>
      <c r="L958" s="170">
        <v>43629</v>
      </c>
      <c r="M958" s="116">
        <v>234.5</v>
      </c>
      <c r="N958" s="116">
        <v>239.8</v>
      </c>
      <c r="O958" s="116">
        <v>222</v>
      </c>
      <c r="P958" s="116">
        <v>223.5</v>
      </c>
      <c r="Q958" s="116">
        <v>234.5</v>
      </c>
      <c r="R958">
        <v>295373</v>
      </c>
    </row>
    <row r="959" spans="1:18" x14ac:dyDescent="0.25">
      <c r="A959" s="170">
        <v>43630</v>
      </c>
      <c r="B959" s="116">
        <v>240</v>
      </c>
      <c r="C959" s="116">
        <v>232.35</v>
      </c>
      <c r="D959" s="116">
        <v>229</v>
      </c>
      <c r="E959" s="116">
        <v>236.6</v>
      </c>
      <c r="F959" s="116">
        <v>232.35</v>
      </c>
      <c r="G959">
        <v>34670</v>
      </c>
      <c r="H959" s="116"/>
      <c r="I959" s="116"/>
      <c r="L959" s="170">
        <v>43630</v>
      </c>
      <c r="M959" s="116">
        <v>233.2</v>
      </c>
      <c r="N959" s="116">
        <v>239.6</v>
      </c>
      <c r="O959" s="116">
        <v>229.1</v>
      </c>
      <c r="P959" s="116">
        <v>235.45</v>
      </c>
      <c r="Q959" s="116">
        <v>233.2</v>
      </c>
      <c r="R959">
        <v>302597</v>
      </c>
    </row>
    <row r="960" spans="1:18" x14ac:dyDescent="0.25">
      <c r="A960" s="170">
        <v>43633</v>
      </c>
      <c r="B960" s="116">
        <v>236.5</v>
      </c>
      <c r="C960" s="116">
        <v>229.05</v>
      </c>
      <c r="D960" s="116">
        <v>227.2</v>
      </c>
      <c r="E960" s="116">
        <v>233.35</v>
      </c>
      <c r="F960" s="116">
        <v>229.05</v>
      </c>
      <c r="G960">
        <v>12323</v>
      </c>
      <c r="H960" s="116"/>
      <c r="I960" s="116"/>
      <c r="L960" s="170">
        <v>43633</v>
      </c>
      <c r="M960" s="116">
        <v>229.25</v>
      </c>
      <c r="N960" s="116">
        <v>236.65</v>
      </c>
      <c r="O960" s="116">
        <v>227.2</v>
      </c>
      <c r="P960" s="116">
        <v>235.1</v>
      </c>
      <c r="Q960" s="116">
        <v>229.25</v>
      </c>
      <c r="R960">
        <v>49876</v>
      </c>
    </row>
    <row r="961" spans="1:18" x14ac:dyDescent="0.25">
      <c r="A961" s="170">
        <v>43634</v>
      </c>
      <c r="B961" s="116">
        <v>229.4</v>
      </c>
      <c r="C961" s="116">
        <v>226.05</v>
      </c>
      <c r="D961" s="116">
        <v>224.95</v>
      </c>
      <c r="E961" s="116">
        <v>228.3</v>
      </c>
      <c r="F961" s="116">
        <v>226.05</v>
      </c>
      <c r="G961">
        <v>5047</v>
      </c>
      <c r="H961" s="116"/>
      <c r="I961" s="116"/>
      <c r="L961" s="170">
        <v>43634</v>
      </c>
      <c r="M961" s="116">
        <v>226.45</v>
      </c>
      <c r="N961" s="116">
        <v>230.75</v>
      </c>
      <c r="O961" s="116">
        <v>224.7</v>
      </c>
      <c r="P961" s="116">
        <v>229.2</v>
      </c>
      <c r="Q961" s="116">
        <v>226.45</v>
      </c>
      <c r="R961">
        <v>44128</v>
      </c>
    </row>
    <row r="962" spans="1:18" x14ac:dyDescent="0.25">
      <c r="A962" s="170">
        <v>43635</v>
      </c>
      <c r="B962" s="116">
        <v>226.6</v>
      </c>
      <c r="C962" s="116">
        <v>211.5</v>
      </c>
      <c r="D962" s="116">
        <v>204.4</v>
      </c>
      <c r="E962" s="116">
        <v>226.6</v>
      </c>
      <c r="F962" s="116">
        <v>211.5</v>
      </c>
      <c r="G962">
        <v>36642</v>
      </c>
      <c r="H962" s="116"/>
      <c r="I962" s="116"/>
      <c r="L962" s="170">
        <v>43635</v>
      </c>
      <c r="M962" s="116">
        <v>211.35</v>
      </c>
      <c r="N962" s="116">
        <v>228</v>
      </c>
      <c r="O962" s="116">
        <v>204.25</v>
      </c>
      <c r="P962" s="116">
        <v>228</v>
      </c>
      <c r="Q962" s="116">
        <v>211.35</v>
      </c>
      <c r="R962">
        <v>194881</v>
      </c>
    </row>
    <row r="963" spans="1:18" x14ac:dyDescent="0.25">
      <c r="A963" s="170">
        <v>43636</v>
      </c>
      <c r="B963" s="116">
        <v>213.55</v>
      </c>
      <c r="C963" s="116">
        <v>211.3</v>
      </c>
      <c r="D963" s="116">
        <v>203</v>
      </c>
      <c r="E963" s="116">
        <v>210</v>
      </c>
      <c r="F963" s="116">
        <v>211.3</v>
      </c>
      <c r="G963">
        <v>40255</v>
      </c>
      <c r="H963" s="116"/>
      <c r="I963" s="116"/>
      <c r="L963" s="170">
        <v>43636</v>
      </c>
      <c r="M963" s="116">
        <v>211.25</v>
      </c>
      <c r="N963" s="116">
        <v>213.5</v>
      </c>
      <c r="O963" s="116">
        <v>202.4</v>
      </c>
      <c r="P963" s="116">
        <v>210.9</v>
      </c>
      <c r="Q963" s="116">
        <v>211.25</v>
      </c>
      <c r="R963">
        <v>100156</v>
      </c>
    </row>
    <row r="964" spans="1:18" x14ac:dyDescent="0.25">
      <c r="A964" s="170">
        <v>43637</v>
      </c>
      <c r="B964" s="116">
        <v>230</v>
      </c>
      <c r="C964" s="116">
        <v>223.9</v>
      </c>
      <c r="D964" s="116">
        <v>211.1</v>
      </c>
      <c r="E964" s="116">
        <v>212.05</v>
      </c>
      <c r="F964" s="116">
        <v>223.9</v>
      </c>
      <c r="G964">
        <v>42392</v>
      </c>
      <c r="H964" s="116"/>
      <c r="I964" s="116"/>
      <c r="L964" s="170">
        <v>43637</v>
      </c>
      <c r="M964" s="116">
        <v>225.15</v>
      </c>
      <c r="N964" s="116">
        <v>230.4</v>
      </c>
      <c r="O964" s="116">
        <v>210.95</v>
      </c>
      <c r="P964" s="116">
        <v>211</v>
      </c>
      <c r="Q964" s="116">
        <v>225.15</v>
      </c>
      <c r="R964">
        <v>171685</v>
      </c>
    </row>
    <row r="965" spans="1:18" x14ac:dyDescent="0.25">
      <c r="A965" s="170">
        <v>43640</v>
      </c>
      <c r="B965" s="116">
        <v>231.25</v>
      </c>
      <c r="C965" s="116">
        <v>224.75</v>
      </c>
      <c r="D965" s="116">
        <v>221.9</v>
      </c>
      <c r="E965" s="116">
        <v>228</v>
      </c>
      <c r="F965" s="116">
        <v>224.75</v>
      </c>
      <c r="G965">
        <v>24397</v>
      </c>
      <c r="H965" s="116"/>
      <c r="I965" s="116"/>
      <c r="L965" s="170">
        <v>43640</v>
      </c>
      <c r="M965" s="116">
        <v>224.85</v>
      </c>
      <c r="N965" s="116">
        <v>231</v>
      </c>
      <c r="O965" s="116">
        <v>222.7</v>
      </c>
      <c r="P965" s="116">
        <v>226</v>
      </c>
      <c r="Q965" s="116">
        <v>224.85</v>
      </c>
      <c r="R965">
        <v>66000</v>
      </c>
    </row>
    <row r="966" spans="1:18" x14ac:dyDescent="0.25">
      <c r="A966" s="170">
        <v>43641</v>
      </c>
      <c r="B966" s="116">
        <v>228.2</v>
      </c>
      <c r="C966" s="116">
        <v>221.85</v>
      </c>
      <c r="D966" s="116">
        <v>218</v>
      </c>
      <c r="E966" s="116">
        <v>221.85</v>
      </c>
      <c r="F966" s="116">
        <v>221.85</v>
      </c>
      <c r="G966">
        <v>24743</v>
      </c>
      <c r="H966" s="116"/>
      <c r="I966" s="116"/>
      <c r="L966" s="170">
        <v>43641</v>
      </c>
      <c r="M966" s="116">
        <v>222</v>
      </c>
      <c r="N966" s="116">
        <v>227.95</v>
      </c>
      <c r="O966" s="116">
        <v>217.95</v>
      </c>
      <c r="P966" s="116">
        <v>224.85</v>
      </c>
      <c r="Q966" s="116">
        <v>222</v>
      </c>
      <c r="R966">
        <v>117206</v>
      </c>
    </row>
    <row r="967" spans="1:18" x14ac:dyDescent="0.25">
      <c r="A967" s="170">
        <v>43642</v>
      </c>
      <c r="B967" s="116">
        <v>227</v>
      </c>
      <c r="C967" s="116">
        <v>223.55</v>
      </c>
      <c r="D967" s="116">
        <v>221.05</v>
      </c>
      <c r="E967" s="116">
        <v>221.05</v>
      </c>
      <c r="F967" s="116">
        <v>223.55</v>
      </c>
      <c r="G967">
        <v>17639</v>
      </c>
      <c r="H967" s="116"/>
      <c r="I967" s="116"/>
      <c r="L967" s="170">
        <v>43642</v>
      </c>
      <c r="M967" s="116">
        <v>223.35</v>
      </c>
      <c r="N967" s="116">
        <v>226.6</v>
      </c>
      <c r="O967" s="116">
        <v>219.8</v>
      </c>
      <c r="P967" s="116">
        <v>222</v>
      </c>
      <c r="Q967" s="116">
        <v>223.35</v>
      </c>
      <c r="R967">
        <v>55375</v>
      </c>
    </row>
    <row r="968" spans="1:18" x14ac:dyDescent="0.25">
      <c r="A968" s="170">
        <v>43643</v>
      </c>
      <c r="B968" s="116">
        <v>227</v>
      </c>
      <c r="C968" s="116">
        <v>221.4</v>
      </c>
      <c r="D968" s="116">
        <v>219.9</v>
      </c>
      <c r="E968" s="116">
        <v>223.45</v>
      </c>
      <c r="F968" s="116">
        <v>221.4</v>
      </c>
      <c r="G968">
        <v>46424</v>
      </c>
      <c r="H968" s="116"/>
      <c r="I968" s="116"/>
      <c r="L968" s="170">
        <v>43643</v>
      </c>
      <c r="M968" s="116">
        <v>221.2</v>
      </c>
      <c r="N968" s="116">
        <v>226</v>
      </c>
      <c r="O968" s="116">
        <v>220.25</v>
      </c>
      <c r="P968" s="116">
        <v>224.65</v>
      </c>
      <c r="Q968" s="116">
        <v>221.2</v>
      </c>
      <c r="R968">
        <v>63839</v>
      </c>
    </row>
    <row r="969" spans="1:18" x14ac:dyDescent="0.25">
      <c r="A969" s="170">
        <v>43644</v>
      </c>
      <c r="B969" s="116">
        <v>226</v>
      </c>
      <c r="C969" s="116">
        <v>224.35</v>
      </c>
      <c r="D969" s="116">
        <v>220.85</v>
      </c>
      <c r="E969" s="116">
        <v>223.2</v>
      </c>
      <c r="F969" s="116">
        <v>224.35</v>
      </c>
      <c r="G969">
        <v>14966</v>
      </c>
      <c r="H969" s="116"/>
      <c r="I969" s="116"/>
      <c r="L969" s="170">
        <v>43644</v>
      </c>
      <c r="M969" s="116">
        <v>224.15</v>
      </c>
      <c r="N969" s="116">
        <v>225.55</v>
      </c>
      <c r="O969" s="116">
        <v>220.5</v>
      </c>
      <c r="P969" s="116">
        <v>221.2</v>
      </c>
      <c r="Q969" s="116">
        <v>224.15</v>
      </c>
      <c r="R969">
        <v>43329</v>
      </c>
    </row>
    <row r="970" spans="1:18" x14ac:dyDescent="0.25">
      <c r="A970" s="170">
        <v>43647</v>
      </c>
      <c r="B970" s="116">
        <v>232.6</v>
      </c>
      <c r="C970" s="116">
        <v>223.85</v>
      </c>
      <c r="D970" s="116">
        <v>222.2</v>
      </c>
      <c r="E970" s="116">
        <v>224.15</v>
      </c>
      <c r="F970" s="116">
        <v>223.85</v>
      </c>
      <c r="G970">
        <v>38172</v>
      </c>
      <c r="H970" s="116"/>
      <c r="I970" s="116"/>
      <c r="L970" s="170">
        <v>43647</v>
      </c>
      <c r="M970" s="116">
        <v>223.8</v>
      </c>
      <c r="N970" s="116">
        <v>232.7</v>
      </c>
      <c r="O970" s="116">
        <v>222</v>
      </c>
      <c r="P970" s="116">
        <v>222</v>
      </c>
      <c r="Q970" s="116">
        <v>223.8</v>
      </c>
      <c r="R970">
        <v>124926</v>
      </c>
    </row>
    <row r="971" spans="1:18" x14ac:dyDescent="0.25">
      <c r="A971" s="170">
        <v>43648</v>
      </c>
      <c r="B971" s="116">
        <v>244.3</v>
      </c>
      <c r="C971" s="116">
        <v>235.75</v>
      </c>
      <c r="D971" s="116">
        <v>225.65</v>
      </c>
      <c r="E971" s="116">
        <v>226.1</v>
      </c>
      <c r="F971" s="116">
        <v>235.75</v>
      </c>
      <c r="G971">
        <v>97798</v>
      </c>
      <c r="H971" s="116"/>
      <c r="I971" s="116"/>
      <c r="L971" s="170">
        <v>43648</v>
      </c>
      <c r="M971" s="116">
        <v>236.2</v>
      </c>
      <c r="N971" s="116">
        <v>244.3</v>
      </c>
      <c r="O971" s="116">
        <v>224.4</v>
      </c>
      <c r="P971" s="116">
        <v>225</v>
      </c>
      <c r="Q971" s="116">
        <v>236.2</v>
      </c>
      <c r="R971">
        <v>679841</v>
      </c>
    </row>
    <row r="972" spans="1:18" x14ac:dyDescent="0.25">
      <c r="A972" s="170">
        <v>43649</v>
      </c>
      <c r="B972" s="116">
        <v>240.9</v>
      </c>
      <c r="C972" s="116">
        <v>232.15</v>
      </c>
      <c r="D972" s="116">
        <v>231</v>
      </c>
      <c r="E972" s="116">
        <v>237.8</v>
      </c>
      <c r="F972" s="116">
        <v>232.15</v>
      </c>
      <c r="G972">
        <v>30082</v>
      </c>
      <c r="H972" s="116"/>
      <c r="I972" s="116"/>
      <c r="L972" s="170">
        <v>43649</v>
      </c>
      <c r="M972" s="116">
        <v>232.3</v>
      </c>
      <c r="N972" s="116">
        <v>241</v>
      </c>
      <c r="O972" s="116">
        <v>231</v>
      </c>
      <c r="P972" s="116">
        <v>235.95</v>
      </c>
      <c r="Q972" s="116">
        <v>232.3</v>
      </c>
      <c r="R972">
        <v>173647</v>
      </c>
    </row>
    <row r="973" spans="1:18" x14ac:dyDescent="0.25">
      <c r="A973" s="170">
        <v>43650</v>
      </c>
      <c r="B973" s="116">
        <v>235.35</v>
      </c>
      <c r="C973" s="116">
        <v>229.65</v>
      </c>
      <c r="D973" s="116">
        <v>227.1</v>
      </c>
      <c r="E973" s="116">
        <v>235.15</v>
      </c>
      <c r="F973" s="116">
        <v>229.65</v>
      </c>
      <c r="G973">
        <v>17266</v>
      </c>
      <c r="H973" s="116"/>
      <c r="I973" s="116"/>
      <c r="L973" s="170">
        <v>43650</v>
      </c>
      <c r="M973" s="116">
        <v>228.95</v>
      </c>
      <c r="N973" s="116">
        <v>235.9</v>
      </c>
      <c r="O973" s="116">
        <v>227</v>
      </c>
      <c r="P973" s="116">
        <v>234.2</v>
      </c>
      <c r="Q973" s="116">
        <v>228.95</v>
      </c>
      <c r="R973">
        <v>84315</v>
      </c>
    </row>
    <row r="974" spans="1:18" x14ac:dyDescent="0.25">
      <c r="A974" s="170">
        <v>43651</v>
      </c>
      <c r="B974" s="116">
        <v>232.2</v>
      </c>
      <c r="C974" s="116">
        <v>225.1</v>
      </c>
      <c r="D974" s="116">
        <v>224.8</v>
      </c>
      <c r="E974" s="116">
        <v>230.2</v>
      </c>
      <c r="F974" s="116">
        <v>225.1</v>
      </c>
      <c r="G974">
        <v>20160</v>
      </c>
      <c r="H974" s="116"/>
      <c r="I974" s="116"/>
      <c r="L974" s="170">
        <v>43651</v>
      </c>
      <c r="M974" s="116">
        <v>225.25</v>
      </c>
      <c r="N974" s="116">
        <v>232</v>
      </c>
      <c r="O974" s="116">
        <v>225</v>
      </c>
      <c r="P974" s="116">
        <v>231</v>
      </c>
      <c r="Q974" s="116">
        <v>225.25</v>
      </c>
      <c r="R974">
        <v>67494</v>
      </c>
    </row>
    <row r="975" spans="1:18" x14ac:dyDescent="0.25">
      <c r="A975" s="170">
        <v>43654</v>
      </c>
      <c r="B975" s="116">
        <v>223.6</v>
      </c>
      <c r="C975" s="116">
        <v>222.45</v>
      </c>
      <c r="D975" s="116">
        <v>219.05</v>
      </c>
      <c r="E975" s="116">
        <v>221.65</v>
      </c>
      <c r="F975" s="116">
        <v>222.45</v>
      </c>
      <c r="G975">
        <v>13538</v>
      </c>
      <c r="H975" s="116"/>
      <c r="I975" s="116"/>
      <c r="L975" s="170">
        <v>43654</v>
      </c>
      <c r="M975" s="116">
        <v>222.75</v>
      </c>
      <c r="N975" s="116">
        <v>224.1</v>
      </c>
      <c r="O975" s="116">
        <v>219</v>
      </c>
      <c r="P975" s="116">
        <v>224.1</v>
      </c>
      <c r="Q975" s="116">
        <v>222.75</v>
      </c>
      <c r="R975">
        <v>78051</v>
      </c>
    </row>
    <row r="976" spans="1:18" x14ac:dyDescent="0.25">
      <c r="A976" s="170">
        <v>43655</v>
      </c>
      <c r="B976" s="116">
        <v>226</v>
      </c>
      <c r="C976" s="116">
        <v>221.75</v>
      </c>
      <c r="D976" s="116">
        <v>220.6</v>
      </c>
      <c r="E976" s="116">
        <v>222.1</v>
      </c>
      <c r="F976" s="116">
        <v>221.75</v>
      </c>
      <c r="G976">
        <v>14467</v>
      </c>
      <c r="H976" s="116"/>
      <c r="I976" s="116"/>
      <c r="L976" s="170">
        <v>43655</v>
      </c>
      <c r="M976" s="116">
        <v>221.8</v>
      </c>
      <c r="N976" s="116">
        <v>226.45</v>
      </c>
      <c r="O976" s="116">
        <v>220.7</v>
      </c>
      <c r="P976" s="116">
        <v>223.3</v>
      </c>
      <c r="Q976" s="116">
        <v>221.8</v>
      </c>
      <c r="R976">
        <v>97016</v>
      </c>
    </row>
    <row r="977" spans="1:18" x14ac:dyDescent="0.25">
      <c r="A977" s="170">
        <v>43656</v>
      </c>
      <c r="B977" s="116">
        <v>227</v>
      </c>
      <c r="C977" s="116">
        <v>224.25</v>
      </c>
      <c r="D977" s="116">
        <v>223.45</v>
      </c>
      <c r="E977" s="116">
        <v>224.45</v>
      </c>
      <c r="F977" s="116">
        <v>224.25</v>
      </c>
      <c r="G977">
        <v>8143</v>
      </c>
      <c r="H977" s="116"/>
      <c r="I977" s="116"/>
      <c r="L977" s="170">
        <v>43656</v>
      </c>
      <c r="M977" s="116">
        <v>224.65</v>
      </c>
      <c r="N977" s="116">
        <v>227</v>
      </c>
      <c r="O977" s="116">
        <v>222.9</v>
      </c>
      <c r="P977" s="116">
        <v>223</v>
      </c>
      <c r="Q977" s="116">
        <v>224.65</v>
      </c>
      <c r="R977">
        <v>73831</v>
      </c>
    </row>
    <row r="978" spans="1:18" x14ac:dyDescent="0.25">
      <c r="A978" s="170">
        <v>43657</v>
      </c>
      <c r="B978" s="116">
        <v>228.95</v>
      </c>
      <c r="C978" s="116">
        <v>225.05</v>
      </c>
      <c r="D978" s="116">
        <v>224.35</v>
      </c>
      <c r="E978" s="116">
        <v>227</v>
      </c>
      <c r="F978" s="116">
        <v>225.05</v>
      </c>
      <c r="G978">
        <v>9850</v>
      </c>
      <c r="H978" s="116"/>
      <c r="I978" s="116"/>
      <c r="L978" s="170">
        <v>43657</v>
      </c>
      <c r="M978" s="116">
        <v>224.95</v>
      </c>
      <c r="N978" s="116">
        <v>229.45</v>
      </c>
      <c r="O978" s="116">
        <v>223.65</v>
      </c>
      <c r="P978" s="116">
        <v>225.95</v>
      </c>
      <c r="Q978" s="116">
        <v>224.95</v>
      </c>
      <c r="R978">
        <v>45259</v>
      </c>
    </row>
    <row r="979" spans="1:18" x14ac:dyDescent="0.25">
      <c r="A979" s="170">
        <v>43658</v>
      </c>
      <c r="B979" s="116">
        <v>225.25</v>
      </c>
      <c r="C979" s="116">
        <v>222.8</v>
      </c>
      <c r="D979" s="116">
        <v>222.45</v>
      </c>
      <c r="E979" s="116">
        <v>225.05</v>
      </c>
      <c r="F979" s="116">
        <v>222.8</v>
      </c>
      <c r="G979">
        <v>2612</v>
      </c>
      <c r="H979" s="116"/>
      <c r="I979" s="116"/>
      <c r="L979" s="170">
        <v>43658</v>
      </c>
      <c r="M979" s="116">
        <v>222.8</v>
      </c>
      <c r="N979" s="116">
        <v>228</v>
      </c>
      <c r="O979" s="116">
        <v>222</v>
      </c>
      <c r="P979" s="116">
        <v>226.55</v>
      </c>
      <c r="Q979" s="116">
        <v>222.8</v>
      </c>
      <c r="R979">
        <v>25242</v>
      </c>
    </row>
    <row r="980" spans="1:18" x14ac:dyDescent="0.25">
      <c r="A980" s="170">
        <v>43661</v>
      </c>
      <c r="B980" s="116">
        <v>226</v>
      </c>
      <c r="C980" s="116">
        <v>221.95</v>
      </c>
      <c r="D980" s="116">
        <v>221.35</v>
      </c>
      <c r="E980" s="116">
        <v>224.5</v>
      </c>
      <c r="F980" s="116">
        <v>221.95</v>
      </c>
      <c r="G980">
        <v>15534</v>
      </c>
      <c r="H980" s="116"/>
      <c r="I980" s="116"/>
      <c r="L980" s="170">
        <v>43661</v>
      </c>
      <c r="M980" s="116">
        <v>222.05</v>
      </c>
      <c r="N980" s="116">
        <v>227</v>
      </c>
      <c r="O980" s="116">
        <v>221</v>
      </c>
      <c r="P980" s="116">
        <v>223</v>
      </c>
      <c r="Q980" s="116">
        <v>222.05</v>
      </c>
      <c r="R980">
        <v>29781</v>
      </c>
    </row>
    <row r="981" spans="1:18" x14ac:dyDescent="0.25">
      <c r="A981" s="170">
        <v>43662</v>
      </c>
      <c r="B981" s="116">
        <v>225.35</v>
      </c>
      <c r="C981" s="116">
        <v>222.35</v>
      </c>
      <c r="D981" s="116">
        <v>221</v>
      </c>
      <c r="E981" s="116">
        <v>222.75</v>
      </c>
      <c r="F981" s="116">
        <v>222.35</v>
      </c>
      <c r="G981">
        <v>14515</v>
      </c>
      <c r="H981" s="116"/>
      <c r="I981" s="116"/>
      <c r="L981" s="170">
        <v>43662</v>
      </c>
      <c r="M981" s="116">
        <v>222.2</v>
      </c>
      <c r="N981" s="116">
        <v>225.55</v>
      </c>
      <c r="O981" s="116">
        <v>221.35</v>
      </c>
      <c r="P981" s="116">
        <v>223</v>
      </c>
      <c r="Q981" s="116">
        <v>222.2</v>
      </c>
      <c r="R981">
        <v>49846</v>
      </c>
    </row>
    <row r="982" spans="1:18" x14ac:dyDescent="0.25">
      <c r="A982" s="170">
        <v>43663</v>
      </c>
      <c r="B982" s="116">
        <v>225.35</v>
      </c>
      <c r="C982" s="116">
        <v>221.85</v>
      </c>
      <c r="D982" s="116">
        <v>221</v>
      </c>
      <c r="E982" s="116">
        <v>223</v>
      </c>
      <c r="F982" s="116">
        <v>221.85</v>
      </c>
      <c r="G982">
        <v>24424</v>
      </c>
      <c r="H982" s="116"/>
      <c r="I982" s="116"/>
      <c r="L982" s="170">
        <v>43663</v>
      </c>
      <c r="M982" s="116">
        <v>221.8</v>
      </c>
      <c r="N982" s="116">
        <v>226</v>
      </c>
      <c r="O982" s="116">
        <v>221</v>
      </c>
      <c r="P982" s="116">
        <v>223.45</v>
      </c>
      <c r="Q982" s="116">
        <v>221.8</v>
      </c>
      <c r="R982">
        <v>56642</v>
      </c>
    </row>
    <row r="983" spans="1:18" x14ac:dyDescent="0.25">
      <c r="A983" s="170">
        <v>43664</v>
      </c>
      <c r="B983" s="116">
        <v>223.65</v>
      </c>
      <c r="C983" s="116">
        <v>213.4</v>
      </c>
      <c r="D983" s="116">
        <v>211.5</v>
      </c>
      <c r="E983" s="116">
        <v>221.75</v>
      </c>
      <c r="F983" s="116">
        <v>213.4</v>
      </c>
      <c r="G983">
        <v>29539</v>
      </c>
      <c r="H983" s="116"/>
      <c r="I983" s="116"/>
      <c r="L983" s="170">
        <v>43664</v>
      </c>
      <c r="M983" s="116">
        <v>214</v>
      </c>
      <c r="N983" s="116">
        <v>223.3</v>
      </c>
      <c r="O983" s="116">
        <v>211</v>
      </c>
      <c r="P983" s="116">
        <v>222.8</v>
      </c>
      <c r="Q983" s="116">
        <v>214</v>
      </c>
      <c r="R983">
        <v>98049</v>
      </c>
    </row>
    <row r="984" spans="1:18" x14ac:dyDescent="0.25">
      <c r="A984" s="170">
        <v>43665</v>
      </c>
      <c r="B984" s="116">
        <v>217.5</v>
      </c>
      <c r="C984" s="116">
        <v>211</v>
      </c>
      <c r="D984" s="116">
        <v>209.05</v>
      </c>
      <c r="E984" s="116">
        <v>217.5</v>
      </c>
      <c r="F984" s="116">
        <v>211</v>
      </c>
      <c r="G984">
        <v>21292</v>
      </c>
      <c r="H984" s="116"/>
      <c r="I984" s="116"/>
      <c r="L984" s="170">
        <v>43665</v>
      </c>
      <c r="M984" s="116">
        <v>210.35</v>
      </c>
      <c r="N984" s="116">
        <v>217.8</v>
      </c>
      <c r="O984" s="116">
        <v>209.05</v>
      </c>
      <c r="P984" s="116">
        <v>215.3</v>
      </c>
      <c r="Q984" s="116">
        <v>210.35</v>
      </c>
      <c r="R984">
        <v>44097</v>
      </c>
    </row>
    <row r="985" spans="1:18" x14ac:dyDescent="0.25">
      <c r="A985" s="170">
        <v>43668</v>
      </c>
      <c r="B985" s="116">
        <v>215.9</v>
      </c>
      <c r="C985" s="116">
        <v>214.65</v>
      </c>
      <c r="D985" s="116">
        <v>208</v>
      </c>
      <c r="E985" s="116">
        <v>211.6</v>
      </c>
      <c r="F985" s="116">
        <v>214.65</v>
      </c>
      <c r="G985">
        <v>10992</v>
      </c>
      <c r="H985" s="116"/>
      <c r="I985" s="116"/>
      <c r="L985" s="170">
        <v>43668</v>
      </c>
      <c r="M985" s="116">
        <v>214.95</v>
      </c>
      <c r="N985" s="116">
        <v>216</v>
      </c>
      <c r="O985" s="116">
        <v>208</v>
      </c>
      <c r="P985" s="116">
        <v>209.8</v>
      </c>
      <c r="Q985" s="116">
        <v>214.95</v>
      </c>
      <c r="R985">
        <v>55940</v>
      </c>
    </row>
    <row r="986" spans="1:18" x14ac:dyDescent="0.25">
      <c r="A986" s="170">
        <v>43669</v>
      </c>
      <c r="B986" s="116">
        <v>215.2</v>
      </c>
      <c r="C986" s="116">
        <v>213.7</v>
      </c>
      <c r="D986" s="116">
        <v>207.5</v>
      </c>
      <c r="E986" s="116">
        <v>214.25</v>
      </c>
      <c r="F986" s="116">
        <v>213.7</v>
      </c>
      <c r="G986">
        <v>20109</v>
      </c>
      <c r="H986" s="116"/>
      <c r="I986" s="116"/>
      <c r="L986" s="170">
        <v>43669</v>
      </c>
      <c r="M986" s="116">
        <v>214.05</v>
      </c>
      <c r="N986" s="116">
        <v>216</v>
      </c>
      <c r="O986" s="116">
        <v>207.6</v>
      </c>
      <c r="P986" s="116">
        <v>215.9</v>
      </c>
      <c r="Q986" s="116">
        <v>214.05</v>
      </c>
      <c r="R986">
        <v>74647</v>
      </c>
    </row>
    <row r="987" spans="1:18" x14ac:dyDescent="0.25">
      <c r="A987" s="170">
        <v>43670</v>
      </c>
      <c r="B987" s="116">
        <v>213.55</v>
      </c>
      <c r="C987" s="116">
        <v>208.55</v>
      </c>
      <c r="D987" s="116">
        <v>206.2</v>
      </c>
      <c r="E987" s="116">
        <v>213.45</v>
      </c>
      <c r="F987" s="116">
        <v>208.55</v>
      </c>
      <c r="G987">
        <v>31354</v>
      </c>
      <c r="H987" s="116"/>
      <c r="I987" s="116"/>
      <c r="L987" s="170">
        <v>43670</v>
      </c>
      <c r="M987" s="116">
        <v>208.3</v>
      </c>
      <c r="N987" s="116">
        <v>214.5</v>
      </c>
      <c r="O987" s="116">
        <v>206</v>
      </c>
      <c r="P987" s="116">
        <v>213.1</v>
      </c>
      <c r="Q987" s="116">
        <v>208.3</v>
      </c>
      <c r="R987">
        <v>59323</v>
      </c>
    </row>
    <row r="988" spans="1:18" x14ac:dyDescent="0.25">
      <c r="A988" s="170">
        <v>43671</v>
      </c>
      <c r="B988" s="116">
        <v>216.9</v>
      </c>
      <c r="C988" s="116">
        <v>214.85</v>
      </c>
      <c r="D988" s="116">
        <v>208.5</v>
      </c>
      <c r="E988" s="116">
        <v>208.5</v>
      </c>
      <c r="F988" s="116">
        <v>214.85</v>
      </c>
      <c r="G988">
        <v>8403</v>
      </c>
      <c r="H988" s="116"/>
      <c r="I988" s="116"/>
      <c r="L988" s="170">
        <v>43671</v>
      </c>
      <c r="M988" s="116">
        <v>215.4</v>
      </c>
      <c r="N988" s="116">
        <v>217</v>
      </c>
      <c r="O988" s="116">
        <v>206.2</v>
      </c>
      <c r="P988" s="116">
        <v>209</v>
      </c>
      <c r="Q988" s="116">
        <v>215.4</v>
      </c>
      <c r="R988">
        <v>73508</v>
      </c>
    </row>
    <row r="989" spans="1:18" x14ac:dyDescent="0.25">
      <c r="A989" s="170">
        <v>43672</v>
      </c>
      <c r="B989" s="116">
        <v>219.8</v>
      </c>
      <c r="C989" s="116">
        <v>215.55</v>
      </c>
      <c r="D989" s="116">
        <v>213.9</v>
      </c>
      <c r="E989" s="116">
        <v>213.9</v>
      </c>
      <c r="F989" s="116">
        <v>215.55</v>
      </c>
      <c r="G989">
        <v>10525</v>
      </c>
      <c r="H989" s="116"/>
      <c r="I989" s="116"/>
      <c r="L989" s="170">
        <v>43672</v>
      </c>
      <c r="M989" s="116">
        <v>215.4</v>
      </c>
      <c r="N989" s="116">
        <v>219.5</v>
      </c>
      <c r="O989" s="116">
        <v>212.8</v>
      </c>
      <c r="P989" s="116">
        <v>214</v>
      </c>
      <c r="Q989" s="116">
        <v>215.4</v>
      </c>
      <c r="R989">
        <v>32510</v>
      </c>
    </row>
    <row r="990" spans="1:18" x14ac:dyDescent="0.25">
      <c r="A990" s="170">
        <v>43675</v>
      </c>
      <c r="B990" s="116">
        <v>218.7</v>
      </c>
      <c r="C990" s="116">
        <v>207.45</v>
      </c>
      <c r="D990" s="116">
        <v>205.5</v>
      </c>
      <c r="E990" s="116">
        <v>216.35</v>
      </c>
      <c r="F990" s="116">
        <v>207.45</v>
      </c>
      <c r="G990">
        <v>13962</v>
      </c>
      <c r="H990" s="116"/>
      <c r="I990" s="116"/>
      <c r="L990" s="170">
        <v>43675</v>
      </c>
      <c r="M990" s="116">
        <v>207.8</v>
      </c>
      <c r="N990" s="116">
        <v>219.95</v>
      </c>
      <c r="O990" s="116">
        <v>205.15</v>
      </c>
      <c r="P990" s="116">
        <v>215</v>
      </c>
      <c r="Q990" s="116">
        <v>207.8</v>
      </c>
      <c r="R990">
        <v>59677</v>
      </c>
    </row>
    <row r="991" spans="1:18" x14ac:dyDescent="0.25">
      <c r="A991" s="170">
        <v>43676</v>
      </c>
      <c r="B991" s="116">
        <v>210.25</v>
      </c>
      <c r="C991" s="116">
        <v>203.4</v>
      </c>
      <c r="D991" s="116">
        <v>202.05</v>
      </c>
      <c r="E991" s="116">
        <v>202.05</v>
      </c>
      <c r="F991" s="116">
        <v>203.4</v>
      </c>
      <c r="G991">
        <v>11500</v>
      </c>
      <c r="H991" s="116"/>
      <c r="I991" s="116"/>
      <c r="L991" s="170">
        <v>43676</v>
      </c>
      <c r="M991" s="116">
        <v>203.95</v>
      </c>
      <c r="N991" s="116">
        <v>210.5</v>
      </c>
      <c r="O991" s="116">
        <v>202.5</v>
      </c>
      <c r="P991" s="116">
        <v>209.95</v>
      </c>
      <c r="Q991" s="116">
        <v>203.95</v>
      </c>
      <c r="R991">
        <v>55096</v>
      </c>
    </row>
    <row r="992" spans="1:18" x14ac:dyDescent="0.25">
      <c r="A992" s="170">
        <v>43677</v>
      </c>
      <c r="B992" s="116">
        <v>208.45</v>
      </c>
      <c r="C992" s="116">
        <v>206.95</v>
      </c>
      <c r="D992" s="116">
        <v>198</v>
      </c>
      <c r="E992" s="116">
        <v>202.95</v>
      </c>
      <c r="F992" s="116">
        <v>206.95</v>
      </c>
      <c r="G992">
        <v>16504</v>
      </c>
      <c r="H992" s="116"/>
      <c r="I992" s="116"/>
      <c r="L992" s="170">
        <v>43677</v>
      </c>
      <c r="M992" s="116">
        <v>207.35</v>
      </c>
      <c r="N992" s="116">
        <v>208.65</v>
      </c>
      <c r="O992" s="116">
        <v>198</v>
      </c>
      <c r="P992" s="116">
        <v>201.45</v>
      </c>
      <c r="Q992" s="116">
        <v>207.35</v>
      </c>
      <c r="R992">
        <v>92349</v>
      </c>
    </row>
    <row r="993" spans="1:18" x14ac:dyDescent="0.25">
      <c r="A993" s="170">
        <v>43678</v>
      </c>
      <c r="B993" s="116">
        <v>212.5</v>
      </c>
      <c r="C993" s="116">
        <v>203.55</v>
      </c>
      <c r="D993" s="116">
        <v>201.15</v>
      </c>
      <c r="E993" s="116">
        <v>206.6</v>
      </c>
      <c r="F993" s="116">
        <v>203.55</v>
      </c>
      <c r="G993">
        <v>9121</v>
      </c>
      <c r="H993" s="116"/>
      <c r="I993" s="116"/>
      <c r="L993" s="170">
        <v>43678</v>
      </c>
      <c r="M993" s="116">
        <v>203.5</v>
      </c>
      <c r="N993" s="116">
        <v>212.8</v>
      </c>
      <c r="O993" s="116">
        <v>201</v>
      </c>
      <c r="P993" s="116">
        <v>205.4</v>
      </c>
      <c r="Q993" s="116">
        <v>203.5</v>
      </c>
      <c r="R993">
        <v>69649</v>
      </c>
    </row>
    <row r="994" spans="1:18" x14ac:dyDescent="0.25">
      <c r="A994" s="170">
        <v>43679</v>
      </c>
      <c r="B994" s="116">
        <v>208.3</v>
      </c>
      <c r="C994" s="116">
        <v>206.55</v>
      </c>
      <c r="D994" s="116">
        <v>199</v>
      </c>
      <c r="E994" s="116">
        <v>199</v>
      </c>
      <c r="F994" s="116">
        <v>206.55</v>
      </c>
      <c r="G994">
        <v>20514</v>
      </c>
      <c r="H994" s="116"/>
      <c r="I994" s="116"/>
      <c r="L994" s="170">
        <v>43679</v>
      </c>
      <c r="M994" s="116">
        <v>206.65</v>
      </c>
      <c r="N994" s="116">
        <v>209</v>
      </c>
      <c r="O994" s="116">
        <v>192</v>
      </c>
      <c r="P994" s="116">
        <v>192</v>
      </c>
      <c r="Q994" s="116">
        <v>206.65</v>
      </c>
      <c r="R994">
        <v>71940</v>
      </c>
    </row>
    <row r="995" spans="1:18" x14ac:dyDescent="0.25">
      <c r="A995" s="170">
        <v>43682</v>
      </c>
      <c r="B995" s="116">
        <v>205.65</v>
      </c>
      <c r="C995" s="116">
        <v>203.5</v>
      </c>
      <c r="D995" s="116">
        <v>195.2</v>
      </c>
      <c r="E995" s="116">
        <v>205</v>
      </c>
      <c r="F995" s="116">
        <v>203.5</v>
      </c>
      <c r="G995">
        <v>13006</v>
      </c>
      <c r="H995" s="116"/>
      <c r="I995" s="116"/>
      <c r="L995" s="170">
        <v>43682</v>
      </c>
      <c r="M995" s="116">
        <v>204</v>
      </c>
      <c r="N995" s="116">
        <v>205.95</v>
      </c>
      <c r="O995" s="116">
        <v>195.15</v>
      </c>
      <c r="P995" s="116">
        <v>204</v>
      </c>
      <c r="Q995" s="116">
        <v>204</v>
      </c>
      <c r="R995">
        <v>77280</v>
      </c>
    </row>
    <row r="996" spans="1:18" x14ac:dyDescent="0.25">
      <c r="A996" s="170">
        <v>43683</v>
      </c>
      <c r="B996" s="116">
        <v>209.4</v>
      </c>
      <c r="C996" s="116">
        <v>207.8</v>
      </c>
      <c r="D996" s="116">
        <v>202.75</v>
      </c>
      <c r="E996" s="116">
        <v>203.1</v>
      </c>
      <c r="F996" s="116">
        <v>207.8</v>
      </c>
      <c r="G996">
        <v>18544</v>
      </c>
      <c r="H996" s="116"/>
      <c r="I996" s="116"/>
      <c r="L996" s="170">
        <v>43683</v>
      </c>
      <c r="M996" s="116">
        <v>207.85</v>
      </c>
      <c r="N996" s="116">
        <v>209.5</v>
      </c>
      <c r="O996" s="116">
        <v>201.25</v>
      </c>
      <c r="P996" s="116">
        <v>203</v>
      </c>
      <c r="Q996" s="116">
        <v>207.85</v>
      </c>
      <c r="R996">
        <v>38781</v>
      </c>
    </row>
    <row r="997" spans="1:18" x14ac:dyDescent="0.25">
      <c r="A997" s="170">
        <v>43684</v>
      </c>
      <c r="B997" s="116">
        <v>220</v>
      </c>
      <c r="C997" s="116">
        <v>206.55</v>
      </c>
      <c r="D997" s="116">
        <v>202.5</v>
      </c>
      <c r="E997" s="116">
        <v>220</v>
      </c>
      <c r="F997" s="116">
        <v>206.55</v>
      </c>
      <c r="G997">
        <v>22551</v>
      </c>
      <c r="H997" s="116"/>
      <c r="I997" s="116"/>
      <c r="L997" s="170">
        <v>43684</v>
      </c>
      <c r="M997" s="116">
        <v>206.3</v>
      </c>
      <c r="N997" s="116">
        <v>212</v>
      </c>
      <c r="O997" s="116">
        <v>205.3</v>
      </c>
      <c r="P997" s="116">
        <v>207.95</v>
      </c>
      <c r="Q997" s="116">
        <v>206.3</v>
      </c>
      <c r="R997">
        <v>63581</v>
      </c>
    </row>
    <row r="998" spans="1:18" x14ac:dyDescent="0.25">
      <c r="A998" s="170">
        <v>43685</v>
      </c>
      <c r="B998" s="116">
        <v>214.9</v>
      </c>
      <c r="C998" s="116">
        <v>213.65</v>
      </c>
      <c r="D998" s="116">
        <v>208.9</v>
      </c>
      <c r="E998" s="116">
        <v>211.1</v>
      </c>
      <c r="F998" s="116">
        <v>213.65</v>
      </c>
      <c r="G998">
        <v>11074</v>
      </c>
      <c r="H998" s="116"/>
      <c r="I998" s="116"/>
      <c r="L998" s="170">
        <v>43685</v>
      </c>
      <c r="M998" s="116">
        <v>213.65</v>
      </c>
      <c r="N998" s="116">
        <v>214.75</v>
      </c>
      <c r="O998" s="116">
        <v>206.5</v>
      </c>
      <c r="P998" s="116">
        <v>208.4</v>
      </c>
      <c r="Q998" s="116">
        <v>213.65</v>
      </c>
      <c r="R998">
        <v>77287</v>
      </c>
    </row>
    <row r="999" spans="1:18" x14ac:dyDescent="0.25">
      <c r="A999" s="170">
        <v>43686</v>
      </c>
      <c r="B999" s="116">
        <v>224</v>
      </c>
      <c r="C999" s="116">
        <v>218.2</v>
      </c>
      <c r="D999" s="116">
        <v>216.2</v>
      </c>
      <c r="E999" s="116">
        <v>224</v>
      </c>
      <c r="F999" s="116">
        <v>218.2</v>
      </c>
      <c r="G999">
        <v>19211</v>
      </c>
      <c r="H999" s="116"/>
      <c r="I999" s="116"/>
      <c r="L999" s="170">
        <v>43686</v>
      </c>
      <c r="M999" s="116">
        <v>218.15</v>
      </c>
      <c r="N999" s="116">
        <v>222</v>
      </c>
      <c r="O999" s="116">
        <v>216</v>
      </c>
      <c r="P999" s="116">
        <v>219.8</v>
      </c>
      <c r="Q999" s="116">
        <v>218.15</v>
      </c>
      <c r="R999">
        <v>152724</v>
      </c>
    </row>
    <row r="1000" spans="1:18" x14ac:dyDescent="0.25">
      <c r="A1000" s="170">
        <v>43690</v>
      </c>
      <c r="B1000" s="116">
        <v>218.6</v>
      </c>
      <c r="C1000" s="116">
        <v>214.35</v>
      </c>
      <c r="D1000" s="116">
        <v>213</v>
      </c>
      <c r="E1000" s="116">
        <v>218.6</v>
      </c>
      <c r="F1000" s="116">
        <v>214.35</v>
      </c>
      <c r="G1000">
        <v>8036</v>
      </c>
      <c r="H1000" s="116"/>
      <c r="I1000" s="116"/>
      <c r="L1000" s="170">
        <v>43690</v>
      </c>
      <c r="M1000" s="116">
        <v>214.45</v>
      </c>
      <c r="N1000" s="116">
        <v>219</v>
      </c>
      <c r="O1000" s="116">
        <v>213.05</v>
      </c>
      <c r="P1000" s="116">
        <v>218</v>
      </c>
      <c r="Q1000" s="116">
        <v>214.45</v>
      </c>
      <c r="R1000">
        <v>36136</v>
      </c>
    </row>
    <row r="1001" spans="1:18" x14ac:dyDescent="0.25">
      <c r="A1001" s="170">
        <v>43691</v>
      </c>
      <c r="B1001" s="116">
        <v>217.8</v>
      </c>
      <c r="C1001" s="116">
        <v>211.25</v>
      </c>
      <c r="D1001" s="116">
        <v>209.7</v>
      </c>
      <c r="E1001" s="116">
        <v>214</v>
      </c>
      <c r="F1001" s="116">
        <v>211.25</v>
      </c>
      <c r="G1001">
        <v>24328</v>
      </c>
      <c r="H1001" s="116"/>
      <c r="I1001" s="116"/>
      <c r="L1001" s="170">
        <v>43691</v>
      </c>
      <c r="M1001" s="116">
        <v>210.75</v>
      </c>
      <c r="N1001" s="116">
        <v>218</v>
      </c>
      <c r="O1001" s="116">
        <v>209.15</v>
      </c>
      <c r="P1001" s="116">
        <v>215.65</v>
      </c>
      <c r="Q1001" s="116">
        <v>210.75</v>
      </c>
      <c r="R1001">
        <v>65429</v>
      </c>
    </row>
    <row r="1002" spans="1:18" x14ac:dyDescent="0.25">
      <c r="A1002" s="170">
        <v>43693</v>
      </c>
      <c r="B1002" s="116">
        <v>214.2</v>
      </c>
      <c r="C1002" s="116">
        <v>209.95</v>
      </c>
      <c r="D1002" s="116">
        <v>208.1</v>
      </c>
      <c r="E1002" s="116">
        <v>208.75</v>
      </c>
      <c r="F1002" s="116">
        <v>209.95</v>
      </c>
      <c r="G1002">
        <v>2240</v>
      </c>
      <c r="H1002" s="116"/>
      <c r="I1002" s="116"/>
      <c r="L1002" s="170">
        <v>43693</v>
      </c>
      <c r="M1002" s="116">
        <v>211.35</v>
      </c>
      <c r="N1002" s="116">
        <v>214.2</v>
      </c>
      <c r="O1002" s="116">
        <v>207.6</v>
      </c>
      <c r="P1002" s="116">
        <v>209.95</v>
      </c>
      <c r="Q1002" s="116">
        <v>211.35</v>
      </c>
      <c r="R1002">
        <v>39419</v>
      </c>
    </row>
    <row r="1003" spans="1:18" x14ac:dyDescent="0.25">
      <c r="A1003" s="170">
        <v>43696</v>
      </c>
      <c r="B1003" s="116">
        <v>221.05</v>
      </c>
      <c r="C1003" s="116">
        <v>219.45</v>
      </c>
      <c r="D1003" s="116">
        <v>212.05</v>
      </c>
      <c r="E1003" s="116">
        <v>213.3</v>
      </c>
      <c r="F1003" s="116">
        <v>219.45</v>
      </c>
      <c r="G1003">
        <v>6990</v>
      </c>
      <c r="H1003" s="116"/>
      <c r="I1003" s="116"/>
      <c r="L1003" s="170">
        <v>43696</v>
      </c>
      <c r="M1003" s="116">
        <v>219.25</v>
      </c>
      <c r="N1003" s="116">
        <v>221.5</v>
      </c>
      <c r="O1003" s="116">
        <v>211.7</v>
      </c>
      <c r="P1003" s="116">
        <v>212.95</v>
      </c>
      <c r="Q1003" s="116">
        <v>219.25</v>
      </c>
      <c r="R1003">
        <v>63416</v>
      </c>
    </row>
    <row r="1004" spans="1:18" x14ac:dyDescent="0.25">
      <c r="A1004" s="170">
        <v>43697</v>
      </c>
      <c r="B1004" s="116">
        <v>221.65</v>
      </c>
      <c r="C1004" s="116">
        <v>218.95</v>
      </c>
      <c r="D1004" s="116">
        <v>216.75</v>
      </c>
      <c r="E1004" s="116">
        <v>219.05</v>
      </c>
      <c r="F1004" s="116">
        <v>218.95</v>
      </c>
      <c r="G1004">
        <v>9098</v>
      </c>
      <c r="H1004" s="116"/>
      <c r="I1004" s="116"/>
      <c r="L1004" s="170">
        <v>43697</v>
      </c>
      <c r="M1004" s="116">
        <v>218.6</v>
      </c>
      <c r="N1004" s="116">
        <v>222</v>
      </c>
      <c r="O1004" s="116">
        <v>215.05</v>
      </c>
      <c r="P1004" s="116">
        <v>219</v>
      </c>
      <c r="Q1004" s="116">
        <v>218.6</v>
      </c>
      <c r="R1004">
        <v>50421</v>
      </c>
    </row>
    <row r="1005" spans="1:18" x14ac:dyDescent="0.25">
      <c r="A1005" s="170">
        <v>43698</v>
      </c>
      <c r="B1005" s="116">
        <v>231.35</v>
      </c>
      <c r="C1005" s="116">
        <v>222.5</v>
      </c>
      <c r="D1005" s="116">
        <v>217.3</v>
      </c>
      <c r="E1005" s="116">
        <v>217.3</v>
      </c>
      <c r="F1005" s="116">
        <v>222.5</v>
      </c>
      <c r="G1005">
        <v>36491</v>
      </c>
      <c r="H1005" s="116"/>
      <c r="I1005" s="116"/>
      <c r="L1005" s="170">
        <v>43698</v>
      </c>
      <c r="M1005" s="116">
        <v>223.15</v>
      </c>
      <c r="N1005" s="116">
        <v>231.9</v>
      </c>
      <c r="O1005" s="116">
        <v>215.55</v>
      </c>
      <c r="P1005" s="116">
        <v>215.55</v>
      </c>
      <c r="Q1005" s="116">
        <v>223.15</v>
      </c>
      <c r="R1005">
        <v>190103</v>
      </c>
    </row>
    <row r="1006" spans="1:18" x14ac:dyDescent="0.25">
      <c r="A1006" s="170">
        <v>43699</v>
      </c>
      <c r="B1006" s="116">
        <v>225.95</v>
      </c>
      <c r="C1006" s="116">
        <v>216.3</v>
      </c>
      <c r="D1006" s="116">
        <v>214.5</v>
      </c>
      <c r="E1006" s="116">
        <v>223.65</v>
      </c>
      <c r="F1006" s="116">
        <v>216.3</v>
      </c>
      <c r="G1006">
        <v>37503</v>
      </c>
      <c r="H1006" s="116"/>
      <c r="I1006" s="116"/>
      <c r="L1006" s="170">
        <v>43699</v>
      </c>
      <c r="M1006" s="116">
        <v>216.65</v>
      </c>
      <c r="N1006" s="116">
        <v>226.1</v>
      </c>
      <c r="O1006" s="116">
        <v>214.5</v>
      </c>
      <c r="P1006" s="116">
        <v>224.95</v>
      </c>
      <c r="Q1006" s="116">
        <v>216.65</v>
      </c>
      <c r="R1006">
        <v>90609</v>
      </c>
    </row>
    <row r="1007" spans="1:18" x14ac:dyDescent="0.25">
      <c r="A1007" s="170">
        <v>43700</v>
      </c>
      <c r="B1007" s="116">
        <v>224.5</v>
      </c>
      <c r="C1007" s="116">
        <v>223.55</v>
      </c>
      <c r="D1007" s="116">
        <v>214</v>
      </c>
      <c r="E1007" s="116">
        <v>215.55</v>
      </c>
      <c r="F1007" s="116">
        <v>223.55</v>
      </c>
      <c r="G1007">
        <v>18708</v>
      </c>
      <c r="H1007" s="116"/>
      <c r="I1007" s="116"/>
      <c r="L1007" s="170">
        <v>43700</v>
      </c>
      <c r="M1007" s="116">
        <v>223.4</v>
      </c>
      <c r="N1007" s="116">
        <v>224.65</v>
      </c>
      <c r="O1007" s="116">
        <v>213.4</v>
      </c>
      <c r="P1007" s="116">
        <v>216</v>
      </c>
      <c r="Q1007" s="116">
        <v>223.4</v>
      </c>
      <c r="R1007">
        <v>62079</v>
      </c>
    </row>
    <row r="1008" spans="1:18" x14ac:dyDescent="0.25">
      <c r="A1008" s="170">
        <v>43703</v>
      </c>
      <c r="B1008" s="116">
        <v>229.85</v>
      </c>
      <c r="C1008" s="116">
        <v>229</v>
      </c>
      <c r="D1008" s="116">
        <v>224.75</v>
      </c>
      <c r="E1008" s="116">
        <v>224.9</v>
      </c>
      <c r="F1008" s="116">
        <v>229</v>
      </c>
      <c r="G1008">
        <v>15943</v>
      </c>
      <c r="H1008" s="116"/>
      <c r="I1008" s="116"/>
      <c r="L1008" s="170">
        <v>43703</v>
      </c>
      <c r="M1008" s="116">
        <v>229.1</v>
      </c>
      <c r="N1008" s="116">
        <v>230</v>
      </c>
      <c r="O1008" s="116">
        <v>224.3</v>
      </c>
      <c r="P1008" s="116">
        <v>225</v>
      </c>
      <c r="Q1008" s="116">
        <v>229.1</v>
      </c>
      <c r="R1008">
        <v>77762</v>
      </c>
    </row>
    <row r="1009" spans="1:18" x14ac:dyDescent="0.25">
      <c r="A1009" s="170">
        <v>43704</v>
      </c>
      <c r="B1009" s="116">
        <v>240.25</v>
      </c>
      <c r="C1009" s="116">
        <v>237.85</v>
      </c>
      <c r="D1009" s="116">
        <v>229.45</v>
      </c>
      <c r="E1009" s="116">
        <v>233.8</v>
      </c>
      <c r="F1009" s="116">
        <v>237.85</v>
      </c>
      <c r="G1009">
        <v>16733</v>
      </c>
      <c r="H1009" s="116"/>
      <c r="I1009" s="116"/>
      <c r="L1009" s="170">
        <v>43704</v>
      </c>
      <c r="M1009" s="116">
        <v>236.3</v>
      </c>
      <c r="N1009" s="116">
        <v>241</v>
      </c>
      <c r="O1009" s="116">
        <v>229.55</v>
      </c>
      <c r="P1009" s="116">
        <v>230.9</v>
      </c>
      <c r="Q1009" s="116">
        <v>236.3</v>
      </c>
      <c r="R1009">
        <v>141417</v>
      </c>
    </row>
    <row r="1010" spans="1:18" x14ac:dyDescent="0.25">
      <c r="A1010" s="170">
        <v>43705</v>
      </c>
      <c r="B1010" s="116">
        <v>239.75</v>
      </c>
      <c r="C1010" s="116">
        <v>234.55</v>
      </c>
      <c r="D1010" s="116">
        <v>232.05</v>
      </c>
      <c r="E1010" s="116">
        <v>238.95</v>
      </c>
      <c r="F1010" s="116">
        <v>234.55</v>
      </c>
      <c r="G1010">
        <v>18697</v>
      </c>
      <c r="H1010" s="116"/>
      <c r="I1010" s="116"/>
      <c r="L1010" s="170">
        <v>43705</v>
      </c>
      <c r="M1010" s="116">
        <v>234.75</v>
      </c>
      <c r="N1010" s="116">
        <v>239.9</v>
      </c>
      <c r="O1010" s="116">
        <v>231.6</v>
      </c>
      <c r="P1010" s="116">
        <v>238</v>
      </c>
      <c r="Q1010" s="116">
        <v>234.75</v>
      </c>
      <c r="R1010">
        <v>91885</v>
      </c>
    </row>
    <row r="1011" spans="1:18" x14ac:dyDescent="0.25">
      <c r="A1011" s="170">
        <v>43706</v>
      </c>
      <c r="B1011" s="116">
        <v>237</v>
      </c>
      <c r="C1011" s="116">
        <v>236.2</v>
      </c>
      <c r="D1011" s="116">
        <v>234</v>
      </c>
      <c r="E1011" s="116">
        <v>235.6</v>
      </c>
      <c r="F1011" s="116">
        <v>236.2</v>
      </c>
      <c r="G1011">
        <v>11490</v>
      </c>
      <c r="H1011" s="116"/>
      <c r="I1011" s="116"/>
      <c r="L1011" s="170">
        <v>43706</v>
      </c>
      <c r="M1011" s="116">
        <v>236.1</v>
      </c>
      <c r="N1011" s="116">
        <v>237</v>
      </c>
      <c r="O1011" s="116">
        <v>233.1</v>
      </c>
      <c r="P1011" s="116">
        <v>234.75</v>
      </c>
      <c r="Q1011" s="116">
        <v>236.1</v>
      </c>
      <c r="R1011">
        <v>60601</v>
      </c>
    </row>
    <row r="1012" spans="1:18" x14ac:dyDescent="0.25">
      <c r="A1012" s="170">
        <v>43707</v>
      </c>
      <c r="B1012" s="116">
        <v>239.95</v>
      </c>
      <c r="C1012" s="116">
        <v>234.5</v>
      </c>
      <c r="D1012" s="116">
        <v>230.85</v>
      </c>
      <c r="E1012" s="116">
        <v>239</v>
      </c>
      <c r="F1012" s="116">
        <v>234.5</v>
      </c>
      <c r="G1012">
        <v>17531</v>
      </c>
      <c r="H1012" s="116"/>
      <c r="I1012" s="116"/>
      <c r="L1012" s="170">
        <v>43707</v>
      </c>
      <c r="M1012" s="116">
        <v>234.15</v>
      </c>
      <c r="N1012" s="116">
        <v>239.95</v>
      </c>
      <c r="O1012" s="116">
        <v>230.5</v>
      </c>
      <c r="P1012" s="116">
        <v>238.1</v>
      </c>
      <c r="Q1012" s="116">
        <v>234.15</v>
      </c>
      <c r="R1012">
        <v>63858</v>
      </c>
    </row>
    <row r="1013" spans="1:18" x14ac:dyDescent="0.25">
      <c r="A1013" s="170">
        <v>43711</v>
      </c>
      <c r="B1013" s="116">
        <v>237.7</v>
      </c>
      <c r="C1013" s="116">
        <v>234.6</v>
      </c>
      <c r="D1013" s="116">
        <v>230.6</v>
      </c>
      <c r="E1013" s="116">
        <v>231.9</v>
      </c>
      <c r="F1013" s="116">
        <v>234.6</v>
      </c>
      <c r="G1013">
        <v>29460</v>
      </c>
      <c r="H1013" s="116"/>
      <c r="I1013" s="116"/>
      <c r="L1013" s="170">
        <v>43711</v>
      </c>
      <c r="M1013" s="116">
        <v>234.85</v>
      </c>
      <c r="N1013" s="116">
        <v>237.75</v>
      </c>
      <c r="O1013" s="116">
        <v>230.65</v>
      </c>
      <c r="P1013" s="116">
        <v>234.15</v>
      </c>
      <c r="Q1013" s="116">
        <v>234.85</v>
      </c>
      <c r="R1013">
        <v>67032</v>
      </c>
    </row>
    <row r="1014" spans="1:18" x14ac:dyDescent="0.25">
      <c r="A1014" s="170">
        <v>43712</v>
      </c>
      <c r="B1014" s="116">
        <v>240.85</v>
      </c>
      <c r="C1014" s="116">
        <v>236.35</v>
      </c>
      <c r="D1014" s="116">
        <v>233.65</v>
      </c>
      <c r="E1014" s="116">
        <v>233.65</v>
      </c>
      <c r="F1014" s="116">
        <v>236.35</v>
      </c>
      <c r="G1014">
        <v>37985</v>
      </c>
      <c r="H1014" s="116"/>
      <c r="I1014" s="116"/>
      <c r="L1014" s="170">
        <v>43712</v>
      </c>
      <c r="M1014" s="116">
        <v>236.05</v>
      </c>
      <c r="N1014" s="116">
        <v>241</v>
      </c>
      <c r="O1014" s="116">
        <v>232.65</v>
      </c>
      <c r="P1014" s="116">
        <v>232.65</v>
      </c>
      <c r="Q1014" s="116">
        <v>236.05</v>
      </c>
      <c r="R1014">
        <v>51795</v>
      </c>
    </row>
    <row r="1015" spans="1:18" x14ac:dyDescent="0.25">
      <c r="A1015" s="170">
        <v>43713</v>
      </c>
      <c r="B1015" s="116">
        <v>239.9</v>
      </c>
      <c r="C1015" s="116">
        <v>237.7</v>
      </c>
      <c r="D1015" s="116">
        <v>235.6</v>
      </c>
      <c r="E1015" s="116">
        <v>239.5</v>
      </c>
      <c r="F1015" s="116">
        <v>237.7</v>
      </c>
      <c r="G1015">
        <v>8949</v>
      </c>
      <c r="H1015" s="116"/>
      <c r="I1015" s="116"/>
      <c r="L1015" s="170">
        <v>43713</v>
      </c>
      <c r="M1015" s="116">
        <v>237.75</v>
      </c>
      <c r="N1015" s="116">
        <v>241</v>
      </c>
      <c r="O1015" s="116">
        <v>234.6</v>
      </c>
      <c r="P1015" s="116">
        <v>238.8</v>
      </c>
      <c r="Q1015" s="116">
        <v>237.75</v>
      </c>
      <c r="R1015">
        <v>46991</v>
      </c>
    </row>
    <row r="1016" spans="1:18" x14ac:dyDescent="0.25">
      <c r="A1016" s="170">
        <v>43714</v>
      </c>
      <c r="B1016" s="116">
        <v>239.65</v>
      </c>
      <c r="C1016" s="116">
        <v>237.95</v>
      </c>
      <c r="D1016" s="116">
        <v>234</v>
      </c>
      <c r="E1016" s="116">
        <v>239.35</v>
      </c>
      <c r="F1016" s="116">
        <v>237.95</v>
      </c>
      <c r="G1016">
        <v>4826</v>
      </c>
      <c r="H1016" s="116"/>
      <c r="I1016" s="116"/>
      <c r="L1016" s="170">
        <v>43714</v>
      </c>
      <c r="M1016" s="116">
        <v>238.3</v>
      </c>
      <c r="N1016" s="116">
        <v>240</v>
      </c>
      <c r="O1016" s="116">
        <v>233.85</v>
      </c>
      <c r="P1016" s="116">
        <v>237.75</v>
      </c>
      <c r="Q1016" s="116">
        <v>238.3</v>
      </c>
      <c r="R1016">
        <v>59700</v>
      </c>
    </row>
    <row r="1017" spans="1:18" x14ac:dyDescent="0.25">
      <c r="A1017" s="170">
        <v>43717</v>
      </c>
      <c r="B1017" s="116">
        <v>239.1</v>
      </c>
      <c r="C1017" s="116">
        <v>235.3</v>
      </c>
      <c r="D1017" s="116">
        <v>235</v>
      </c>
      <c r="E1017" s="116">
        <v>238.3</v>
      </c>
      <c r="F1017" s="116">
        <v>235.3</v>
      </c>
      <c r="G1017">
        <v>5399</v>
      </c>
      <c r="H1017" s="116"/>
      <c r="I1017" s="116"/>
      <c r="L1017" s="170">
        <v>43717</v>
      </c>
      <c r="M1017" s="116">
        <v>235.75</v>
      </c>
      <c r="N1017" s="116">
        <v>239.8</v>
      </c>
      <c r="O1017" s="116">
        <v>235.05</v>
      </c>
      <c r="P1017" s="116">
        <v>239.45</v>
      </c>
      <c r="Q1017" s="116">
        <v>235.75</v>
      </c>
      <c r="R1017">
        <v>52767</v>
      </c>
    </row>
    <row r="1018" spans="1:18" x14ac:dyDescent="0.25">
      <c r="A1018" s="170">
        <v>43719</v>
      </c>
      <c r="B1018" s="116">
        <v>241.05</v>
      </c>
      <c r="C1018" s="116">
        <v>234.8</v>
      </c>
      <c r="D1018" s="116">
        <v>193</v>
      </c>
      <c r="E1018" s="116">
        <v>234.05</v>
      </c>
      <c r="F1018" s="116">
        <v>234.8</v>
      </c>
      <c r="G1018">
        <v>15759</v>
      </c>
      <c r="H1018" s="116"/>
      <c r="I1018" s="116"/>
      <c r="L1018" s="170">
        <v>43719</v>
      </c>
      <c r="M1018" s="116">
        <v>235.4</v>
      </c>
      <c r="N1018" s="116">
        <v>241</v>
      </c>
      <c r="O1018" s="116">
        <v>232.55</v>
      </c>
      <c r="P1018" s="116">
        <v>233.55</v>
      </c>
      <c r="Q1018" s="116">
        <v>235.4</v>
      </c>
      <c r="R1018">
        <v>61718</v>
      </c>
    </row>
    <row r="1019" spans="1:18" x14ac:dyDescent="0.25">
      <c r="A1019" s="170">
        <v>43720</v>
      </c>
      <c r="B1019" s="116">
        <v>239.05</v>
      </c>
      <c r="C1019" s="116">
        <v>230.7</v>
      </c>
      <c r="D1019" s="116">
        <v>229.7</v>
      </c>
      <c r="E1019" s="116">
        <v>237.1</v>
      </c>
      <c r="F1019" s="116">
        <v>230.7</v>
      </c>
      <c r="G1019">
        <v>4961</v>
      </c>
      <c r="H1019" s="116"/>
      <c r="I1019" s="116"/>
      <c r="L1019" s="170">
        <v>43720</v>
      </c>
      <c r="M1019" s="116">
        <v>230.8</v>
      </c>
      <c r="N1019" s="116">
        <v>239</v>
      </c>
      <c r="O1019" s="116">
        <v>229.55</v>
      </c>
      <c r="P1019" s="116">
        <v>237</v>
      </c>
      <c r="Q1019" s="116">
        <v>230.8</v>
      </c>
      <c r="R1019">
        <v>50136</v>
      </c>
    </row>
    <row r="1020" spans="1:18" x14ac:dyDescent="0.25">
      <c r="A1020" s="170">
        <v>43721</v>
      </c>
      <c r="B1020" s="116">
        <v>238.8</v>
      </c>
      <c r="C1020" s="116">
        <v>235.7</v>
      </c>
      <c r="D1020" s="116">
        <v>233</v>
      </c>
      <c r="E1020" s="116">
        <v>238</v>
      </c>
      <c r="F1020" s="116">
        <v>235.7</v>
      </c>
      <c r="G1020">
        <v>9320</v>
      </c>
      <c r="H1020" s="116"/>
      <c r="I1020" s="116"/>
      <c r="L1020" s="170">
        <v>43721</v>
      </c>
      <c r="M1020" s="116">
        <v>235.6</v>
      </c>
      <c r="N1020" s="116">
        <v>238.8</v>
      </c>
      <c r="O1020" s="116">
        <v>232.8</v>
      </c>
      <c r="P1020" s="116">
        <v>236.7</v>
      </c>
      <c r="Q1020" s="116">
        <v>235.6</v>
      </c>
      <c r="R1020">
        <v>133527</v>
      </c>
    </row>
    <row r="1021" spans="1:18" x14ac:dyDescent="0.25">
      <c r="A1021" s="170">
        <v>43724</v>
      </c>
      <c r="B1021" s="116">
        <v>236.7</v>
      </c>
      <c r="C1021" s="116">
        <v>232.2</v>
      </c>
      <c r="D1021" s="116">
        <v>230.5</v>
      </c>
      <c r="E1021" s="116">
        <v>235</v>
      </c>
      <c r="F1021" s="116">
        <v>232.2</v>
      </c>
      <c r="G1021">
        <v>6618</v>
      </c>
      <c r="H1021" s="116"/>
      <c r="I1021" s="116"/>
      <c r="L1021" s="170">
        <v>43724</v>
      </c>
      <c r="M1021" s="116">
        <v>231.8</v>
      </c>
      <c r="N1021" s="116">
        <v>237</v>
      </c>
      <c r="O1021" s="116">
        <v>230.1</v>
      </c>
      <c r="P1021" s="116">
        <v>235.8</v>
      </c>
      <c r="Q1021" s="116">
        <v>231.8</v>
      </c>
      <c r="R1021">
        <v>88901</v>
      </c>
    </row>
    <row r="1022" spans="1:18" x14ac:dyDescent="0.25">
      <c r="A1022" s="170">
        <v>43725</v>
      </c>
      <c r="B1022" s="116">
        <v>235.7</v>
      </c>
      <c r="C1022" s="116">
        <v>222.85</v>
      </c>
      <c r="D1022" s="116">
        <v>218.6</v>
      </c>
      <c r="E1022" s="116">
        <v>232.05</v>
      </c>
      <c r="F1022" s="116">
        <v>222.85</v>
      </c>
      <c r="G1022">
        <v>6862</v>
      </c>
      <c r="H1022" s="116"/>
      <c r="I1022" s="116"/>
      <c r="L1022" s="170">
        <v>43725</v>
      </c>
      <c r="M1022" s="116">
        <v>222.45</v>
      </c>
      <c r="N1022" s="116">
        <v>236</v>
      </c>
      <c r="O1022" s="116">
        <v>218.3</v>
      </c>
      <c r="P1022" s="116">
        <v>233.75</v>
      </c>
      <c r="Q1022" s="116">
        <v>222.45</v>
      </c>
      <c r="R1022">
        <v>92876</v>
      </c>
    </row>
    <row r="1023" spans="1:18" x14ac:dyDescent="0.25">
      <c r="A1023" s="170">
        <v>43726</v>
      </c>
      <c r="B1023" s="116">
        <v>227</v>
      </c>
      <c r="C1023" s="116">
        <v>223.85</v>
      </c>
      <c r="D1023" s="116">
        <v>223.25</v>
      </c>
      <c r="E1023" s="116">
        <v>223.9</v>
      </c>
      <c r="F1023" s="116">
        <v>223.85</v>
      </c>
      <c r="G1023">
        <v>5313</v>
      </c>
      <c r="H1023" s="116"/>
      <c r="I1023" s="116"/>
      <c r="L1023" s="170">
        <v>43726</v>
      </c>
      <c r="M1023" s="116">
        <v>223.7</v>
      </c>
      <c r="N1023" s="116">
        <v>227</v>
      </c>
      <c r="O1023" s="116">
        <v>220.45</v>
      </c>
      <c r="P1023" s="116">
        <v>220.45</v>
      </c>
      <c r="Q1023" s="116">
        <v>223.7</v>
      </c>
      <c r="R1023">
        <v>48095</v>
      </c>
    </row>
    <row r="1024" spans="1:18" x14ac:dyDescent="0.25">
      <c r="A1024" s="170">
        <v>43727</v>
      </c>
      <c r="B1024" s="116">
        <v>224</v>
      </c>
      <c r="C1024" s="116">
        <v>221.15</v>
      </c>
      <c r="D1024" s="116">
        <v>220.4</v>
      </c>
      <c r="E1024" s="116">
        <v>224</v>
      </c>
      <c r="F1024" s="116">
        <v>221.15</v>
      </c>
      <c r="G1024">
        <v>14538</v>
      </c>
      <c r="H1024" s="116"/>
      <c r="I1024" s="116"/>
      <c r="L1024" s="170">
        <v>43727</v>
      </c>
      <c r="M1024" s="116">
        <v>221</v>
      </c>
      <c r="N1024" s="116">
        <v>225.7</v>
      </c>
      <c r="O1024" s="116">
        <v>220.1</v>
      </c>
      <c r="P1024" s="116">
        <v>225.7</v>
      </c>
      <c r="Q1024" s="116">
        <v>221</v>
      </c>
      <c r="R1024">
        <v>25690</v>
      </c>
    </row>
    <row r="1025" spans="1:18" x14ac:dyDescent="0.25">
      <c r="A1025" s="170">
        <v>43728</v>
      </c>
      <c r="B1025" s="116">
        <v>229.7</v>
      </c>
      <c r="C1025" s="116">
        <v>221.9</v>
      </c>
      <c r="D1025" s="116">
        <v>215.2</v>
      </c>
      <c r="E1025" s="116">
        <v>227.5</v>
      </c>
      <c r="F1025" s="116">
        <v>221.9</v>
      </c>
      <c r="G1025">
        <v>42722</v>
      </c>
      <c r="H1025" s="116"/>
      <c r="I1025" s="116"/>
      <c r="L1025" s="170">
        <v>43728</v>
      </c>
      <c r="M1025" s="116">
        <v>221.55</v>
      </c>
      <c r="N1025" s="116">
        <v>228</v>
      </c>
      <c r="O1025" s="116">
        <v>215.2</v>
      </c>
      <c r="P1025" s="116">
        <v>227.95</v>
      </c>
      <c r="Q1025" s="116">
        <v>221.55</v>
      </c>
      <c r="R1025">
        <v>1028556</v>
      </c>
    </row>
    <row r="1026" spans="1:18" x14ac:dyDescent="0.25">
      <c r="A1026" s="170">
        <v>43731</v>
      </c>
      <c r="B1026" s="116">
        <v>237.85</v>
      </c>
      <c r="C1026" s="116">
        <v>231.25</v>
      </c>
      <c r="D1026" s="116">
        <v>224.35</v>
      </c>
      <c r="E1026" s="116">
        <v>227</v>
      </c>
      <c r="F1026" s="116">
        <v>231.25</v>
      </c>
      <c r="G1026">
        <v>17588</v>
      </c>
      <c r="H1026" s="116"/>
      <c r="I1026" s="116"/>
      <c r="L1026" s="170">
        <v>43731</v>
      </c>
      <c r="M1026" s="116">
        <v>232.55</v>
      </c>
      <c r="N1026" s="116">
        <v>237.8</v>
      </c>
      <c r="O1026" s="116">
        <v>223.9</v>
      </c>
      <c r="P1026" s="116">
        <v>227</v>
      </c>
      <c r="Q1026" s="116">
        <v>232.55</v>
      </c>
      <c r="R1026">
        <v>120779</v>
      </c>
    </row>
    <row r="1027" spans="1:18" x14ac:dyDescent="0.25">
      <c r="A1027" s="170">
        <v>43732</v>
      </c>
      <c r="B1027" s="116">
        <v>236.9</v>
      </c>
      <c r="C1027" s="116">
        <v>232.75</v>
      </c>
      <c r="D1027" s="116">
        <v>231.35</v>
      </c>
      <c r="E1027" s="116">
        <v>231.35</v>
      </c>
      <c r="F1027" s="116">
        <v>232.75</v>
      </c>
      <c r="G1027">
        <v>30237</v>
      </c>
      <c r="H1027" s="116"/>
      <c r="I1027" s="116"/>
      <c r="L1027" s="170">
        <v>43732</v>
      </c>
      <c r="M1027" s="116">
        <v>232.5</v>
      </c>
      <c r="N1027" s="116">
        <v>237.2</v>
      </c>
      <c r="O1027" s="116">
        <v>230.6</v>
      </c>
      <c r="P1027" s="116">
        <v>232</v>
      </c>
      <c r="Q1027" s="116">
        <v>232.5</v>
      </c>
      <c r="R1027">
        <v>73384</v>
      </c>
    </row>
    <row r="1028" spans="1:18" x14ac:dyDescent="0.25">
      <c r="A1028" s="170">
        <v>43733</v>
      </c>
      <c r="B1028" s="116">
        <v>247</v>
      </c>
      <c r="C1028" s="116">
        <v>236.7</v>
      </c>
      <c r="D1028" s="116">
        <v>234</v>
      </c>
      <c r="E1028" s="116">
        <v>237.15</v>
      </c>
      <c r="F1028" s="116">
        <v>236.7</v>
      </c>
      <c r="G1028">
        <v>42289</v>
      </c>
      <c r="H1028" s="116"/>
      <c r="I1028" s="116"/>
      <c r="L1028" s="170">
        <v>43733</v>
      </c>
      <c r="M1028" s="116">
        <v>236.65</v>
      </c>
      <c r="N1028" s="116">
        <v>246.8</v>
      </c>
      <c r="O1028" s="116">
        <v>233.85</v>
      </c>
      <c r="P1028" s="116">
        <v>237.85</v>
      </c>
      <c r="Q1028" s="116">
        <v>236.65</v>
      </c>
      <c r="R1028">
        <v>425944</v>
      </c>
    </row>
    <row r="1029" spans="1:18" x14ac:dyDescent="0.25">
      <c r="A1029" s="170">
        <v>43734</v>
      </c>
      <c r="B1029" s="116">
        <v>241</v>
      </c>
      <c r="C1029" s="116">
        <v>232.9</v>
      </c>
      <c r="D1029" s="116">
        <v>230.8</v>
      </c>
      <c r="E1029" s="116">
        <v>237</v>
      </c>
      <c r="F1029" s="116">
        <v>232.9</v>
      </c>
      <c r="G1029">
        <v>240217</v>
      </c>
      <c r="H1029" s="116"/>
      <c r="I1029" s="116"/>
      <c r="L1029" s="170">
        <v>43734</v>
      </c>
      <c r="M1029" s="116">
        <v>233</v>
      </c>
      <c r="N1029" s="116">
        <v>240.8</v>
      </c>
      <c r="O1029" s="116">
        <v>231.5</v>
      </c>
      <c r="P1029" s="116">
        <v>235.1</v>
      </c>
      <c r="Q1029" s="116">
        <v>233</v>
      </c>
      <c r="R1029">
        <v>140871</v>
      </c>
    </row>
    <row r="1030" spans="1:18" x14ac:dyDescent="0.25">
      <c r="A1030" s="170">
        <v>43735</v>
      </c>
      <c r="B1030" s="116">
        <v>237.85</v>
      </c>
      <c r="C1030" s="116">
        <v>233.2</v>
      </c>
      <c r="D1030" s="116">
        <v>232.35</v>
      </c>
      <c r="E1030" s="116">
        <v>233.65</v>
      </c>
      <c r="F1030" s="116">
        <v>233.2</v>
      </c>
      <c r="G1030">
        <v>17993</v>
      </c>
      <c r="H1030" s="116"/>
      <c r="I1030" s="116"/>
      <c r="L1030" s="170">
        <v>43735</v>
      </c>
      <c r="M1030" s="116">
        <v>233.65</v>
      </c>
      <c r="N1030" s="116">
        <v>238</v>
      </c>
      <c r="O1030" s="116">
        <v>232.5</v>
      </c>
      <c r="P1030" s="116">
        <v>233.95</v>
      </c>
      <c r="Q1030" s="116">
        <v>233.65</v>
      </c>
      <c r="R1030">
        <v>80209</v>
      </c>
    </row>
    <row r="1031" spans="1:18" x14ac:dyDescent="0.25">
      <c r="A1031" s="170">
        <v>43738</v>
      </c>
      <c r="B1031" s="116">
        <v>234.95</v>
      </c>
      <c r="C1031" s="116">
        <v>228.6</v>
      </c>
      <c r="D1031" s="116">
        <v>228.15</v>
      </c>
      <c r="E1031" s="116">
        <v>234.9</v>
      </c>
      <c r="F1031" s="116">
        <v>228.6</v>
      </c>
      <c r="G1031">
        <v>26644</v>
      </c>
      <c r="H1031" s="116"/>
      <c r="I1031" s="116"/>
      <c r="L1031" s="170">
        <v>43738</v>
      </c>
      <c r="M1031" s="116">
        <v>228.6</v>
      </c>
      <c r="N1031" s="116">
        <v>235</v>
      </c>
      <c r="O1031" s="116">
        <v>228.1</v>
      </c>
      <c r="P1031" s="116">
        <v>233.45</v>
      </c>
      <c r="Q1031" s="116">
        <v>228.6</v>
      </c>
      <c r="R1031">
        <v>57816</v>
      </c>
    </row>
    <row r="1032" spans="1:18" x14ac:dyDescent="0.25">
      <c r="A1032" s="170">
        <v>43739</v>
      </c>
      <c r="B1032" s="116">
        <v>230.35</v>
      </c>
      <c r="C1032" s="116">
        <v>224.6</v>
      </c>
      <c r="D1032" s="116">
        <v>222.95</v>
      </c>
      <c r="E1032" s="116">
        <v>230.05</v>
      </c>
      <c r="F1032" s="116">
        <v>224.6</v>
      </c>
      <c r="G1032">
        <v>7394</v>
      </c>
      <c r="H1032" s="116"/>
      <c r="I1032" s="116"/>
      <c r="L1032" s="170">
        <v>43739</v>
      </c>
      <c r="M1032" s="116">
        <v>224.35</v>
      </c>
      <c r="N1032" s="116">
        <v>230</v>
      </c>
      <c r="O1032" s="116">
        <v>222.65</v>
      </c>
      <c r="P1032" s="116">
        <v>228.95</v>
      </c>
      <c r="Q1032" s="116">
        <v>224.35</v>
      </c>
      <c r="R1032">
        <v>63095</v>
      </c>
    </row>
    <row r="1033" spans="1:18" x14ac:dyDescent="0.25">
      <c r="A1033" s="170">
        <v>43741</v>
      </c>
      <c r="B1033" s="116">
        <v>227.25</v>
      </c>
      <c r="C1033" s="116">
        <v>221.2</v>
      </c>
      <c r="D1033" s="116">
        <v>220.75</v>
      </c>
      <c r="E1033" s="116">
        <v>222</v>
      </c>
      <c r="F1033" s="116">
        <v>221.2</v>
      </c>
      <c r="G1033">
        <v>33055</v>
      </c>
      <c r="H1033" s="116"/>
      <c r="I1033" s="116"/>
      <c r="L1033" s="170">
        <v>43741</v>
      </c>
      <c r="M1033" s="116">
        <v>222.15</v>
      </c>
      <c r="N1033" s="116">
        <v>227.65</v>
      </c>
      <c r="O1033" s="116">
        <v>221</v>
      </c>
      <c r="P1033" s="116">
        <v>224.35</v>
      </c>
      <c r="Q1033" s="116">
        <v>222.15</v>
      </c>
      <c r="R1033">
        <v>67034</v>
      </c>
    </row>
    <row r="1034" spans="1:18" x14ac:dyDescent="0.25">
      <c r="A1034" s="170">
        <v>43742</v>
      </c>
      <c r="B1034" s="116">
        <v>234</v>
      </c>
      <c r="C1034" s="116">
        <v>226</v>
      </c>
      <c r="D1034" s="116">
        <v>223</v>
      </c>
      <c r="E1034" s="116">
        <v>234</v>
      </c>
      <c r="F1034" s="116">
        <v>226</v>
      </c>
      <c r="G1034">
        <v>24739</v>
      </c>
      <c r="H1034" s="116"/>
      <c r="I1034" s="116"/>
      <c r="L1034" s="170">
        <v>43742</v>
      </c>
      <c r="M1034" s="116">
        <v>226.55</v>
      </c>
      <c r="N1034" s="116">
        <v>231.25</v>
      </c>
      <c r="O1034" s="116">
        <v>222.35</v>
      </c>
      <c r="P1034" s="116">
        <v>223.95</v>
      </c>
      <c r="Q1034" s="116">
        <v>226.55</v>
      </c>
      <c r="R1034">
        <v>68115</v>
      </c>
    </row>
    <row r="1035" spans="1:18" x14ac:dyDescent="0.25">
      <c r="A1035" s="170">
        <v>43745</v>
      </c>
      <c r="B1035" s="116">
        <v>230</v>
      </c>
      <c r="C1035" s="116">
        <v>225.1</v>
      </c>
      <c r="D1035" s="116">
        <v>222.4</v>
      </c>
      <c r="E1035" s="116">
        <v>227</v>
      </c>
      <c r="F1035" s="116">
        <v>225.1</v>
      </c>
      <c r="G1035">
        <v>7727</v>
      </c>
      <c r="H1035" s="116"/>
      <c r="I1035" s="116"/>
      <c r="L1035" s="170">
        <v>43745</v>
      </c>
      <c r="M1035" s="116">
        <v>224.65</v>
      </c>
      <c r="N1035" s="116">
        <v>230</v>
      </c>
      <c r="O1035" s="116">
        <v>222.65</v>
      </c>
      <c r="P1035" s="116">
        <v>229</v>
      </c>
      <c r="Q1035" s="116">
        <v>224.65</v>
      </c>
      <c r="R1035">
        <v>52474</v>
      </c>
    </row>
    <row r="1036" spans="1:18" x14ac:dyDescent="0.25">
      <c r="A1036" s="170">
        <v>43747</v>
      </c>
      <c r="B1036" s="116">
        <v>229.6</v>
      </c>
      <c r="C1036" s="116">
        <v>225.3</v>
      </c>
      <c r="D1036" s="116">
        <v>221.7</v>
      </c>
      <c r="E1036" s="116">
        <v>225.1</v>
      </c>
      <c r="F1036" s="116">
        <v>225.3</v>
      </c>
      <c r="G1036">
        <v>39724</v>
      </c>
      <c r="H1036" s="116"/>
      <c r="I1036" s="116"/>
      <c r="L1036" s="170">
        <v>43747</v>
      </c>
      <c r="M1036" s="116">
        <v>225.45</v>
      </c>
      <c r="N1036" s="116">
        <v>230</v>
      </c>
      <c r="O1036" s="116">
        <v>221.55</v>
      </c>
      <c r="P1036" s="116">
        <v>226.8</v>
      </c>
      <c r="Q1036" s="116">
        <v>225.45</v>
      </c>
      <c r="R1036">
        <v>81394</v>
      </c>
    </row>
    <row r="1037" spans="1:18" x14ac:dyDescent="0.25">
      <c r="A1037" s="170">
        <v>43748</v>
      </c>
      <c r="B1037" s="116">
        <v>227.65</v>
      </c>
      <c r="C1037" s="116">
        <v>222.65</v>
      </c>
      <c r="D1037" s="116">
        <v>222.1</v>
      </c>
      <c r="E1037" s="116">
        <v>226.8</v>
      </c>
      <c r="F1037" s="116">
        <v>222.65</v>
      </c>
      <c r="G1037">
        <v>11192</v>
      </c>
      <c r="H1037" s="116"/>
      <c r="I1037" s="116"/>
      <c r="L1037" s="170">
        <v>43748</v>
      </c>
      <c r="M1037" s="116">
        <v>222.6</v>
      </c>
      <c r="N1037" s="116">
        <v>227.95</v>
      </c>
      <c r="O1037" s="116">
        <v>222</v>
      </c>
      <c r="P1037" s="116">
        <v>225.65</v>
      </c>
      <c r="Q1037" s="116">
        <v>222.6</v>
      </c>
      <c r="R1037">
        <v>44917</v>
      </c>
    </row>
    <row r="1038" spans="1:18" x14ac:dyDescent="0.25">
      <c r="A1038" s="170">
        <v>43749</v>
      </c>
      <c r="B1038" s="116">
        <v>226</v>
      </c>
      <c r="C1038" s="116">
        <v>222.1</v>
      </c>
      <c r="D1038" s="116">
        <v>221.55</v>
      </c>
      <c r="E1038" s="116">
        <v>223.1</v>
      </c>
      <c r="F1038" s="116">
        <v>222.1</v>
      </c>
      <c r="G1038">
        <v>7150</v>
      </c>
      <c r="H1038" s="116"/>
      <c r="I1038" s="116"/>
      <c r="L1038" s="170">
        <v>43749</v>
      </c>
      <c r="M1038" s="116">
        <v>222.15</v>
      </c>
      <c r="N1038" s="116">
        <v>226.95</v>
      </c>
      <c r="O1038" s="116">
        <v>222</v>
      </c>
      <c r="P1038" s="116">
        <v>223.9</v>
      </c>
      <c r="Q1038" s="116">
        <v>222.15</v>
      </c>
      <c r="R1038">
        <v>38869</v>
      </c>
    </row>
    <row r="1039" spans="1:18" x14ac:dyDescent="0.25">
      <c r="A1039" s="170">
        <v>43752</v>
      </c>
      <c r="B1039" s="116">
        <v>233.85</v>
      </c>
      <c r="C1039" s="116">
        <v>224.95</v>
      </c>
      <c r="D1039" s="116">
        <v>224.3</v>
      </c>
      <c r="E1039" s="116">
        <v>225.5</v>
      </c>
      <c r="F1039" s="116">
        <v>224.95</v>
      </c>
      <c r="G1039">
        <v>10760</v>
      </c>
      <c r="H1039" s="116"/>
      <c r="I1039" s="116"/>
      <c r="L1039" s="170">
        <v>43752</v>
      </c>
      <c r="M1039" s="116">
        <v>225.05</v>
      </c>
      <c r="N1039" s="116">
        <v>233.9</v>
      </c>
      <c r="O1039" s="116">
        <v>220.05</v>
      </c>
      <c r="P1039" s="116">
        <v>220.05</v>
      </c>
      <c r="Q1039" s="116">
        <v>225.05</v>
      </c>
      <c r="R1039">
        <v>116243</v>
      </c>
    </row>
    <row r="1040" spans="1:18" x14ac:dyDescent="0.25">
      <c r="A1040" s="170">
        <v>43753</v>
      </c>
      <c r="B1040" s="116">
        <v>255.35</v>
      </c>
      <c r="C1040" s="116">
        <v>238.05</v>
      </c>
      <c r="D1040" s="116">
        <v>232.2</v>
      </c>
      <c r="E1040" s="116">
        <v>232.5</v>
      </c>
      <c r="F1040" s="116">
        <v>238.05</v>
      </c>
      <c r="G1040">
        <v>192999</v>
      </c>
      <c r="H1040" s="116"/>
      <c r="I1040" s="116"/>
      <c r="L1040" s="170">
        <v>43753</v>
      </c>
      <c r="M1040" s="116">
        <v>239.15</v>
      </c>
      <c r="N1040" s="116">
        <v>253</v>
      </c>
      <c r="O1040" s="116">
        <v>232.2</v>
      </c>
      <c r="P1040" s="116">
        <v>235</v>
      </c>
      <c r="Q1040" s="116">
        <v>239.15</v>
      </c>
      <c r="R1040">
        <v>1036776</v>
      </c>
    </row>
    <row r="1041" spans="1:18" x14ac:dyDescent="0.25">
      <c r="A1041" s="170">
        <v>43754</v>
      </c>
      <c r="B1041" s="116">
        <v>244</v>
      </c>
      <c r="C1041" s="116">
        <v>233.8</v>
      </c>
      <c r="D1041" s="116">
        <v>232.3</v>
      </c>
      <c r="E1041" s="116">
        <v>241.6</v>
      </c>
      <c r="F1041" s="116">
        <v>233.8</v>
      </c>
      <c r="G1041">
        <v>56477</v>
      </c>
      <c r="H1041" s="116"/>
      <c r="I1041" s="116"/>
      <c r="L1041" s="170">
        <v>43754</v>
      </c>
      <c r="M1041" s="116">
        <v>234.5</v>
      </c>
      <c r="N1041" s="116">
        <v>243.8</v>
      </c>
      <c r="O1041" s="116">
        <v>233.05</v>
      </c>
      <c r="P1041" s="116">
        <v>242.05</v>
      </c>
      <c r="Q1041" s="116">
        <v>234.5</v>
      </c>
      <c r="R1041">
        <v>233490</v>
      </c>
    </row>
    <row r="1042" spans="1:18" x14ac:dyDescent="0.25">
      <c r="A1042" s="170">
        <v>43755</v>
      </c>
      <c r="B1042" s="116">
        <v>241</v>
      </c>
      <c r="C1042" s="116">
        <v>233.15</v>
      </c>
      <c r="D1042" s="116">
        <v>231.15</v>
      </c>
      <c r="E1042" s="116">
        <v>235</v>
      </c>
      <c r="F1042" s="116">
        <v>233.15</v>
      </c>
      <c r="G1042">
        <v>32182</v>
      </c>
      <c r="H1042" s="116"/>
      <c r="I1042" s="116"/>
      <c r="L1042" s="170">
        <v>43755</v>
      </c>
      <c r="M1042" s="116">
        <v>232.95</v>
      </c>
      <c r="N1042" s="116">
        <v>241.4</v>
      </c>
      <c r="O1042" s="116">
        <v>231</v>
      </c>
      <c r="P1042" s="116">
        <v>233.9</v>
      </c>
      <c r="Q1042" s="116">
        <v>232.95</v>
      </c>
      <c r="R1042">
        <v>205961</v>
      </c>
    </row>
    <row r="1043" spans="1:18" x14ac:dyDescent="0.25">
      <c r="A1043" s="170">
        <v>43756</v>
      </c>
      <c r="B1043" s="116">
        <v>247.5</v>
      </c>
      <c r="C1043" s="116">
        <v>238</v>
      </c>
      <c r="D1043" s="116">
        <v>234</v>
      </c>
      <c r="E1043" s="116">
        <v>234.45</v>
      </c>
      <c r="F1043" s="116">
        <v>238</v>
      </c>
      <c r="G1043">
        <v>32388</v>
      </c>
      <c r="H1043" s="116"/>
      <c r="I1043" s="116"/>
      <c r="L1043" s="170">
        <v>43756</v>
      </c>
      <c r="M1043" s="116">
        <v>238.1</v>
      </c>
      <c r="N1043" s="116">
        <v>247.5</v>
      </c>
      <c r="O1043" s="116">
        <v>234.4</v>
      </c>
      <c r="P1043" s="116">
        <v>234.45</v>
      </c>
      <c r="Q1043" s="116">
        <v>238.1</v>
      </c>
      <c r="R1043">
        <v>355971</v>
      </c>
    </row>
    <row r="1044" spans="1:18" x14ac:dyDescent="0.25">
      <c r="A1044" s="170">
        <v>43760</v>
      </c>
      <c r="B1044" s="116">
        <v>258.8</v>
      </c>
      <c r="C1044" s="116">
        <v>252.85</v>
      </c>
      <c r="D1044" s="116">
        <v>237.2</v>
      </c>
      <c r="E1044" s="116">
        <v>238.75</v>
      </c>
      <c r="F1044" s="116">
        <v>252.85</v>
      </c>
      <c r="G1044">
        <v>78131</v>
      </c>
      <c r="H1044" s="116"/>
      <c r="I1044" s="116"/>
      <c r="L1044" s="170">
        <v>43760</v>
      </c>
      <c r="M1044" s="116">
        <v>253.55</v>
      </c>
      <c r="N1044" s="116">
        <v>259</v>
      </c>
      <c r="O1044" s="116">
        <v>237</v>
      </c>
      <c r="P1044" s="116">
        <v>239</v>
      </c>
      <c r="Q1044" s="116">
        <v>253.55</v>
      </c>
      <c r="R1044">
        <v>549105</v>
      </c>
    </row>
    <row r="1045" spans="1:18" x14ac:dyDescent="0.25">
      <c r="A1045" s="170">
        <v>43761</v>
      </c>
      <c r="B1045" s="116">
        <v>272</v>
      </c>
      <c r="C1045" s="116">
        <v>262.3</v>
      </c>
      <c r="D1045" s="116">
        <v>255.65</v>
      </c>
      <c r="E1045" s="116">
        <v>256</v>
      </c>
      <c r="F1045" s="116">
        <v>262.3</v>
      </c>
      <c r="G1045">
        <v>106918</v>
      </c>
      <c r="H1045" s="116"/>
      <c r="I1045" s="116"/>
      <c r="L1045" s="170">
        <v>43761</v>
      </c>
      <c r="M1045" s="116">
        <v>262.3</v>
      </c>
      <c r="N1045" s="116">
        <v>272.39999999999998</v>
      </c>
      <c r="O1045" s="116">
        <v>255.75</v>
      </c>
      <c r="P1045" s="116">
        <v>255.8</v>
      </c>
      <c r="Q1045" s="116">
        <v>262.3</v>
      </c>
      <c r="R1045">
        <v>1054524</v>
      </c>
    </row>
    <row r="1046" spans="1:18" x14ac:dyDescent="0.25">
      <c r="A1046" s="170">
        <v>43762</v>
      </c>
      <c r="B1046" s="116">
        <v>279.5</v>
      </c>
      <c r="C1046" s="116">
        <v>265.35000000000002</v>
      </c>
      <c r="D1046" s="116">
        <v>260</v>
      </c>
      <c r="E1046" s="116">
        <v>264</v>
      </c>
      <c r="F1046" s="116">
        <v>265.35000000000002</v>
      </c>
      <c r="G1046">
        <v>61794</v>
      </c>
      <c r="H1046" s="116"/>
      <c r="I1046" s="116"/>
      <c r="L1046" s="170">
        <v>43762</v>
      </c>
      <c r="M1046" s="116">
        <v>265.35000000000002</v>
      </c>
      <c r="N1046" s="116">
        <v>279.8</v>
      </c>
      <c r="O1046" s="116">
        <v>259.75</v>
      </c>
      <c r="P1046" s="116">
        <v>264.7</v>
      </c>
      <c r="Q1046" s="116">
        <v>265.35000000000002</v>
      </c>
      <c r="R1046">
        <v>573871</v>
      </c>
    </row>
    <row r="1047" spans="1:18" x14ac:dyDescent="0.25">
      <c r="A1047" s="170">
        <v>43763</v>
      </c>
      <c r="B1047" s="116">
        <v>273.60000000000002</v>
      </c>
      <c r="C1047" s="116">
        <v>262.35000000000002</v>
      </c>
      <c r="D1047" s="116">
        <v>261.5</v>
      </c>
      <c r="E1047" s="116">
        <v>265.95</v>
      </c>
      <c r="F1047" s="116">
        <v>262.35000000000002</v>
      </c>
      <c r="G1047">
        <v>53512</v>
      </c>
      <c r="H1047" s="116"/>
      <c r="I1047" s="116"/>
      <c r="L1047" s="170">
        <v>43763</v>
      </c>
      <c r="M1047" s="116">
        <v>262.55</v>
      </c>
      <c r="N1047" s="116">
        <v>273.7</v>
      </c>
      <c r="O1047" s="116">
        <v>261</v>
      </c>
      <c r="P1047" s="116">
        <v>266.10000000000002</v>
      </c>
      <c r="Q1047" s="116">
        <v>262.55</v>
      </c>
      <c r="R1047">
        <v>354670</v>
      </c>
    </row>
    <row r="1048" spans="1:18" x14ac:dyDescent="0.25">
      <c r="A1048" s="170">
        <v>43765</v>
      </c>
      <c r="B1048" s="116">
        <v>269.5</v>
      </c>
      <c r="C1048" s="116">
        <v>263.7</v>
      </c>
      <c r="D1048" s="116">
        <v>263</v>
      </c>
      <c r="E1048" s="116">
        <v>265</v>
      </c>
      <c r="F1048" s="116">
        <v>263.7</v>
      </c>
      <c r="G1048">
        <v>5751</v>
      </c>
      <c r="H1048" s="116"/>
      <c r="I1048" s="116"/>
      <c r="L1048" s="170">
        <v>43765</v>
      </c>
      <c r="M1048" s="116">
        <v>264.05</v>
      </c>
      <c r="N1048" s="116">
        <v>269.60000000000002</v>
      </c>
      <c r="O1048" s="116">
        <v>262.5</v>
      </c>
      <c r="P1048" s="116">
        <v>264.55</v>
      </c>
      <c r="Q1048" s="116">
        <v>264.05</v>
      </c>
      <c r="R1048">
        <v>114450</v>
      </c>
    </row>
    <row r="1049" spans="1:18" x14ac:dyDescent="0.25">
      <c r="A1049" s="170">
        <v>43767</v>
      </c>
      <c r="B1049" s="116">
        <v>271.89999999999998</v>
      </c>
      <c r="C1049" s="116">
        <v>263.85000000000002</v>
      </c>
      <c r="D1049" s="116">
        <v>262.10000000000002</v>
      </c>
      <c r="E1049" s="116">
        <v>263.25</v>
      </c>
      <c r="F1049" s="116">
        <v>263.85000000000002</v>
      </c>
      <c r="G1049">
        <v>15702</v>
      </c>
      <c r="H1049" s="116"/>
      <c r="I1049" s="116"/>
      <c r="L1049" s="170">
        <v>43767</v>
      </c>
      <c r="M1049" s="116">
        <v>263.89999999999998</v>
      </c>
      <c r="N1049" s="116">
        <v>271.64999999999998</v>
      </c>
      <c r="O1049" s="116">
        <v>261.25</v>
      </c>
      <c r="P1049" s="116">
        <v>264.85000000000002</v>
      </c>
      <c r="Q1049" s="116">
        <v>263.89999999999998</v>
      </c>
      <c r="R1049">
        <v>287174</v>
      </c>
    </row>
    <row r="1050" spans="1:18" x14ac:dyDescent="0.25">
      <c r="A1050" s="170">
        <v>43768</v>
      </c>
      <c r="B1050" s="116">
        <v>269</v>
      </c>
      <c r="C1050" s="116">
        <v>264.8</v>
      </c>
      <c r="D1050" s="116">
        <v>260.5</v>
      </c>
      <c r="E1050" s="116">
        <v>264</v>
      </c>
      <c r="F1050" s="116">
        <v>264.8</v>
      </c>
      <c r="G1050">
        <v>44288</v>
      </c>
      <c r="H1050" s="116"/>
      <c r="I1050" s="116"/>
      <c r="L1050" s="170">
        <v>43768</v>
      </c>
      <c r="M1050" s="116">
        <v>264.60000000000002</v>
      </c>
      <c r="N1050" s="116">
        <v>268.8</v>
      </c>
      <c r="O1050" s="116">
        <v>261.05</v>
      </c>
      <c r="P1050" s="116">
        <v>265</v>
      </c>
      <c r="Q1050" s="116">
        <v>264.60000000000002</v>
      </c>
      <c r="R1050">
        <v>211276</v>
      </c>
    </row>
    <row r="1051" spans="1:18" x14ac:dyDescent="0.25">
      <c r="A1051" s="170">
        <v>43769</v>
      </c>
      <c r="B1051" s="116">
        <v>277.85000000000002</v>
      </c>
      <c r="C1051" s="116">
        <v>273.7</v>
      </c>
      <c r="D1051" s="116">
        <v>265.55</v>
      </c>
      <c r="E1051" s="116">
        <v>265.55</v>
      </c>
      <c r="F1051" s="116">
        <v>273.7</v>
      </c>
      <c r="G1051">
        <v>45329</v>
      </c>
      <c r="H1051" s="116"/>
      <c r="I1051" s="116"/>
      <c r="L1051" s="170">
        <v>43769</v>
      </c>
      <c r="M1051" s="116">
        <v>274.10000000000002</v>
      </c>
      <c r="N1051" s="116">
        <v>278</v>
      </c>
      <c r="O1051" s="116">
        <v>265</v>
      </c>
      <c r="P1051" s="116">
        <v>265</v>
      </c>
      <c r="Q1051" s="116">
        <v>274.10000000000002</v>
      </c>
      <c r="R1051">
        <v>576973</v>
      </c>
    </row>
    <row r="1052" spans="1:18" x14ac:dyDescent="0.25">
      <c r="A1052" s="170">
        <v>43770</v>
      </c>
      <c r="B1052" s="116">
        <v>288</v>
      </c>
      <c r="C1052" s="116">
        <v>277.45</v>
      </c>
      <c r="D1052" s="116">
        <v>276</v>
      </c>
      <c r="E1052" s="116">
        <v>278</v>
      </c>
      <c r="F1052" s="116">
        <v>277.45</v>
      </c>
      <c r="G1052">
        <v>62673</v>
      </c>
      <c r="H1052" s="116"/>
      <c r="I1052" s="116"/>
      <c r="L1052" s="170">
        <v>43770</v>
      </c>
      <c r="M1052" s="116">
        <v>277.45</v>
      </c>
      <c r="N1052" s="116">
        <v>288</v>
      </c>
      <c r="O1052" s="116">
        <v>275.60000000000002</v>
      </c>
      <c r="P1052" s="116">
        <v>276.64999999999998</v>
      </c>
      <c r="Q1052" s="116">
        <v>277.45</v>
      </c>
      <c r="R1052">
        <v>657420</v>
      </c>
    </row>
    <row r="1053" spans="1:18" x14ac:dyDescent="0.25">
      <c r="A1053" s="170">
        <v>43773</v>
      </c>
      <c r="B1053" s="116">
        <v>286.5</v>
      </c>
      <c r="C1053" s="116">
        <v>284.45</v>
      </c>
      <c r="D1053" s="116">
        <v>278.3</v>
      </c>
      <c r="E1053" s="116">
        <v>279.5</v>
      </c>
      <c r="F1053" s="116">
        <v>284.45</v>
      </c>
      <c r="G1053">
        <v>60764</v>
      </c>
      <c r="H1053" s="116"/>
      <c r="I1053" s="116"/>
      <c r="L1053" s="170">
        <v>43773</v>
      </c>
      <c r="M1053" s="116">
        <v>284.5</v>
      </c>
      <c r="N1053" s="116">
        <v>286.75</v>
      </c>
      <c r="O1053" s="116">
        <v>277.85000000000002</v>
      </c>
      <c r="P1053" s="116">
        <v>277.85000000000002</v>
      </c>
      <c r="Q1053" s="116">
        <v>284.5</v>
      </c>
      <c r="R1053">
        <v>405314</v>
      </c>
    </row>
    <row r="1054" spans="1:18" x14ac:dyDescent="0.25">
      <c r="A1054" s="170">
        <v>43774</v>
      </c>
      <c r="B1054" s="116">
        <v>291.14999999999998</v>
      </c>
      <c r="C1054" s="116">
        <v>284</v>
      </c>
      <c r="D1054" s="116">
        <v>282</v>
      </c>
      <c r="E1054" s="116">
        <v>286</v>
      </c>
      <c r="F1054" s="116">
        <v>284</v>
      </c>
      <c r="G1054">
        <v>37355</v>
      </c>
      <c r="H1054" s="116"/>
      <c r="I1054" s="116"/>
      <c r="L1054" s="170">
        <v>43774</v>
      </c>
      <c r="M1054" s="116">
        <v>284.25</v>
      </c>
      <c r="N1054" s="116">
        <v>291.8</v>
      </c>
      <c r="O1054" s="116">
        <v>281.7</v>
      </c>
      <c r="P1054" s="116">
        <v>286.7</v>
      </c>
      <c r="Q1054" s="116">
        <v>284.25</v>
      </c>
      <c r="R1054">
        <v>422266</v>
      </c>
    </row>
    <row r="1055" spans="1:18" x14ac:dyDescent="0.25">
      <c r="A1055" s="170">
        <v>43775</v>
      </c>
      <c r="B1055" s="116">
        <v>285.35000000000002</v>
      </c>
      <c r="C1055" s="116">
        <v>282.55</v>
      </c>
      <c r="D1055" s="116">
        <v>280</v>
      </c>
      <c r="E1055" s="116">
        <v>284</v>
      </c>
      <c r="F1055" s="116">
        <v>282.55</v>
      </c>
      <c r="G1055">
        <v>21364</v>
      </c>
      <c r="H1055" s="116"/>
      <c r="I1055" s="116"/>
      <c r="L1055" s="170">
        <v>43775</v>
      </c>
      <c r="M1055" s="116">
        <v>282.95</v>
      </c>
      <c r="N1055" s="116">
        <v>285</v>
      </c>
      <c r="O1055" s="116">
        <v>279.10000000000002</v>
      </c>
      <c r="P1055" s="116">
        <v>283.8</v>
      </c>
      <c r="Q1055" s="116">
        <v>282.95</v>
      </c>
      <c r="R1055">
        <v>195862</v>
      </c>
    </row>
    <row r="1056" spans="1:18" x14ac:dyDescent="0.25">
      <c r="A1056" s="170">
        <v>43776</v>
      </c>
      <c r="B1056" s="116">
        <v>304</v>
      </c>
      <c r="C1056" s="116">
        <v>298.89999999999998</v>
      </c>
      <c r="D1056" s="116">
        <v>283.75</v>
      </c>
      <c r="E1056" s="116">
        <v>285</v>
      </c>
      <c r="F1056" s="116">
        <v>298.89999999999998</v>
      </c>
      <c r="G1056">
        <v>210254</v>
      </c>
      <c r="H1056" s="116"/>
      <c r="I1056" s="116"/>
      <c r="L1056" s="170">
        <v>43776</v>
      </c>
      <c r="M1056" s="116">
        <v>298.55</v>
      </c>
      <c r="N1056" s="116">
        <v>303.7</v>
      </c>
      <c r="O1056" s="116">
        <v>283.2</v>
      </c>
      <c r="P1056" s="116">
        <v>283.8</v>
      </c>
      <c r="Q1056" s="116">
        <v>298.55</v>
      </c>
      <c r="R1056">
        <v>1901839</v>
      </c>
    </row>
    <row r="1057" spans="1:18" x14ac:dyDescent="0.25">
      <c r="A1057" s="170">
        <v>43777</v>
      </c>
      <c r="B1057" s="116">
        <v>305.2</v>
      </c>
      <c r="C1057" s="116">
        <v>287.3</v>
      </c>
      <c r="D1057" s="116">
        <v>285</v>
      </c>
      <c r="E1057" s="116">
        <v>300.89999999999998</v>
      </c>
      <c r="F1057" s="116">
        <v>287.3</v>
      </c>
      <c r="G1057">
        <v>82190</v>
      </c>
      <c r="H1057" s="116"/>
      <c r="I1057" s="116"/>
      <c r="L1057" s="170">
        <v>43777</v>
      </c>
      <c r="M1057" s="116">
        <v>286.85000000000002</v>
      </c>
      <c r="N1057" s="116">
        <v>304.89999999999998</v>
      </c>
      <c r="O1057" s="116">
        <v>285</v>
      </c>
      <c r="P1057" s="116">
        <v>301</v>
      </c>
      <c r="Q1057" s="116">
        <v>286.85000000000002</v>
      </c>
      <c r="R1057">
        <v>664417</v>
      </c>
    </row>
    <row r="1058" spans="1:18" x14ac:dyDescent="0.25">
      <c r="A1058" s="170">
        <v>43780</v>
      </c>
      <c r="B1058" s="116">
        <v>284.95</v>
      </c>
      <c r="C1058" s="116">
        <v>279.8</v>
      </c>
      <c r="D1058" s="116">
        <v>277.89999999999998</v>
      </c>
      <c r="E1058" s="116">
        <v>284.95</v>
      </c>
      <c r="F1058" s="116">
        <v>279.8</v>
      </c>
      <c r="G1058">
        <v>27324</v>
      </c>
      <c r="H1058" s="116"/>
      <c r="I1058" s="116"/>
      <c r="L1058" s="170">
        <v>43780</v>
      </c>
      <c r="M1058" s="116">
        <v>279.39999999999998</v>
      </c>
      <c r="N1058" s="116">
        <v>284.64999999999998</v>
      </c>
      <c r="O1058" s="116">
        <v>277.7</v>
      </c>
      <c r="P1058" s="116">
        <v>278.25</v>
      </c>
      <c r="Q1058" s="116">
        <v>279.39999999999998</v>
      </c>
      <c r="R1058">
        <v>198560</v>
      </c>
    </row>
    <row r="1059" spans="1:18" x14ac:dyDescent="0.25">
      <c r="A1059" s="170">
        <v>43782</v>
      </c>
      <c r="B1059" s="116">
        <v>287</v>
      </c>
      <c r="C1059" s="116">
        <v>274.39999999999998</v>
      </c>
      <c r="D1059" s="116">
        <v>266.05</v>
      </c>
      <c r="E1059" s="116">
        <v>279.8</v>
      </c>
      <c r="F1059" s="116">
        <v>274.39999999999998</v>
      </c>
      <c r="G1059">
        <v>77931</v>
      </c>
      <c r="H1059" s="116"/>
      <c r="I1059" s="116"/>
      <c r="L1059" s="170">
        <v>43782</v>
      </c>
      <c r="M1059" s="116">
        <v>274.5</v>
      </c>
      <c r="N1059" s="116">
        <v>286.85000000000002</v>
      </c>
      <c r="O1059" s="116">
        <v>265.10000000000002</v>
      </c>
      <c r="P1059" s="116">
        <v>279.2</v>
      </c>
      <c r="Q1059" s="116">
        <v>274.5</v>
      </c>
      <c r="R1059">
        <v>388762</v>
      </c>
    </row>
    <row r="1060" spans="1:18" x14ac:dyDescent="0.25">
      <c r="A1060" s="170">
        <v>43783</v>
      </c>
      <c r="B1060" s="116">
        <v>276.14999999999998</v>
      </c>
      <c r="C1060" s="116">
        <v>271.25</v>
      </c>
      <c r="D1060" s="116">
        <v>269</v>
      </c>
      <c r="E1060" s="116">
        <v>275</v>
      </c>
      <c r="F1060" s="116">
        <v>271.25</v>
      </c>
      <c r="G1060">
        <v>31091</v>
      </c>
      <c r="H1060" s="116"/>
      <c r="I1060" s="116"/>
      <c r="L1060" s="170">
        <v>43783</v>
      </c>
      <c r="M1060" s="116">
        <v>271.14999999999998</v>
      </c>
      <c r="N1060" s="116">
        <v>276.25</v>
      </c>
      <c r="O1060" s="116">
        <v>268.25</v>
      </c>
      <c r="P1060" s="116">
        <v>275</v>
      </c>
      <c r="Q1060" s="116">
        <v>271.14999999999998</v>
      </c>
      <c r="R1060">
        <v>214175</v>
      </c>
    </row>
    <row r="1061" spans="1:18" x14ac:dyDescent="0.25">
      <c r="A1061" s="170">
        <v>43784</v>
      </c>
      <c r="B1061" s="116">
        <v>274.3</v>
      </c>
      <c r="C1061" s="116">
        <v>268.95</v>
      </c>
      <c r="D1061" s="116">
        <v>266.45</v>
      </c>
      <c r="E1061" s="116">
        <v>270.39999999999998</v>
      </c>
      <c r="F1061" s="116">
        <v>268.95</v>
      </c>
      <c r="G1061">
        <v>19272</v>
      </c>
      <c r="H1061" s="116"/>
      <c r="I1061" s="116"/>
      <c r="L1061" s="170">
        <v>43784</v>
      </c>
      <c r="M1061" s="116">
        <v>268.95</v>
      </c>
      <c r="N1061" s="116">
        <v>275</v>
      </c>
      <c r="O1061" s="116">
        <v>267.5</v>
      </c>
      <c r="P1061" s="116">
        <v>272</v>
      </c>
      <c r="Q1061" s="116">
        <v>268.95</v>
      </c>
      <c r="R1061">
        <v>156598</v>
      </c>
    </row>
    <row r="1062" spans="1:18" x14ac:dyDescent="0.25">
      <c r="A1062" s="170">
        <v>43787</v>
      </c>
      <c r="B1062" s="116">
        <v>276</v>
      </c>
      <c r="C1062" s="116">
        <v>269.14999999999998</v>
      </c>
      <c r="D1062" s="116">
        <v>265.85000000000002</v>
      </c>
      <c r="E1062" s="116">
        <v>268.95</v>
      </c>
      <c r="F1062" s="116">
        <v>269.14999999999998</v>
      </c>
      <c r="G1062">
        <v>29556</v>
      </c>
      <c r="H1062" s="116"/>
      <c r="I1062" s="116"/>
      <c r="L1062" s="170">
        <v>43787</v>
      </c>
      <c r="M1062" s="116">
        <v>269.2</v>
      </c>
      <c r="N1062" s="116">
        <v>275.89999999999998</v>
      </c>
      <c r="O1062" s="116">
        <v>265.5</v>
      </c>
      <c r="P1062" s="116">
        <v>269.25</v>
      </c>
      <c r="Q1062" s="116">
        <v>269.2</v>
      </c>
      <c r="R1062">
        <v>163193</v>
      </c>
    </row>
    <row r="1063" spans="1:18" x14ac:dyDescent="0.25">
      <c r="A1063" s="170">
        <v>43788</v>
      </c>
      <c r="B1063" s="116">
        <v>271.5</v>
      </c>
      <c r="C1063" s="116">
        <v>267.89999999999998</v>
      </c>
      <c r="D1063" s="116">
        <v>265.2</v>
      </c>
      <c r="E1063" s="116">
        <v>269.2</v>
      </c>
      <c r="F1063" s="116">
        <v>267.89999999999998</v>
      </c>
      <c r="G1063">
        <v>28995</v>
      </c>
      <c r="H1063" s="116"/>
      <c r="I1063" s="116"/>
      <c r="L1063" s="170">
        <v>43788</v>
      </c>
      <c r="M1063" s="116">
        <v>268.10000000000002</v>
      </c>
      <c r="N1063" s="116">
        <v>271.95</v>
      </c>
      <c r="O1063" s="116">
        <v>265.10000000000002</v>
      </c>
      <c r="P1063" s="116">
        <v>270.95</v>
      </c>
      <c r="Q1063" s="116">
        <v>268.10000000000002</v>
      </c>
      <c r="R1063">
        <v>177796</v>
      </c>
    </row>
    <row r="1064" spans="1:18" x14ac:dyDescent="0.25">
      <c r="A1064" s="170">
        <v>43789</v>
      </c>
      <c r="B1064" s="116">
        <v>276.60000000000002</v>
      </c>
      <c r="C1064" s="116">
        <v>266.89999999999998</v>
      </c>
      <c r="D1064" s="116">
        <v>265</v>
      </c>
      <c r="E1064" s="116">
        <v>268</v>
      </c>
      <c r="F1064" s="116">
        <v>266.89999999999998</v>
      </c>
      <c r="G1064">
        <v>20184</v>
      </c>
      <c r="H1064" s="116"/>
      <c r="I1064" s="116"/>
      <c r="L1064" s="170">
        <v>43789</v>
      </c>
      <c r="M1064" s="116">
        <v>267.10000000000002</v>
      </c>
      <c r="N1064" s="116">
        <v>277</v>
      </c>
      <c r="O1064" s="116">
        <v>265.14999999999998</v>
      </c>
      <c r="P1064" s="116">
        <v>269.8</v>
      </c>
      <c r="Q1064" s="116">
        <v>267.10000000000002</v>
      </c>
      <c r="R1064">
        <v>246911</v>
      </c>
    </row>
    <row r="1065" spans="1:18" x14ac:dyDescent="0.25">
      <c r="A1065" s="170">
        <v>43790</v>
      </c>
      <c r="B1065" s="116">
        <v>271.2</v>
      </c>
      <c r="C1065" s="116">
        <v>263.60000000000002</v>
      </c>
      <c r="D1065" s="116">
        <v>257.7</v>
      </c>
      <c r="E1065" s="116">
        <v>268.25</v>
      </c>
      <c r="F1065" s="116">
        <v>263.60000000000002</v>
      </c>
      <c r="G1065">
        <v>24451</v>
      </c>
      <c r="H1065" s="116"/>
      <c r="I1065" s="116"/>
      <c r="L1065" s="170">
        <v>43790</v>
      </c>
      <c r="M1065" s="116">
        <v>263.45</v>
      </c>
      <c r="N1065" s="116">
        <v>271.45</v>
      </c>
      <c r="O1065" s="116">
        <v>256.45</v>
      </c>
      <c r="P1065" s="116">
        <v>268.7</v>
      </c>
      <c r="Q1065" s="116">
        <v>263.45</v>
      </c>
      <c r="R1065">
        <v>146497</v>
      </c>
    </row>
    <row r="1066" spans="1:18" x14ac:dyDescent="0.25">
      <c r="A1066" s="170">
        <v>43791</v>
      </c>
      <c r="B1066" s="116">
        <v>269.5</v>
      </c>
      <c r="C1066" s="116">
        <v>263.35000000000002</v>
      </c>
      <c r="D1066" s="116">
        <v>261.3</v>
      </c>
      <c r="E1066" s="116">
        <v>266.25</v>
      </c>
      <c r="F1066" s="116">
        <v>263.35000000000002</v>
      </c>
      <c r="G1066">
        <v>22909</v>
      </c>
      <c r="H1066" s="116"/>
      <c r="I1066" s="116"/>
      <c r="L1066" s="170">
        <v>43791</v>
      </c>
      <c r="M1066" s="116">
        <v>263.35000000000002</v>
      </c>
      <c r="N1066" s="116">
        <v>269.7</v>
      </c>
      <c r="O1066" s="116">
        <v>261</v>
      </c>
      <c r="P1066" s="116">
        <v>266.2</v>
      </c>
      <c r="Q1066" s="116">
        <v>263.35000000000002</v>
      </c>
      <c r="R1066">
        <v>166449</v>
      </c>
    </row>
    <row r="1067" spans="1:18" x14ac:dyDescent="0.25">
      <c r="A1067" s="170">
        <v>43794</v>
      </c>
      <c r="B1067" s="116">
        <v>269</v>
      </c>
      <c r="C1067" s="116">
        <v>263.45</v>
      </c>
      <c r="D1067" s="116">
        <v>261.45</v>
      </c>
      <c r="E1067" s="116">
        <v>265.60000000000002</v>
      </c>
      <c r="F1067" s="116">
        <v>263.45</v>
      </c>
      <c r="G1067">
        <v>20930</v>
      </c>
      <c r="H1067" s="116"/>
      <c r="I1067" s="116"/>
      <c r="L1067" s="170">
        <v>43794</v>
      </c>
      <c r="M1067" s="116">
        <v>263.75</v>
      </c>
      <c r="N1067" s="116">
        <v>269.3</v>
      </c>
      <c r="O1067" s="116">
        <v>261.05</v>
      </c>
      <c r="P1067" s="116">
        <v>264.89999999999998</v>
      </c>
      <c r="Q1067" s="116">
        <v>263.75</v>
      </c>
      <c r="R1067">
        <v>202027</v>
      </c>
    </row>
    <row r="1068" spans="1:18" x14ac:dyDescent="0.25">
      <c r="A1068" s="170">
        <v>43795</v>
      </c>
      <c r="B1068" s="116">
        <v>285</v>
      </c>
      <c r="C1068" s="116">
        <v>277.3</v>
      </c>
      <c r="D1068" s="116">
        <v>263.60000000000002</v>
      </c>
      <c r="E1068" s="116">
        <v>265.55</v>
      </c>
      <c r="F1068" s="116">
        <v>277.3</v>
      </c>
      <c r="G1068">
        <v>33539</v>
      </c>
      <c r="H1068" s="116"/>
      <c r="I1068" s="116"/>
      <c r="L1068" s="170">
        <v>43795</v>
      </c>
      <c r="M1068" s="116">
        <v>275.95</v>
      </c>
      <c r="N1068" s="116">
        <v>285</v>
      </c>
      <c r="O1068" s="116">
        <v>262.85000000000002</v>
      </c>
      <c r="P1068" s="116">
        <v>265</v>
      </c>
      <c r="Q1068" s="116">
        <v>275.95</v>
      </c>
      <c r="R1068">
        <v>612481</v>
      </c>
    </row>
    <row r="1069" spans="1:18" x14ac:dyDescent="0.25">
      <c r="A1069" s="170">
        <v>43796</v>
      </c>
      <c r="B1069" s="116">
        <v>286.14999999999998</v>
      </c>
      <c r="C1069" s="116">
        <v>281.35000000000002</v>
      </c>
      <c r="D1069" s="116">
        <v>276.85000000000002</v>
      </c>
      <c r="E1069" s="116">
        <v>279.75</v>
      </c>
      <c r="F1069" s="116">
        <v>281.35000000000002</v>
      </c>
      <c r="G1069">
        <v>27748</v>
      </c>
      <c r="H1069" s="116"/>
      <c r="I1069" s="116"/>
      <c r="L1069" s="170">
        <v>43796</v>
      </c>
      <c r="M1069" s="116">
        <v>281.39999999999998</v>
      </c>
      <c r="N1069" s="116">
        <v>286.45</v>
      </c>
      <c r="O1069" s="116">
        <v>277.10000000000002</v>
      </c>
      <c r="P1069" s="116">
        <v>278.64999999999998</v>
      </c>
      <c r="Q1069" s="116">
        <v>281.39999999999998</v>
      </c>
      <c r="R1069">
        <v>380742</v>
      </c>
    </row>
    <row r="1070" spans="1:18" x14ac:dyDescent="0.25">
      <c r="A1070" s="170">
        <v>43797</v>
      </c>
      <c r="B1070" s="116">
        <v>284.39999999999998</v>
      </c>
      <c r="C1070" s="116">
        <v>280.2</v>
      </c>
      <c r="D1070" s="116">
        <v>278.39999999999998</v>
      </c>
      <c r="E1070" s="116">
        <v>283.5</v>
      </c>
      <c r="F1070" s="116">
        <v>280.2</v>
      </c>
      <c r="G1070">
        <v>18494</v>
      </c>
      <c r="H1070" s="116"/>
      <c r="I1070" s="116"/>
      <c r="L1070" s="170">
        <v>43797</v>
      </c>
      <c r="M1070" s="116">
        <v>279.85000000000002</v>
      </c>
      <c r="N1070" s="116">
        <v>284.39999999999998</v>
      </c>
      <c r="O1070" s="116">
        <v>278.14999999999998</v>
      </c>
      <c r="P1070" s="116">
        <v>280.10000000000002</v>
      </c>
      <c r="Q1070" s="116">
        <v>279.85000000000002</v>
      </c>
      <c r="R1070">
        <v>180181</v>
      </c>
    </row>
    <row r="1071" spans="1:18" x14ac:dyDescent="0.25">
      <c r="A1071" s="170">
        <v>43798</v>
      </c>
      <c r="B1071" s="116">
        <v>317.10000000000002</v>
      </c>
      <c r="C1071" s="116">
        <v>309.7</v>
      </c>
      <c r="D1071" s="116">
        <v>279</v>
      </c>
      <c r="E1071" s="116">
        <v>281</v>
      </c>
      <c r="F1071" s="116">
        <v>309.7</v>
      </c>
      <c r="G1071">
        <v>211912</v>
      </c>
      <c r="H1071" s="116"/>
      <c r="I1071" s="116"/>
      <c r="L1071" s="170">
        <v>43798</v>
      </c>
      <c r="M1071" s="116">
        <v>310.14999999999998</v>
      </c>
      <c r="N1071" s="116">
        <v>317.5</v>
      </c>
      <c r="O1071" s="116">
        <v>278.89999999999998</v>
      </c>
      <c r="P1071" s="116">
        <v>280.64999999999998</v>
      </c>
      <c r="Q1071" s="116">
        <v>310.14999999999998</v>
      </c>
      <c r="R1071">
        <v>2083819</v>
      </c>
    </row>
    <row r="1072" spans="1:18" x14ac:dyDescent="0.25">
      <c r="A1072" s="170">
        <v>43801</v>
      </c>
      <c r="B1072" s="116">
        <v>341.4</v>
      </c>
      <c r="C1072" s="116">
        <v>332.15</v>
      </c>
      <c r="D1072" s="116">
        <v>303.3</v>
      </c>
      <c r="E1072" s="116">
        <v>312.5</v>
      </c>
      <c r="F1072" s="116">
        <v>332.15</v>
      </c>
      <c r="G1072">
        <v>297059</v>
      </c>
      <c r="H1072" s="116"/>
      <c r="I1072" s="116"/>
      <c r="L1072" s="170">
        <v>43801</v>
      </c>
      <c r="M1072" s="116">
        <v>332.15</v>
      </c>
      <c r="N1072" s="116">
        <v>341.35</v>
      </c>
      <c r="O1072" s="116">
        <v>303.89999999999998</v>
      </c>
      <c r="P1072" s="116">
        <v>313</v>
      </c>
      <c r="Q1072" s="116">
        <v>332.15</v>
      </c>
      <c r="R1072">
        <v>2329535</v>
      </c>
    </row>
    <row r="1073" spans="1:18" x14ac:dyDescent="0.25">
      <c r="A1073" s="170">
        <v>43802</v>
      </c>
      <c r="B1073" s="116">
        <v>334.5</v>
      </c>
      <c r="C1073" s="116">
        <v>314.25</v>
      </c>
      <c r="D1073" s="116">
        <v>310.60000000000002</v>
      </c>
      <c r="E1073" s="116">
        <v>334.5</v>
      </c>
      <c r="F1073" s="116">
        <v>314.25</v>
      </c>
      <c r="G1073">
        <v>61552</v>
      </c>
      <c r="H1073" s="116"/>
      <c r="I1073" s="116"/>
      <c r="L1073" s="170">
        <v>43802</v>
      </c>
      <c r="M1073" s="116">
        <v>314.3</v>
      </c>
      <c r="N1073" s="116">
        <v>334</v>
      </c>
      <c r="O1073" s="116">
        <v>310.5</v>
      </c>
      <c r="P1073" s="116">
        <v>333</v>
      </c>
      <c r="Q1073" s="116">
        <v>314.3</v>
      </c>
      <c r="R1073">
        <v>557907</v>
      </c>
    </row>
    <row r="1074" spans="1:18" x14ac:dyDescent="0.25">
      <c r="A1074" s="170">
        <v>43803</v>
      </c>
      <c r="B1074" s="116">
        <v>330.75</v>
      </c>
      <c r="C1074" s="116">
        <v>323.7</v>
      </c>
      <c r="D1074" s="116">
        <v>310.3</v>
      </c>
      <c r="E1074" s="116">
        <v>313</v>
      </c>
      <c r="F1074" s="116">
        <v>323.7</v>
      </c>
      <c r="G1074">
        <v>102797</v>
      </c>
      <c r="H1074" s="116"/>
      <c r="I1074" s="116"/>
      <c r="L1074" s="170">
        <v>43803</v>
      </c>
      <c r="M1074" s="116">
        <v>323.75</v>
      </c>
      <c r="N1074" s="116">
        <v>331</v>
      </c>
      <c r="O1074" s="116">
        <v>310</v>
      </c>
      <c r="P1074" s="116">
        <v>310</v>
      </c>
      <c r="Q1074" s="116">
        <v>323.75</v>
      </c>
      <c r="R1074">
        <v>992295</v>
      </c>
    </row>
    <row r="1075" spans="1:18" x14ac:dyDescent="0.25">
      <c r="A1075" s="170">
        <v>43804</v>
      </c>
      <c r="B1075" s="116">
        <v>333.45</v>
      </c>
      <c r="C1075" s="116">
        <v>323.95</v>
      </c>
      <c r="D1075" s="116">
        <v>320.25</v>
      </c>
      <c r="E1075" s="116">
        <v>323.89999999999998</v>
      </c>
      <c r="F1075" s="116">
        <v>323.95</v>
      </c>
      <c r="G1075">
        <v>80011</v>
      </c>
      <c r="H1075" s="116"/>
      <c r="I1075" s="116"/>
      <c r="L1075" s="170">
        <v>43804</v>
      </c>
      <c r="M1075" s="116">
        <v>323.64999999999998</v>
      </c>
      <c r="N1075" s="116">
        <v>333.8</v>
      </c>
      <c r="O1075" s="116">
        <v>320.2</v>
      </c>
      <c r="P1075" s="116">
        <v>323</v>
      </c>
      <c r="Q1075" s="116">
        <v>323.64999999999998</v>
      </c>
      <c r="R1075">
        <v>488540</v>
      </c>
    </row>
    <row r="1076" spans="1:18" x14ac:dyDescent="0.25">
      <c r="A1076" s="170">
        <v>43805</v>
      </c>
      <c r="B1076" s="116">
        <v>326.8</v>
      </c>
      <c r="C1076" s="116">
        <v>318.75</v>
      </c>
      <c r="D1076" s="116">
        <v>314.45</v>
      </c>
      <c r="E1076" s="116">
        <v>325.05</v>
      </c>
      <c r="F1076" s="116">
        <v>318.75</v>
      </c>
      <c r="G1076">
        <v>39065</v>
      </c>
      <c r="H1076" s="116"/>
      <c r="I1076" s="116"/>
      <c r="L1076" s="170">
        <v>43805</v>
      </c>
      <c r="M1076" s="116">
        <v>318.89999999999998</v>
      </c>
      <c r="N1076" s="116">
        <v>327.10000000000002</v>
      </c>
      <c r="O1076" s="116">
        <v>314.14999999999998</v>
      </c>
      <c r="P1076" s="116">
        <v>325.05</v>
      </c>
      <c r="Q1076" s="116">
        <v>318.89999999999998</v>
      </c>
      <c r="R1076">
        <v>224850</v>
      </c>
    </row>
    <row r="1077" spans="1:18" x14ac:dyDescent="0.25">
      <c r="A1077" s="170">
        <v>43808</v>
      </c>
      <c r="B1077" s="116">
        <v>344.45</v>
      </c>
      <c r="C1077" s="116">
        <v>331.85</v>
      </c>
      <c r="D1077" s="116">
        <v>319.25</v>
      </c>
      <c r="E1077" s="116">
        <v>319.25</v>
      </c>
      <c r="F1077" s="116">
        <v>331.85</v>
      </c>
      <c r="G1077">
        <v>121651</v>
      </c>
      <c r="H1077" s="116"/>
      <c r="I1077" s="116"/>
      <c r="L1077" s="170">
        <v>43808</v>
      </c>
      <c r="M1077" s="116">
        <v>331.7</v>
      </c>
      <c r="N1077" s="116">
        <v>344.7</v>
      </c>
      <c r="O1077" s="116">
        <v>320.60000000000002</v>
      </c>
      <c r="P1077" s="116">
        <v>320.60000000000002</v>
      </c>
      <c r="Q1077" s="116">
        <v>331.7</v>
      </c>
      <c r="R1077">
        <v>1342315</v>
      </c>
    </row>
    <row r="1078" spans="1:18" x14ac:dyDescent="0.25">
      <c r="A1078" s="170">
        <v>43809</v>
      </c>
      <c r="B1078" s="116">
        <v>341.9</v>
      </c>
      <c r="C1078" s="116">
        <v>336.2</v>
      </c>
      <c r="D1078" s="116">
        <v>329</v>
      </c>
      <c r="E1078" s="116">
        <v>334.9</v>
      </c>
      <c r="F1078" s="116">
        <v>336.2</v>
      </c>
      <c r="G1078">
        <v>64837</v>
      </c>
      <c r="H1078" s="116"/>
      <c r="I1078" s="116"/>
      <c r="L1078" s="170">
        <v>43809</v>
      </c>
      <c r="M1078" s="116">
        <v>336.7</v>
      </c>
      <c r="N1078" s="116">
        <v>342.1</v>
      </c>
      <c r="O1078" s="116">
        <v>329.4</v>
      </c>
      <c r="P1078" s="116">
        <v>334</v>
      </c>
      <c r="Q1078" s="116">
        <v>336.7</v>
      </c>
      <c r="R1078">
        <v>710195</v>
      </c>
    </row>
    <row r="1079" spans="1:18" x14ac:dyDescent="0.25">
      <c r="A1079" s="170">
        <v>43810</v>
      </c>
      <c r="B1079" s="116">
        <v>350.05</v>
      </c>
      <c r="C1079" s="116">
        <v>342.05</v>
      </c>
      <c r="D1079" s="116">
        <v>321.45</v>
      </c>
      <c r="E1079" s="116">
        <v>340.15</v>
      </c>
      <c r="F1079" s="116">
        <v>342.05</v>
      </c>
      <c r="G1079">
        <v>191537</v>
      </c>
      <c r="H1079" s="116"/>
      <c r="I1079" s="116"/>
      <c r="L1079" s="170">
        <v>43810</v>
      </c>
      <c r="M1079" s="116">
        <v>341.85</v>
      </c>
      <c r="N1079" s="116">
        <v>350.95</v>
      </c>
      <c r="O1079" s="116">
        <v>320.64999999999998</v>
      </c>
      <c r="P1079" s="116">
        <v>339</v>
      </c>
      <c r="Q1079" s="116">
        <v>341.85</v>
      </c>
      <c r="R1079">
        <v>2742883</v>
      </c>
    </row>
    <row r="1080" spans="1:18" x14ac:dyDescent="0.25">
      <c r="A1080" s="170">
        <v>43811</v>
      </c>
      <c r="B1080" s="116">
        <v>348</v>
      </c>
      <c r="C1080" s="116">
        <v>335.8</v>
      </c>
      <c r="D1080" s="116">
        <v>327</v>
      </c>
      <c r="E1080" s="116">
        <v>348</v>
      </c>
      <c r="F1080" s="116">
        <v>335.8</v>
      </c>
      <c r="G1080">
        <v>60734</v>
      </c>
      <c r="H1080" s="116"/>
      <c r="I1080" s="116"/>
      <c r="L1080" s="170">
        <v>43811</v>
      </c>
      <c r="M1080" s="116">
        <v>335.95</v>
      </c>
      <c r="N1080" s="116">
        <v>345.4</v>
      </c>
      <c r="O1080" s="116">
        <v>326</v>
      </c>
      <c r="P1080" s="116">
        <v>344.2</v>
      </c>
      <c r="Q1080" s="116">
        <v>335.95</v>
      </c>
      <c r="R1080">
        <v>521152</v>
      </c>
    </row>
    <row r="1081" spans="1:18" x14ac:dyDescent="0.25">
      <c r="A1081" s="170">
        <v>43812</v>
      </c>
      <c r="B1081" s="116">
        <v>338.85</v>
      </c>
      <c r="C1081" s="116">
        <v>331.85</v>
      </c>
      <c r="D1081" s="116">
        <v>330</v>
      </c>
      <c r="E1081" s="116">
        <v>337.45</v>
      </c>
      <c r="F1081" s="116">
        <v>331.85</v>
      </c>
      <c r="G1081">
        <v>30475</v>
      </c>
      <c r="H1081" s="116"/>
      <c r="I1081" s="116"/>
      <c r="L1081" s="170">
        <v>43812</v>
      </c>
      <c r="M1081" s="116">
        <v>331.55</v>
      </c>
      <c r="N1081" s="116">
        <v>339.3</v>
      </c>
      <c r="O1081" s="116">
        <v>330</v>
      </c>
      <c r="P1081" s="116">
        <v>334</v>
      </c>
      <c r="Q1081" s="116">
        <v>331.55</v>
      </c>
      <c r="R1081">
        <v>220241</v>
      </c>
    </row>
    <row r="1082" spans="1:18" x14ac:dyDescent="0.25">
      <c r="A1082" s="170">
        <v>43815</v>
      </c>
      <c r="B1082" s="116">
        <v>337.1</v>
      </c>
      <c r="C1082" s="116">
        <v>332.15</v>
      </c>
      <c r="D1082" s="116">
        <v>330.05</v>
      </c>
      <c r="E1082" s="116">
        <v>335.8</v>
      </c>
      <c r="F1082" s="116">
        <v>332.15</v>
      </c>
      <c r="G1082">
        <v>27291</v>
      </c>
      <c r="H1082" s="116"/>
      <c r="I1082" s="116"/>
      <c r="L1082" s="170">
        <v>43815</v>
      </c>
      <c r="M1082" s="116">
        <v>332.25</v>
      </c>
      <c r="N1082" s="116">
        <v>337</v>
      </c>
      <c r="O1082" s="116">
        <v>330</v>
      </c>
      <c r="P1082" s="116">
        <v>334</v>
      </c>
      <c r="Q1082" s="116">
        <v>332.25</v>
      </c>
      <c r="R1082">
        <v>238781</v>
      </c>
    </row>
    <row r="1083" spans="1:18" x14ac:dyDescent="0.25">
      <c r="A1083" s="170">
        <v>43816</v>
      </c>
      <c r="B1083" s="116">
        <v>337.5</v>
      </c>
      <c r="C1083" s="116">
        <v>333.95</v>
      </c>
      <c r="D1083" s="116">
        <v>329.6</v>
      </c>
      <c r="E1083" s="116">
        <v>333.7</v>
      </c>
      <c r="F1083" s="116">
        <v>333.95</v>
      </c>
      <c r="G1083">
        <v>43577</v>
      </c>
      <c r="H1083" s="116"/>
      <c r="I1083" s="116"/>
      <c r="L1083" s="170">
        <v>43816</v>
      </c>
      <c r="M1083" s="116">
        <v>334.05</v>
      </c>
      <c r="N1083" s="116">
        <v>337.55</v>
      </c>
      <c r="O1083" s="116">
        <v>329.05</v>
      </c>
      <c r="P1083" s="116">
        <v>333.25</v>
      </c>
      <c r="Q1083" s="116">
        <v>334.05</v>
      </c>
      <c r="R1083">
        <v>230362</v>
      </c>
    </row>
    <row r="1084" spans="1:18" x14ac:dyDescent="0.25">
      <c r="A1084" s="170">
        <v>43817</v>
      </c>
      <c r="B1084" s="116">
        <v>337</v>
      </c>
      <c r="C1084" s="116">
        <v>333.15</v>
      </c>
      <c r="D1084" s="116">
        <v>332.3</v>
      </c>
      <c r="E1084" s="116">
        <v>337</v>
      </c>
      <c r="F1084" s="116">
        <v>333.15</v>
      </c>
      <c r="G1084">
        <v>7441</v>
      </c>
      <c r="H1084" s="116"/>
      <c r="I1084" s="116"/>
      <c r="L1084" s="170">
        <v>43817</v>
      </c>
      <c r="M1084" s="116">
        <v>333.65</v>
      </c>
      <c r="N1084" s="116">
        <v>336.3</v>
      </c>
      <c r="O1084" s="116">
        <v>332.05</v>
      </c>
      <c r="P1084" s="116">
        <v>334.95</v>
      </c>
      <c r="Q1084" s="116">
        <v>333.65</v>
      </c>
      <c r="R1084">
        <v>132743</v>
      </c>
    </row>
    <row r="1085" spans="1:18" x14ac:dyDescent="0.25">
      <c r="A1085" s="170">
        <v>43818</v>
      </c>
      <c r="B1085" s="116">
        <v>334.7</v>
      </c>
      <c r="C1085" s="116">
        <v>333.1</v>
      </c>
      <c r="D1085" s="116">
        <v>331</v>
      </c>
      <c r="E1085" s="116">
        <v>331</v>
      </c>
      <c r="F1085" s="116">
        <v>333.1</v>
      </c>
      <c r="G1085">
        <v>10854</v>
      </c>
      <c r="H1085" s="116"/>
      <c r="I1085" s="116"/>
      <c r="L1085" s="170">
        <v>43818</v>
      </c>
      <c r="M1085" s="116">
        <v>333.35</v>
      </c>
      <c r="N1085" s="116">
        <v>334.75</v>
      </c>
      <c r="O1085" s="116">
        <v>329.1</v>
      </c>
      <c r="P1085" s="116">
        <v>333.95</v>
      </c>
      <c r="Q1085" s="116">
        <v>333.35</v>
      </c>
      <c r="R1085">
        <v>112187</v>
      </c>
    </row>
    <row r="1086" spans="1:18" x14ac:dyDescent="0.25">
      <c r="A1086" s="170">
        <v>43819</v>
      </c>
      <c r="B1086" s="116">
        <v>350</v>
      </c>
      <c r="C1086" s="116">
        <v>341.7</v>
      </c>
      <c r="D1086" s="116">
        <v>322</v>
      </c>
      <c r="E1086" s="116">
        <v>322</v>
      </c>
      <c r="F1086" s="116">
        <v>341.7</v>
      </c>
      <c r="G1086">
        <v>58391</v>
      </c>
      <c r="H1086" s="116"/>
      <c r="I1086" s="116"/>
      <c r="L1086" s="170">
        <v>43819</v>
      </c>
      <c r="M1086" s="116">
        <v>341.9</v>
      </c>
      <c r="N1086" s="116">
        <v>349.65</v>
      </c>
      <c r="O1086" s="116">
        <v>329.35</v>
      </c>
      <c r="P1086" s="116">
        <v>334.65</v>
      </c>
      <c r="Q1086" s="116">
        <v>341.9</v>
      </c>
      <c r="R1086">
        <v>597452</v>
      </c>
    </row>
    <row r="1087" spans="1:18" x14ac:dyDescent="0.25">
      <c r="A1087" s="170">
        <v>43822</v>
      </c>
      <c r="B1087" s="116">
        <v>344.3</v>
      </c>
      <c r="C1087" s="116">
        <v>332.6</v>
      </c>
      <c r="D1087" s="116">
        <v>331.55</v>
      </c>
      <c r="E1087" s="116">
        <v>341.7</v>
      </c>
      <c r="F1087" s="116">
        <v>332.6</v>
      </c>
      <c r="G1087">
        <v>30452</v>
      </c>
      <c r="H1087" s="116"/>
      <c r="I1087" s="116"/>
      <c r="L1087" s="170">
        <v>43822</v>
      </c>
      <c r="M1087" s="116">
        <v>332.4</v>
      </c>
      <c r="N1087" s="116">
        <v>344.9</v>
      </c>
      <c r="O1087" s="116">
        <v>331.25</v>
      </c>
      <c r="P1087" s="116">
        <v>341.95</v>
      </c>
      <c r="Q1087" s="116">
        <v>332.4</v>
      </c>
      <c r="R1087">
        <v>275463</v>
      </c>
    </row>
    <row r="1088" spans="1:18" x14ac:dyDescent="0.25">
      <c r="A1088" s="170">
        <v>43823</v>
      </c>
      <c r="B1088" s="116">
        <v>340.95</v>
      </c>
      <c r="C1088" s="116">
        <v>334.75</v>
      </c>
      <c r="D1088" s="116">
        <v>329.9</v>
      </c>
      <c r="E1088" s="116">
        <v>329.95</v>
      </c>
      <c r="F1088" s="116">
        <v>334.75</v>
      </c>
      <c r="G1088">
        <v>20944</v>
      </c>
      <c r="H1088" s="116"/>
      <c r="I1088" s="116"/>
      <c r="L1088" s="170">
        <v>43823</v>
      </c>
      <c r="M1088" s="116">
        <v>334.9</v>
      </c>
      <c r="N1088" s="116">
        <v>340.85</v>
      </c>
      <c r="O1088" s="116">
        <v>332</v>
      </c>
      <c r="P1088" s="116">
        <v>334.7</v>
      </c>
      <c r="Q1088" s="116">
        <v>334.9</v>
      </c>
      <c r="R1088">
        <v>272503</v>
      </c>
    </row>
    <row r="1089" spans="1:18" x14ac:dyDescent="0.25">
      <c r="A1089" s="170">
        <v>43825</v>
      </c>
      <c r="B1089" s="116">
        <v>338</v>
      </c>
      <c r="C1089" s="116">
        <v>331.55</v>
      </c>
      <c r="D1089" s="116">
        <v>330.05</v>
      </c>
      <c r="E1089" s="116">
        <v>335.05</v>
      </c>
      <c r="F1089" s="116">
        <v>331.55</v>
      </c>
      <c r="G1089">
        <v>25563</v>
      </c>
      <c r="H1089" s="116"/>
      <c r="I1089" s="116"/>
      <c r="L1089" s="170">
        <v>43825</v>
      </c>
      <c r="M1089" s="116">
        <v>331.85</v>
      </c>
      <c r="N1089" s="116">
        <v>337.85</v>
      </c>
      <c r="O1089" s="116">
        <v>329.5</v>
      </c>
      <c r="P1089" s="116">
        <v>334.95</v>
      </c>
      <c r="Q1089" s="116">
        <v>331.85</v>
      </c>
      <c r="R1089">
        <v>154600</v>
      </c>
    </row>
    <row r="1090" spans="1:18" x14ac:dyDescent="0.25">
      <c r="A1090" s="170">
        <v>43826</v>
      </c>
      <c r="B1090" s="116">
        <v>336.5</v>
      </c>
      <c r="C1090" s="116">
        <v>330.05</v>
      </c>
      <c r="D1090" s="116">
        <v>328.65</v>
      </c>
      <c r="E1090" s="116">
        <v>334.65</v>
      </c>
      <c r="F1090" s="116">
        <v>330.05</v>
      </c>
      <c r="G1090">
        <v>17224</v>
      </c>
      <c r="H1090" s="116"/>
      <c r="I1090" s="116"/>
      <c r="L1090" s="170">
        <v>43826</v>
      </c>
      <c r="M1090" s="116">
        <v>330.1</v>
      </c>
      <c r="N1090" s="116">
        <v>335.15</v>
      </c>
      <c r="O1090" s="116">
        <v>329</v>
      </c>
      <c r="P1090" s="116">
        <v>332.25</v>
      </c>
      <c r="Q1090" s="116">
        <v>330.1</v>
      </c>
      <c r="R1090">
        <v>139270</v>
      </c>
    </row>
    <row r="1091" spans="1:18" x14ac:dyDescent="0.25">
      <c r="A1091" s="170">
        <v>43829</v>
      </c>
      <c r="B1091" s="116">
        <v>337</v>
      </c>
      <c r="C1091" s="116">
        <v>334</v>
      </c>
      <c r="D1091" s="116">
        <v>330</v>
      </c>
      <c r="E1091" s="116">
        <v>330.05</v>
      </c>
      <c r="F1091" s="116">
        <v>334</v>
      </c>
      <c r="G1091">
        <v>27224</v>
      </c>
      <c r="H1091" s="116"/>
      <c r="I1091" s="116"/>
      <c r="L1091" s="170">
        <v>43829</v>
      </c>
      <c r="M1091" s="116">
        <v>334.1</v>
      </c>
      <c r="N1091" s="116">
        <v>337.25</v>
      </c>
      <c r="O1091" s="116">
        <v>329.9</v>
      </c>
      <c r="P1091" s="116">
        <v>330</v>
      </c>
      <c r="Q1091" s="116">
        <v>334.1</v>
      </c>
      <c r="R1091">
        <v>224974</v>
      </c>
    </row>
    <row r="1092" spans="1:18" x14ac:dyDescent="0.25">
      <c r="A1092" s="170">
        <v>43830</v>
      </c>
      <c r="B1092" s="116">
        <v>336.9</v>
      </c>
      <c r="C1092" s="116">
        <v>331.9</v>
      </c>
      <c r="D1092" s="116">
        <v>330</v>
      </c>
      <c r="E1092" s="116">
        <v>334.95</v>
      </c>
      <c r="F1092" s="116">
        <v>331.9</v>
      </c>
      <c r="G1092">
        <v>14111</v>
      </c>
      <c r="H1092" s="116"/>
      <c r="I1092" s="116"/>
      <c r="L1092" s="170">
        <v>43830</v>
      </c>
      <c r="M1092" s="116">
        <v>331.4</v>
      </c>
      <c r="N1092" s="116">
        <v>336.9</v>
      </c>
      <c r="O1092" s="116">
        <v>330</v>
      </c>
      <c r="P1092" s="116">
        <v>334.6</v>
      </c>
      <c r="Q1092" s="116">
        <v>331.4</v>
      </c>
      <c r="R1092">
        <v>165013</v>
      </c>
    </row>
    <row r="1093" spans="1:18" x14ac:dyDescent="0.25">
      <c r="A1093" s="170">
        <v>43831</v>
      </c>
      <c r="B1093" s="116">
        <v>336</v>
      </c>
      <c r="C1093" s="116">
        <v>333.55</v>
      </c>
      <c r="D1093" s="116">
        <v>330.5</v>
      </c>
      <c r="E1093" s="116">
        <v>333.35</v>
      </c>
      <c r="F1093" s="116">
        <v>333.55</v>
      </c>
      <c r="G1093">
        <v>19702</v>
      </c>
      <c r="H1093" s="116"/>
      <c r="I1093" s="116"/>
      <c r="L1093" s="170">
        <v>43831</v>
      </c>
      <c r="M1093" s="116">
        <v>333.9</v>
      </c>
      <c r="N1093" s="116">
        <v>336</v>
      </c>
      <c r="O1093" s="116">
        <v>330</v>
      </c>
      <c r="P1093" s="116">
        <v>332.95</v>
      </c>
      <c r="Q1093" s="116">
        <v>333.9</v>
      </c>
      <c r="R1093">
        <v>147701</v>
      </c>
    </row>
    <row r="1094" spans="1:18" x14ac:dyDescent="0.25">
      <c r="A1094" s="170">
        <v>43832</v>
      </c>
      <c r="B1094" s="116">
        <v>365.8</v>
      </c>
      <c r="C1094" s="116">
        <v>357.05</v>
      </c>
      <c r="D1094" s="116">
        <v>332</v>
      </c>
      <c r="E1094" s="116">
        <v>332</v>
      </c>
      <c r="F1094" s="116">
        <v>357.05</v>
      </c>
      <c r="G1094">
        <v>110308</v>
      </c>
      <c r="H1094" s="116"/>
      <c r="I1094" s="116"/>
      <c r="L1094" s="170">
        <v>43832</v>
      </c>
      <c r="M1094" s="116">
        <v>356.65</v>
      </c>
      <c r="N1094" s="116">
        <v>366.4</v>
      </c>
      <c r="O1094" s="116">
        <v>332.6</v>
      </c>
      <c r="P1094" s="116">
        <v>335</v>
      </c>
      <c r="Q1094" s="116">
        <v>356.65</v>
      </c>
      <c r="R1094">
        <v>1195881</v>
      </c>
    </row>
    <row r="1095" spans="1:18" x14ac:dyDescent="0.25">
      <c r="A1095" s="170">
        <v>43833</v>
      </c>
      <c r="B1095" s="116">
        <v>355.85</v>
      </c>
      <c r="C1095" s="116">
        <v>346.75</v>
      </c>
      <c r="D1095" s="116">
        <v>343.45</v>
      </c>
      <c r="E1095" s="116">
        <v>354.8</v>
      </c>
      <c r="F1095" s="116">
        <v>346.75</v>
      </c>
      <c r="G1095">
        <v>78771</v>
      </c>
      <c r="H1095" s="116"/>
      <c r="I1095" s="116"/>
      <c r="L1095" s="170">
        <v>43833</v>
      </c>
      <c r="M1095" s="116">
        <v>346.55</v>
      </c>
      <c r="N1095" s="116">
        <v>356.1</v>
      </c>
      <c r="O1095" s="116">
        <v>343</v>
      </c>
      <c r="P1095" s="116">
        <v>354.65</v>
      </c>
      <c r="Q1095" s="116">
        <v>346.55</v>
      </c>
      <c r="R1095">
        <v>355922</v>
      </c>
    </row>
    <row r="1096" spans="1:18" x14ac:dyDescent="0.25">
      <c r="A1096" s="170">
        <v>43836</v>
      </c>
      <c r="B1096" s="116">
        <v>346.2</v>
      </c>
      <c r="C1096" s="116">
        <v>324.39999999999998</v>
      </c>
      <c r="D1096" s="116">
        <v>322</v>
      </c>
      <c r="E1096" s="116">
        <v>346.2</v>
      </c>
      <c r="F1096" s="116">
        <v>324.39999999999998</v>
      </c>
      <c r="G1096">
        <v>64943</v>
      </c>
      <c r="H1096" s="116"/>
      <c r="I1096" s="116"/>
      <c r="L1096" s="170">
        <v>43836</v>
      </c>
      <c r="M1096" s="116">
        <v>324.05</v>
      </c>
      <c r="N1096" s="116">
        <v>345.7</v>
      </c>
      <c r="O1096" s="116">
        <v>321.7</v>
      </c>
      <c r="P1096" s="116">
        <v>345.7</v>
      </c>
      <c r="Q1096" s="116">
        <v>324.05</v>
      </c>
      <c r="R1096">
        <v>380525</v>
      </c>
    </row>
    <row r="1097" spans="1:18" x14ac:dyDescent="0.25">
      <c r="A1097" s="170">
        <v>43837</v>
      </c>
      <c r="B1097" s="116">
        <v>343.6</v>
      </c>
      <c r="C1097" s="116">
        <v>331.85</v>
      </c>
      <c r="D1097" s="116">
        <v>328.65</v>
      </c>
      <c r="E1097" s="116">
        <v>328.7</v>
      </c>
      <c r="F1097" s="116">
        <v>331.85</v>
      </c>
      <c r="G1097">
        <v>101052</v>
      </c>
      <c r="H1097" s="116"/>
      <c r="I1097" s="116"/>
      <c r="L1097" s="170">
        <v>43837</v>
      </c>
      <c r="M1097" s="116">
        <v>332.05</v>
      </c>
      <c r="N1097" s="116">
        <v>344</v>
      </c>
      <c r="O1097" s="116">
        <v>327.64999999999998</v>
      </c>
      <c r="P1097" s="116">
        <v>328</v>
      </c>
      <c r="Q1097" s="116">
        <v>332.05</v>
      </c>
      <c r="R1097">
        <v>397234</v>
      </c>
    </row>
    <row r="1098" spans="1:18" x14ac:dyDescent="0.25">
      <c r="A1098" s="170">
        <v>43838</v>
      </c>
      <c r="B1098" s="116">
        <v>335.1</v>
      </c>
      <c r="C1098" s="116">
        <v>332.1</v>
      </c>
      <c r="D1098" s="116">
        <v>322.3</v>
      </c>
      <c r="E1098" s="116">
        <v>326.05</v>
      </c>
      <c r="F1098" s="116">
        <v>332.1</v>
      </c>
      <c r="G1098">
        <v>45866</v>
      </c>
      <c r="H1098" s="116"/>
      <c r="I1098" s="116"/>
      <c r="L1098" s="170">
        <v>43838</v>
      </c>
      <c r="M1098" s="116">
        <v>332.2</v>
      </c>
      <c r="N1098" s="116">
        <v>335</v>
      </c>
      <c r="O1098" s="116">
        <v>322</v>
      </c>
      <c r="P1098" s="116">
        <v>325.05</v>
      </c>
      <c r="Q1098" s="116">
        <v>332.2</v>
      </c>
      <c r="R1098">
        <v>249746</v>
      </c>
    </row>
    <row r="1099" spans="1:18" x14ac:dyDescent="0.25">
      <c r="A1099" s="170">
        <v>43839</v>
      </c>
      <c r="B1099" s="116">
        <v>343.75</v>
      </c>
      <c r="C1099" s="116">
        <v>334</v>
      </c>
      <c r="D1099" s="116">
        <v>331.9</v>
      </c>
      <c r="E1099" s="116">
        <v>336</v>
      </c>
      <c r="F1099" s="116">
        <v>334</v>
      </c>
      <c r="G1099">
        <v>36629</v>
      </c>
      <c r="H1099" s="116"/>
      <c r="I1099" s="116"/>
      <c r="L1099" s="170">
        <v>43839</v>
      </c>
      <c r="M1099" s="116">
        <v>333.85</v>
      </c>
      <c r="N1099" s="116">
        <v>344</v>
      </c>
      <c r="O1099" s="116">
        <v>331.65</v>
      </c>
      <c r="P1099" s="116">
        <v>336.6</v>
      </c>
      <c r="Q1099" s="116">
        <v>333.85</v>
      </c>
      <c r="R1099">
        <v>269745</v>
      </c>
    </row>
    <row r="1100" spans="1:18" x14ac:dyDescent="0.25">
      <c r="A1100" s="170">
        <v>43840</v>
      </c>
      <c r="B1100" s="116">
        <v>338.65</v>
      </c>
      <c r="C1100" s="116">
        <v>330.25</v>
      </c>
      <c r="D1100" s="116">
        <v>326.3</v>
      </c>
      <c r="E1100" s="116">
        <v>336</v>
      </c>
      <c r="F1100" s="116">
        <v>330.25</v>
      </c>
      <c r="G1100">
        <v>18516</v>
      </c>
      <c r="H1100" s="116"/>
      <c r="I1100" s="116"/>
      <c r="L1100" s="170">
        <v>43840</v>
      </c>
      <c r="M1100" s="116">
        <v>329.75</v>
      </c>
      <c r="N1100" s="116">
        <v>335.95</v>
      </c>
      <c r="O1100" s="116">
        <v>326</v>
      </c>
      <c r="P1100" s="116">
        <v>335.25</v>
      </c>
      <c r="Q1100" s="116">
        <v>329.75</v>
      </c>
      <c r="R1100">
        <v>167427</v>
      </c>
    </row>
    <row r="1101" spans="1:18" x14ac:dyDescent="0.25">
      <c r="A1101" s="170">
        <v>43843</v>
      </c>
      <c r="B1101" s="116">
        <v>338.95</v>
      </c>
      <c r="C1101" s="116">
        <v>334.25</v>
      </c>
      <c r="D1101" s="116">
        <v>328.55</v>
      </c>
      <c r="E1101" s="116">
        <v>329.3</v>
      </c>
      <c r="F1101" s="116">
        <v>334.25</v>
      </c>
      <c r="G1101">
        <v>15966</v>
      </c>
      <c r="H1101" s="116"/>
      <c r="I1101" s="116"/>
      <c r="L1101" s="170">
        <v>43843</v>
      </c>
      <c r="M1101" s="116">
        <v>334.15</v>
      </c>
      <c r="N1101" s="116">
        <v>339</v>
      </c>
      <c r="O1101" s="116">
        <v>328.5</v>
      </c>
      <c r="P1101" s="116">
        <v>331.95</v>
      </c>
      <c r="Q1101" s="116">
        <v>334.15</v>
      </c>
      <c r="R1101">
        <v>196364</v>
      </c>
    </row>
    <row r="1102" spans="1:18" x14ac:dyDescent="0.25">
      <c r="A1102" s="170">
        <v>43844</v>
      </c>
      <c r="B1102" s="116">
        <v>337.85</v>
      </c>
      <c r="C1102" s="116">
        <v>333.25</v>
      </c>
      <c r="D1102" s="116">
        <v>331.25</v>
      </c>
      <c r="E1102" s="116">
        <v>337.85</v>
      </c>
      <c r="F1102" s="116">
        <v>333.25</v>
      </c>
      <c r="G1102">
        <v>15016</v>
      </c>
      <c r="H1102" s="116"/>
      <c r="I1102" s="116"/>
      <c r="L1102" s="170">
        <v>43844</v>
      </c>
      <c r="M1102" s="116">
        <v>333.05</v>
      </c>
      <c r="N1102" s="116">
        <v>337.5</v>
      </c>
      <c r="O1102" s="116">
        <v>331.4</v>
      </c>
      <c r="P1102" s="116">
        <v>335.4</v>
      </c>
      <c r="Q1102" s="116">
        <v>333.05</v>
      </c>
      <c r="R1102">
        <v>68981</v>
      </c>
    </row>
    <row r="1103" spans="1:18" x14ac:dyDescent="0.25">
      <c r="A1103" s="170">
        <v>43845</v>
      </c>
      <c r="B1103" s="116">
        <v>336.4</v>
      </c>
      <c r="C1103" s="116">
        <v>333.95</v>
      </c>
      <c r="D1103" s="116">
        <v>330.7</v>
      </c>
      <c r="E1103" s="116">
        <v>332.4</v>
      </c>
      <c r="F1103" s="116">
        <v>333.95</v>
      </c>
      <c r="G1103">
        <v>28644</v>
      </c>
      <c r="H1103" s="116"/>
      <c r="I1103" s="116"/>
      <c r="L1103" s="170">
        <v>43845</v>
      </c>
      <c r="M1103" s="116">
        <v>334.05</v>
      </c>
      <c r="N1103" s="116">
        <v>336.45</v>
      </c>
      <c r="O1103" s="116">
        <v>330.1</v>
      </c>
      <c r="P1103" s="116">
        <v>333</v>
      </c>
      <c r="Q1103" s="116">
        <v>334.05</v>
      </c>
      <c r="R1103">
        <v>84451</v>
      </c>
    </row>
    <row r="1104" spans="1:18" x14ac:dyDescent="0.25">
      <c r="A1104" s="170">
        <v>43846</v>
      </c>
      <c r="B1104" s="116">
        <v>343</v>
      </c>
      <c r="C1104" s="116">
        <v>339.95</v>
      </c>
      <c r="D1104" s="116">
        <v>334.1</v>
      </c>
      <c r="E1104" s="116">
        <v>334.1</v>
      </c>
      <c r="F1104" s="116">
        <v>339.95</v>
      </c>
      <c r="G1104">
        <v>22962</v>
      </c>
      <c r="H1104" s="116"/>
      <c r="I1104" s="116"/>
      <c r="L1104" s="170">
        <v>43846</v>
      </c>
      <c r="M1104" s="116">
        <v>339.9</v>
      </c>
      <c r="N1104" s="116">
        <v>343</v>
      </c>
      <c r="O1104" s="116">
        <v>332.55</v>
      </c>
      <c r="P1104" s="116">
        <v>332.55</v>
      </c>
      <c r="Q1104" s="116">
        <v>339.9</v>
      </c>
      <c r="R1104">
        <v>257554</v>
      </c>
    </row>
    <row r="1105" spans="1:18" x14ac:dyDescent="0.25">
      <c r="A1105" s="170">
        <v>43847</v>
      </c>
      <c r="B1105" s="116">
        <v>347</v>
      </c>
      <c r="C1105" s="116">
        <v>340.95</v>
      </c>
      <c r="D1105" s="116">
        <v>330.6</v>
      </c>
      <c r="E1105" s="116">
        <v>330.6</v>
      </c>
      <c r="F1105" s="116">
        <v>340.95</v>
      </c>
      <c r="G1105">
        <v>19497</v>
      </c>
      <c r="H1105" s="116"/>
      <c r="I1105" s="116"/>
      <c r="L1105" s="170">
        <v>43847</v>
      </c>
      <c r="M1105" s="116">
        <v>340.75</v>
      </c>
      <c r="N1105" s="116">
        <v>347</v>
      </c>
      <c r="O1105" s="116">
        <v>335.25</v>
      </c>
      <c r="P1105" s="116">
        <v>335.25</v>
      </c>
      <c r="Q1105" s="116">
        <v>340.75</v>
      </c>
      <c r="R1105">
        <v>181247</v>
      </c>
    </row>
    <row r="1106" spans="1:18" x14ac:dyDescent="0.25">
      <c r="A1106" s="170">
        <v>43850</v>
      </c>
      <c r="B1106" s="116">
        <v>345.2</v>
      </c>
      <c r="C1106" s="116">
        <v>339.4</v>
      </c>
      <c r="D1106" s="116">
        <v>337</v>
      </c>
      <c r="E1106" s="116">
        <v>340</v>
      </c>
      <c r="F1106" s="116">
        <v>339.4</v>
      </c>
      <c r="G1106">
        <v>33670</v>
      </c>
      <c r="H1106" s="116"/>
      <c r="I1106" s="116"/>
      <c r="L1106" s="170">
        <v>43850</v>
      </c>
      <c r="M1106" s="116">
        <v>339.05</v>
      </c>
      <c r="N1106" s="116">
        <v>345.4</v>
      </c>
      <c r="O1106" s="116">
        <v>337.15</v>
      </c>
      <c r="P1106" s="116">
        <v>342.7</v>
      </c>
      <c r="Q1106" s="116">
        <v>339.05</v>
      </c>
      <c r="R1106">
        <v>93144</v>
      </c>
    </row>
    <row r="1107" spans="1:18" x14ac:dyDescent="0.25">
      <c r="A1107" s="170">
        <v>43851</v>
      </c>
      <c r="B1107" s="116">
        <v>344.75</v>
      </c>
      <c r="C1107" s="116">
        <v>333.55</v>
      </c>
      <c r="D1107" s="116">
        <v>325</v>
      </c>
      <c r="E1107" s="116">
        <v>337.85</v>
      </c>
      <c r="F1107" s="116">
        <v>333.55</v>
      </c>
      <c r="G1107">
        <v>21964</v>
      </c>
      <c r="H1107" s="116"/>
      <c r="I1107" s="116"/>
      <c r="L1107" s="170">
        <v>43851</v>
      </c>
      <c r="M1107" s="116">
        <v>332.7</v>
      </c>
      <c r="N1107" s="116">
        <v>345.4</v>
      </c>
      <c r="O1107" s="116">
        <v>330</v>
      </c>
      <c r="P1107" s="116">
        <v>338</v>
      </c>
      <c r="Q1107" s="116">
        <v>332.7</v>
      </c>
      <c r="R1107">
        <v>108524</v>
      </c>
    </row>
    <row r="1108" spans="1:18" x14ac:dyDescent="0.25">
      <c r="A1108" s="170">
        <v>43852</v>
      </c>
      <c r="B1108" s="116">
        <v>338.8</v>
      </c>
      <c r="C1108" s="116">
        <v>332.7</v>
      </c>
      <c r="D1108" s="116">
        <v>330.05</v>
      </c>
      <c r="E1108" s="116">
        <v>335.2</v>
      </c>
      <c r="F1108" s="116">
        <v>332.7</v>
      </c>
      <c r="G1108">
        <v>9315</v>
      </c>
      <c r="H1108" s="116"/>
      <c r="I1108" s="116"/>
      <c r="L1108" s="170">
        <v>43852</v>
      </c>
      <c r="M1108" s="116">
        <v>332.6</v>
      </c>
      <c r="N1108" s="116">
        <v>339</v>
      </c>
      <c r="O1108" s="116">
        <v>329.55</v>
      </c>
      <c r="P1108" s="116">
        <v>335.65</v>
      </c>
      <c r="Q1108" s="116">
        <v>332.6</v>
      </c>
      <c r="R1108">
        <v>96354</v>
      </c>
    </row>
    <row r="1109" spans="1:18" x14ac:dyDescent="0.25">
      <c r="A1109" s="170">
        <v>43853</v>
      </c>
      <c r="B1109" s="116">
        <v>337.05</v>
      </c>
      <c r="C1109" s="116">
        <v>332.55</v>
      </c>
      <c r="D1109" s="116">
        <v>330.75</v>
      </c>
      <c r="E1109" s="116">
        <v>333.25</v>
      </c>
      <c r="F1109" s="116">
        <v>332.55</v>
      </c>
      <c r="G1109">
        <v>25277</v>
      </c>
      <c r="H1109" s="116"/>
      <c r="I1109" s="116"/>
      <c r="L1109" s="170">
        <v>43853</v>
      </c>
      <c r="M1109" s="116">
        <v>332.9</v>
      </c>
      <c r="N1109" s="116">
        <v>337.5</v>
      </c>
      <c r="O1109" s="116">
        <v>330</v>
      </c>
      <c r="P1109" s="116">
        <v>332.6</v>
      </c>
      <c r="Q1109" s="116">
        <v>332.9</v>
      </c>
      <c r="R1109">
        <v>95177</v>
      </c>
    </row>
    <row r="1110" spans="1:18" x14ac:dyDescent="0.25">
      <c r="A1110" s="170">
        <v>43854</v>
      </c>
      <c r="B1110" s="116">
        <v>334.9</v>
      </c>
      <c r="C1110" s="116">
        <v>333.3</v>
      </c>
      <c r="D1110" s="116">
        <v>326.8</v>
      </c>
      <c r="E1110" s="116">
        <v>328.3</v>
      </c>
      <c r="F1110" s="116">
        <v>333.3</v>
      </c>
      <c r="G1110">
        <v>12728</v>
      </c>
      <c r="H1110" s="116"/>
      <c r="I1110" s="116"/>
      <c r="L1110" s="170">
        <v>43854</v>
      </c>
      <c r="M1110" s="116">
        <v>333.3</v>
      </c>
      <c r="N1110" s="116">
        <v>334.9</v>
      </c>
      <c r="O1110" s="116">
        <v>326.5</v>
      </c>
      <c r="P1110" s="116">
        <v>331</v>
      </c>
      <c r="Q1110" s="116">
        <v>333.3</v>
      </c>
      <c r="R1110">
        <v>122135</v>
      </c>
    </row>
    <row r="1111" spans="1:18" x14ac:dyDescent="0.25">
      <c r="A1111" s="170">
        <v>43857</v>
      </c>
      <c r="B1111" s="116">
        <v>334.5</v>
      </c>
      <c r="C1111" s="116">
        <v>330.1</v>
      </c>
      <c r="D1111" s="116">
        <v>329</v>
      </c>
      <c r="E1111" s="116">
        <v>332.7</v>
      </c>
      <c r="F1111" s="116">
        <v>330.1</v>
      </c>
      <c r="G1111">
        <v>21407</v>
      </c>
      <c r="H1111" s="116"/>
      <c r="I1111" s="116"/>
      <c r="L1111" s="170">
        <v>43857</v>
      </c>
      <c r="M1111" s="116">
        <v>330.05</v>
      </c>
      <c r="N1111" s="116">
        <v>334.55</v>
      </c>
      <c r="O1111" s="116">
        <v>328.4</v>
      </c>
      <c r="P1111" s="116">
        <v>331</v>
      </c>
      <c r="Q1111" s="116">
        <v>330.05</v>
      </c>
      <c r="R1111">
        <v>92228</v>
      </c>
    </row>
    <row r="1112" spans="1:18" x14ac:dyDescent="0.25">
      <c r="A1112" s="170">
        <v>43858</v>
      </c>
      <c r="B1112" s="116">
        <v>331.6</v>
      </c>
      <c r="C1112" s="116">
        <v>323.85000000000002</v>
      </c>
      <c r="D1112" s="116">
        <v>320.89999999999998</v>
      </c>
      <c r="E1112" s="116">
        <v>331.2</v>
      </c>
      <c r="F1112" s="116">
        <v>323.85000000000002</v>
      </c>
      <c r="G1112">
        <v>20378</v>
      </c>
      <c r="H1112" s="116"/>
      <c r="I1112" s="116"/>
      <c r="L1112" s="170">
        <v>43858</v>
      </c>
      <c r="M1112" s="116">
        <v>324.64999999999998</v>
      </c>
      <c r="N1112" s="116">
        <v>332.45</v>
      </c>
      <c r="O1112" s="116">
        <v>321</v>
      </c>
      <c r="P1112" s="116">
        <v>330</v>
      </c>
      <c r="Q1112" s="116">
        <v>324.64999999999998</v>
      </c>
      <c r="R1112">
        <v>110037</v>
      </c>
    </row>
    <row r="1113" spans="1:18" x14ac:dyDescent="0.25">
      <c r="A1113" s="170">
        <v>43859</v>
      </c>
      <c r="B1113" s="116">
        <v>329.05</v>
      </c>
      <c r="C1113" s="116">
        <v>323.85000000000002</v>
      </c>
      <c r="D1113" s="116">
        <v>321</v>
      </c>
      <c r="E1113" s="116">
        <v>326.25</v>
      </c>
      <c r="F1113" s="116">
        <v>323.85000000000002</v>
      </c>
      <c r="G1113">
        <v>8118</v>
      </c>
      <c r="H1113" s="116"/>
      <c r="I1113" s="116"/>
      <c r="L1113" s="170">
        <v>43859</v>
      </c>
      <c r="M1113" s="116">
        <v>323.89999999999998</v>
      </c>
      <c r="N1113" s="116">
        <v>329.05</v>
      </c>
      <c r="O1113" s="116">
        <v>321</v>
      </c>
      <c r="P1113" s="116">
        <v>327.8</v>
      </c>
      <c r="Q1113" s="116">
        <v>323.89999999999998</v>
      </c>
      <c r="R1113">
        <v>93414</v>
      </c>
    </row>
    <row r="1114" spans="1:18" x14ac:dyDescent="0.25">
      <c r="A1114" s="170">
        <v>43860</v>
      </c>
      <c r="B1114" s="116">
        <v>325.3</v>
      </c>
      <c r="C1114" s="116">
        <v>320.75</v>
      </c>
      <c r="D1114" s="116">
        <v>317.60000000000002</v>
      </c>
      <c r="E1114" s="116">
        <v>324.64999999999998</v>
      </c>
      <c r="F1114" s="116">
        <v>320.75</v>
      </c>
      <c r="G1114">
        <v>3980</v>
      </c>
      <c r="H1114" s="116"/>
      <c r="I1114" s="116"/>
      <c r="L1114" s="170">
        <v>43860</v>
      </c>
      <c r="M1114" s="116">
        <v>320.8</v>
      </c>
      <c r="N1114" s="116">
        <v>326.45</v>
      </c>
      <c r="O1114" s="116">
        <v>316.60000000000002</v>
      </c>
      <c r="P1114" s="116">
        <v>326.45</v>
      </c>
      <c r="Q1114" s="116">
        <v>320.8</v>
      </c>
      <c r="R1114">
        <v>65326</v>
      </c>
    </row>
    <row r="1115" spans="1:18" x14ac:dyDescent="0.25">
      <c r="A1115" s="170">
        <v>43861</v>
      </c>
      <c r="B1115" s="116">
        <v>334.1</v>
      </c>
      <c r="C1115" s="116">
        <v>331.95</v>
      </c>
      <c r="D1115" s="116">
        <v>319.75</v>
      </c>
      <c r="E1115" s="116">
        <v>321.89999999999998</v>
      </c>
      <c r="F1115" s="116">
        <v>331.95</v>
      </c>
      <c r="G1115">
        <v>12109</v>
      </c>
      <c r="H1115" s="116"/>
      <c r="I1115" s="116"/>
      <c r="L1115" s="170">
        <v>43861</v>
      </c>
      <c r="M1115" s="116">
        <v>332.1</v>
      </c>
      <c r="N1115" s="116">
        <v>335</v>
      </c>
      <c r="O1115" s="116">
        <v>319.45</v>
      </c>
      <c r="P1115" s="116">
        <v>323.7</v>
      </c>
      <c r="Q1115" s="116">
        <v>332.1</v>
      </c>
      <c r="R1115">
        <v>451856</v>
      </c>
    </row>
    <row r="1116" spans="1:18" x14ac:dyDescent="0.25">
      <c r="A1116" s="170">
        <v>43862</v>
      </c>
      <c r="B1116" s="116">
        <v>347.5</v>
      </c>
      <c r="C1116" s="116">
        <v>331.35</v>
      </c>
      <c r="D1116" s="116">
        <v>326.10000000000002</v>
      </c>
      <c r="E1116" s="116">
        <v>334.4</v>
      </c>
      <c r="F1116" s="116">
        <v>331.35</v>
      </c>
      <c r="G1116">
        <v>21207</v>
      </c>
      <c r="H1116" s="116"/>
      <c r="I1116" s="116"/>
      <c r="L1116" s="170">
        <v>43862</v>
      </c>
      <c r="M1116" s="116">
        <v>332.2</v>
      </c>
      <c r="N1116" s="116">
        <v>347.95</v>
      </c>
      <c r="O1116" s="116">
        <v>323.64999999999998</v>
      </c>
      <c r="P1116" s="116">
        <v>334</v>
      </c>
      <c r="Q1116" s="116">
        <v>332.2</v>
      </c>
      <c r="R1116">
        <v>240341</v>
      </c>
    </row>
    <row r="1117" spans="1:18" x14ac:dyDescent="0.25">
      <c r="A1117" s="170">
        <v>43864</v>
      </c>
      <c r="B1117" s="116">
        <v>338.95</v>
      </c>
      <c r="C1117" s="116">
        <v>331.8</v>
      </c>
      <c r="D1117" s="116">
        <v>322.2</v>
      </c>
      <c r="E1117" s="116">
        <v>334.35</v>
      </c>
      <c r="F1117" s="116">
        <v>331.8</v>
      </c>
      <c r="G1117">
        <v>14297</v>
      </c>
      <c r="H1117" s="116"/>
      <c r="I1117" s="116"/>
      <c r="L1117" s="170">
        <v>43864</v>
      </c>
      <c r="M1117" s="116">
        <v>332.05</v>
      </c>
      <c r="N1117" s="116">
        <v>338.85</v>
      </c>
      <c r="O1117" s="116">
        <v>321.55</v>
      </c>
      <c r="P1117" s="116">
        <v>334.65</v>
      </c>
      <c r="Q1117" s="116">
        <v>332.05</v>
      </c>
      <c r="R1117">
        <v>118451</v>
      </c>
    </row>
    <row r="1118" spans="1:18" x14ac:dyDescent="0.25">
      <c r="A1118" s="170">
        <v>43865</v>
      </c>
      <c r="B1118" s="116">
        <v>337.8</v>
      </c>
      <c r="C1118" s="116">
        <v>333.8</v>
      </c>
      <c r="D1118" s="116">
        <v>328</v>
      </c>
      <c r="E1118" s="116">
        <v>333.4</v>
      </c>
      <c r="F1118" s="116">
        <v>333.8</v>
      </c>
      <c r="G1118">
        <v>28704</v>
      </c>
      <c r="H1118" s="116"/>
      <c r="I1118" s="116"/>
      <c r="L1118" s="170">
        <v>43865</v>
      </c>
      <c r="M1118" s="116">
        <v>333.9</v>
      </c>
      <c r="N1118" s="116">
        <v>338</v>
      </c>
      <c r="O1118" s="116">
        <v>327.9</v>
      </c>
      <c r="P1118" s="116">
        <v>333</v>
      </c>
      <c r="Q1118" s="116">
        <v>333.9</v>
      </c>
      <c r="R1118">
        <v>150439</v>
      </c>
    </row>
    <row r="1119" spans="1:18" x14ac:dyDescent="0.25">
      <c r="A1119" s="170">
        <v>43866</v>
      </c>
      <c r="B1119" s="116">
        <v>339.9</v>
      </c>
      <c r="C1119" s="116">
        <v>338.1</v>
      </c>
      <c r="D1119" s="116">
        <v>330</v>
      </c>
      <c r="E1119" s="116">
        <v>334.15</v>
      </c>
      <c r="F1119" s="116">
        <v>338.1</v>
      </c>
      <c r="G1119">
        <v>14588</v>
      </c>
      <c r="H1119" s="116"/>
      <c r="I1119" s="116"/>
      <c r="L1119" s="170">
        <v>43866</v>
      </c>
      <c r="M1119" s="116">
        <v>338.75</v>
      </c>
      <c r="N1119" s="116">
        <v>340</v>
      </c>
      <c r="O1119" s="116">
        <v>334.05</v>
      </c>
      <c r="P1119" s="116">
        <v>335.6</v>
      </c>
      <c r="Q1119" s="116">
        <v>338.75</v>
      </c>
      <c r="R1119">
        <v>138145</v>
      </c>
    </row>
    <row r="1120" spans="1:18" x14ac:dyDescent="0.25">
      <c r="A1120" s="170">
        <v>43867</v>
      </c>
      <c r="B1120" s="116">
        <v>343.95</v>
      </c>
      <c r="C1120" s="116">
        <v>338.4</v>
      </c>
      <c r="D1120" s="116">
        <v>336</v>
      </c>
      <c r="E1120" s="116">
        <v>342</v>
      </c>
      <c r="F1120" s="116">
        <v>338.4</v>
      </c>
      <c r="G1120">
        <v>6598</v>
      </c>
      <c r="H1120" s="116"/>
      <c r="I1120" s="116"/>
      <c r="L1120" s="170">
        <v>43867</v>
      </c>
      <c r="M1120" s="116">
        <v>338.65</v>
      </c>
      <c r="N1120" s="116">
        <v>343.75</v>
      </c>
      <c r="O1120" s="116">
        <v>335.65</v>
      </c>
      <c r="P1120" s="116">
        <v>340.9</v>
      </c>
      <c r="Q1120" s="116">
        <v>338.65</v>
      </c>
      <c r="R1120">
        <v>99932</v>
      </c>
    </row>
    <row r="1121" spans="1:18" x14ac:dyDescent="0.25">
      <c r="A1121" s="170">
        <v>43868</v>
      </c>
      <c r="B1121" s="116">
        <v>360</v>
      </c>
      <c r="C1121" s="116">
        <v>329.85</v>
      </c>
      <c r="D1121" s="116">
        <v>326.3</v>
      </c>
      <c r="E1121" s="116">
        <v>360</v>
      </c>
      <c r="F1121" s="116">
        <v>329.85</v>
      </c>
      <c r="G1121">
        <v>12601</v>
      </c>
      <c r="H1121" s="116"/>
      <c r="I1121" s="116"/>
      <c r="L1121" s="170">
        <v>43868</v>
      </c>
      <c r="M1121" s="116">
        <v>329.75</v>
      </c>
      <c r="N1121" s="116">
        <v>346.9</v>
      </c>
      <c r="O1121" s="116">
        <v>325.2</v>
      </c>
      <c r="P1121" s="116">
        <v>340</v>
      </c>
      <c r="Q1121" s="116">
        <v>329.75</v>
      </c>
      <c r="R1121">
        <v>526919</v>
      </c>
    </row>
    <row r="1122" spans="1:18" x14ac:dyDescent="0.25">
      <c r="A1122" s="170">
        <v>43871</v>
      </c>
      <c r="B1122" s="116">
        <v>345</v>
      </c>
      <c r="C1122" s="116">
        <v>331.85</v>
      </c>
      <c r="D1122" s="116">
        <v>328.4</v>
      </c>
      <c r="E1122" s="116">
        <v>345</v>
      </c>
      <c r="F1122" s="116">
        <v>331.85</v>
      </c>
      <c r="G1122">
        <v>8343</v>
      </c>
      <c r="H1122" s="116"/>
      <c r="I1122" s="116"/>
      <c r="L1122" s="170">
        <v>43871</v>
      </c>
      <c r="M1122" s="116">
        <v>331.95</v>
      </c>
      <c r="N1122" s="116">
        <v>336</v>
      </c>
      <c r="O1122" s="116">
        <v>327.95</v>
      </c>
      <c r="P1122" s="116">
        <v>332.15</v>
      </c>
      <c r="Q1122" s="116">
        <v>331.95</v>
      </c>
      <c r="R1122">
        <v>88192</v>
      </c>
    </row>
    <row r="1123" spans="1:18" x14ac:dyDescent="0.25">
      <c r="A1123" s="170">
        <v>43872</v>
      </c>
      <c r="B1123" s="116">
        <v>339.95</v>
      </c>
      <c r="C1123" s="116">
        <v>337.35</v>
      </c>
      <c r="D1123" s="116">
        <v>331.35</v>
      </c>
      <c r="E1123" s="116">
        <v>339.95</v>
      </c>
      <c r="F1123" s="116">
        <v>337.35</v>
      </c>
      <c r="G1123">
        <v>8540</v>
      </c>
      <c r="H1123" s="116"/>
      <c r="I1123" s="116"/>
      <c r="L1123" s="170">
        <v>43872</v>
      </c>
      <c r="M1123" s="116">
        <v>337.35</v>
      </c>
      <c r="N1123" s="116">
        <v>340</v>
      </c>
      <c r="O1123" s="116">
        <v>331</v>
      </c>
      <c r="P1123" s="116">
        <v>332.5</v>
      </c>
      <c r="Q1123" s="116">
        <v>337.35</v>
      </c>
      <c r="R1123">
        <v>168229</v>
      </c>
    </row>
    <row r="1124" spans="1:18" x14ac:dyDescent="0.25">
      <c r="A1124" s="170">
        <v>43873</v>
      </c>
      <c r="B1124" s="116">
        <v>341.85</v>
      </c>
      <c r="C1124" s="116">
        <v>334.6</v>
      </c>
      <c r="D1124" s="116">
        <v>333.5</v>
      </c>
      <c r="E1124" s="116">
        <v>339.25</v>
      </c>
      <c r="F1124" s="116">
        <v>334.6</v>
      </c>
      <c r="G1124">
        <v>12066</v>
      </c>
      <c r="H1124" s="116"/>
      <c r="I1124" s="116"/>
      <c r="L1124" s="170">
        <v>43873</v>
      </c>
      <c r="M1124" s="116">
        <v>335.6</v>
      </c>
      <c r="N1124" s="116">
        <v>342</v>
      </c>
      <c r="O1124" s="116">
        <v>333.15</v>
      </c>
      <c r="P1124" s="116">
        <v>337.45</v>
      </c>
      <c r="Q1124" s="116">
        <v>335.6</v>
      </c>
      <c r="R1124">
        <v>126766</v>
      </c>
    </row>
    <row r="1125" spans="1:18" x14ac:dyDescent="0.25">
      <c r="A1125" s="170">
        <v>43874</v>
      </c>
      <c r="B1125" s="116">
        <v>346.95</v>
      </c>
      <c r="C1125" s="116">
        <v>339.2</v>
      </c>
      <c r="D1125" s="116">
        <v>330.95</v>
      </c>
      <c r="E1125" s="116">
        <v>338.85</v>
      </c>
      <c r="F1125" s="116">
        <v>339.2</v>
      </c>
      <c r="G1125">
        <v>46857</v>
      </c>
      <c r="H1125" s="116"/>
      <c r="I1125" s="116"/>
      <c r="L1125" s="170">
        <v>43874</v>
      </c>
      <c r="M1125" s="116">
        <v>338.7</v>
      </c>
      <c r="N1125" s="116">
        <v>346.8</v>
      </c>
      <c r="O1125" s="116">
        <v>330.6</v>
      </c>
      <c r="P1125" s="116">
        <v>336.9</v>
      </c>
      <c r="Q1125" s="116">
        <v>338.7</v>
      </c>
      <c r="R1125">
        <v>558374</v>
      </c>
    </row>
    <row r="1126" spans="1:18" x14ac:dyDescent="0.25">
      <c r="A1126" s="170">
        <v>43875</v>
      </c>
      <c r="B1126" s="116">
        <v>345</v>
      </c>
      <c r="C1126" s="116">
        <v>327.75</v>
      </c>
      <c r="D1126" s="116">
        <v>324</v>
      </c>
      <c r="E1126" s="116">
        <v>342.1</v>
      </c>
      <c r="F1126" s="116">
        <v>327.75</v>
      </c>
      <c r="G1126">
        <v>29448</v>
      </c>
      <c r="H1126" s="116"/>
      <c r="I1126" s="116"/>
      <c r="L1126" s="170">
        <v>43875</v>
      </c>
      <c r="M1126" s="116">
        <v>328.45</v>
      </c>
      <c r="N1126" s="116">
        <v>344.65</v>
      </c>
      <c r="O1126" s="116">
        <v>323.95</v>
      </c>
      <c r="P1126" s="116">
        <v>341.5</v>
      </c>
      <c r="Q1126" s="116">
        <v>328.45</v>
      </c>
      <c r="R1126">
        <v>259548</v>
      </c>
    </row>
    <row r="1127" spans="1:18" x14ac:dyDescent="0.25">
      <c r="A1127" s="170">
        <v>43878</v>
      </c>
      <c r="B1127" s="116">
        <v>331.65</v>
      </c>
      <c r="C1127" s="116">
        <v>314.45</v>
      </c>
      <c r="D1127" s="116">
        <v>310.89999999999998</v>
      </c>
      <c r="E1127" s="116">
        <v>327.45</v>
      </c>
      <c r="F1127" s="116">
        <v>314.45</v>
      </c>
      <c r="G1127">
        <v>27344</v>
      </c>
      <c r="H1127" s="116"/>
      <c r="I1127" s="116"/>
      <c r="L1127" s="170">
        <v>43878</v>
      </c>
      <c r="M1127" s="116">
        <v>314.64999999999998</v>
      </c>
      <c r="N1127" s="116">
        <v>331.9</v>
      </c>
      <c r="O1127" s="116">
        <v>310.64999999999998</v>
      </c>
      <c r="P1127" s="116">
        <v>330</v>
      </c>
      <c r="Q1127" s="116">
        <v>314.64999999999998</v>
      </c>
      <c r="R1127">
        <v>173660</v>
      </c>
    </row>
    <row r="1128" spans="1:18" x14ac:dyDescent="0.25">
      <c r="A1128" s="170">
        <v>43879</v>
      </c>
      <c r="B1128" s="116">
        <v>314.64999999999998</v>
      </c>
      <c r="C1128" s="116">
        <v>301.2</v>
      </c>
      <c r="D1128" s="116">
        <v>297</v>
      </c>
      <c r="E1128" s="116">
        <v>314.64999999999998</v>
      </c>
      <c r="F1128" s="116">
        <v>301.2</v>
      </c>
      <c r="G1128">
        <v>16085</v>
      </c>
      <c r="H1128" s="116"/>
      <c r="I1128" s="116"/>
      <c r="L1128" s="170">
        <v>43879</v>
      </c>
      <c r="M1128" s="116">
        <v>301.2</v>
      </c>
      <c r="N1128" s="116">
        <v>313</v>
      </c>
      <c r="O1128" s="116">
        <v>296.95</v>
      </c>
      <c r="P1128" s="116">
        <v>313</v>
      </c>
      <c r="Q1128" s="116">
        <v>301.2</v>
      </c>
      <c r="R1128">
        <v>147376</v>
      </c>
    </row>
    <row r="1129" spans="1:18" x14ac:dyDescent="0.25">
      <c r="A1129" s="170">
        <v>43880</v>
      </c>
      <c r="B1129" s="116">
        <v>313.75</v>
      </c>
      <c r="C1129" s="116">
        <v>310.45</v>
      </c>
      <c r="D1129" s="116">
        <v>304</v>
      </c>
      <c r="E1129" s="116">
        <v>304</v>
      </c>
      <c r="F1129" s="116">
        <v>310.45</v>
      </c>
      <c r="G1129">
        <v>11130</v>
      </c>
      <c r="H1129" s="116"/>
      <c r="I1129" s="116"/>
      <c r="L1129" s="170">
        <v>43880</v>
      </c>
      <c r="M1129" s="116">
        <v>310.45</v>
      </c>
      <c r="N1129" s="116">
        <v>314.3</v>
      </c>
      <c r="O1129" s="116">
        <v>305.3</v>
      </c>
      <c r="P1129" s="116">
        <v>305.3</v>
      </c>
      <c r="Q1129" s="116">
        <v>310.45</v>
      </c>
      <c r="R1129">
        <v>168739</v>
      </c>
    </row>
    <row r="1130" spans="1:18" x14ac:dyDescent="0.25">
      <c r="A1130" s="170">
        <v>43881</v>
      </c>
      <c r="B1130" s="116">
        <v>332.2</v>
      </c>
      <c r="C1130" s="116">
        <v>324.8</v>
      </c>
      <c r="D1130" s="116">
        <v>308.05</v>
      </c>
      <c r="E1130" s="116">
        <v>311</v>
      </c>
      <c r="F1130" s="116">
        <v>324.8</v>
      </c>
      <c r="G1130">
        <v>10644</v>
      </c>
      <c r="H1130" s="116"/>
      <c r="I1130" s="116"/>
      <c r="L1130" s="170">
        <v>43881</v>
      </c>
      <c r="M1130" s="116">
        <v>325.3</v>
      </c>
      <c r="N1130" s="116">
        <v>332</v>
      </c>
      <c r="O1130" s="116">
        <v>307.95</v>
      </c>
      <c r="P1130" s="116">
        <v>309</v>
      </c>
      <c r="Q1130" s="116">
        <v>325.3</v>
      </c>
      <c r="R1130">
        <v>261547</v>
      </c>
    </row>
    <row r="1131" spans="1:18" x14ac:dyDescent="0.25">
      <c r="A1131" s="170">
        <v>43885</v>
      </c>
      <c r="B1131" s="116">
        <v>318.10000000000002</v>
      </c>
      <c r="C1131" s="116">
        <v>302.3</v>
      </c>
      <c r="D1131" s="116">
        <v>300.14999999999998</v>
      </c>
      <c r="E1131" s="116">
        <v>314.45</v>
      </c>
      <c r="F1131" s="116">
        <v>302.3</v>
      </c>
      <c r="G1131">
        <v>41258</v>
      </c>
      <c r="H1131" s="116"/>
      <c r="I1131" s="116"/>
      <c r="L1131" s="170">
        <v>43885</v>
      </c>
      <c r="M1131" s="116">
        <v>302.2</v>
      </c>
      <c r="N1131" s="116">
        <v>324.7</v>
      </c>
      <c r="O1131" s="116">
        <v>300.75</v>
      </c>
      <c r="P1131" s="116">
        <v>324.7</v>
      </c>
      <c r="Q1131" s="116">
        <v>302.2</v>
      </c>
      <c r="R1131">
        <v>229525</v>
      </c>
    </row>
    <row r="1132" spans="1:18" x14ac:dyDescent="0.25">
      <c r="A1132" s="170">
        <v>43886</v>
      </c>
      <c r="B1132" s="116">
        <v>308.10000000000002</v>
      </c>
      <c r="C1132" s="116">
        <v>288.8</v>
      </c>
      <c r="D1132" s="116">
        <v>288.10000000000002</v>
      </c>
      <c r="E1132" s="116">
        <v>301.25</v>
      </c>
      <c r="F1132" s="116">
        <v>288.8</v>
      </c>
      <c r="G1132">
        <v>30943</v>
      </c>
      <c r="H1132" s="116"/>
      <c r="I1132" s="116"/>
      <c r="L1132" s="170">
        <v>43886</v>
      </c>
      <c r="M1132" s="116">
        <v>288.89999999999998</v>
      </c>
      <c r="N1132" s="116">
        <v>308.64999999999998</v>
      </c>
      <c r="O1132" s="116">
        <v>288.10000000000002</v>
      </c>
      <c r="P1132" s="116">
        <v>303.2</v>
      </c>
      <c r="Q1132" s="116">
        <v>288.89999999999998</v>
      </c>
      <c r="R1132">
        <v>153226</v>
      </c>
    </row>
    <row r="1133" spans="1:18" x14ac:dyDescent="0.25">
      <c r="A1133" s="170">
        <v>43887</v>
      </c>
      <c r="B1133" s="116">
        <v>290.5</v>
      </c>
      <c r="C1133" s="116">
        <v>264.05</v>
      </c>
      <c r="D1133" s="116">
        <v>260.85000000000002</v>
      </c>
      <c r="E1133" s="116">
        <v>290.5</v>
      </c>
      <c r="F1133" s="116">
        <v>264.05</v>
      </c>
      <c r="G1133">
        <v>40104</v>
      </c>
      <c r="H1133" s="116"/>
      <c r="I1133" s="116"/>
      <c r="L1133" s="170">
        <v>43887</v>
      </c>
      <c r="M1133" s="116">
        <v>263.95</v>
      </c>
      <c r="N1133" s="116">
        <v>286</v>
      </c>
      <c r="O1133" s="116">
        <v>261.25</v>
      </c>
      <c r="P1133" s="116">
        <v>285</v>
      </c>
      <c r="Q1133" s="116">
        <v>263.95</v>
      </c>
      <c r="R1133">
        <v>354124</v>
      </c>
    </row>
    <row r="1134" spans="1:18" x14ac:dyDescent="0.25">
      <c r="A1134" s="170">
        <v>43888</v>
      </c>
      <c r="B1134" s="116">
        <v>264.05</v>
      </c>
      <c r="C1134" s="116">
        <v>253.45</v>
      </c>
      <c r="D1134" s="116">
        <v>250.4</v>
      </c>
      <c r="E1134" s="116">
        <v>264.05</v>
      </c>
      <c r="F1134" s="116">
        <v>253.45</v>
      </c>
      <c r="G1134">
        <v>28073</v>
      </c>
      <c r="H1134" s="116"/>
      <c r="I1134" s="116"/>
      <c r="L1134" s="170">
        <v>43888</v>
      </c>
      <c r="M1134" s="116">
        <v>253.45</v>
      </c>
      <c r="N1134" s="116">
        <v>262.89999999999998</v>
      </c>
      <c r="O1134" s="116">
        <v>250.4</v>
      </c>
      <c r="P1134" s="116">
        <v>261.3</v>
      </c>
      <c r="Q1134" s="116">
        <v>253.45</v>
      </c>
      <c r="R1134">
        <v>241966</v>
      </c>
    </row>
    <row r="1135" spans="1:18" x14ac:dyDescent="0.25">
      <c r="A1135" s="170">
        <v>43889</v>
      </c>
      <c r="B1135" s="116">
        <v>255</v>
      </c>
      <c r="C1135" s="116">
        <v>253.05</v>
      </c>
      <c r="D1135" s="116">
        <v>225</v>
      </c>
      <c r="E1135" s="116">
        <v>243</v>
      </c>
      <c r="F1135" s="116">
        <v>253.05</v>
      </c>
      <c r="G1135">
        <v>58681</v>
      </c>
      <c r="H1135" s="116"/>
      <c r="I1135" s="116"/>
      <c r="L1135" s="170">
        <v>43889</v>
      </c>
      <c r="M1135" s="116">
        <v>251.9</v>
      </c>
      <c r="N1135" s="116">
        <v>254.8</v>
      </c>
      <c r="O1135" s="116">
        <v>225</v>
      </c>
      <c r="P1135" s="116">
        <v>240.1</v>
      </c>
      <c r="Q1135" s="116">
        <v>251.9</v>
      </c>
      <c r="R1135">
        <v>603405</v>
      </c>
    </row>
    <row r="1136" spans="1:18" x14ac:dyDescent="0.25">
      <c r="A1136" s="170">
        <v>43892</v>
      </c>
      <c r="B1136" s="116">
        <v>273</v>
      </c>
      <c r="C1136" s="116">
        <v>253.3</v>
      </c>
      <c r="D1136" s="116">
        <v>247.65</v>
      </c>
      <c r="E1136" s="116">
        <v>258.64999999999998</v>
      </c>
      <c r="F1136" s="116">
        <v>253.3</v>
      </c>
      <c r="G1136">
        <v>23616</v>
      </c>
      <c r="H1136" s="116"/>
      <c r="I1136" s="116"/>
      <c r="L1136" s="170">
        <v>43892</v>
      </c>
      <c r="M1136" s="116">
        <v>254.4</v>
      </c>
      <c r="N1136" s="116">
        <v>274.05</v>
      </c>
      <c r="O1136" s="116">
        <v>248.15</v>
      </c>
      <c r="P1136" s="116">
        <v>259</v>
      </c>
      <c r="Q1136" s="116">
        <v>254.4</v>
      </c>
      <c r="R1136">
        <v>295171</v>
      </c>
    </row>
    <row r="1137" spans="1:18" x14ac:dyDescent="0.25">
      <c r="A1137" s="170">
        <v>43893</v>
      </c>
      <c r="B1137" s="116">
        <v>262.25</v>
      </c>
      <c r="C1137" s="116">
        <v>257.35000000000002</v>
      </c>
      <c r="D1137" s="116">
        <v>252.95</v>
      </c>
      <c r="E1137" s="116">
        <v>258.95</v>
      </c>
      <c r="F1137" s="116">
        <v>257.35000000000002</v>
      </c>
      <c r="G1137">
        <v>6429</v>
      </c>
      <c r="H1137" s="116"/>
      <c r="I1137" s="116"/>
      <c r="L1137" s="170">
        <v>43893</v>
      </c>
      <c r="M1137" s="116">
        <v>256.39999999999998</v>
      </c>
      <c r="N1137" s="116">
        <v>262.5</v>
      </c>
      <c r="O1137" s="116">
        <v>252.8</v>
      </c>
      <c r="P1137" s="116">
        <v>262.5</v>
      </c>
      <c r="Q1137" s="116">
        <v>256.39999999999998</v>
      </c>
      <c r="R1137">
        <v>191427</v>
      </c>
    </row>
    <row r="1138" spans="1:18" x14ac:dyDescent="0.25">
      <c r="A1138" s="170">
        <v>43894</v>
      </c>
      <c r="B1138" s="116">
        <v>255.65</v>
      </c>
      <c r="C1138" s="116">
        <v>249.95</v>
      </c>
      <c r="D1138" s="116">
        <v>248.3</v>
      </c>
      <c r="E1138" s="116">
        <v>255.65</v>
      </c>
      <c r="F1138" s="116">
        <v>249.95</v>
      </c>
      <c r="G1138">
        <v>5550</v>
      </c>
      <c r="H1138" s="116"/>
      <c r="I1138" s="116"/>
      <c r="L1138" s="170">
        <v>43894</v>
      </c>
      <c r="M1138" s="116">
        <v>249.95</v>
      </c>
      <c r="N1138" s="116">
        <v>258.5</v>
      </c>
      <c r="O1138" s="116">
        <v>248.1</v>
      </c>
      <c r="P1138" s="116">
        <v>258.5</v>
      </c>
      <c r="Q1138" s="116">
        <v>249.95</v>
      </c>
      <c r="R1138">
        <v>168073</v>
      </c>
    </row>
    <row r="1139" spans="1:18" x14ac:dyDescent="0.25">
      <c r="A1139" s="170">
        <v>43895</v>
      </c>
      <c r="B1139" s="116">
        <v>254.35</v>
      </c>
      <c r="C1139" s="116">
        <v>249.3</v>
      </c>
      <c r="D1139" s="116">
        <v>247</v>
      </c>
      <c r="E1139" s="116">
        <v>253.8</v>
      </c>
      <c r="F1139" s="116">
        <v>249.3</v>
      </c>
      <c r="G1139">
        <v>12254</v>
      </c>
      <c r="H1139" s="116"/>
      <c r="I1139" s="116"/>
      <c r="L1139" s="170">
        <v>43895</v>
      </c>
      <c r="M1139" s="116">
        <v>250.35</v>
      </c>
      <c r="N1139" s="116">
        <v>255.05</v>
      </c>
      <c r="O1139" s="116">
        <v>247</v>
      </c>
      <c r="P1139" s="116">
        <v>249.35</v>
      </c>
      <c r="Q1139" s="116">
        <v>250.35</v>
      </c>
      <c r="R1139">
        <v>90096</v>
      </c>
    </row>
    <row r="1140" spans="1:18" x14ac:dyDescent="0.25">
      <c r="A1140" s="170">
        <v>43896</v>
      </c>
      <c r="B1140" s="116">
        <v>245</v>
      </c>
      <c r="C1140" s="116">
        <v>236.05</v>
      </c>
      <c r="D1140" s="116">
        <v>232.4</v>
      </c>
      <c r="E1140" s="116">
        <v>245</v>
      </c>
      <c r="F1140" s="116">
        <v>236.05</v>
      </c>
      <c r="G1140">
        <v>19421</v>
      </c>
      <c r="H1140" s="116"/>
      <c r="I1140" s="116"/>
      <c r="L1140" s="170">
        <v>43896</v>
      </c>
      <c r="M1140" s="116">
        <v>235.85</v>
      </c>
      <c r="N1140" s="116">
        <v>243.55</v>
      </c>
      <c r="O1140" s="116">
        <v>232.4</v>
      </c>
      <c r="P1140" s="116">
        <v>240</v>
      </c>
      <c r="Q1140" s="116">
        <v>235.85</v>
      </c>
      <c r="R1140">
        <v>147908</v>
      </c>
    </row>
    <row r="1141" spans="1:18" x14ac:dyDescent="0.25">
      <c r="A1141" s="170">
        <v>43899</v>
      </c>
      <c r="B1141" s="116">
        <v>231.9</v>
      </c>
      <c r="C1141" s="116">
        <v>205.8</v>
      </c>
      <c r="D1141" s="116">
        <v>202</v>
      </c>
      <c r="E1141" s="116">
        <v>231.9</v>
      </c>
      <c r="F1141" s="116">
        <v>205.8</v>
      </c>
      <c r="G1141">
        <v>39455</v>
      </c>
      <c r="H1141" s="116"/>
      <c r="I1141" s="116"/>
      <c r="L1141" s="170">
        <v>43899</v>
      </c>
      <c r="M1141" s="116">
        <v>205.3</v>
      </c>
      <c r="N1141" s="116">
        <v>222.95</v>
      </c>
      <c r="O1141" s="116">
        <v>202</v>
      </c>
      <c r="P1141" s="116">
        <v>204</v>
      </c>
      <c r="Q1141" s="116">
        <v>205.3</v>
      </c>
      <c r="R1141">
        <v>411604</v>
      </c>
    </row>
    <row r="1142" spans="1:18" x14ac:dyDescent="0.25">
      <c r="A1142" s="170">
        <v>43901</v>
      </c>
      <c r="B1142" s="116">
        <v>216.65</v>
      </c>
      <c r="C1142" s="116">
        <v>203.85</v>
      </c>
      <c r="D1142" s="116">
        <v>202.45</v>
      </c>
      <c r="E1142" s="116">
        <v>215.95</v>
      </c>
      <c r="F1142" s="116">
        <v>203.85</v>
      </c>
      <c r="G1142">
        <v>15359</v>
      </c>
      <c r="H1142" s="116"/>
      <c r="I1142" s="116"/>
      <c r="L1142" s="170">
        <v>43901</v>
      </c>
      <c r="M1142" s="116">
        <v>204.65</v>
      </c>
      <c r="N1142" s="116">
        <v>217.2</v>
      </c>
      <c r="O1142" s="116">
        <v>202.1</v>
      </c>
      <c r="P1142" s="116">
        <v>206.35</v>
      </c>
      <c r="Q1142" s="116">
        <v>204.65</v>
      </c>
      <c r="R1142">
        <v>149029</v>
      </c>
    </row>
    <row r="1143" spans="1:18" x14ac:dyDescent="0.25">
      <c r="A1143" s="170">
        <v>43902</v>
      </c>
      <c r="B1143" s="116">
        <v>189</v>
      </c>
      <c r="C1143" s="116">
        <v>163.85</v>
      </c>
      <c r="D1143" s="116">
        <v>163.1</v>
      </c>
      <c r="E1143" s="116">
        <v>189</v>
      </c>
      <c r="F1143" s="116">
        <v>163.85</v>
      </c>
      <c r="G1143">
        <v>60183</v>
      </c>
      <c r="H1143" s="116"/>
      <c r="I1143" s="116"/>
      <c r="L1143" s="170">
        <v>43902</v>
      </c>
      <c r="M1143" s="116">
        <v>163.85</v>
      </c>
      <c r="N1143" s="116">
        <v>187</v>
      </c>
      <c r="O1143" s="116">
        <v>163.75</v>
      </c>
      <c r="P1143" s="116">
        <v>186.95</v>
      </c>
      <c r="Q1143" s="116">
        <v>163.85</v>
      </c>
      <c r="R1143">
        <v>385410</v>
      </c>
    </row>
    <row r="1144" spans="1:18" x14ac:dyDescent="0.25">
      <c r="A1144" s="170">
        <v>43903</v>
      </c>
      <c r="B1144" s="116">
        <v>180</v>
      </c>
      <c r="C1144" s="116">
        <v>176.45</v>
      </c>
      <c r="D1144" s="116">
        <v>147.5</v>
      </c>
      <c r="E1144" s="116">
        <v>162</v>
      </c>
      <c r="F1144" s="116">
        <v>176.45</v>
      </c>
      <c r="G1144">
        <v>33713</v>
      </c>
      <c r="H1144" s="116"/>
      <c r="I1144" s="116"/>
      <c r="L1144" s="170">
        <v>43903</v>
      </c>
      <c r="M1144" s="116">
        <v>177.4</v>
      </c>
      <c r="N1144" s="116">
        <v>180.2</v>
      </c>
      <c r="O1144" s="116">
        <v>147.5</v>
      </c>
      <c r="P1144" s="116">
        <v>150</v>
      </c>
      <c r="Q1144" s="116">
        <v>177.4</v>
      </c>
      <c r="R1144">
        <v>365938</v>
      </c>
    </row>
    <row r="1145" spans="1:18" x14ac:dyDescent="0.25">
      <c r="A1145" s="170">
        <v>43906</v>
      </c>
      <c r="B1145" s="116">
        <v>194</v>
      </c>
      <c r="C1145" s="116">
        <v>171.65</v>
      </c>
      <c r="D1145" s="116">
        <v>166.75</v>
      </c>
      <c r="E1145" s="116">
        <v>177</v>
      </c>
      <c r="F1145" s="116">
        <v>171.65</v>
      </c>
      <c r="G1145">
        <v>22254</v>
      </c>
      <c r="H1145" s="116"/>
      <c r="I1145" s="116"/>
      <c r="L1145" s="170">
        <v>43906</v>
      </c>
      <c r="M1145" s="116">
        <v>171.1</v>
      </c>
      <c r="N1145" s="116">
        <v>194.7</v>
      </c>
      <c r="O1145" s="116">
        <v>164</v>
      </c>
      <c r="P1145" s="116">
        <v>170</v>
      </c>
      <c r="Q1145" s="116">
        <v>171.1</v>
      </c>
      <c r="R1145">
        <v>305757</v>
      </c>
    </row>
    <row r="1146" spans="1:18" x14ac:dyDescent="0.25">
      <c r="A1146" s="170">
        <v>43907</v>
      </c>
      <c r="B1146" s="116">
        <v>188.1</v>
      </c>
      <c r="C1146" s="116">
        <v>178.5</v>
      </c>
      <c r="D1146" s="116">
        <v>165</v>
      </c>
      <c r="E1146" s="116">
        <v>188.1</v>
      </c>
      <c r="F1146" s="116">
        <v>178.5</v>
      </c>
      <c r="G1146">
        <v>14381</v>
      </c>
      <c r="H1146" s="116"/>
      <c r="I1146" s="116"/>
      <c r="L1146" s="170">
        <v>43907</v>
      </c>
      <c r="M1146" s="116">
        <v>177.4</v>
      </c>
      <c r="N1146" s="116">
        <v>182.3</v>
      </c>
      <c r="O1146" s="116">
        <v>162</v>
      </c>
      <c r="P1146" s="116">
        <v>178</v>
      </c>
      <c r="Q1146" s="116">
        <v>177.4</v>
      </c>
      <c r="R1146">
        <v>430396</v>
      </c>
    </row>
    <row r="1147" spans="1:18" x14ac:dyDescent="0.25">
      <c r="A1147" s="170">
        <v>43908</v>
      </c>
      <c r="B1147" s="116">
        <v>196.35</v>
      </c>
      <c r="C1147" s="116">
        <v>191.75</v>
      </c>
      <c r="D1147" s="116">
        <v>171</v>
      </c>
      <c r="E1147" s="116">
        <v>178</v>
      </c>
      <c r="F1147" s="116">
        <v>191.75</v>
      </c>
      <c r="G1147">
        <v>18105</v>
      </c>
      <c r="H1147" s="116"/>
      <c r="I1147" s="116"/>
      <c r="L1147" s="170">
        <v>43908</v>
      </c>
      <c r="M1147" s="116">
        <v>192.15</v>
      </c>
      <c r="N1147" s="116">
        <v>195.1</v>
      </c>
      <c r="O1147" s="116">
        <v>172</v>
      </c>
      <c r="P1147" s="116">
        <v>187</v>
      </c>
      <c r="Q1147" s="116">
        <v>192.15</v>
      </c>
      <c r="R1147">
        <v>648925</v>
      </c>
    </row>
    <row r="1148" spans="1:18" x14ac:dyDescent="0.25">
      <c r="A1148" s="170">
        <v>43909</v>
      </c>
      <c r="B1148" s="116">
        <v>210.9</v>
      </c>
      <c r="C1148" s="116">
        <v>205.7</v>
      </c>
      <c r="D1148" s="116">
        <v>189.95</v>
      </c>
      <c r="E1148" s="116">
        <v>190</v>
      </c>
      <c r="F1148" s="116">
        <v>205.7</v>
      </c>
      <c r="G1148">
        <v>56714</v>
      </c>
      <c r="H1148" s="116"/>
      <c r="I1148" s="116"/>
      <c r="L1148" s="170">
        <v>43909</v>
      </c>
      <c r="M1148" s="116">
        <v>205.9</v>
      </c>
      <c r="N1148" s="116">
        <v>211.35</v>
      </c>
      <c r="O1148" s="116">
        <v>175.55</v>
      </c>
      <c r="P1148" s="116">
        <v>192.15</v>
      </c>
      <c r="Q1148" s="116">
        <v>205.9</v>
      </c>
      <c r="R1148">
        <v>1114006</v>
      </c>
    </row>
    <row r="1149" spans="1:18" x14ac:dyDescent="0.25">
      <c r="A1149" s="170">
        <v>43910</v>
      </c>
      <c r="B1149" s="116">
        <v>215</v>
      </c>
      <c r="C1149" s="116">
        <v>195.5</v>
      </c>
      <c r="D1149" s="116">
        <v>195.45</v>
      </c>
      <c r="E1149" s="116">
        <v>215</v>
      </c>
      <c r="F1149" s="116">
        <v>195.5</v>
      </c>
      <c r="G1149">
        <v>15543</v>
      </c>
      <c r="H1149" s="116"/>
      <c r="I1149" s="116"/>
      <c r="L1149" s="170">
        <v>43910</v>
      </c>
      <c r="M1149" s="116">
        <v>195.65</v>
      </c>
      <c r="N1149" s="116">
        <v>214</v>
      </c>
      <c r="O1149" s="116">
        <v>195.65</v>
      </c>
      <c r="P1149" s="116">
        <v>209</v>
      </c>
      <c r="Q1149" s="116">
        <v>195.65</v>
      </c>
      <c r="R1149">
        <v>1555133</v>
      </c>
    </row>
    <row r="1150" spans="1:18" x14ac:dyDescent="0.25">
      <c r="A1150" s="170">
        <v>43913</v>
      </c>
      <c r="B1150" s="116">
        <v>187.1</v>
      </c>
      <c r="C1150" s="116">
        <v>185.75</v>
      </c>
      <c r="D1150" s="116">
        <v>185.75</v>
      </c>
      <c r="E1150" s="116">
        <v>187.05</v>
      </c>
      <c r="F1150" s="116">
        <v>185.75</v>
      </c>
      <c r="G1150">
        <v>874</v>
      </c>
      <c r="H1150" s="116"/>
      <c r="I1150" s="116"/>
      <c r="L1150" s="170">
        <v>43913</v>
      </c>
      <c r="M1150" s="116">
        <v>185.9</v>
      </c>
      <c r="N1150" s="116">
        <v>185.9</v>
      </c>
      <c r="O1150" s="116">
        <v>185.9</v>
      </c>
      <c r="P1150" s="116">
        <v>185.9</v>
      </c>
      <c r="Q1150" s="116">
        <v>185.9</v>
      </c>
      <c r="R1150">
        <v>61903</v>
      </c>
    </row>
    <row r="1151" spans="1:18" x14ac:dyDescent="0.25">
      <c r="A1151" s="170">
        <v>43914</v>
      </c>
      <c r="B1151" s="116">
        <v>188</v>
      </c>
      <c r="C1151" s="116">
        <v>185.3</v>
      </c>
      <c r="D1151" s="116">
        <v>176.5</v>
      </c>
      <c r="E1151" s="116">
        <v>176.85</v>
      </c>
      <c r="F1151" s="116">
        <v>185.3</v>
      </c>
      <c r="G1151">
        <v>11135</v>
      </c>
      <c r="H1151" s="116"/>
      <c r="I1151" s="116"/>
      <c r="L1151" s="170">
        <v>43914</v>
      </c>
      <c r="M1151" s="116">
        <v>186.25</v>
      </c>
      <c r="N1151" s="116">
        <v>189.9</v>
      </c>
      <c r="O1151" s="116">
        <v>176.65</v>
      </c>
      <c r="P1151" s="116">
        <v>176.65</v>
      </c>
      <c r="Q1151" s="116">
        <v>186.25</v>
      </c>
      <c r="R1151">
        <v>455485</v>
      </c>
    </row>
    <row r="1152" spans="1:18" x14ac:dyDescent="0.25">
      <c r="A1152" s="170">
        <v>43915</v>
      </c>
      <c r="B1152" s="116">
        <v>194.55</v>
      </c>
      <c r="C1152" s="116">
        <v>190.65</v>
      </c>
      <c r="D1152" s="116">
        <v>176.85</v>
      </c>
      <c r="E1152" s="116">
        <v>185</v>
      </c>
      <c r="F1152" s="116">
        <v>190.65</v>
      </c>
      <c r="G1152">
        <v>5547</v>
      </c>
      <c r="H1152" s="116"/>
      <c r="I1152" s="116"/>
      <c r="L1152" s="170">
        <v>43915</v>
      </c>
      <c r="M1152" s="116">
        <v>190.4</v>
      </c>
      <c r="N1152" s="116">
        <v>195.55</v>
      </c>
      <c r="O1152" s="116">
        <v>176.95</v>
      </c>
      <c r="P1152" s="116">
        <v>177</v>
      </c>
      <c r="Q1152" s="116">
        <v>190.4</v>
      </c>
      <c r="R1152">
        <v>623092</v>
      </c>
    </row>
    <row r="1153" spans="1:18" x14ac:dyDescent="0.25">
      <c r="A1153" s="170">
        <v>43916</v>
      </c>
      <c r="B1153" s="116">
        <v>199.95</v>
      </c>
      <c r="C1153" s="116">
        <v>194.1</v>
      </c>
      <c r="D1153" s="116">
        <v>185</v>
      </c>
      <c r="E1153" s="116">
        <v>190.05</v>
      </c>
      <c r="F1153" s="116">
        <v>194.1</v>
      </c>
      <c r="G1153">
        <v>11179</v>
      </c>
      <c r="H1153" s="116"/>
      <c r="I1153" s="116"/>
      <c r="L1153" s="170">
        <v>43916</v>
      </c>
      <c r="M1153" s="116">
        <v>195.8</v>
      </c>
      <c r="N1153" s="116">
        <v>197.6</v>
      </c>
      <c r="O1153" s="116">
        <v>186.45</v>
      </c>
      <c r="P1153" s="116">
        <v>197.6</v>
      </c>
      <c r="Q1153" s="116">
        <v>195.8</v>
      </c>
      <c r="R1153">
        <v>319678</v>
      </c>
    </row>
    <row r="1154" spans="1:18" x14ac:dyDescent="0.25">
      <c r="A1154" s="170">
        <v>43917</v>
      </c>
      <c r="B1154" s="116">
        <v>200</v>
      </c>
      <c r="C1154" s="116">
        <v>186.8</v>
      </c>
      <c r="D1154" s="116">
        <v>185</v>
      </c>
      <c r="E1154" s="116">
        <v>200</v>
      </c>
      <c r="F1154" s="116">
        <v>186.8</v>
      </c>
      <c r="G1154">
        <v>5070</v>
      </c>
      <c r="H1154" s="116"/>
      <c r="I1154" s="116"/>
      <c r="L1154" s="170">
        <v>43917</v>
      </c>
      <c r="M1154" s="116">
        <v>186.65</v>
      </c>
      <c r="N1154" s="116">
        <v>202.05</v>
      </c>
      <c r="O1154" s="116">
        <v>186.05</v>
      </c>
      <c r="P1154" s="116">
        <v>195</v>
      </c>
      <c r="Q1154" s="116">
        <v>186.65</v>
      </c>
      <c r="R1154">
        <v>185779</v>
      </c>
    </row>
    <row r="1155" spans="1:18" x14ac:dyDescent="0.25">
      <c r="A1155" s="170">
        <v>43920</v>
      </c>
      <c r="B1155" s="116">
        <v>185</v>
      </c>
      <c r="C1155" s="116">
        <v>184.4</v>
      </c>
      <c r="D1155" s="116">
        <v>177.5</v>
      </c>
      <c r="E1155" s="116">
        <v>180</v>
      </c>
      <c r="F1155" s="116">
        <v>184.4</v>
      </c>
      <c r="G1155">
        <v>4212</v>
      </c>
      <c r="H1155" s="116"/>
      <c r="I1155" s="116"/>
      <c r="L1155" s="170">
        <v>43920</v>
      </c>
      <c r="M1155" s="116">
        <v>184.7</v>
      </c>
      <c r="N1155" s="116">
        <v>186</v>
      </c>
      <c r="O1155" s="116">
        <v>177.35</v>
      </c>
      <c r="P1155" s="116">
        <v>186</v>
      </c>
      <c r="Q1155" s="116">
        <v>184.7</v>
      </c>
      <c r="R1155">
        <v>336372</v>
      </c>
    </row>
    <row r="1156" spans="1:18" x14ac:dyDescent="0.25">
      <c r="A1156" s="170">
        <v>43921</v>
      </c>
      <c r="B1156" s="116">
        <v>189.8</v>
      </c>
      <c r="C1156" s="116">
        <v>188.75</v>
      </c>
      <c r="D1156" s="116">
        <v>181</v>
      </c>
      <c r="E1156" s="116">
        <v>187</v>
      </c>
      <c r="F1156" s="116">
        <v>188.75</v>
      </c>
      <c r="G1156">
        <v>54771</v>
      </c>
      <c r="H1156" s="116"/>
      <c r="I1156" s="116"/>
      <c r="L1156" s="170">
        <v>43921</v>
      </c>
      <c r="M1156" s="116">
        <v>189.05</v>
      </c>
      <c r="N1156" s="116">
        <v>190</v>
      </c>
      <c r="O1156" s="116">
        <v>178</v>
      </c>
      <c r="P1156" s="116">
        <v>190</v>
      </c>
      <c r="Q1156" s="116">
        <v>189.05</v>
      </c>
      <c r="R1156">
        <v>292625</v>
      </c>
    </row>
    <row r="1157" spans="1:18" x14ac:dyDescent="0.25">
      <c r="A1157" s="170">
        <v>43922</v>
      </c>
      <c r="B1157" s="116">
        <v>191.4</v>
      </c>
      <c r="C1157" s="116">
        <v>189.2</v>
      </c>
      <c r="D1157" s="116">
        <v>185</v>
      </c>
      <c r="E1157" s="116">
        <v>185</v>
      </c>
      <c r="F1157" s="116">
        <v>189.2</v>
      </c>
      <c r="G1157">
        <v>1284</v>
      </c>
      <c r="H1157" s="116"/>
      <c r="I1157" s="116"/>
      <c r="L1157" s="170">
        <v>43922</v>
      </c>
      <c r="M1157" s="116">
        <v>189.4</v>
      </c>
      <c r="N1157" s="116">
        <v>193.9</v>
      </c>
      <c r="O1157" s="116">
        <v>185</v>
      </c>
      <c r="P1157" s="116">
        <v>190.1</v>
      </c>
      <c r="Q1157" s="116">
        <v>189.4</v>
      </c>
      <c r="R1157">
        <v>34480</v>
      </c>
    </row>
    <row r="1158" spans="1:18" x14ac:dyDescent="0.25">
      <c r="A1158" s="170">
        <v>43924</v>
      </c>
      <c r="B1158" s="116">
        <v>195</v>
      </c>
      <c r="C1158" s="116">
        <v>192.35</v>
      </c>
      <c r="D1158" s="116">
        <v>181</v>
      </c>
      <c r="E1158" s="116">
        <v>185</v>
      </c>
      <c r="F1158" s="116">
        <v>192.35</v>
      </c>
      <c r="G1158">
        <v>107629</v>
      </c>
      <c r="H1158" s="116"/>
      <c r="I1158" s="116"/>
      <c r="L1158" s="170">
        <v>43924</v>
      </c>
      <c r="M1158" s="116">
        <v>193.95</v>
      </c>
      <c r="N1158" s="116">
        <v>195</v>
      </c>
      <c r="O1158" s="116">
        <v>180</v>
      </c>
      <c r="P1158" s="116">
        <v>182.2</v>
      </c>
      <c r="Q1158" s="116">
        <v>193.95</v>
      </c>
      <c r="R1158">
        <v>177468</v>
      </c>
    </row>
    <row r="1159" spans="1:18" x14ac:dyDescent="0.25">
      <c r="A1159" s="170">
        <v>43928</v>
      </c>
      <c r="B1159" s="116">
        <v>200</v>
      </c>
      <c r="C1159" s="116">
        <v>198.25</v>
      </c>
      <c r="D1159" s="116">
        <v>194.5</v>
      </c>
      <c r="E1159" s="116">
        <v>200</v>
      </c>
      <c r="F1159" s="116">
        <v>198.25</v>
      </c>
      <c r="G1159">
        <v>9403</v>
      </c>
      <c r="H1159" s="116"/>
      <c r="I1159" s="116"/>
      <c r="L1159" s="170">
        <v>43928</v>
      </c>
      <c r="M1159" s="116">
        <v>198.3</v>
      </c>
      <c r="N1159" s="116">
        <v>201.2</v>
      </c>
      <c r="O1159" s="116">
        <v>191</v>
      </c>
      <c r="P1159" s="116">
        <v>191</v>
      </c>
      <c r="Q1159" s="116">
        <v>198.3</v>
      </c>
      <c r="R1159">
        <v>208449</v>
      </c>
    </row>
    <row r="1160" spans="1:18" x14ac:dyDescent="0.25">
      <c r="A1160" s="170">
        <v>43929</v>
      </c>
      <c r="B1160" s="116">
        <v>202</v>
      </c>
      <c r="C1160" s="116">
        <v>193.45</v>
      </c>
      <c r="D1160" s="116">
        <v>189</v>
      </c>
      <c r="E1160" s="116">
        <v>194.85</v>
      </c>
      <c r="F1160" s="116">
        <v>193.45</v>
      </c>
      <c r="G1160">
        <v>11645</v>
      </c>
      <c r="H1160" s="116"/>
      <c r="I1160" s="116"/>
      <c r="L1160" s="170">
        <v>43929</v>
      </c>
      <c r="M1160" s="116">
        <v>193.65</v>
      </c>
      <c r="N1160" s="116">
        <v>202</v>
      </c>
      <c r="O1160" s="116">
        <v>190</v>
      </c>
      <c r="P1160" s="116">
        <v>196.65</v>
      </c>
      <c r="Q1160" s="116">
        <v>193.65</v>
      </c>
      <c r="R1160">
        <v>306320</v>
      </c>
    </row>
    <row r="1161" spans="1:18" x14ac:dyDescent="0.25">
      <c r="A1161" s="170">
        <v>43930</v>
      </c>
      <c r="B1161" s="116">
        <v>200.35</v>
      </c>
      <c r="C1161" s="116">
        <v>197.3</v>
      </c>
      <c r="D1161" s="116">
        <v>194.75</v>
      </c>
      <c r="E1161" s="116">
        <v>195.95</v>
      </c>
      <c r="F1161" s="116">
        <v>197.3</v>
      </c>
      <c r="G1161">
        <v>5538</v>
      </c>
      <c r="H1161" s="116"/>
      <c r="I1161" s="116"/>
      <c r="L1161" s="170">
        <v>43930</v>
      </c>
      <c r="M1161" s="116">
        <v>197.45</v>
      </c>
      <c r="N1161" s="116">
        <v>200.5</v>
      </c>
      <c r="O1161" s="116">
        <v>194.95</v>
      </c>
      <c r="P1161" s="116">
        <v>198.9</v>
      </c>
      <c r="Q1161" s="116">
        <v>197.45</v>
      </c>
      <c r="R1161">
        <v>94160</v>
      </c>
    </row>
    <row r="1162" spans="1:18" x14ac:dyDescent="0.25">
      <c r="A1162" s="170">
        <v>43934</v>
      </c>
      <c r="B1162" s="116">
        <v>205</v>
      </c>
      <c r="C1162" s="116">
        <v>204.05</v>
      </c>
      <c r="D1162" s="116">
        <v>190</v>
      </c>
      <c r="E1162" s="116">
        <v>190</v>
      </c>
      <c r="F1162" s="116">
        <v>204.05</v>
      </c>
      <c r="G1162">
        <v>7814</v>
      </c>
      <c r="H1162" s="116"/>
      <c r="I1162" s="116"/>
      <c r="L1162" s="170">
        <v>43934</v>
      </c>
      <c r="M1162" s="116">
        <v>203.55</v>
      </c>
      <c r="N1162" s="116">
        <v>206</v>
      </c>
      <c r="O1162" s="116">
        <v>195</v>
      </c>
      <c r="P1162" s="116">
        <v>200</v>
      </c>
      <c r="Q1162" s="116">
        <v>203.55</v>
      </c>
      <c r="R1162">
        <v>174199</v>
      </c>
    </row>
    <row r="1163" spans="1:18" x14ac:dyDescent="0.25">
      <c r="A1163" s="170">
        <v>43936</v>
      </c>
      <c r="B1163" s="116">
        <v>208.3</v>
      </c>
      <c r="C1163" s="116">
        <v>204.25</v>
      </c>
      <c r="D1163" s="116">
        <v>201</v>
      </c>
      <c r="E1163" s="116">
        <v>205</v>
      </c>
      <c r="F1163" s="116">
        <v>204.25</v>
      </c>
      <c r="G1163">
        <v>2979</v>
      </c>
      <c r="H1163" s="116"/>
      <c r="I1163" s="116"/>
      <c r="L1163" s="170">
        <v>43936</v>
      </c>
      <c r="M1163" s="116">
        <v>203.8</v>
      </c>
      <c r="N1163" s="116">
        <v>208.95</v>
      </c>
      <c r="O1163" s="116">
        <v>200</v>
      </c>
      <c r="P1163" s="116">
        <v>205.9</v>
      </c>
      <c r="Q1163" s="116">
        <v>203.8</v>
      </c>
      <c r="R1163">
        <v>95214</v>
      </c>
    </row>
    <row r="1164" spans="1:18" x14ac:dyDescent="0.25">
      <c r="A1164" s="170">
        <v>43937</v>
      </c>
      <c r="B1164" s="116">
        <v>201.55</v>
      </c>
      <c r="C1164" s="116">
        <v>200.25</v>
      </c>
      <c r="D1164" s="116">
        <v>197</v>
      </c>
      <c r="E1164" s="116">
        <v>200</v>
      </c>
      <c r="F1164" s="116">
        <v>200.25</v>
      </c>
      <c r="G1164">
        <v>5085</v>
      </c>
      <c r="H1164" s="116"/>
      <c r="I1164" s="116"/>
      <c r="L1164" s="170">
        <v>43937</v>
      </c>
      <c r="M1164" s="116">
        <v>200.2</v>
      </c>
      <c r="N1164" s="116">
        <v>202.7</v>
      </c>
      <c r="O1164" s="116">
        <v>196.4</v>
      </c>
      <c r="P1164" s="116">
        <v>200</v>
      </c>
      <c r="Q1164" s="116">
        <v>200.2</v>
      </c>
      <c r="R1164">
        <v>146512</v>
      </c>
    </row>
    <row r="1165" spans="1:18" x14ac:dyDescent="0.25">
      <c r="A1165" s="170">
        <v>43938</v>
      </c>
      <c r="B1165" s="116">
        <v>209</v>
      </c>
      <c r="C1165" s="116">
        <v>207.45</v>
      </c>
      <c r="D1165" s="116">
        <v>202.95</v>
      </c>
      <c r="E1165" s="116">
        <v>204.9</v>
      </c>
      <c r="F1165" s="116">
        <v>207.45</v>
      </c>
      <c r="G1165">
        <v>4688</v>
      </c>
      <c r="H1165" s="116"/>
      <c r="I1165" s="116"/>
      <c r="L1165" s="170">
        <v>43938</v>
      </c>
      <c r="M1165" s="116">
        <v>207.7</v>
      </c>
      <c r="N1165" s="116">
        <v>208.85</v>
      </c>
      <c r="O1165" s="116">
        <v>200.65</v>
      </c>
      <c r="P1165" s="116">
        <v>205.9</v>
      </c>
      <c r="Q1165" s="116">
        <v>207.7</v>
      </c>
      <c r="R1165">
        <v>88406</v>
      </c>
    </row>
    <row r="1166" spans="1:18" x14ac:dyDescent="0.25">
      <c r="A1166" s="170">
        <v>43941</v>
      </c>
      <c r="B1166" s="116">
        <v>215</v>
      </c>
      <c r="C1166" s="116">
        <v>205.85</v>
      </c>
      <c r="D1166" s="116">
        <v>203</v>
      </c>
      <c r="E1166" s="116">
        <v>215</v>
      </c>
      <c r="F1166" s="116">
        <v>205.85</v>
      </c>
      <c r="G1166">
        <v>15403</v>
      </c>
      <c r="H1166" s="116"/>
      <c r="I1166" s="116"/>
      <c r="L1166" s="170">
        <v>43941</v>
      </c>
      <c r="M1166" s="116">
        <v>205.55</v>
      </c>
      <c r="N1166" s="116">
        <v>213</v>
      </c>
      <c r="O1166" s="116">
        <v>202.5</v>
      </c>
      <c r="P1166" s="116">
        <v>209.95</v>
      </c>
      <c r="Q1166" s="116">
        <v>205.55</v>
      </c>
      <c r="R1166">
        <v>278860</v>
      </c>
    </row>
    <row r="1167" spans="1:18" x14ac:dyDescent="0.25">
      <c r="A1167" s="170">
        <v>43942</v>
      </c>
      <c r="B1167" s="116">
        <v>201.4</v>
      </c>
      <c r="C1167" s="116">
        <v>196.5</v>
      </c>
      <c r="D1167" s="116">
        <v>195.6</v>
      </c>
      <c r="E1167" s="116">
        <v>201.4</v>
      </c>
      <c r="F1167" s="116">
        <v>196.5</v>
      </c>
      <c r="G1167">
        <v>6454</v>
      </c>
      <c r="H1167" s="116"/>
      <c r="I1167" s="116"/>
      <c r="L1167" s="170">
        <v>43942</v>
      </c>
      <c r="M1167" s="116">
        <v>196.4</v>
      </c>
      <c r="N1167" s="116">
        <v>204.7</v>
      </c>
      <c r="O1167" s="116">
        <v>195.3</v>
      </c>
      <c r="P1167" s="116">
        <v>204.7</v>
      </c>
      <c r="Q1167" s="116">
        <v>196.4</v>
      </c>
      <c r="R1167">
        <v>130364</v>
      </c>
    </row>
    <row r="1168" spans="1:18" x14ac:dyDescent="0.25">
      <c r="A1168" s="170">
        <v>43943</v>
      </c>
      <c r="B1168" s="116">
        <v>199.95</v>
      </c>
      <c r="C1168" s="116">
        <v>199.65</v>
      </c>
      <c r="D1168" s="116">
        <v>190.45</v>
      </c>
      <c r="E1168" s="116">
        <v>196.8</v>
      </c>
      <c r="F1168" s="116">
        <v>199.65</v>
      </c>
      <c r="G1168">
        <v>18092</v>
      </c>
      <c r="H1168" s="116"/>
      <c r="I1168" s="116"/>
      <c r="L1168" s="170">
        <v>43943</v>
      </c>
      <c r="M1168" s="116">
        <v>199.2</v>
      </c>
      <c r="N1168" s="116">
        <v>201</v>
      </c>
      <c r="O1168" s="116">
        <v>190</v>
      </c>
      <c r="P1168" s="116">
        <v>199</v>
      </c>
      <c r="Q1168" s="116">
        <v>199.2</v>
      </c>
      <c r="R1168">
        <v>139976</v>
      </c>
    </row>
    <row r="1169" spans="1:18" x14ac:dyDescent="0.25">
      <c r="A1169" s="170">
        <v>43944</v>
      </c>
      <c r="B1169" s="116">
        <v>201.9</v>
      </c>
      <c r="C1169" s="116">
        <v>199.95</v>
      </c>
      <c r="D1169" s="116">
        <v>197.3</v>
      </c>
      <c r="E1169" s="116">
        <v>201</v>
      </c>
      <c r="F1169" s="116">
        <v>199.95</v>
      </c>
      <c r="G1169">
        <v>4279</v>
      </c>
      <c r="H1169" s="116"/>
      <c r="I1169" s="116"/>
      <c r="L1169" s="170">
        <v>43944</v>
      </c>
      <c r="M1169" s="116">
        <v>200.15</v>
      </c>
      <c r="N1169" s="116">
        <v>202.05</v>
      </c>
      <c r="O1169" s="116">
        <v>197.1</v>
      </c>
      <c r="P1169" s="116">
        <v>199</v>
      </c>
      <c r="Q1169" s="116">
        <v>200.15</v>
      </c>
      <c r="R1169">
        <v>224514</v>
      </c>
    </row>
    <row r="1170" spans="1:18" x14ac:dyDescent="0.25">
      <c r="A1170" s="170">
        <v>43945</v>
      </c>
      <c r="B1170" s="116">
        <v>199.9</v>
      </c>
      <c r="C1170" s="116">
        <v>196.1</v>
      </c>
      <c r="D1170" s="116">
        <v>195.65</v>
      </c>
      <c r="E1170" s="116">
        <v>198.65</v>
      </c>
      <c r="F1170" s="116">
        <v>196.1</v>
      </c>
      <c r="G1170">
        <v>1306</v>
      </c>
      <c r="H1170" s="116"/>
      <c r="I1170" s="116"/>
      <c r="L1170" s="170">
        <v>43945</v>
      </c>
      <c r="M1170" s="116">
        <v>196.05</v>
      </c>
      <c r="N1170" s="116">
        <v>200</v>
      </c>
      <c r="O1170" s="116">
        <v>195.05</v>
      </c>
      <c r="P1170" s="116">
        <v>199.5</v>
      </c>
      <c r="Q1170" s="116">
        <v>196.05</v>
      </c>
      <c r="R1170">
        <v>37049</v>
      </c>
    </row>
    <row r="1171" spans="1:18" x14ac:dyDescent="0.25">
      <c r="A1171" s="170">
        <v>43948</v>
      </c>
      <c r="B1171" s="116">
        <v>200</v>
      </c>
      <c r="C1171" s="116">
        <v>199.4</v>
      </c>
      <c r="D1171" s="116">
        <v>193.7</v>
      </c>
      <c r="E1171" s="116">
        <v>196.85</v>
      </c>
      <c r="F1171" s="116">
        <v>199.4</v>
      </c>
      <c r="G1171">
        <v>4102</v>
      </c>
      <c r="H1171" s="116"/>
      <c r="I1171" s="116"/>
      <c r="L1171" s="170">
        <v>43948</v>
      </c>
      <c r="M1171" s="116">
        <v>199.6</v>
      </c>
      <c r="N1171" s="116">
        <v>200</v>
      </c>
      <c r="O1171" s="116">
        <v>193</v>
      </c>
      <c r="P1171" s="116">
        <v>200</v>
      </c>
      <c r="Q1171" s="116">
        <v>199.6</v>
      </c>
      <c r="R1171">
        <v>169473</v>
      </c>
    </row>
    <row r="1172" spans="1:18" x14ac:dyDescent="0.25">
      <c r="A1172" s="170">
        <v>43949</v>
      </c>
      <c r="B1172" s="116">
        <v>202.1</v>
      </c>
      <c r="C1172" s="116">
        <v>201.35</v>
      </c>
      <c r="D1172" s="116">
        <v>196.05</v>
      </c>
      <c r="E1172" s="116">
        <v>198.7</v>
      </c>
      <c r="F1172" s="116">
        <v>201.35</v>
      </c>
      <c r="G1172">
        <v>4778</v>
      </c>
      <c r="H1172" s="116"/>
      <c r="I1172" s="116"/>
      <c r="L1172" s="170">
        <v>43949</v>
      </c>
      <c r="M1172" s="116">
        <v>200.95</v>
      </c>
      <c r="N1172" s="116">
        <v>202.5</v>
      </c>
      <c r="O1172" s="116">
        <v>194.3</v>
      </c>
      <c r="P1172" s="116">
        <v>199.85</v>
      </c>
      <c r="Q1172" s="116">
        <v>200.95</v>
      </c>
      <c r="R1172">
        <v>281728</v>
      </c>
    </row>
    <row r="1173" spans="1:18" x14ac:dyDescent="0.25">
      <c r="A1173" s="170">
        <v>43950</v>
      </c>
      <c r="B1173" s="116">
        <v>207.5</v>
      </c>
      <c r="C1173" s="116">
        <v>205.5</v>
      </c>
      <c r="D1173" s="116">
        <v>198.4</v>
      </c>
      <c r="E1173" s="116">
        <v>202.35</v>
      </c>
      <c r="F1173" s="116">
        <v>205.5</v>
      </c>
      <c r="G1173">
        <v>11324</v>
      </c>
      <c r="H1173" s="116"/>
      <c r="I1173" s="116"/>
      <c r="L1173" s="170">
        <v>43950</v>
      </c>
      <c r="M1173" s="116">
        <v>204.7</v>
      </c>
      <c r="N1173" s="116">
        <v>208</v>
      </c>
      <c r="O1173" s="116">
        <v>198.2</v>
      </c>
      <c r="P1173" s="116">
        <v>201.9</v>
      </c>
      <c r="Q1173" s="116">
        <v>204.7</v>
      </c>
      <c r="R1173">
        <v>201676</v>
      </c>
    </row>
    <row r="1174" spans="1:18" x14ac:dyDescent="0.25">
      <c r="A1174" s="170">
        <v>43951</v>
      </c>
      <c r="B1174" s="116">
        <v>210.65</v>
      </c>
      <c r="C1174" s="116">
        <v>206.7</v>
      </c>
      <c r="D1174" s="116">
        <v>205.65</v>
      </c>
      <c r="E1174" s="116">
        <v>205.85</v>
      </c>
      <c r="F1174" s="116">
        <v>206.7</v>
      </c>
      <c r="G1174">
        <v>6692</v>
      </c>
      <c r="H1174" s="116"/>
      <c r="I1174" s="116"/>
      <c r="L1174" s="170">
        <v>43951</v>
      </c>
      <c r="M1174" s="116">
        <v>206.85</v>
      </c>
      <c r="N1174" s="116">
        <v>211</v>
      </c>
      <c r="O1174" s="116">
        <v>205.3</v>
      </c>
      <c r="P1174" s="116">
        <v>208</v>
      </c>
      <c r="Q1174" s="116">
        <v>206.85</v>
      </c>
      <c r="R1174">
        <v>204612</v>
      </c>
    </row>
    <row r="1175" spans="1:18" x14ac:dyDescent="0.25">
      <c r="A1175" s="170">
        <v>43955</v>
      </c>
      <c r="B1175" s="116">
        <v>206.7</v>
      </c>
      <c r="C1175" s="116">
        <v>198.8</v>
      </c>
      <c r="D1175" s="116">
        <v>196.7</v>
      </c>
      <c r="E1175" s="116">
        <v>206.7</v>
      </c>
      <c r="F1175" s="116">
        <v>198.8</v>
      </c>
      <c r="G1175">
        <v>4705</v>
      </c>
      <c r="H1175" s="116"/>
      <c r="I1175" s="116"/>
      <c r="L1175" s="170">
        <v>43955</v>
      </c>
      <c r="M1175" s="116">
        <v>198.85</v>
      </c>
      <c r="N1175" s="116">
        <v>202</v>
      </c>
      <c r="O1175" s="116">
        <v>197</v>
      </c>
      <c r="P1175" s="116">
        <v>198</v>
      </c>
      <c r="Q1175" s="116">
        <v>198.85</v>
      </c>
      <c r="R1175">
        <v>114121</v>
      </c>
    </row>
    <row r="1176" spans="1:18" x14ac:dyDescent="0.25">
      <c r="A1176" s="170">
        <v>43956</v>
      </c>
      <c r="B1176" s="116">
        <v>204.05</v>
      </c>
      <c r="C1176" s="116">
        <v>197.1</v>
      </c>
      <c r="D1176" s="116">
        <v>195.5</v>
      </c>
      <c r="E1176" s="116">
        <v>204.05</v>
      </c>
      <c r="F1176" s="116">
        <v>197.1</v>
      </c>
      <c r="G1176">
        <v>2808</v>
      </c>
      <c r="H1176" s="116"/>
      <c r="I1176" s="116"/>
      <c r="L1176" s="170">
        <v>43956</v>
      </c>
      <c r="M1176" s="116">
        <v>197.95</v>
      </c>
      <c r="N1176" s="116">
        <v>203.5</v>
      </c>
      <c r="O1176" s="116">
        <v>195.3</v>
      </c>
      <c r="P1176" s="116">
        <v>201.15</v>
      </c>
      <c r="Q1176" s="116">
        <v>197.95</v>
      </c>
      <c r="R1176">
        <v>96209</v>
      </c>
    </row>
    <row r="1177" spans="1:18" x14ac:dyDescent="0.25">
      <c r="A1177" s="170">
        <v>43957</v>
      </c>
      <c r="B1177" s="116">
        <v>200.6</v>
      </c>
      <c r="C1177" s="116">
        <v>195.8</v>
      </c>
      <c r="D1177" s="116">
        <v>192.1</v>
      </c>
      <c r="E1177" s="116">
        <v>192.85</v>
      </c>
      <c r="F1177" s="116">
        <v>195.8</v>
      </c>
      <c r="G1177">
        <v>3247</v>
      </c>
      <c r="H1177" s="116"/>
      <c r="I1177" s="116"/>
      <c r="L1177" s="170">
        <v>43957</v>
      </c>
      <c r="M1177" s="116">
        <v>195.95</v>
      </c>
      <c r="N1177" s="116">
        <v>200.75</v>
      </c>
      <c r="O1177" s="116">
        <v>191</v>
      </c>
      <c r="P1177" s="116">
        <v>195</v>
      </c>
      <c r="Q1177" s="116">
        <v>195.95</v>
      </c>
      <c r="R1177">
        <v>139448</v>
      </c>
    </row>
    <row r="1178" spans="1:18" x14ac:dyDescent="0.25">
      <c r="A1178" s="170">
        <v>43958</v>
      </c>
      <c r="B1178" s="116">
        <v>198.2</v>
      </c>
      <c r="C1178" s="116">
        <v>193.25</v>
      </c>
      <c r="D1178" s="116">
        <v>191.9</v>
      </c>
      <c r="E1178" s="116">
        <v>197.85</v>
      </c>
      <c r="F1178" s="116">
        <v>193.25</v>
      </c>
      <c r="G1178">
        <v>3570</v>
      </c>
      <c r="H1178" s="116"/>
      <c r="I1178" s="116"/>
      <c r="L1178" s="170">
        <v>43958</v>
      </c>
      <c r="M1178" s="116">
        <v>193.1</v>
      </c>
      <c r="N1178" s="116">
        <v>199</v>
      </c>
      <c r="O1178" s="116">
        <v>192</v>
      </c>
      <c r="P1178" s="116">
        <v>198.9</v>
      </c>
      <c r="Q1178" s="116">
        <v>193.1</v>
      </c>
      <c r="R1178">
        <v>79579</v>
      </c>
    </row>
    <row r="1179" spans="1:18" x14ac:dyDescent="0.25">
      <c r="A1179" s="170">
        <v>43959</v>
      </c>
      <c r="B1179" s="116">
        <v>200.3</v>
      </c>
      <c r="C1179" s="116">
        <v>196.35</v>
      </c>
      <c r="D1179" s="116">
        <v>194.2</v>
      </c>
      <c r="E1179" s="116">
        <v>196.4</v>
      </c>
      <c r="F1179" s="116">
        <v>196.35</v>
      </c>
      <c r="G1179">
        <v>6678</v>
      </c>
      <c r="H1179" s="116"/>
      <c r="I1179" s="116"/>
      <c r="L1179" s="170">
        <v>43959</v>
      </c>
      <c r="M1179" s="116">
        <v>196.3</v>
      </c>
      <c r="N1179" s="116">
        <v>199.8</v>
      </c>
      <c r="O1179" s="116">
        <v>193.5</v>
      </c>
      <c r="P1179" s="116">
        <v>197.45</v>
      </c>
      <c r="Q1179" s="116">
        <v>196.3</v>
      </c>
      <c r="R1179">
        <v>128151</v>
      </c>
    </row>
    <row r="1180" spans="1:18" x14ac:dyDescent="0.25">
      <c r="A1180" s="170">
        <v>43962</v>
      </c>
      <c r="B1180" s="116">
        <v>198.8</v>
      </c>
      <c r="C1180" s="116">
        <v>197</v>
      </c>
      <c r="D1180" s="116">
        <v>194</v>
      </c>
      <c r="E1180" s="116">
        <v>198</v>
      </c>
      <c r="F1180" s="116">
        <v>197</v>
      </c>
      <c r="G1180">
        <v>9229</v>
      </c>
      <c r="H1180" s="116"/>
      <c r="I1180" s="116"/>
      <c r="L1180" s="170">
        <v>43962</v>
      </c>
      <c r="M1180" s="116">
        <v>197.1</v>
      </c>
      <c r="N1180" s="116">
        <v>198.9</v>
      </c>
      <c r="O1180" s="116">
        <v>192.15</v>
      </c>
      <c r="P1180" s="116">
        <v>193</v>
      </c>
      <c r="Q1180" s="116">
        <v>197.1</v>
      </c>
      <c r="R1180">
        <v>82228</v>
      </c>
    </row>
    <row r="1181" spans="1:18" x14ac:dyDescent="0.25">
      <c r="A1181" s="170">
        <v>43963</v>
      </c>
      <c r="B1181" s="116">
        <v>195.25</v>
      </c>
      <c r="C1181" s="116">
        <v>192.9</v>
      </c>
      <c r="D1181" s="116">
        <v>192</v>
      </c>
      <c r="E1181" s="116">
        <v>195</v>
      </c>
      <c r="F1181" s="116">
        <v>192.9</v>
      </c>
      <c r="G1181">
        <v>1950</v>
      </c>
      <c r="H1181" s="116"/>
      <c r="I1181" s="116"/>
      <c r="L1181" s="170">
        <v>43963</v>
      </c>
      <c r="M1181" s="116">
        <v>193.25</v>
      </c>
      <c r="N1181" s="116">
        <v>196.8</v>
      </c>
      <c r="O1181" s="116">
        <v>190.95</v>
      </c>
      <c r="P1181" s="116">
        <v>196.8</v>
      </c>
      <c r="Q1181" s="116">
        <v>193.25</v>
      </c>
      <c r="R1181">
        <v>45189</v>
      </c>
    </row>
    <row r="1182" spans="1:18" x14ac:dyDescent="0.25">
      <c r="A1182" s="170">
        <v>43964</v>
      </c>
      <c r="B1182" s="116">
        <v>201.2</v>
      </c>
      <c r="C1182" s="116">
        <v>199.85</v>
      </c>
      <c r="D1182" s="116">
        <v>194.6</v>
      </c>
      <c r="E1182" s="116">
        <v>198.15</v>
      </c>
      <c r="F1182" s="116">
        <v>199.85</v>
      </c>
      <c r="G1182">
        <v>2352</v>
      </c>
      <c r="H1182" s="116"/>
      <c r="I1182" s="116"/>
      <c r="L1182" s="170">
        <v>43964</v>
      </c>
      <c r="M1182" s="116">
        <v>200.2</v>
      </c>
      <c r="N1182" s="116">
        <v>201.25</v>
      </c>
      <c r="O1182" s="116">
        <v>193.8</v>
      </c>
      <c r="P1182" s="116">
        <v>199.85</v>
      </c>
      <c r="Q1182" s="116">
        <v>200.2</v>
      </c>
      <c r="R1182">
        <v>128496</v>
      </c>
    </row>
    <row r="1183" spans="1:18" x14ac:dyDescent="0.25">
      <c r="A1183" s="170">
        <v>43965</v>
      </c>
      <c r="B1183" s="116">
        <v>207.1</v>
      </c>
      <c r="C1183" s="116">
        <v>197.3</v>
      </c>
      <c r="D1183" s="116">
        <v>195.9</v>
      </c>
      <c r="E1183" s="116">
        <v>205.75</v>
      </c>
      <c r="F1183" s="116">
        <v>197.3</v>
      </c>
      <c r="G1183">
        <v>16121</v>
      </c>
      <c r="H1183" s="116"/>
      <c r="I1183" s="116"/>
      <c r="L1183" s="170">
        <v>43965</v>
      </c>
      <c r="M1183" s="116">
        <v>197.1</v>
      </c>
      <c r="N1183" s="116">
        <v>207.8</v>
      </c>
      <c r="O1183" s="116">
        <v>196</v>
      </c>
      <c r="P1183" s="116">
        <v>203</v>
      </c>
      <c r="Q1183" s="116">
        <v>197.1</v>
      </c>
      <c r="R1183">
        <v>223671</v>
      </c>
    </row>
    <row r="1184" spans="1:18" x14ac:dyDescent="0.25">
      <c r="A1184" s="170">
        <v>43966</v>
      </c>
      <c r="B1184" s="116">
        <v>195.9</v>
      </c>
      <c r="C1184" s="116">
        <v>194.85</v>
      </c>
      <c r="D1184" s="116">
        <v>191.4</v>
      </c>
      <c r="E1184" s="116">
        <v>194.3</v>
      </c>
      <c r="F1184" s="116">
        <v>194.85</v>
      </c>
      <c r="G1184">
        <v>3168</v>
      </c>
      <c r="H1184" s="116"/>
      <c r="I1184" s="116"/>
      <c r="L1184" s="170">
        <v>43966</v>
      </c>
      <c r="M1184" s="116">
        <v>195.1</v>
      </c>
      <c r="N1184" s="116">
        <v>196.05</v>
      </c>
      <c r="O1184" s="116">
        <v>191</v>
      </c>
      <c r="P1184" s="116">
        <v>195</v>
      </c>
      <c r="Q1184" s="116">
        <v>195.1</v>
      </c>
      <c r="R1184">
        <v>125023</v>
      </c>
    </row>
    <row r="1185" spans="1:18" x14ac:dyDescent="0.25">
      <c r="A1185" s="170">
        <v>43969</v>
      </c>
      <c r="B1185" s="116">
        <v>198.9</v>
      </c>
      <c r="C1185" s="116">
        <v>185.3</v>
      </c>
      <c r="D1185" s="116">
        <v>185.15</v>
      </c>
      <c r="E1185" s="116">
        <v>195.9</v>
      </c>
      <c r="F1185" s="116">
        <v>185.3</v>
      </c>
      <c r="G1185">
        <v>7427</v>
      </c>
      <c r="H1185" s="116"/>
      <c r="I1185" s="116"/>
      <c r="L1185" s="170">
        <v>43969</v>
      </c>
      <c r="M1185" s="116">
        <v>185.8</v>
      </c>
      <c r="N1185" s="116">
        <v>196.4</v>
      </c>
      <c r="O1185" s="116">
        <v>185.35</v>
      </c>
      <c r="P1185" s="116">
        <v>195.25</v>
      </c>
      <c r="Q1185" s="116">
        <v>185.8</v>
      </c>
      <c r="R1185">
        <v>185012</v>
      </c>
    </row>
    <row r="1186" spans="1:18" x14ac:dyDescent="0.25">
      <c r="A1186" s="170">
        <v>43970</v>
      </c>
      <c r="B1186" s="116">
        <v>193</v>
      </c>
      <c r="C1186" s="116">
        <v>184.7</v>
      </c>
      <c r="D1186" s="116">
        <v>182</v>
      </c>
      <c r="E1186" s="116">
        <v>186</v>
      </c>
      <c r="F1186" s="116">
        <v>184.7</v>
      </c>
      <c r="G1186">
        <v>12348</v>
      </c>
      <c r="H1186" s="116"/>
      <c r="I1186" s="116"/>
      <c r="L1186" s="170">
        <v>43970</v>
      </c>
      <c r="M1186" s="116">
        <v>185</v>
      </c>
      <c r="N1186" s="116">
        <v>193.45</v>
      </c>
      <c r="O1186" s="116">
        <v>181.45</v>
      </c>
      <c r="P1186" s="116">
        <v>186.1</v>
      </c>
      <c r="Q1186" s="116">
        <v>185</v>
      </c>
      <c r="R1186">
        <v>663846</v>
      </c>
    </row>
    <row r="1187" spans="1:18" x14ac:dyDescent="0.25">
      <c r="A1187" s="170">
        <v>43971</v>
      </c>
      <c r="B1187" s="116">
        <v>188.25</v>
      </c>
      <c r="C1187" s="116">
        <v>184.25</v>
      </c>
      <c r="D1187" s="116">
        <v>180.25</v>
      </c>
      <c r="E1187" s="116">
        <v>186</v>
      </c>
      <c r="F1187" s="116">
        <v>184.25</v>
      </c>
      <c r="G1187">
        <v>16177</v>
      </c>
      <c r="H1187" s="116"/>
      <c r="I1187" s="116"/>
      <c r="L1187" s="170">
        <v>43971</v>
      </c>
      <c r="M1187" s="116">
        <v>184.35</v>
      </c>
      <c r="N1187" s="116">
        <v>188.55</v>
      </c>
      <c r="O1187" s="116">
        <v>180.2</v>
      </c>
      <c r="P1187" s="116">
        <v>186</v>
      </c>
      <c r="Q1187" s="116">
        <v>184.35</v>
      </c>
      <c r="R1187">
        <v>265420</v>
      </c>
    </row>
    <row r="1188" spans="1:18" x14ac:dyDescent="0.25">
      <c r="A1188" s="170">
        <v>43972</v>
      </c>
      <c r="B1188" s="116">
        <v>192</v>
      </c>
      <c r="C1188" s="116">
        <v>178.6</v>
      </c>
      <c r="D1188" s="116">
        <v>178.2</v>
      </c>
      <c r="E1188" s="116">
        <v>189.4</v>
      </c>
      <c r="F1188" s="116">
        <v>178.6</v>
      </c>
      <c r="G1188">
        <v>12402</v>
      </c>
      <c r="H1188" s="116"/>
      <c r="I1188" s="116"/>
      <c r="L1188" s="170">
        <v>43972</v>
      </c>
      <c r="M1188" s="116">
        <v>178.8</v>
      </c>
      <c r="N1188" s="116">
        <v>183.15</v>
      </c>
      <c r="O1188" s="116">
        <v>178.2</v>
      </c>
      <c r="P1188" s="116">
        <v>182.9</v>
      </c>
      <c r="Q1188" s="116">
        <v>178.8</v>
      </c>
      <c r="R1188">
        <v>461987</v>
      </c>
    </row>
    <row r="1189" spans="1:18" x14ac:dyDescent="0.25">
      <c r="A1189" s="170">
        <v>43973</v>
      </c>
      <c r="B1189" s="116">
        <v>182.5</v>
      </c>
      <c r="C1189" s="116">
        <v>180.35</v>
      </c>
      <c r="D1189" s="116">
        <v>170.65</v>
      </c>
      <c r="E1189" s="116">
        <v>176.9</v>
      </c>
      <c r="F1189" s="116">
        <v>180.35</v>
      </c>
      <c r="G1189">
        <v>12038</v>
      </c>
      <c r="H1189" s="116"/>
      <c r="I1189" s="116"/>
      <c r="L1189" s="170">
        <v>43973</v>
      </c>
      <c r="M1189" s="116">
        <v>180.85</v>
      </c>
      <c r="N1189" s="116">
        <v>182.25</v>
      </c>
      <c r="O1189" s="116">
        <v>170.4</v>
      </c>
      <c r="P1189" s="116">
        <v>178.4</v>
      </c>
      <c r="Q1189" s="116">
        <v>180.85</v>
      </c>
      <c r="R1189">
        <v>575536</v>
      </c>
    </row>
    <row r="1190" spans="1:18" x14ac:dyDescent="0.25">
      <c r="A1190" s="170">
        <v>43977</v>
      </c>
      <c r="B1190" s="116">
        <v>183.9</v>
      </c>
      <c r="C1190" s="116">
        <v>178.35</v>
      </c>
      <c r="D1190" s="116">
        <v>176.4</v>
      </c>
      <c r="E1190" s="116">
        <v>182</v>
      </c>
      <c r="F1190" s="116">
        <v>178.35</v>
      </c>
      <c r="G1190">
        <v>8504</v>
      </c>
      <c r="H1190" s="116"/>
      <c r="I1190" s="116"/>
      <c r="L1190" s="170">
        <v>43977</v>
      </c>
      <c r="M1190" s="116">
        <v>178.3</v>
      </c>
      <c r="N1190" s="116">
        <v>184.4</v>
      </c>
      <c r="O1190" s="116">
        <v>176.05</v>
      </c>
      <c r="P1190" s="116">
        <v>180.85</v>
      </c>
      <c r="Q1190" s="116">
        <v>178.3</v>
      </c>
      <c r="R1190">
        <v>246971</v>
      </c>
    </row>
    <row r="1191" spans="1:18" x14ac:dyDescent="0.25">
      <c r="A1191" s="170">
        <v>43978</v>
      </c>
      <c r="B1191" s="116">
        <v>187</v>
      </c>
      <c r="C1191" s="116">
        <v>183.05</v>
      </c>
      <c r="D1191" s="116">
        <v>175</v>
      </c>
      <c r="E1191" s="116">
        <v>183</v>
      </c>
      <c r="F1191" s="116">
        <v>183.05</v>
      </c>
      <c r="G1191">
        <v>17932</v>
      </c>
      <c r="H1191" s="116"/>
      <c r="I1191" s="116"/>
      <c r="L1191" s="170">
        <v>43978</v>
      </c>
      <c r="M1191" s="116">
        <v>181.75</v>
      </c>
      <c r="N1191" s="116">
        <v>187.2</v>
      </c>
      <c r="O1191" s="116">
        <v>175</v>
      </c>
      <c r="P1191" s="116">
        <v>177</v>
      </c>
      <c r="Q1191" s="116">
        <v>181.75</v>
      </c>
      <c r="R1191">
        <v>517361</v>
      </c>
    </row>
    <row r="1192" spans="1:18" x14ac:dyDescent="0.25">
      <c r="A1192" s="170">
        <v>43979</v>
      </c>
      <c r="B1192" s="116">
        <v>183.5</v>
      </c>
      <c r="C1192" s="116">
        <v>182.15</v>
      </c>
      <c r="D1192" s="116">
        <v>179.4</v>
      </c>
      <c r="E1192" s="116">
        <v>183.05</v>
      </c>
      <c r="F1192" s="116">
        <v>182.15</v>
      </c>
      <c r="G1192">
        <v>13965</v>
      </c>
      <c r="H1192" s="116"/>
      <c r="I1192" s="116"/>
      <c r="L1192" s="170">
        <v>43979</v>
      </c>
      <c r="M1192" s="116">
        <v>182.1</v>
      </c>
      <c r="N1192" s="116">
        <v>183.95</v>
      </c>
      <c r="O1192" s="116">
        <v>179</v>
      </c>
      <c r="P1192" s="116">
        <v>183.95</v>
      </c>
      <c r="Q1192" s="116">
        <v>182.1</v>
      </c>
      <c r="R1192">
        <v>446483</v>
      </c>
    </row>
    <row r="1193" spans="1:18" x14ac:dyDescent="0.25">
      <c r="A1193" s="170">
        <v>43980</v>
      </c>
      <c r="B1193" s="116">
        <v>181</v>
      </c>
      <c r="C1193" s="116">
        <v>174.9</v>
      </c>
      <c r="D1193" s="116">
        <v>173.05</v>
      </c>
      <c r="E1193" s="116">
        <v>180.15</v>
      </c>
      <c r="F1193" s="116">
        <v>174.9</v>
      </c>
      <c r="G1193">
        <v>25717</v>
      </c>
      <c r="H1193" s="116"/>
      <c r="I1193" s="116"/>
      <c r="L1193" s="170">
        <v>43980</v>
      </c>
      <c r="M1193" s="116">
        <v>173.9</v>
      </c>
      <c r="N1193" s="116">
        <v>181.95</v>
      </c>
      <c r="O1193" s="116">
        <v>173</v>
      </c>
      <c r="P1193" s="116">
        <v>181.95</v>
      </c>
      <c r="Q1193" s="116">
        <v>173.9</v>
      </c>
      <c r="R1193">
        <v>3213926</v>
      </c>
    </row>
    <row r="1194" spans="1:18" x14ac:dyDescent="0.25">
      <c r="A1194" s="170">
        <v>43983</v>
      </c>
      <c r="B1194" s="116">
        <v>182.6</v>
      </c>
      <c r="C1194" s="116">
        <v>180.4</v>
      </c>
      <c r="D1194" s="116">
        <v>167.2</v>
      </c>
      <c r="E1194" s="116">
        <v>173.9</v>
      </c>
      <c r="F1194" s="116">
        <v>180.4</v>
      </c>
      <c r="G1194">
        <v>43870</v>
      </c>
      <c r="H1194" s="116"/>
      <c r="I1194" s="116"/>
      <c r="L1194" s="170">
        <v>43983</v>
      </c>
      <c r="M1194" s="116">
        <v>180.3</v>
      </c>
      <c r="N1194" s="116">
        <v>182.55</v>
      </c>
      <c r="O1194" s="116">
        <v>167</v>
      </c>
      <c r="P1194" s="116">
        <v>172</v>
      </c>
      <c r="Q1194" s="116">
        <v>180.3</v>
      </c>
      <c r="R1194">
        <v>2042088</v>
      </c>
    </row>
    <row r="1195" spans="1:18" x14ac:dyDescent="0.25">
      <c r="A1195" s="170">
        <v>43984</v>
      </c>
      <c r="B1195" s="116">
        <v>189.4</v>
      </c>
      <c r="C1195" s="116">
        <v>187.15</v>
      </c>
      <c r="D1195" s="116">
        <v>182.55</v>
      </c>
      <c r="E1195" s="116">
        <v>183.75</v>
      </c>
      <c r="F1195" s="116">
        <v>187.15</v>
      </c>
      <c r="G1195">
        <v>283805</v>
      </c>
      <c r="H1195" s="116"/>
      <c r="I1195" s="116"/>
      <c r="L1195" s="170">
        <v>43984</v>
      </c>
      <c r="M1195" s="116">
        <v>187.4</v>
      </c>
      <c r="N1195" s="116">
        <v>189.3</v>
      </c>
      <c r="O1195" s="116">
        <v>182.3</v>
      </c>
      <c r="P1195" s="116">
        <v>182.4</v>
      </c>
      <c r="Q1195" s="116">
        <v>187.4</v>
      </c>
      <c r="R1195">
        <v>6021271</v>
      </c>
    </row>
    <row r="1196" spans="1:18" x14ac:dyDescent="0.25">
      <c r="A1196" s="170">
        <v>43985</v>
      </c>
      <c r="B1196" s="116">
        <v>192.3</v>
      </c>
      <c r="C1196" s="116">
        <v>184.1</v>
      </c>
      <c r="D1196" s="116">
        <v>180.3</v>
      </c>
      <c r="E1196" s="116">
        <v>192</v>
      </c>
      <c r="F1196" s="116">
        <v>184.1</v>
      </c>
      <c r="G1196">
        <v>73873</v>
      </c>
      <c r="H1196" s="116"/>
      <c r="I1196" s="116"/>
      <c r="L1196" s="170">
        <v>43985</v>
      </c>
      <c r="M1196" s="116">
        <v>183.8</v>
      </c>
      <c r="N1196" s="116">
        <v>192.8</v>
      </c>
      <c r="O1196" s="116">
        <v>180</v>
      </c>
      <c r="P1196" s="116">
        <v>190.1</v>
      </c>
      <c r="Q1196" s="116">
        <v>183.8</v>
      </c>
      <c r="R1196">
        <v>2486626</v>
      </c>
    </row>
    <row r="1197" spans="1:18" x14ac:dyDescent="0.25">
      <c r="A1197" s="170">
        <v>43986</v>
      </c>
      <c r="B1197" s="116">
        <v>185.1</v>
      </c>
      <c r="C1197" s="116">
        <v>181</v>
      </c>
      <c r="D1197" s="116">
        <v>179</v>
      </c>
      <c r="E1197" s="116">
        <v>184.5</v>
      </c>
      <c r="F1197" s="116">
        <v>181</v>
      </c>
      <c r="G1197">
        <v>113325</v>
      </c>
      <c r="H1197" s="116"/>
      <c r="I1197" s="116"/>
      <c r="L1197" s="170">
        <v>43986</v>
      </c>
      <c r="M1197" s="116">
        <v>180.85</v>
      </c>
      <c r="N1197" s="116">
        <v>185.1</v>
      </c>
      <c r="O1197" s="116">
        <v>178.7</v>
      </c>
      <c r="P1197" s="116">
        <v>185</v>
      </c>
      <c r="Q1197" s="116">
        <v>180.85</v>
      </c>
      <c r="R1197">
        <v>822853</v>
      </c>
    </row>
    <row r="1198" spans="1:18" x14ac:dyDescent="0.25">
      <c r="A1198" s="170">
        <v>43987</v>
      </c>
      <c r="B1198" s="116">
        <v>184.5</v>
      </c>
      <c r="C1198" s="116">
        <v>182.2</v>
      </c>
      <c r="D1198" s="116">
        <v>180</v>
      </c>
      <c r="E1198" s="116">
        <v>184.5</v>
      </c>
      <c r="F1198" s="116">
        <v>182.2</v>
      </c>
      <c r="G1198">
        <v>107891</v>
      </c>
      <c r="H1198" s="116"/>
      <c r="I1198" s="116"/>
      <c r="L1198" s="170">
        <v>43987</v>
      </c>
      <c r="M1198" s="116">
        <v>182.35</v>
      </c>
      <c r="N1198" s="116">
        <v>183.95</v>
      </c>
      <c r="O1198" s="116">
        <v>180.25</v>
      </c>
      <c r="P1198" s="116">
        <v>182.5</v>
      </c>
      <c r="Q1198" s="116">
        <v>182.35</v>
      </c>
      <c r="R1198">
        <v>665840</v>
      </c>
    </row>
    <row r="1199" spans="1:18" x14ac:dyDescent="0.25">
      <c r="A1199" s="170">
        <v>43990</v>
      </c>
      <c r="B1199" s="116">
        <v>186.5</v>
      </c>
      <c r="C1199" s="116">
        <v>179.75</v>
      </c>
      <c r="D1199" s="116">
        <v>177.65</v>
      </c>
      <c r="E1199" s="116">
        <v>186</v>
      </c>
      <c r="F1199" s="116">
        <v>179.75</v>
      </c>
      <c r="G1199">
        <v>259854</v>
      </c>
      <c r="H1199" s="116"/>
      <c r="I1199" s="116"/>
      <c r="L1199" s="170">
        <v>43990</v>
      </c>
      <c r="M1199" s="116">
        <v>179.7</v>
      </c>
      <c r="N1199" s="116">
        <v>186.7</v>
      </c>
      <c r="O1199" s="116">
        <v>177.1</v>
      </c>
      <c r="P1199" s="116">
        <v>186</v>
      </c>
      <c r="Q1199" s="116">
        <v>179.7</v>
      </c>
      <c r="R1199">
        <v>930758</v>
      </c>
    </row>
    <row r="1200" spans="1:18" x14ac:dyDescent="0.25">
      <c r="A1200" s="170">
        <v>43991</v>
      </c>
      <c r="B1200" s="116">
        <v>188.7</v>
      </c>
      <c r="C1200" s="116">
        <v>188.4</v>
      </c>
      <c r="D1200" s="116">
        <v>177</v>
      </c>
      <c r="E1200" s="116">
        <v>180.3</v>
      </c>
      <c r="F1200" s="116">
        <v>188.4</v>
      </c>
      <c r="G1200">
        <v>273120</v>
      </c>
      <c r="H1200" s="116"/>
      <c r="I1200" s="116"/>
      <c r="L1200" s="170">
        <v>43991</v>
      </c>
      <c r="M1200" s="116">
        <v>188.45</v>
      </c>
      <c r="N1200" s="116">
        <v>188.65</v>
      </c>
      <c r="O1200" s="116">
        <v>177</v>
      </c>
      <c r="P1200" s="116">
        <v>181</v>
      </c>
      <c r="Q1200" s="116">
        <v>188.45</v>
      </c>
      <c r="R1200">
        <v>2770562</v>
      </c>
    </row>
    <row r="1201" spans="1:18" x14ac:dyDescent="0.25">
      <c r="A1201" s="170">
        <v>43992</v>
      </c>
      <c r="B1201" s="116">
        <v>197.8</v>
      </c>
      <c r="C1201" s="116">
        <v>197.75</v>
      </c>
      <c r="D1201" s="116">
        <v>188.7</v>
      </c>
      <c r="E1201" s="116">
        <v>192</v>
      </c>
      <c r="F1201" s="116">
        <v>197.75</v>
      </c>
      <c r="G1201">
        <v>255424</v>
      </c>
      <c r="H1201" s="116"/>
      <c r="I1201" s="116"/>
      <c r="L1201" s="170">
        <v>43992</v>
      </c>
      <c r="M1201" s="116">
        <v>197.8</v>
      </c>
      <c r="N1201" s="116">
        <v>197.85</v>
      </c>
      <c r="O1201" s="116">
        <v>188.55</v>
      </c>
      <c r="P1201" s="116">
        <v>190.4</v>
      </c>
      <c r="Q1201" s="116">
        <v>197.8</v>
      </c>
      <c r="R1201">
        <v>5476286</v>
      </c>
    </row>
    <row r="1202" spans="1:18" x14ac:dyDescent="0.25">
      <c r="A1202" s="170">
        <v>43993</v>
      </c>
      <c r="B1202" s="116">
        <v>207.6</v>
      </c>
      <c r="C1202" s="116">
        <v>199.5</v>
      </c>
      <c r="D1202" s="116">
        <v>198</v>
      </c>
      <c r="E1202" s="116">
        <v>200</v>
      </c>
      <c r="F1202" s="116">
        <v>199.5</v>
      </c>
      <c r="G1202">
        <v>219118</v>
      </c>
      <c r="H1202" s="116"/>
      <c r="I1202" s="116"/>
      <c r="L1202" s="170">
        <v>43993</v>
      </c>
      <c r="M1202" s="116">
        <v>199.8</v>
      </c>
      <c r="N1202" s="116">
        <v>207.65</v>
      </c>
      <c r="O1202" s="116">
        <v>197.85</v>
      </c>
      <c r="P1202" s="116">
        <v>199.65</v>
      </c>
      <c r="Q1202" s="116">
        <v>199.8</v>
      </c>
      <c r="R1202">
        <v>4767879</v>
      </c>
    </row>
    <row r="1203" spans="1:18" x14ac:dyDescent="0.25">
      <c r="A1203" s="170">
        <v>43994</v>
      </c>
      <c r="B1203" s="116">
        <v>204.85</v>
      </c>
      <c r="C1203" s="116">
        <v>202.85</v>
      </c>
      <c r="D1203" s="116">
        <v>190.25</v>
      </c>
      <c r="E1203" s="116">
        <v>192.2</v>
      </c>
      <c r="F1203" s="116">
        <v>202.85</v>
      </c>
      <c r="G1203">
        <v>128427</v>
      </c>
      <c r="H1203" s="116"/>
      <c r="I1203" s="116"/>
      <c r="L1203" s="170">
        <v>43994</v>
      </c>
      <c r="M1203" s="116">
        <v>202.75</v>
      </c>
      <c r="N1203" s="116">
        <v>205</v>
      </c>
      <c r="O1203" s="116">
        <v>189.85</v>
      </c>
      <c r="P1203" s="116">
        <v>189.85</v>
      </c>
      <c r="Q1203" s="116">
        <v>202.75</v>
      </c>
      <c r="R1203">
        <v>2062760</v>
      </c>
    </row>
    <row r="1204" spans="1:18" x14ac:dyDescent="0.25">
      <c r="A1204" s="170">
        <v>43997</v>
      </c>
      <c r="B1204" s="116">
        <v>211.6</v>
      </c>
      <c r="C1204" s="116">
        <v>209.75</v>
      </c>
      <c r="D1204" s="116">
        <v>203</v>
      </c>
      <c r="E1204" s="116">
        <v>203</v>
      </c>
      <c r="F1204" s="116">
        <v>209.75</v>
      </c>
      <c r="G1204">
        <v>99313</v>
      </c>
      <c r="H1204" s="116"/>
      <c r="I1204" s="116"/>
      <c r="L1204" s="170">
        <v>43997</v>
      </c>
      <c r="M1204" s="116">
        <v>209.75</v>
      </c>
      <c r="N1204" s="116">
        <v>211.2</v>
      </c>
      <c r="O1204" s="116">
        <v>202.8</v>
      </c>
      <c r="P1204" s="116">
        <v>206</v>
      </c>
      <c r="Q1204" s="116">
        <v>209.75</v>
      </c>
      <c r="R1204">
        <v>1765003</v>
      </c>
    </row>
    <row r="1205" spans="1:18" x14ac:dyDescent="0.25">
      <c r="A1205" s="170">
        <v>43998</v>
      </c>
      <c r="B1205" s="116">
        <v>219.9</v>
      </c>
      <c r="C1205" s="116">
        <v>211.2</v>
      </c>
      <c r="D1205" s="116">
        <v>200.25</v>
      </c>
      <c r="E1205" s="116">
        <v>211</v>
      </c>
      <c r="F1205" s="116">
        <v>211.2</v>
      </c>
      <c r="G1205">
        <v>208305</v>
      </c>
      <c r="H1205" s="116"/>
      <c r="I1205" s="116"/>
      <c r="L1205" s="170">
        <v>43998</v>
      </c>
      <c r="M1205" s="116">
        <v>211.3</v>
      </c>
      <c r="N1205" s="116">
        <v>219.8</v>
      </c>
      <c r="O1205" s="116">
        <v>200.85</v>
      </c>
      <c r="P1205" s="116">
        <v>215.2</v>
      </c>
      <c r="Q1205" s="116">
        <v>211.3</v>
      </c>
      <c r="R1205">
        <v>2378906</v>
      </c>
    </row>
    <row r="1206" spans="1:18" x14ac:dyDescent="0.25">
      <c r="A1206" s="170">
        <v>43999</v>
      </c>
      <c r="B1206" s="116">
        <v>221.75</v>
      </c>
      <c r="C1206" s="116">
        <v>216.95</v>
      </c>
      <c r="D1206" s="116">
        <v>211.05</v>
      </c>
      <c r="E1206" s="116">
        <v>213</v>
      </c>
      <c r="F1206" s="116">
        <v>216.95</v>
      </c>
      <c r="G1206">
        <v>109049</v>
      </c>
      <c r="H1206" s="116"/>
      <c r="I1206" s="116"/>
      <c r="L1206" s="170">
        <v>43999</v>
      </c>
      <c r="M1206" s="116">
        <v>217.1</v>
      </c>
      <c r="N1206" s="116">
        <v>221.85</v>
      </c>
      <c r="O1206" s="116">
        <v>209</v>
      </c>
      <c r="P1206" s="116">
        <v>210</v>
      </c>
      <c r="Q1206" s="116">
        <v>217.1</v>
      </c>
      <c r="R1206">
        <v>1927438</v>
      </c>
    </row>
    <row r="1207" spans="1:18" x14ac:dyDescent="0.25">
      <c r="A1207" s="170">
        <v>44000</v>
      </c>
      <c r="B1207" s="116">
        <v>225</v>
      </c>
      <c r="C1207" s="116">
        <v>220.9</v>
      </c>
      <c r="D1207" s="116">
        <v>218.5</v>
      </c>
      <c r="E1207" s="116">
        <v>219.4</v>
      </c>
      <c r="F1207" s="116">
        <v>220.9</v>
      </c>
      <c r="G1207">
        <v>300563</v>
      </c>
      <c r="H1207" s="116"/>
      <c r="I1207" s="116"/>
      <c r="L1207" s="170">
        <v>44000</v>
      </c>
      <c r="M1207" s="116">
        <v>220.85</v>
      </c>
      <c r="N1207" s="116">
        <v>224.7</v>
      </c>
      <c r="O1207" s="116">
        <v>218</v>
      </c>
      <c r="P1207" s="116">
        <v>218</v>
      </c>
      <c r="Q1207" s="116">
        <v>220.85</v>
      </c>
      <c r="R1207">
        <v>1706576</v>
      </c>
    </row>
    <row r="1208" spans="1:18" x14ac:dyDescent="0.25">
      <c r="A1208" s="170">
        <v>44001</v>
      </c>
      <c r="B1208" s="116">
        <v>229.5</v>
      </c>
      <c r="C1208" s="116">
        <v>221.4</v>
      </c>
      <c r="D1208" s="116">
        <v>216.4</v>
      </c>
      <c r="E1208" s="116">
        <v>221</v>
      </c>
      <c r="F1208" s="116">
        <v>221.4</v>
      </c>
      <c r="G1208">
        <v>187651</v>
      </c>
      <c r="H1208" s="116"/>
      <c r="I1208" s="116"/>
      <c r="L1208" s="170">
        <v>44001</v>
      </c>
      <c r="M1208" s="116">
        <v>221.25</v>
      </c>
      <c r="N1208" s="116">
        <v>229.8</v>
      </c>
      <c r="O1208" s="116">
        <v>216.5</v>
      </c>
      <c r="P1208" s="116">
        <v>222</v>
      </c>
      <c r="Q1208" s="116">
        <v>221.25</v>
      </c>
      <c r="R1208">
        <v>1949029</v>
      </c>
    </row>
    <row r="1209" spans="1:18" x14ac:dyDescent="0.25">
      <c r="A1209" s="170">
        <v>44004</v>
      </c>
      <c r="B1209" s="116">
        <v>232.45</v>
      </c>
      <c r="C1209" s="116">
        <v>232.15</v>
      </c>
      <c r="D1209" s="116">
        <v>220</v>
      </c>
      <c r="E1209" s="116">
        <v>220</v>
      </c>
      <c r="F1209" s="116">
        <v>232.15</v>
      </c>
      <c r="G1209">
        <v>597748</v>
      </c>
      <c r="H1209" s="116"/>
      <c r="I1209" s="116"/>
      <c r="L1209" s="170">
        <v>44004</v>
      </c>
      <c r="M1209" s="116">
        <v>231</v>
      </c>
      <c r="N1209" s="116">
        <v>232.3</v>
      </c>
      <c r="O1209" s="116">
        <v>222.2</v>
      </c>
      <c r="P1209" s="116">
        <v>223</v>
      </c>
      <c r="Q1209" s="116">
        <v>231</v>
      </c>
      <c r="R1209">
        <v>3130057</v>
      </c>
    </row>
    <row r="1210" spans="1:18" x14ac:dyDescent="0.25">
      <c r="A1210" s="170">
        <v>44005</v>
      </c>
      <c r="B1210" s="116">
        <v>243.75</v>
      </c>
      <c r="C1210" s="116">
        <v>243.75</v>
      </c>
      <c r="D1210" s="116">
        <v>233.45</v>
      </c>
      <c r="E1210" s="116">
        <v>233.8</v>
      </c>
      <c r="F1210" s="116">
        <v>243.75</v>
      </c>
      <c r="G1210">
        <v>176321</v>
      </c>
      <c r="H1210" s="116"/>
      <c r="I1210" s="116"/>
      <c r="L1210" s="170">
        <v>44005</v>
      </c>
      <c r="M1210" s="116">
        <v>242.55</v>
      </c>
      <c r="N1210" s="116">
        <v>242.55</v>
      </c>
      <c r="O1210" s="116">
        <v>233.8</v>
      </c>
      <c r="P1210" s="116">
        <v>234.2</v>
      </c>
      <c r="Q1210" s="116">
        <v>242.55</v>
      </c>
      <c r="R1210">
        <v>2123696</v>
      </c>
    </row>
    <row r="1211" spans="1:18" x14ac:dyDescent="0.25">
      <c r="A1211" s="170">
        <v>44006</v>
      </c>
      <c r="B1211" s="116">
        <v>255.9</v>
      </c>
      <c r="C1211" s="116">
        <v>255.8</v>
      </c>
      <c r="D1211" s="116">
        <v>242.3</v>
      </c>
      <c r="E1211" s="116">
        <v>253.7</v>
      </c>
      <c r="F1211" s="116">
        <v>255.8</v>
      </c>
      <c r="G1211">
        <v>457303</v>
      </c>
      <c r="H1211" s="116"/>
      <c r="I1211" s="116"/>
      <c r="L1211" s="170">
        <v>44006</v>
      </c>
      <c r="M1211" s="116">
        <v>254.65</v>
      </c>
      <c r="N1211" s="116">
        <v>254.65</v>
      </c>
      <c r="O1211" s="116">
        <v>242.55</v>
      </c>
      <c r="P1211" s="116">
        <v>253</v>
      </c>
      <c r="Q1211" s="116">
        <v>254.65</v>
      </c>
      <c r="R1211">
        <v>2481396</v>
      </c>
    </row>
    <row r="1212" spans="1:18" x14ac:dyDescent="0.25">
      <c r="A1212" s="170">
        <v>44007</v>
      </c>
      <c r="B1212" s="116">
        <v>268.55</v>
      </c>
      <c r="C1212" s="116">
        <v>268.55</v>
      </c>
      <c r="D1212" s="116">
        <v>247.1</v>
      </c>
      <c r="E1212" s="116">
        <v>247.1</v>
      </c>
      <c r="F1212" s="116">
        <v>268.55</v>
      </c>
      <c r="G1212">
        <v>235221</v>
      </c>
      <c r="H1212" s="116"/>
      <c r="I1212" s="116"/>
      <c r="L1212" s="170">
        <v>44007</v>
      </c>
      <c r="M1212" s="116">
        <v>267.35000000000002</v>
      </c>
      <c r="N1212" s="116">
        <v>267.35000000000002</v>
      </c>
      <c r="O1212" s="116">
        <v>249.8</v>
      </c>
      <c r="P1212" s="116">
        <v>252</v>
      </c>
      <c r="Q1212" s="116">
        <v>267.35000000000002</v>
      </c>
      <c r="R1212">
        <v>1044879</v>
      </c>
    </row>
    <row r="1213" spans="1:18" x14ac:dyDescent="0.25">
      <c r="A1213" s="170">
        <v>44008</v>
      </c>
      <c r="B1213" s="116">
        <v>281.95</v>
      </c>
      <c r="C1213" s="116">
        <v>277.60000000000002</v>
      </c>
      <c r="D1213" s="116">
        <v>255.15</v>
      </c>
      <c r="E1213" s="116">
        <v>279</v>
      </c>
      <c r="F1213" s="116">
        <v>277.60000000000002</v>
      </c>
      <c r="G1213">
        <v>1053133</v>
      </c>
      <c r="H1213" s="116"/>
      <c r="I1213" s="116"/>
      <c r="L1213" s="170">
        <v>44008</v>
      </c>
      <c r="M1213" s="116">
        <v>276.85000000000002</v>
      </c>
      <c r="N1213" s="116">
        <v>280.7</v>
      </c>
      <c r="O1213" s="116">
        <v>256.60000000000002</v>
      </c>
      <c r="P1213" s="116">
        <v>280.7</v>
      </c>
      <c r="Q1213" s="116">
        <v>276.85000000000002</v>
      </c>
      <c r="R1213">
        <v>4113416</v>
      </c>
    </row>
    <row r="1214" spans="1:18" x14ac:dyDescent="0.25">
      <c r="A1214" s="170">
        <v>44011</v>
      </c>
      <c r="B1214" s="116">
        <v>281.64999999999998</v>
      </c>
      <c r="C1214" s="116">
        <v>270.85000000000002</v>
      </c>
      <c r="D1214" s="116">
        <v>264</v>
      </c>
      <c r="E1214" s="116">
        <v>276.45</v>
      </c>
      <c r="F1214" s="116">
        <v>270.85000000000002</v>
      </c>
      <c r="G1214">
        <v>123748</v>
      </c>
      <c r="H1214" s="116"/>
      <c r="I1214" s="116"/>
      <c r="L1214" s="170">
        <v>44011</v>
      </c>
      <c r="M1214" s="116">
        <v>270.45</v>
      </c>
      <c r="N1214" s="116">
        <v>279.89999999999998</v>
      </c>
      <c r="O1214" s="116">
        <v>266.2</v>
      </c>
      <c r="P1214" s="116">
        <v>271.10000000000002</v>
      </c>
      <c r="Q1214" s="116">
        <v>270.45</v>
      </c>
      <c r="R1214">
        <v>665484</v>
      </c>
    </row>
    <row r="1215" spans="1:18" x14ac:dyDescent="0.25">
      <c r="A1215" s="170">
        <v>44012</v>
      </c>
      <c r="B1215" s="116">
        <v>274.89999999999998</v>
      </c>
      <c r="C1215" s="116">
        <v>259.7</v>
      </c>
      <c r="D1215" s="116">
        <v>258</v>
      </c>
      <c r="E1215" s="116">
        <v>270</v>
      </c>
      <c r="F1215" s="116">
        <v>259.7</v>
      </c>
      <c r="G1215">
        <v>81462</v>
      </c>
      <c r="H1215" s="116"/>
      <c r="I1215" s="116"/>
      <c r="L1215" s="170">
        <v>44012</v>
      </c>
      <c r="M1215" s="116">
        <v>260.2</v>
      </c>
      <c r="N1215" s="116">
        <v>274.89999999999998</v>
      </c>
      <c r="O1215" s="116">
        <v>257.55</v>
      </c>
      <c r="P1215" s="116">
        <v>271.89999999999998</v>
      </c>
      <c r="Q1215" s="116">
        <v>260.2</v>
      </c>
      <c r="R1215">
        <v>844725</v>
      </c>
    </row>
    <row r="1216" spans="1:18" x14ac:dyDescent="0.25">
      <c r="A1216" s="170">
        <v>44013</v>
      </c>
      <c r="B1216" s="116">
        <v>269.3</v>
      </c>
      <c r="C1216" s="116">
        <v>263.55</v>
      </c>
      <c r="D1216" s="116">
        <v>259</v>
      </c>
      <c r="E1216" s="116">
        <v>259.8</v>
      </c>
      <c r="F1216" s="116">
        <v>263.55</v>
      </c>
      <c r="G1216">
        <v>27971</v>
      </c>
      <c r="H1216" s="116"/>
      <c r="I1216" s="116"/>
      <c r="L1216" s="170">
        <v>44013</v>
      </c>
      <c r="M1216" s="116">
        <v>264</v>
      </c>
      <c r="N1216" s="116">
        <v>269.89999999999998</v>
      </c>
      <c r="O1216" s="116">
        <v>259</v>
      </c>
      <c r="P1216" s="116">
        <v>259.95</v>
      </c>
      <c r="Q1216" s="116">
        <v>264</v>
      </c>
      <c r="R1216">
        <v>343745</v>
      </c>
    </row>
    <row r="1217" spans="1:18" x14ac:dyDescent="0.25">
      <c r="A1217" s="170">
        <v>44014</v>
      </c>
      <c r="B1217" s="116">
        <v>272.5</v>
      </c>
      <c r="C1217" s="116">
        <v>265.39999999999998</v>
      </c>
      <c r="D1217" s="116">
        <v>265</v>
      </c>
      <c r="E1217" s="116">
        <v>272.5</v>
      </c>
      <c r="F1217" s="116">
        <v>265.39999999999998</v>
      </c>
      <c r="G1217">
        <v>19967</v>
      </c>
      <c r="H1217" s="116"/>
      <c r="I1217" s="116"/>
      <c r="L1217" s="170">
        <v>44014</v>
      </c>
      <c r="M1217" s="116">
        <v>265.55</v>
      </c>
      <c r="N1217" s="116">
        <v>271.89999999999998</v>
      </c>
      <c r="O1217" s="116">
        <v>264.05</v>
      </c>
      <c r="P1217" s="116">
        <v>265.3</v>
      </c>
      <c r="Q1217" s="116">
        <v>265.55</v>
      </c>
      <c r="R1217">
        <v>288796</v>
      </c>
    </row>
    <row r="1218" spans="1:18" x14ac:dyDescent="0.25">
      <c r="A1218" s="170">
        <v>44015</v>
      </c>
      <c r="B1218" s="116">
        <v>270</v>
      </c>
      <c r="C1218" s="116">
        <v>261.3</v>
      </c>
      <c r="D1218" s="116">
        <v>260</v>
      </c>
      <c r="E1218" s="116">
        <v>270</v>
      </c>
      <c r="F1218" s="116">
        <v>261.3</v>
      </c>
      <c r="G1218">
        <v>29944</v>
      </c>
      <c r="H1218" s="116"/>
      <c r="I1218" s="116"/>
      <c r="L1218" s="170">
        <v>44015</v>
      </c>
      <c r="M1218" s="116">
        <v>261.5</v>
      </c>
      <c r="N1218" s="116">
        <v>268.45</v>
      </c>
      <c r="O1218" s="116">
        <v>259</v>
      </c>
      <c r="P1218" s="116">
        <v>268</v>
      </c>
      <c r="Q1218" s="116">
        <v>261.5</v>
      </c>
      <c r="R1218">
        <v>247878</v>
      </c>
    </row>
    <row r="1219" spans="1:18" x14ac:dyDescent="0.25">
      <c r="A1219" s="170">
        <v>44018</v>
      </c>
      <c r="B1219" s="116">
        <v>268.8</v>
      </c>
      <c r="C1219" s="116">
        <v>262.25</v>
      </c>
      <c r="D1219" s="116">
        <v>261</v>
      </c>
      <c r="E1219" s="116">
        <v>265</v>
      </c>
      <c r="F1219" s="116">
        <v>262.25</v>
      </c>
      <c r="G1219">
        <v>25443</v>
      </c>
      <c r="H1219" s="116"/>
      <c r="I1219" s="116"/>
      <c r="L1219" s="170">
        <v>44018</v>
      </c>
      <c r="M1219" s="116">
        <v>262.64999999999998</v>
      </c>
      <c r="N1219" s="116">
        <v>269.3</v>
      </c>
      <c r="O1219" s="116">
        <v>260.2</v>
      </c>
      <c r="P1219" s="116">
        <v>266.39999999999998</v>
      </c>
      <c r="Q1219" s="116">
        <v>262.64999999999998</v>
      </c>
      <c r="R1219">
        <v>353908</v>
      </c>
    </row>
    <row r="1220" spans="1:18" x14ac:dyDescent="0.25">
      <c r="A1220" s="170">
        <v>44019</v>
      </c>
      <c r="B1220" s="116">
        <v>273</v>
      </c>
      <c r="C1220" s="116">
        <v>254.55</v>
      </c>
      <c r="D1220" s="116">
        <v>252.3</v>
      </c>
      <c r="E1220" s="116">
        <v>273</v>
      </c>
      <c r="F1220" s="116">
        <v>254.55</v>
      </c>
      <c r="G1220">
        <v>61501</v>
      </c>
      <c r="H1220" s="116"/>
      <c r="I1220" s="116"/>
      <c r="L1220" s="170">
        <v>44019</v>
      </c>
      <c r="M1220" s="116">
        <v>254.8</v>
      </c>
      <c r="N1220" s="116">
        <v>265.85000000000002</v>
      </c>
      <c r="O1220" s="116">
        <v>252</v>
      </c>
      <c r="P1220" s="116">
        <v>265.85000000000002</v>
      </c>
      <c r="Q1220" s="116">
        <v>254.8</v>
      </c>
      <c r="R1220">
        <v>485611</v>
      </c>
    </row>
    <row r="1221" spans="1:18" x14ac:dyDescent="0.25">
      <c r="A1221" s="170">
        <v>44020</v>
      </c>
      <c r="B1221" s="116">
        <v>260</v>
      </c>
      <c r="C1221" s="116">
        <v>249.75</v>
      </c>
      <c r="D1221" s="116">
        <v>248.4</v>
      </c>
      <c r="E1221" s="116">
        <v>260</v>
      </c>
      <c r="F1221" s="116">
        <v>249.75</v>
      </c>
      <c r="G1221">
        <v>24820</v>
      </c>
      <c r="H1221" s="116"/>
      <c r="I1221" s="116"/>
      <c r="L1221" s="170">
        <v>44020</v>
      </c>
      <c r="M1221" s="116">
        <v>249.75</v>
      </c>
      <c r="N1221" s="116">
        <v>255</v>
      </c>
      <c r="O1221" s="116">
        <v>248</v>
      </c>
      <c r="P1221" s="116">
        <v>255</v>
      </c>
      <c r="Q1221" s="116">
        <v>249.75</v>
      </c>
      <c r="R1221">
        <v>324967</v>
      </c>
    </row>
    <row r="1222" spans="1:18" x14ac:dyDescent="0.25">
      <c r="A1222" s="170">
        <v>44021</v>
      </c>
      <c r="B1222" s="116">
        <v>251.45</v>
      </c>
      <c r="C1222" s="116">
        <v>244.45</v>
      </c>
      <c r="D1222" s="116">
        <v>241</v>
      </c>
      <c r="E1222" s="116">
        <v>251.45</v>
      </c>
      <c r="F1222" s="116">
        <v>244.45</v>
      </c>
      <c r="G1222">
        <v>23716</v>
      </c>
      <c r="H1222" s="116"/>
      <c r="I1222" s="116"/>
      <c r="L1222" s="170">
        <v>44021</v>
      </c>
      <c r="M1222" s="116">
        <v>244.8</v>
      </c>
      <c r="N1222" s="116">
        <v>251.2</v>
      </c>
      <c r="O1222" s="116">
        <v>240</v>
      </c>
      <c r="P1222" s="116">
        <v>251.2</v>
      </c>
      <c r="Q1222" s="116">
        <v>244.8</v>
      </c>
      <c r="R1222">
        <v>431819</v>
      </c>
    </row>
    <row r="1223" spans="1:18" x14ac:dyDescent="0.25">
      <c r="A1223" s="170">
        <v>44022</v>
      </c>
      <c r="B1223" s="116">
        <v>244.8</v>
      </c>
      <c r="C1223" s="116">
        <v>241.5</v>
      </c>
      <c r="D1223" s="116">
        <v>237.45</v>
      </c>
      <c r="E1223" s="116">
        <v>244.8</v>
      </c>
      <c r="F1223" s="116">
        <v>241.5</v>
      </c>
      <c r="G1223">
        <v>12211</v>
      </c>
      <c r="H1223" s="116"/>
      <c r="I1223" s="116"/>
      <c r="L1223" s="170">
        <v>44022</v>
      </c>
      <c r="M1223" s="116">
        <v>241.1</v>
      </c>
      <c r="N1223" s="116">
        <v>244.95</v>
      </c>
      <c r="O1223" s="116">
        <v>235.8</v>
      </c>
      <c r="P1223" s="116">
        <v>238.05</v>
      </c>
      <c r="Q1223" s="116">
        <v>241.1</v>
      </c>
      <c r="R1223">
        <v>247060</v>
      </c>
    </row>
    <row r="1224" spans="1:18" x14ac:dyDescent="0.25">
      <c r="A1224" s="170">
        <v>44025</v>
      </c>
      <c r="B1224" s="116">
        <v>253.55</v>
      </c>
      <c r="C1224" s="116">
        <v>248.65</v>
      </c>
      <c r="D1224" s="116">
        <v>231.05</v>
      </c>
      <c r="E1224" s="116">
        <v>231.05</v>
      </c>
      <c r="F1224" s="116">
        <v>248.65</v>
      </c>
      <c r="G1224">
        <v>43674</v>
      </c>
      <c r="H1224" s="116"/>
      <c r="I1224" s="116"/>
      <c r="L1224" s="170">
        <v>44025</v>
      </c>
      <c r="M1224" s="116">
        <v>251.15</v>
      </c>
      <c r="N1224" s="116">
        <v>253.15</v>
      </c>
      <c r="O1224" s="116">
        <v>240.1</v>
      </c>
      <c r="P1224" s="116">
        <v>243.95</v>
      </c>
      <c r="Q1224" s="116">
        <v>251.15</v>
      </c>
      <c r="R1224">
        <v>442979</v>
      </c>
    </row>
    <row r="1225" spans="1:18" x14ac:dyDescent="0.25">
      <c r="A1225" s="170">
        <v>44026</v>
      </c>
      <c r="B1225" s="116">
        <v>255</v>
      </c>
      <c r="C1225" s="116">
        <v>246.5</v>
      </c>
      <c r="D1225" s="116">
        <v>246</v>
      </c>
      <c r="E1225" s="116">
        <v>253</v>
      </c>
      <c r="F1225" s="116">
        <v>246.5</v>
      </c>
      <c r="G1225">
        <v>14233</v>
      </c>
      <c r="H1225" s="116"/>
      <c r="I1225" s="116"/>
      <c r="L1225" s="170">
        <v>44026</v>
      </c>
      <c r="M1225" s="116">
        <v>247.1</v>
      </c>
      <c r="N1225" s="116">
        <v>254.9</v>
      </c>
      <c r="O1225" s="116">
        <v>246</v>
      </c>
      <c r="P1225" s="116">
        <v>252.9</v>
      </c>
      <c r="Q1225" s="116">
        <v>247.1</v>
      </c>
      <c r="R1225">
        <v>230717</v>
      </c>
    </row>
    <row r="1226" spans="1:18" x14ac:dyDescent="0.25">
      <c r="A1226" s="170">
        <v>44027</v>
      </c>
      <c r="B1226" s="116">
        <v>252</v>
      </c>
      <c r="C1226" s="116">
        <v>246.25</v>
      </c>
      <c r="D1226" s="116">
        <v>245.45</v>
      </c>
      <c r="E1226" s="116">
        <v>248</v>
      </c>
      <c r="F1226" s="116">
        <v>246.25</v>
      </c>
      <c r="G1226">
        <v>8127</v>
      </c>
      <c r="H1226" s="116"/>
      <c r="I1226" s="116"/>
      <c r="L1226" s="170">
        <v>44027</v>
      </c>
      <c r="M1226" s="116">
        <v>246.5</v>
      </c>
      <c r="N1226" s="116">
        <v>252.55</v>
      </c>
      <c r="O1226" s="116">
        <v>245.7</v>
      </c>
      <c r="P1226" s="116">
        <v>249.3</v>
      </c>
      <c r="Q1226" s="116">
        <v>246.5</v>
      </c>
      <c r="R1226">
        <v>116223</v>
      </c>
    </row>
    <row r="1227" spans="1:18" x14ac:dyDescent="0.25">
      <c r="A1227" s="170">
        <v>44028</v>
      </c>
      <c r="B1227" s="116">
        <v>247.4</v>
      </c>
      <c r="C1227" s="116">
        <v>241.85</v>
      </c>
      <c r="D1227" s="116">
        <v>238</v>
      </c>
      <c r="E1227" s="116">
        <v>244</v>
      </c>
      <c r="F1227" s="116">
        <v>241.85</v>
      </c>
      <c r="G1227">
        <v>13624</v>
      </c>
      <c r="H1227" s="116"/>
      <c r="I1227" s="116"/>
      <c r="L1227" s="170">
        <v>44028</v>
      </c>
      <c r="M1227" s="116">
        <v>242.05</v>
      </c>
      <c r="N1227" s="116">
        <v>247.9</v>
      </c>
      <c r="O1227" s="116">
        <v>236</v>
      </c>
      <c r="P1227" s="116">
        <v>246.85</v>
      </c>
      <c r="Q1227" s="116">
        <v>242.05</v>
      </c>
      <c r="R1227">
        <v>114056</v>
      </c>
    </row>
    <row r="1228" spans="1:18" x14ac:dyDescent="0.25">
      <c r="A1228" s="170">
        <v>44029</v>
      </c>
      <c r="B1228" s="116">
        <v>249.2</v>
      </c>
      <c r="C1228" s="116">
        <v>241.25</v>
      </c>
      <c r="D1228" s="116">
        <v>239.1</v>
      </c>
      <c r="E1228" s="116">
        <v>243.15</v>
      </c>
      <c r="F1228" s="116">
        <v>241.25</v>
      </c>
      <c r="G1228">
        <v>18957</v>
      </c>
      <c r="H1228" s="116"/>
      <c r="I1228" s="116"/>
      <c r="L1228" s="170">
        <v>44029</v>
      </c>
      <c r="M1228" s="116">
        <v>241.7</v>
      </c>
      <c r="N1228" s="116">
        <v>249.1</v>
      </c>
      <c r="O1228" s="116">
        <v>239</v>
      </c>
      <c r="P1228" s="116">
        <v>242.5</v>
      </c>
      <c r="Q1228" s="116">
        <v>241.7</v>
      </c>
      <c r="R1228">
        <v>257246</v>
      </c>
    </row>
    <row r="1229" spans="1:18" x14ac:dyDescent="0.25">
      <c r="A1229" s="170">
        <v>44032</v>
      </c>
      <c r="B1229" s="116">
        <v>247</v>
      </c>
      <c r="C1229" s="116">
        <v>240.65</v>
      </c>
      <c r="D1229" s="116">
        <v>238.8</v>
      </c>
      <c r="E1229" s="116">
        <v>242.9</v>
      </c>
      <c r="F1229" s="116">
        <v>240.65</v>
      </c>
      <c r="G1229">
        <v>19557</v>
      </c>
      <c r="H1229" s="116"/>
      <c r="I1229" s="116"/>
      <c r="L1229" s="170">
        <v>44032</v>
      </c>
      <c r="M1229" s="116">
        <v>240.65</v>
      </c>
      <c r="N1229" s="116">
        <v>247.2</v>
      </c>
      <c r="O1229" s="116">
        <v>239.1</v>
      </c>
      <c r="P1229" s="116">
        <v>242.1</v>
      </c>
      <c r="Q1229" s="116">
        <v>240.65</v>
      </c>
      <c r="R1229">
        <v>229643</v>
      </c>
    </row>
    <row r="1230" spans="1:18" x14ac:dyDescent="0.25">
      <c r="A1230" s="170">
        <v>44033</v>
      </c>
      <c r="B1230" s="116">
        <v>248.5</v>
      </c>
      <c r="C1230" s="116">
        <v>242.95</v>
      </c>
      <c r="D1230" s="116">
        <v>241</v>
      </c>
      <c r="E1230" s="116">
        <v>242.85</v>
      </c>
      <c r="F1230" s="116">
        <v>242.95</v>
      </c>
      <c r="G1230">
        <v>12632</v>
      </c>
      <c r="H1230" s="116"/>
      <c r="I1230" s="116"/>
      <c r="L1230" s="170">
        <v>44033</v>
      </c>
      <c r="M1230" s="116">
        <v>243.55</v>
      </c>
      <c r="N1230" s="116">
        <v>248.4</v>
      </c>
      <c r="O1230" s="116">
        <v>240.65</v>
      </c>
      <c r="P1230" s="116">
        <v>242.5</v>
      </c>
      <c r="Q1230" s="116">
        <v>243.55</v>
      </c>
      <c r="R1230">
        <v>200840</v>
      </c>
    </row>
    <row r="1231" spans="1:18" x14ac:dyDescent="0.25">
      <c r="A1231" s="170">
        <v>44034</v>
      </c>
      <c r="B1231" s="116">
        <v>247.8</v>
      </c>
      <c r="C1231" s="116">
        <v>241.5</v>
      </c>
      <c r="D1231" s="116">
        <v>240</v>
      </c>
      <c r="E1231" s="116">
        <v>241.5</v>
      </c>
      <c r="F1231" s="116">
        <v>241.5</v>
      </c>
      <c r="G1231">
        <v>23339</v>
      </c>
      <c r="H1231" s="116"/>
      <c r="I1231" s="116"/>
      <c r="L1231" s="170">
        <v>44034</v>
      </c>
      <c r="M1231" s="116">
        <v>241.4</v>
      </c>
      <c r="N1231" s="116">
        <v>247.75</v>
      </c>
      <c r="O1231" s="116">
        <v>240</v>
      </c>
      <c r="P1231" s="116">
        <v>244.85</v>
      </c>
      <c r="Q1231" s="116">
        <v>241.4</v>
      </c>
      <c r="R1231">
        <v>263432</v>
      </c>
    </row>
    <row r="1232" spans="1:18" x14ac:dyDescent="0.25">
      <c r="A1232" s="170">
        <v>44035</v>
      </c>
      <c r="B1232" s="116">
        <v>243.9</v>
      </c>
      <c r="C1232" s="116">
        <v>239.45</v>
      </c>
      <c r="D1232" s="116">
        <v>238.2</v>
      </c>
      <c r="E1232" s="116">
        <v>242.5</v>
      </c>
      <c r="F1232" s="116">
        <v>239.45</v>
      </c>
      <c r="G1232">
        <v>14174</v>
      </c>
      <c r="H1232" s="116"/>
      <c r="I1232" s="116"/>
      <c r="L1232" s="170">
        <v>44035</v>
      </c>
      <c r="M1232" s="116">
        <v>239.55</v>
      </c>
      <c r="N1232" s="116">
        <v>244.05</v>
      </c>
      <c r="O1232" s="116">
        <v>238.1</v>
      </c>
      <c r="P1232" s="116">
        <v>242</v>
      </c>
      <c r="Q1232" s="116">
        <v>239.55</v>
      </c>
      <c r="R1232">
        <v>164671</v>
      </c>
    </row>
    <row r="1233" spans="1:18" x14ac:dyDescent="0.25">
      <c r="A1233" s="170">
        <v>44036</v>
      </c>
      <c r="B1233" s="116">
        <v>236.9</v>
      </c>
      <c r="C1233" s="116">
        <v>232.9</v>
      </c>
      <c r="D1233" s="116">
        <v>231.3</v>
      </c>
      <c r="E1233" s="116">
        <v>236.1</v>
      </c>
      <c r="F1233" s="116">
        <v>232.9</v>
      </c>
      <c r="G1233">
        <v>32215</v>
      </c>
      <c r="H1233" s="116"/>
      <c r="I1233" s="116"/>
      <c r="L1233" s="170">
        <v>44036</v>
      </c>
      <c r="M1233" s="116">
        <v>233.05</v>
      </c>
      <c r="N1233" s="116">
        <v>238.1</v>
      </c>
      <c r="O1233" s="116">
        <v>231.5</v>
      </c>
      <c r="P1233" s="116">
        <v>238.1</v>
      </c>
      <c r="Q1233" s="116">
        <v>233.05</v>
      </c>
      <c r="R1233">
        <v>285904</v>
      </c>
    </row>
    <row r="1234" spans="1:18" x14ac:dyDescent="0.25">
      <c r="A1234" s="170">
        <v>44039</v>
      </c>
      <c r="B1234" s="116">
        <v>237</v>
      </c>
      <c r="C1234" s="116">
        <v>224.55</v>
      </c>
      <c r="D1234" s="116">
        <v>222</v>
      </c>
      <c r="E1234" s="116">
        <v>236.9</v>
      </c>
      <c r="F1234" s="116">
        <v>224.55</v>
      </c>
      <c r="G1234">
        <v>27895</v>
      </c>
      <c r="H1234" s="116"/>
      <c r="I1234" s="116"/>
      <c r="L1234" s="170">
        <v>44039</v>
      </c>
      <c r="M1234" s="116">
        <v>225.1</v>
      </c>
      <c r="N1234" s="116">
        <v>237.5</v>
      </c>
      <c r="O1234" s="116">
        <v>223.2</v>
      </c>
      <c r="P1234" s="116">
        <v>237</v>
      </c>
      <c r="Q1234" s="116">
        <v>225.1</v>
      </c>
      <c r="R1234">
        <v>375005</v>
      </c>
    </row>
    <row r="1235" spans="1:18" x14ac:dyDescent="0.25">
      <c r="A1235" s="170">
        <v>44040</v>
      </c>
      <c r="B1235" s="116">
        <v>235.75</v>
      </c>
      <c r="C1235" s="116">
        <v>235.4</v>
      </c>
      <c r="D1235" s="116">
        <v>221</v>
      </c>
      <c r="E1235" s="116">
        <v>232</v>
      </c>
      <c r="F1235" s="116">
        <v>235.4</v>
      </c>
      <c r="G1235">
        <v>38267</v>
      </c>
      <c r="H1235" s="116"/>
      <c r="I1235" s="116"/>
      <c r="L1235" s="170">
        <v>44040</v>
      </c>
      <c r="M1235" s="116">
        <v>235.9</v>
      </c>
      <c r="N1235" s="116">
        <v>236.35</v>
      </c>
      <c r="O1235" s="116">
        <v>221.5</v>
      </c>
      <c r="P1235" s="116">
        <v>227</v>
      </c>
      <c r="Q1235" s="116">
        <v>235.9</v>
      </c>
      <c r="R1235">
        <v>407131</v>
      </c>
    </row>
    <row r="1236" spans="1:18" x14ac:dyDescent="0.25">
      <c r="A1236" s="170">
        <v>44041</v>
      </c>
      <c r="B1236" s="116">
        <v>247.15</v>
      </c>
      <c r="C1236" s="116">
        <v>243.65</v>
      </c>
      <c r="D1236" s="116">
        <v>238.7</v>
      </c>
      <c r="E1236" s="116">
        <v>238.8</v>
      </c>
      <c r="F1236" s="116">
        <v>243.65</v>
      </c>
      <c r="G1236">
        <v>67597</v>
      </c>
      <c r="H1236" s="116"/>
      <c r="I1236" s="116"/>
      <c r="L1236" s="170">
        <v>44041</v>
      </c>
      <c r="M1236" s="116">
        <v>243.6</v>
      </c>
      <c r="N1236" s="116">
        <v>247.65</v>
      </c>
      <c r="O1236" s="116">
        <v>237.6</v>
      </c>
      <c r="P1236" s="116">
        <v>237.6</v>
      </c>
      <c r="Q1236" s="116">
        <v>243.6</v>
      </c>
      <c r="R1236">
        <v>760153</v>
      </c>
    </row>
    <row r="1237" spans="1:18" x14ac:dyDescent="0.25">
      <c r="A1237" s="170">
        <v>44042</v>
      </c>
      <c r="B1237" s="116">
        <v>246.9</v>
      </c>
      <c r="C1237" s="116">
        <v>244.9</v>
      </c>
      <c r="D1237" s="116">
        <v>238.05</v>
      </c>
      <c r="E1237" s="116">
        <v>242</v>
      </c>
      <c r="F1237" s="116">
        <v>244.9</v>
      </c>
      <c r="G1237">
        <v>25139</v>
      </c>
      <c r="H1237" s="116"/>
      <c r="I1237" s="116"/>
      <c r="L1237" s="170">
        <v>44042</v>
      </c>
      <c r="M1237" s="116">
        <v>244.4</v>
      </c>
      <c r="N1237" s="116">
        <v>247</v>
      </c>
      <c r="O1237" s="116">
        <v>238</v>
      </c>
      <c r="P1237" s="116">
        <v>247</v>
      </c>
      <c r="Q1237" s="116">
        <v>244.4</v>
      </c>
      <c r="R1237">
        <v>295065</v>
      </c>
    </row>
    <row r="1238" spans="1:18" x14ac:dyDescent="0.25">
      <c r="A1238" s="170">
        <v>44043</v>
      </c>
      <c r="B1238" s="116">
        <v>244.35</v>
      </c>
      <c r="C1238" s="116">
        <v>235.4</v>
      </c>
      <c r="D1238" s="116">
        <v>232.8</v>
      </c>
      <c r="E1238" s="116">
        <v>244.35</v>
      </c>
      <c r="F1238" s="116">
        <v>235.4</v>
      </c>
      <c r="G1238">
        <v>40186</v>
      </c>
      <c r="H1238" s="116"/>
      <c r="I1238" s="116"/>
      <c r="L1238" s="170">
        <v>44043</v>
      </c>
      <c r="M1238" s="116">
        <v>235.85</v>
      </c>
      <c r="N1238" s="116">
        <v>245</v>
      </c>
      <c r="O1238" s="116">
        <v>232.8</v>
      </c>
      <c r="P1238" s="116">
        <v>244.6</v>
      </c>
      <c r="Q1238" s="116">
        <v>235.85</v>
      </c>
      <c r="R1238">
        <v>539910</v>
      </c>
    </row>
    <row r="1239" spans="1:18" x14ac:dyDescent="0.25">
      <c r="A1239" s="170">
        <v>44046</v>
      </c>
      <c r="B1239" s="116">
        <v>235.15</v>
      </c>
      <c r="C1239" s="116">
        <v>229</v>
      </c>
      <c r="D1239" s="116">
        <v>228</v>
      </c>
      <c r="E1239" s="116">
        <v>235</v>
      </c>
      <c r="F1239" s="116">
        <v>229</v>
      </c>
      <c r="G1239">
        <v>11660</v>
      </c>
      <c r="H1239" s="116"/>
      <c r="I1239" s="116"/>
      <c r="L1239" s="170">
        <v>44046</v>
      </c>
      <c r="M1239" s="116">
        <v>229.45</v>
      </c>
      <c r="N1239" s="116">
        <v>235</v>
      </c>
      <c r="O1239" s="116">
        <v>228</v>
      </c>
      <c r="P1239" s="116">
        <v>235</v>
      </c>
      <c r="Q1239" s="116">
        <v>229.45</v>
      </c>
      <c r="R1239">
        <v>233752</v>
      </c>
    </row>
    <row r="1240" spans="1:18" x14ac:dyDescent="0.25">
      <c r="A1240" s="170">
        <v>44047</v>
      </c>
      <c r="B1240" s="116">
        <v>234.45</v>
      </c>
      <c r="C1240" s="116">
        <v>230.8</v>
      </c>
      <c r="D1240" s="116">
        <v>228.05</v>
      </c>
      <c r="E1240" s="116">
        <v>229.5</v>
      </c>
      <c r="F1240" s="116">
        <v>230.8</v>
      </c>
      <c r="G1240">
        <v>18202</v>
      </c>
      <c r="H1240" s="116"/>
      <c r="I1240" s="116"/>
      <c r="L1240" s="170">
        <v>44047</v>
      </c>
      <c r="M1240" s="116">
        <v>230.8</v>
      </c>
      <c r="N1240" s="116">
        <v>234</v>
      </c>
      <c r="O1240" s="116">
        <v>226.7</v>
      </c>
      <c r="P1240" s="116">
        <v>229</v>
      </c>
      <c r="Q1240" s="116">
        <v>230.8</v>
      </c>
      <c r="R1240">
        <v>319764</v>
      </c>
    </row>
    <row r="1241" spans="1:18" x14ac:dyDescent="0.25">
      <c r="A1241" s="170">
        <v>44048</v>
      </c>
      <c r="B1241" s="116">
        <v>238.5</v>
      </c>
      <c r="C1241" s="116">
        <v>230.7</v>
      </c>
      <c r="D1241" s="116">
        <v>229.85</v>
      </c>
      <c r="E1241" s="116">
        <v>238.5</v>
      </c>
      <c r="F1241" s="116">
        <v>230.7</v>
      </c>
      <c r="G1241">
        <v>15061</v>
      </c>
      <c r="H1241" s="116"/>
      <c r="I1241" s="116"/>
      <c r="L1241" s="170">
        <v>44048</v>
      </c>
      <c r="M1241" s="116">
        <v>230.75</v>
      </c>
      <c r="N1241" s="116">
        <v>235</v>
      </c>
      <c r="O1241" s="116">
        <v>230</v>
      </c>
      <c r="P1241" s="116">
        <v>232.2</v>
      </c>
      <c r="Q1241" s="116">
        <v>230.75</v>
      </c>
      <c r="R1241">
        <v>227930</v>
      </c>
    </row>
    <row r="1242" spans="1:18" x14ac:dyDescent="0.25">
      <c r="A1242" s="170">
        <v>44049</v>
      </c>
      <c r="B1242" s="116">
        <v>232.25</v>
      </c>
      <c r="C1242" s="116">
        <v>231.65</v>
      </c>
      <c r="D1242" s="116">
        <v>229.9</v>
      </c>
      <c r="E1242" s="116">
        <v>232.15</v>
      </c>
      <c r="F1242" s="116">
        <v>231.65</v>
      </c>
      <c r="G1242">
        <v>7301</v>
      </c>
      <c r="H1242" s="116"/>
      <c r="I1242" s="116"/>
      <c r="L1242" s="170">
        <v>44049</v>
      </c>
      <c r="M1242" s="116">
        <v>231.1</v>
      </c>
      <c r="N1242" s="116">
        <v>232.8</v>
      </c>
      <c r="O1242" s="116">
        <v>230</v>
      </c>
      <c r="P1242" s="116">
        <v>232.8</v>
      </c>
      <c r="Q1242" s="116">
        <v>231.1</v>
      </c>
      <c r="R1242">
        <v>149177</v>
      </c>
    </row>
    <row r="1243" spans="1:18" x14ac:dyDescent="0.25">
      <c r="A1243" s="170">
        <v>44050</v>
      </c>
      <c r="B1243" s="116">
        <v>253.55</v>
      </c>
      <c r="C1243" s="116">
        <v>249.95</v>
      </c>
      <c r="D1243" s="116">
        <v>233.5</v>
      </c>
      <c r="E1243" s="116">
        <v>237.7</v>
      </c>
      <c r="F1243" s="116">
        <v>249.95</v>
      </c>
      <c r="G1243">
        <v>137980</v>
      </c>
      <c r="H1243" s="116"/>
      <c r="I1243" s="116"/>
      <c r="L1243" s="170">
        <v>44050</v>
      </c>
      <c r="M1243" s="116">
        <v>249.7</v>
      </c>
      <c r="N1243" s="116">
        <v>253.3</v>
      </c>
      <c r="O1243" s="116">
        <v>234</v>
      </c>
      <c r="P1243" s="116">
        <v>234</v>
      </c>
      <c r="Q1243" s="116">
        <v>249.7</v>
      </c>
      <c r="R1243">
        <v>1546086</v>
      </c>
    </row>
    <row r="1244" spans="1:18" x14ac:dyDescent="0.25">
      <c r="A1244" s="170">
        <v>44053</v>
      </c>
      <c r="B1244" s="116">
        <v>261.45</v>
      </c>
      <c r="C1244" s="116">
        <v>254.9</v>
      </c>
      <c r="D1244" s="116">
        <v>250</v>
      </c>
      <c r="E1244" s="116">
        <v>254</v>
      </c>
      <c r="F1244" s="116">
        <v>254.9</v>
      </c>
      <c r="G1244">
        <v>106469</v>
      </c>
      <c r="H1244" s="116"/>
      <c r="I1244" s="116"/>
      <c r="L1244" s="170">
        <v>44053</v>
      </c>
      <c r="M1244" s="116">
        <v>254.75</v>
      </c>
      <c r="N1244" s="116">
        <v>261.95</v>
      </c>
      <c r="O1244" s="116">
        <v>250.1</v>
      </c>
      <c r="P1244" s="116">
        <v>254.95</v>
      </c>
      <c r="Q1244" s="116">
        <v>254.75</v>
      </c>
      <c r="R1244">
        <v>738592</v>
      </c>
    </row>
    <row r="1245" spans="1:18" x14ac:dyDescent="0.25">
      <c r="A1245" s="170">
        <v>44054</v>
      </c>
      <c r="B1245" s="116">
        <v>258.8</v>
      </c>
      <c r="C1245" s="116">
        <v>249.3</v>
      </c>
      <c r="D1245" s="116">
        <v>247.75</v>
      </c>
      <c r="E1245" s="116">
        <v>254.85</v>
      </c>
      <c r="F1245" s="116">
        <v>249.3</v>
      </c>
      <c r="G1245">
        <v>39870</v>
      </c>
      <c r="H1245" s="116"/>
      <c r="I1245" s="116"/>
      <c r="L1245" s="170">
        <v>44054</v>
      </c>
      <c r="M1245" s="116">
        <v>249.4</v>
      </c>
      <c r="N1245" s="116">
        <v>257.64999999999998</v>
      </c>
      <c r="O1245" s="116">
        <v>247.4</v>
      </c>
      <c r="P1245" s="116">
        <v>255.85</v>
      </c>
      <c r="Q1245" s="116">
        <v>249.4</v>
      </c>
      <c r="R1245">
        <v>223585</v>
      </c>
    </row>
    <row r="1246" spans="1:18" x14ac:dyDescent="0.25">
      <c r="A1246" s="170">
        <v>44055</v>
      </c>
      <c r="B1246" s="116">
        <v>251.2</v>
      </c>
      <c r="C1246" s="116">
        <v>246.95</v>
      </c>
      <c r="D1246" s="116">
        <v>245</v>
      </c>
      <c r="E1246" s="116">
        <v>251</v>
      </c>
      <c r="F1246" s="116">
        <v>246.95</v>
      </c>
      <c r="G1246">
        <v>57887</v>
      </c>
      <c r="H1246" s="116"/>
      <c r="I1246" s="116"/>
      <c r="L1246" s="170">
        <v>44055</v>
      </c>
      <c r="M1246" s="116">
        <v>246.9</v>
      </c>
      <c r="N1246" s="116">
        <v>251.85</v>
      </c>
      <c r="O1246" s="116">
        <v>244.8</v>
      </c>
      <c r="P1246" s="116">
        <v>249.95</v>
      </c>
      <c r="Q1246" s="116">
        <v>246.9</v>
      </c>
      <c r="R1246">
        <v>159840</v>
      </c>
    </row>
    <row r="1247" spans="1:18" x14ac:dyDescent="0.25">
      <c r="A1247" s="170">
        <v>44056</v>
      </c>
      <c r="B1247" s="116">
        <v>250</v>
      </c>
      <c r="C1247" s="116">
        <v>241</v>
      </c>
      <c r="D1247" s="116">
        <v>240.05</v>
      </c>
      <c r="E1247" s="116">
        <v>248</v>
      </c>
      <c r="F1247" s="116">
        <v>241</v>
      </c>
      <c r="G1247">
        <v>24483</v>
      </c>
      <c r="H1247" s="116"/>
      <c r="I1247" s="116"/>
      <c r="L1247" s="170">
        <v>44056</v>
      </c>
      <c r="M1247" s="116">
        <v>240.95</v>
      </c>
      <c r="N1247" s="116">
        <v>250.45</v>
      </c>
      <c r="O1247" s="116">
        <v>240</v>
      </c>
      <c r="P1247" s="116">
        <v>248.6</v>
      </c>
      <c r="Q1247" s="116">
        <v>240.95</v>
      </c>
      <c r="R1247">
        <v>230861</v>
      </c>
    </row>
    <row r="1248" spans="1:18" x14ac:dyDescent="0.25">
      <c r="A1248" s="170">
        <v>44057</v>
      </c>
      <c r="B1248" s="116">
        <v>245</v>
      </c>
      <c r="C1248" s="116">
        <v>238.25</v>
      </c>
      <c r="D1248" s="116">
        <v>235.25</v>
      </c>
      <c r="E1248" s="116">
        <v>245</v>
      </c>
      <c r="F1248" s="116">
        <v>238.25</v>
      </c>
      <c r="G1248">
        <v>25854</v>
      </c>
      <c r="H1248" s="116"/>
      <c r="I1248" s="116"/>
      <c r="L1248" s="170">
        <v>44057</v>
      </c>
      <c r="M1248" s="116">
        <v>238.65</v>
      </c>
      <c r="N1248" s="116">
        <v>245</v>
      </c>
      <c r="O1248" s="116">
        <v>235.3</v>
      </c>
      <c r="P1248" s="116">
        <v>242.8</v>
      </c>
      <c r="Q1248" s="116">
        <v>238.65</v>
      </c>
      <c r="R1248">
        <v>243130</v>
      </c>
    </row>
    <row r="1249" spans="1:18" x14ac:dyDescent="0.25">
      <c r="A1249" s="170">
        <v>44060</v>
      </c>
      <c r="B1249" s="116">
        <v>248</v>
      </c>
      <c r="C1249" s="116">
        <v>233.55</v>
      </c>
      <c r="D1249" s="116">
        <v>231.15</v>
      </c>
      <c r="E1249" s="116">
        <v>248</v>
      </c>
      <c r="F1249" s="116">
        <v>233.55</v>
      </c>
      <c r="G1249">
        <v>14339</v>
      </c>
      <c r="H1249" s="116"/>
      <c r="I1249" s="116"/>
      <c r="L1249" s="170">
        <v>44060</v>
      </c>
      <c r="M1249" s="116">
        <v>233.8</v>
      </c>
      <c r="N1249" s="116">
        <v>243.95</v>
      </c>
      <c r="O1249" s="116">
        <v>230.1</v>
      </c>
      <c r="P1249" s="116">
        <v>241.8</v>
      </c>
      <c r="Q1249" s="116">
        <v>233.8</v>
      </c>
      <c r="R1249">
        <v>333342</v>
      </c>
    </row>
    <row r="1250" spans="1:18" x14ac:dyDescent="0.25">
      <c r="A1250" s="170">
        <v>44061</v>
      </c>
      <c r="B1250" s="116">
        <v>244.45</v>
      </c>
      <c r="C1250" s="116">
        <v>237.5</v>
      </c>
      <c r="D1250" s="116">
        <v>235</v>
      </c>
      <c r="E1250" s="116">
        <v>235</v>
      </c>
      <c r="F1250" s="116">
        <v>237.5</v>
      </c>
      <c r="G1250">
        <v>22331</v>
      </c>
      <c r="H1250" s="116"/>
      <c r="I1250" s="116"/>
      <c r="L1250" s="170">
        <v>44061</v>
      </c>
      <c r="M1250" s="116">
        <v>237.35</v>
      </c>
      <c r="N1250" s="116">
        <v>244.9</v>
      </c>
      <c r="O1250" s="116">
        <v>234.05</v>
      </c>
      <c r="P1250" s="116">
        <v>235.6</v>
      </c>
      <c r="Q1250" s="116">
        <v>237.35</v>
      </c>
      <c r="R1250">
        <v>436320</v>
      </c>
    </row>
    <row r="1251" spans="1:18" x14ac:dyDescent="0.25">
      <c r="A1251" s="170">
        <v>44062</v>
      </c>
      <c r="B1251" s="116">
        <v>248.5</v>
      </c>
      <c r="C1251" s="116">
        <v>245.55</v>
      </c>
      <c r="D1251" s="116">
        <v>238.1</v>
      </c>
      <c r="E1251" s="116">
        <v>239.9</v>
      </c>
      <c r="F1251" s="116">
        <v>245.55</v>
      </c>
      <c r="G1251">
        <v>70743</v>
      </c>
      <c r="H1251" s="116"/>
      <c r="I1251" s="116"/>
      <c r="L1251" s="170">
        <v>44062</v>
      </c>
      <c r="M1251" s="116">
        <v>245.15</v>
      </c>
      <c r="N1251" s="116">
        <v>248.4</v>
      </c>
      <c r="O1251" s="116">
        <v>237.7</v>
      </c>
      <c r="P1251" s="116">
        <v>239.9</v>
      </c>
      <c r="Q1251" s="116">
        <v>245.15</v>
      </c>
      <c r="R1251">
        <v>728423</v>
      </c>
    </row>
    <row r="1252" spans="1:18" x14ac:dyDescent="0.25">
      <c r="A1252" s="170">
        <v>44063</v>
      </c>
      <c r="B1252" s="116">
        <v>270.10000000000002</v>
      </c>
      <c r="C1252" s="116">
        <v>270.10000000000002</v>
      </c>
      <c r="D1252" s="116">
        <v>240.9</v>
      </c>
      <c r="E1252" s="116">
        <v>244.9</v>
      </c>
      <c r="F1252" s="116">
        <v>270.10000000000002</v>
      </c>
      <c r="G1252">
        <v>184295</v>
      </c>
      <c r="H1252" s="116"/>
      <c r="I1252" s="116"/>
      <c r="L1252" s="170">
        <v>44063</v>
      </c>
      <c r="M1252" s="116">
        <v>269.64999999999998</v>
      </c>
      <c r="N1252" s="116">
        <v>269.64999999999998</v>
      </c>
      <c r="O1252" s="116">
        <v>241</v>
      </c>
      <c r="P1252" s="116">
        <v>242</v>
      </c>
      <c r="Q1252" s="116">
        <v>269.64999999999998</v>
      </c>
      <c r="R1252">
        <v>1845048</v>
      </c>
    </row>
    <row r="1253" spans="1:18" x14ac:dyDescent="0.25">
      <c r="A1253" s="170">
        <v>44064</v>
      </c>
      <c r="B1253" s="116">
        <v>284.39999999999998</v>
      </c>
      <c r="C1253" s="116">
        <v>272.05</v>
      </c>
      <c r="D1253" s="116">
        <v>270</v>
      </c>
      <c r="E1253" s="116">
        <v>278</v>
      </c>
      <c r="F1253" s="116">
        <v>272.05</v>
      </c>
      <c r="G1253">
        <v>206527</v>
      </c>
      <c r="H1253" s="116"/>
      <c r="I1253" s="116"/>
      <c r="L1253" s="170">
        <v>44064</v>
      </c>
      <c r="M1253" s="116">
        <v>272.10000000000002</v>
      </c>
      <c r="N1253" s="116">
        <v>284.3</v>
      </c>
      <c r="O1253" s="116">
        <v>270</v>
      </c>
      <c r="P1253" s="116">
        <v>277</v>
      </c>
      <c r="Q1253" s="116">
        <v>272.10000000000002</v>
      </c>
      <c r="R1253">
        <v>1972459</v>
      </c>
    </row>
    <row r="1254" spans="1:18" x14ac:dyDescent="0.25">
      <c r="A1254" s="170">
        <v>44067</v>
      </c>
      <c r="B1254" s="116">
        <v>295.89999999999998</v>
      </c>
      <c r="C1254" s="116">
        <v>286.60000000000002</v>
      </c>
      <c r="D1254" s="116">
        <v>273.14999999999998</v>
      </c>
      <c r="E1254" s="116">
        <v>279</v>
      </c>
      <c r="F1254" s="116">
        <v>286.60000000000002</v>
      </c>
      <c r="G1254">
        <v>124631</v>
      </c>
      <c r="H1254" s="116"/>
      <c r="I1254" s="116"/>
      <c r="L1254" s="170">
        <v>44067</v>
      </c>
      <c r="M1254" s="116">
        <v>287.2</v>
      </c>
      <c r="N1254" s="116">
        <v>295.64999999999998</v>
      </c>
      <c r="O1254" s="116">
        <v>273</v>
      </c>
      <c r="P1254" s="116">
        <v>276</v>
      </c>
      <c r="Q1254" s="116">
        <v>287.2</v>
      </c>
      <c r="R1254">
        <v>1670660</v>
      </c>
    </row>
    <row r="1255" spans="1:18" x14ac:dyDescent="0.25">
      <c r="A1255" s="170">
        <v>44068</v>
      </c>
      <c r="B1255" s="116">
        <v>303.10000000000002</v>
      </c>
      <c r="C1255" s="116">
        <v>292.14999999999998</v>
      </c>
      <c r="D1255" s="116">
        <v>276.5</v>
      </c>
      <c r="E1255" s="116">
        <v>289.89999999999998</v>
      </c>
      <c r="F1255" s="116">
        <v>292.14999999999998</v>
      </c>
      <c r="G1255">
        <v>275917</v>
      </c>
      <c r="H1255" s="116"/>
      <c r="I1255" s="116"/>
      <c r="L1255" s="170">
        <v>44068</v>
      </c>
      <c r="M1255" s="116">
        <v>296.2</v>
      </c>
      <c r="N1255" s="116">
        <v>303</v>
      </c>
      <c r="O1255" s="116">
        <v>276</v>
      </c>
      <c r="P1255" s="116">
        <v>288.89999999999998</v>
      </c>
      <c r="Q1255" s="116">
        <v>296.2</v>
      </c>
      <c r="R1255">
        <v>2437496</v>
      </c>
    </row>
    <row r="1256" spans="1:18" x14ac:dyDescent="0.25">
      <c r="A1256" s="170">
        <v>44069</v>
      </c>
      <c r="B1256" s="116">
        <v>296</v>
      </c>
      <c r="C1256" s="116">
        <v>283.3</v>
      </c>
      <c r="D1256" s="116">
        <v>281.05</v>
      </c>
      <c r="E1256" s="116">
        <v>296</v>
      </c>
      <c r="F1256" s="116">
        <v>283.3</v>
      </c>
      <c r="G1256">
        <v>88182</v>
      </c>
      <c r="H1256" s="116"/>
      <c r="I1256" s="116"/>
      <c r="L1256" s="170">
        <v>44069</v>
      </c>
      <c r="M1256" s="116">
        <v>283.10000000000002</v>
      </c>
      <c r="N1256" s="116">
        <v>294.7</v>
      </c>
      <c r="O1256" s="116">
        <v>280.95</v>
      </c>
      <c r="P1256" s="116">
        <v>294</v>
      </c>
      <c r="Q1256" s="116">
        <v>283.10000000000002</v>
      </c>
      <c r="R1256">
        <v>1005808</v>
      </c>
    </row>
    <row r="1257" spans="1:18" x14ac:dyDescent="0.25">
      <c r="A1257" s="170">
        <v>44070</v>
      </c>
      <c r="B1257" s="116">
        <v>287.10000000000002</v>
      </c>
      <c r="C1257" s="116">
        <v>277.60000000000002</v>
      </c>
      <c r="D1257" s="116">
        <v>276.39999999999998</v>
      </c>
      <c r="E1257" s="116">
        <v>285</v>
      </c>
      <c r="F1257" s="116">
        <v>277.60000000000002</v>
      </c>
      <c r="G1257">
        <v>50443</v>
      </c>
      <c r="H1257" s="116"/>
      <c r="I1257" s="116"/>
      <c r="L1257" s="170">
        <v>44070</v>
      </c>
      <c r="M1257" s="116">
        <v>278.05</v>
      </c>
      <c r="N1257" s="116">
        <v>286.39999999999998</v>
      </c>
      <c r="O1257" s="116">
        <v>276</v>
      </c>
      <c r="P1257" s="116">
        <v>285</v>
      </c>
      <c r="Q1257" s="116">
        <v>278.05</v>
      </c>
      <c r="R1257">
        <v>649189</v>
      </c>
    </row>
    <row r="1258" spans="1:18" x14ac:dyDescent="0.25">
      <c r="A1258" s="170">
        <v>44071</v>
      </c>
      <c r="B1258" s="116">
        <v>287.60000000000002</v>
      </c>
      <c r="C1258" s="116">
        <v>275.14999999999998</v>
      </c>
      <c r="D1258" s="116">
        <v>272.89999999999998</v>
      </c>
      <c r="E1258" s="116">
        <v>283.8</v>
      </c>
      <c r="F1258" s="116">
        <v>275.14999999999998</v>
      </c>
      <c r="G1258">
        <v>239737</v>
      </c>
      <c r="H1258" s="116"/>
      <c r="I1258" s="116"/>
      <c r="L1258" s="170">
        <v>44071</v>
      </c>
      <c r="M1258" s="116">
        <v>275.64999999999998</v>
      </c>
      <c r="N1258" s="116">
        <v>287.60000000000002</v>
      </c>
      <c r="O1258" s="116">
        <v>272</v>
      </c>
      <c r="P1258" s="116">
        <v>280.8</v>
      </c>
      <c r="Q1258" s="116">
        <v>275.64999999999998</v>
      </c>
      <c r="R1258">
        <v>673176</v>
      </c>
    </row>
    <row r="1259" spans="1:18" x14ac:dyDescent="0.25">
      <c r="A1259" s="170">
        <v>44074</v>
      </c>
      <c r="B1259" s="116">
        <v>281.05</v>
      </c>
      <c r="C1259" s="116">
        <v>253.7</v>
      </c>
      <c r="D1259" s="116">
        <v>250.25</v>
      </c>
      <c r="E1259" s="116">
        <v>279.89999999999998</v>
      </c>
      <c r="F1259" s="116">
        <v>253.7</v>
      </c>
      <c r="G1259">
        <v>81280</v>
      </c>
      <c r="H1259" s="116"/>
      <c r="I1259" s="116"/>
      <c r="L1259" s="170">
        <v>44074</v>
      </c>
      <c r="M1259" s="116">
        <v>253.3</v>
      </c>
      <c r="N1259" s="116">
        <v>280.85000000000002</v>
      </c>
      <c r="O1259" s="116">
        <v>249.75</v>
      </c>
      <c r="P1259" s="116">
        <v>276.2</v>
      </c>
      <c r="Q1259" s="116">
        <v>253.3</v>
      </c>
      <c r="R1259">
        <v>945623</v>
      </c>
    </row>
    <row r="1260" spans="1:18" x14ac:dyDescent="0.25">
      <c r="A1260" s="170">
        <v>44075</v>
      </c>
      <c r="B1260" s="116">
        <v>266.7</v>
      </c>
      <c r="C1260" s="116">
        <v>263.45</v>
      </c>
      <c r="D1260" s="116">
        <v>248.25</v>
      </c>
      <c r="E1260" s="116">
        <v>257</v>
      </c>
      <c r="F1260" s="116">
        <v>263.45</v>
      </c>
      <c r="G1260">
        <v>76514</v>
      </c>
      <c r="H1260" s="116"/>
      <c r="I1260" s="116"/>
      <c r="L1260" s="170">
        <v>44075</v>
      </c>
      <c r="M1260" s="116">
        <v>263.5</v>
      </c>
      <c r="N1260" s="116">
        <v>266.89999999999998</v>
      </c>
      <c r="O1260" s="116">
        <v>248.1</v>
      </c>
      <c r="P1260" s="116">
        <v>259</v>
      </c>
      <c r="Q1260" s="116">
        <v>263.5</v>
      </c>
      <c r="R1260">
        <v>803340</v>
      </c>
    </row>
    <row r="1261" spans="1:18" x14ac:dyDescent="0.25">
      <c r="A1261" s="170">
        <v>44076</v>
      </c>
      <c r="B1261" s="116">
        <v>279.89999999999998</v>
      </c>
      <c r="C1261" s="116">
        <v>275.25</v>
      </c>
      <c r="D1261" s="116">
        <v>256.5</v>
      </c>
      <c r="E1261" s="116">
        <v>266.5</v>
      </c>
      <c r="F1261" s="116">
        <v>275.25</v>
      </c>
      <c r="G1261">
        <v>65512</v>
      </c>
      <c r="H1261" s="116"/>
      <c r="I1261" s="116"/>
      <c r="L1261" s="170">
        <v>44076</v>
      </c>
      <c r="M1261" s="116">
        <v>275.25</v>
      </c>
      <c r="N1261" s="116">
        <v>280</v>
      </c>
      <c r="O1261" s="116">
        <v>256.3</v>
      </c>
      <c r="P1261" s="116">
        <v>267.7</v>
      </c>
      <c r="Q1261" s="116">
        <v>275.25</v>
      </c>
      <c r="R1261">
        <v>1191020</v>
      </c>
    </row>
    <row r="1262" spans="1:18" x14ac:dyDescent="0.25">
      <c r="A1262" s="170">
        <v>44077</v>
      </c>
      <c r="B1262" s="116">
        <v>282.39999999999998</v>
      </c>
      <c r="C1262" s="116">
        <v>275.85000000000002</v>
      </c>
      <c r="D1262" s="116">
        <v>271</v>
      </c>
      <c r="E1262" s="116">
        <v>275.25</v>
      </c>
      <c r="F1262" s="116">
        <v>275.85000000000002</v>
      </c>
      <c r="G1262">
        <v>83425</v>
      </c>
      <c r="H1262" s="116"/>
      <c r="I1262" s="116"/>
      <c r="L1262" s="170">
        <v>44077</v>
      </c>
      <c r="M1262" s="116">
        <v>276</v>
      </c>
      <c r="N1262" s="116">
        <v>282.39999999999998</v>
      </c>
      <c r="O1262" s="116">
        <v>272.45</v>
      </c>
      <c r="P1262" s="116">
        <v>276</v>
      </c>
      <c r="Q1262" s="116">
        <v>276</v>
      </c>
      <c r="R1262">
        <v>564201</v>
      </c>
    </row>
    <row r="1263" spans="1:18" x14ac:dyDescent="0.25">
      <c r="A1263" s="170">
        <v>44078</v>
      </c>
      <c r="B1263" s="116">
        <v>274.95</v>
      </c>
      <c r="C1263" s="116">
        <v>265.39999999999998</v>
      </c>
      <c r="D1263" s="116">
        <v>264.45</v>
      </c>
      <c r="E1263" s="116">
        <v>274.95</v>
      </c>
      <c r="F1263" s="116">
        <v>265.39999999999998</v>
      </c>
      <c r="G1263">
        <v>66086</v>
      </c>
      <c r="H1263" s="116"/>
      <c r="I1263" s="116"/>
      <c r="L1263" s="170">
        <v>44078</v>
      </c>
      <c r="M1263" s="116">
        <v>265.39999999999998</v>
      </c>
      <c r="N1263" s="116">
        <v>274.89999999999998</v>
      </c>
      <c r="O1263" s="116">
        <v>263</v>
      </c>
      <c r="P1263" s="116">
        <v>264.25</v>
      </c>
      <c r="Q1263" s="116">
        <v>265.39999999999998</v>
      </c>
      <c r="R1263">
        <v>467633</v>
      </c>
    </row>
    <row r="1264" spans="1:18" x14ac:dyDescent="0.25">
      <c r="A1264" s="170">
        <v>44081</v>
      </c>
      <c r="B1264" s="116">
        <v>274</v>
      </c>
      <c r="C1264" s="116">
        <v>272.14999999999998</v>
      </c>
      <c r="D1264" s="116">
        <v>263</v>
      </c>
      <c r="E1264" s="116">
        <v>263</v>
      </c>
      <c r="F1264" s="116">
        <v>272.14999999999998</v>
      </c>
      <c r="G1264">
        <v>23124</v>
      </c>
      <c r="H1264" s="116"/>
      <c r="I1264" s="116"/>
      <c r="L1264" s="170">
        <v>44081</v>
      </c>
      <c r="M1264" s="116">
        <v>271.89999999999998</v>
      </c>
      <c r="N1264" s="116">
        <v>274.39999999999998</v>
      </c>
      <c r="O1264" s="116">
        <v>262.64999999999998</v>
      </c>
      <c r="P1264" s="116">
        <v>268.7</v>
      </c>
      <c r="Q1264" s="116">
        <v>271.89999999999998</v>
      </c>
      <c r="R1264">
        <v>353602</v>
      </c>
    </row>
    <row r="1265" spans="1:18" x14ac:dyDescent="0.25">
      <c r="A1265" s="170">
        <v>44082</v>
      </c>
      <c r="B1265" s="116">
        <v>272.5</v>
      </c>
      <c r="C1265" s="116">
        <v>262.45</v>
      </c>
      <c r="D1265" s="116">
        <v>260.05</v>
      </c>
      <c r="E1265" s="116">
        <v>272</v>
      </c>
      <c r="F1265" s="116">
        <v>262.45</v>
      </c>
      <c r="G1265">
        <v>31434</v>
      </c>
      <c r="H1265" s="116"/>
      <c r="I1265" s="116"/>
      <c r="L1265" s="170">
        <v>44082</v>
      </c>
      <c r="M1265" s="116">
        <v>262.60000000000002</v>
      </c>
      <c r="N1265" s="116">
        <v>273</v>
      </c>
      <c r="O1265" s="116">
        <v>260.35000000000002</v>
      </c>
      <c r="P1265" s="116">
        <v>272.60000000000002</v>
      </c>
      <c r="Q1265" s="116">
        <v>262.60000000000002</v>
      </c>
      <c r="R1265">
        <v>262710</v>
      </c>
    </row>
    <row r="1266" spans="1:18" x14ac:dyDescent="0.25">
      <c r="A1266" s="170">
        <v>44083</v>
      </c>
      <c r="B1266" s="116">
        <v>263.64999999999998</v>
      </c>
      <c r="C1266" s="116">
        <v>261.7</v>
      </c>
      <c r="D1266" s="116">
        <v>251.3</v>
      </c>
      <c r="E1266" s="116">
        <v>251.3</v>
      </c>
      <c r="F1266" s="116">
        <v>261.7</v>
      </c>
      <c r="G1266">
        <v>24573</v>
      </c>
      <c r="H1266" s="116"/>
      <c r="I1266" s="116"/>
      <c r="L1266" s="170">
        <v>44083</v>
      </c>
      <c r="M1266" s="116">
        <v>261.7</v>
      </c>
      <c r="N1266" s="116">
        <v>263.7</v>
      </c>
      <c r="O1266" s="116">
        <v>255.05</v>
      </c>
      <c r="P1266" s="116">
        <v>260</v>
      </c>
      <c r="Q1266" s="116">
        <v>261.7</v>
      </c>
      <c r="R1266">
        <v>327152</v>
      </c>
    </row>
    <row r="1267" spans="1:18" x14ac:dyDescent="0.25">
      <c r="A1267" s="170">
        <v>44084</v>
      </c>
      <c r="B1267" s="116">
        <v>279</v>
      </c>
      <c r="C1267" s="116">
        <v>271.75</v>
      </c>
      <c r="D1267" s="116">
        <v>265.85000000000002</v>
      </c>
      <c r="E1267" s="116">
        <v>265.89999999999998</v>
      </c>
      <c r="F1267" s="116">
        <v>271.75</v>
      </c>
      <c r="G1267">
        <v>58841</v>
      </c>
      <c r="H1267" s="116"/>
      <c r="I1267" s="116"/>
      <c r="L1267" s="170">
        <v>44084</v>
      </c>
      <c r="M1267" s="116">
        <v>272.10000000000002</v>
      </c>
      <c r="N1267" s="116">
        <v>279.05</v>
      </c>
      <c r="O1267" s="116">
        <v>265</v>
      </c>
      <c r="P1267" s="116">
        <v>265.64999999999998</v>
      </c>
      <c r="Q1267" s="116">
        <v>272.10000000000002</v>
      </c>
      <c r="R1267">
        <v>921903</v>
      </c>
    </row>
    <row r="1268" spans="1:18" x14ac:dyDescent="0.25">
      <c r="A1268" s="170">
        <v>44085</v>
      </c>
      <c r="B1268" s="116">
        <v>274.8</v>
      </c>
      <c r="C1268" s="116">
        <v>271.64999999999998</v>
      </c>
      <c r="D1268" s="116">
        <v>268</v>
      </c>
      <c r="E1268" s="116">
        <v>273.5</v>
      </c>
      <c r="F1268" s="116">
        <v>271.64999999999998</v>
      </c>
      <c r="G1268">
        <v>24957</v>
      </c>
      <c r="H1268" s="116"/>
      <c r="I1268" s="116"/>
      <c r="L1268" s="170">
        <v>44085</v>
      </c>
      <c r="M1268" s="116">
        <v>271.8</v>
      </c>
      <c r="N1268" s="116">
        <v>274.89999999999998</v>
      </c>
      <c r="O1268" s="116">
        <v>267.35000000000002</v>
      </c>
      <c r="P1268" s="116">
        <v>272.7</v>
      </c>
      <c r="Q1268" s="116">
        <v>271.8</v>
      </c>
      <c r="R1268">
        <v>339682</v>
      </c>
    </row>
    <row r="1269" spans="1:18" x14ac:dyDescent="0.25">
      <c r="A1269" s="170">
        <v>44088</v>
      </c>
      <c r="B1269" s="116">
        <v>277.64999999999998</v>
      </c>
      <c r="C1269" s="116">
        <v>268.14999999999998</v>
      </c>
      <c r="D1269" s="116">
        <v>265.14999999999998</v>
      </c>
      <c r="E1269" s="116">
        <v>274.60000000000002</v>
      </c>
      <c r="F1269" s="116">
        <v>268.14999999999998</v>
      </c>
      <c r="G1269">
        <v>27873</v>
      </c>
      <c r="H1269" s="116"/>
      <c r="I1269" s="116"/>
      <c r="L1269" s="170">
        <v>44088</v>
      </c>
      <c r="M1269" s="116">
        <v>268.10000000000002</v>
      </c>
      <c r="N1269" s="116">
        <v>277.8</v>
      </c>
      <c r="O1269" s="116">
        <v>265.10000000000002</v>
      </c>
      <c r="P1269" s="116">
        <v>276.89999999999998</v>
      </c>
      <c r="Q1269" s="116">
        <v>268.10000000000002</v>
      </c>
      <c r="R1269">
        <v>458042</v>
      </c>
    </row>
    <row r="1270" spans="1:18" x14ac:dyDescent="0.25">
      <c r="A1270" s="170">
        <v>44089</v>
      </c>
      <c r="B1270" s="116">
        <v>275</v>
      </c>
      <c r="C1270" s="116">
        <v>268.8</v>
      </c>
      <c r="D1270" s="116">
        <v>267.05</v>
      </c>
      <c r="E1270" s="116">
        <v>268.55</v>
      </c>
      <c r="F1270" s="116">
        <v>268.8</v>
      </c>
      <c r="G1270">
        <v>34576</v>
      </c>
      <c r="H1270" s="116"/>
      <c r="I1270" s="116"/>
      <c r="L1270" s="170">
        <v>44089</v>
      </c>
      <c r="M1270" s="116">
        <v>269.14999999999998</v>
      </c>
      <c r="N1270" s="116">
        <v>275.25</v>
      </c>
      <c r="O1270" s="116">
        <v>267.8</v>
      </c>
      <c r="P1270" s="116">
        <v>269.8</v>
      </c>
      <c r="Q1270" s="116">
        <v>269.14999999999998</v>
      </c>
      <c r="R1270">
        <v>328868</v>
      </c>
    </row>
    <row r="1271" spans="1:18" x14ac:dyDescent="0.25">
      <c r="A1271" s="170">
        <v>44090</v>
      </c>
      <c r="B1271" s="116">
        <v>272.8</v>
      </c>
      <c r="C1271" s="116">
        <v>267.5</v>
      </c>
      <c r="D1271" s="116">
        <v>266.35000000000002</v>
      </c>
      <c r="E1271" s="116">
        <v>267.2</v>
      </c>
      <c r="F1271" s="116">
        <v>267.5</v>
      </c>
      <c r="G1271">
        <v>25966</v>
      </c>
      <c r="H1271" s="116"/>
      <c r="I1271" s="116"/>
      <c r="L1271" s="170">
        <v>44090</v>
      </c>
      <c r="M1271" s="116">
        <v>267.7</v>
      </c>
      <c r="N1271" s="116">
        <v>272.89999999999998</v>
      </c>
      <c r="O1271" s="116">
        <v>265.35000000000002</v>
      </c>
      <c r="P1271" s="116">
        <v>267</v>
      </c>
      <c r="Q1271" s="116">
        <v>267.7</v>
      </c>
      <c r="R1271">
        <v>391621</v>
      </c>
    </row>
    <row r="1272" spans="1:18" x14ac:dyDescent="0.25">
      <c r="A1272" s="170">
        <v>44091</v>
      </c>
      <c r="B1272" s="116">
        <v>269.35000000000002</v>
      </c>
      <c r="C1272" s="116">
        <v>262.14999999999998</v>
      </c>
      <c r="D1272" s="116">
        <v>261.10000000000002</v>
      </c>
      <c r="E1272" s="116">
        <v>267.5</v>
      </c>
      <c r="F1272" s="116">
        <v>262.14999999999998</v>
      </c>
      <c r="G1272">
        <v>21146</v>
      </c>
      <c r="H1272" s="116"/>
      <c r="I1272" s="116"/>
      <c r="L1272" s="170">
        <v>44091</v>
      </c>
      <c r="M1272" s="116">
        <v>262.10000000000002</v>
      </c>
      <c r="N1272" s="116">
        <v>269.55</v>
      </c>
      <c r="O1272" s="116">
        <v>261</v>
      </c>
      <c r="P1272" s="116">
        <v>265.10000000000002</v>
      </c>
      <c r="Q1272" s="116">
        <v>262.10000000000002</v>
      </c>
      <c r="R1272">
        <v>342100</v>
      </c>
    </row>
    <row r="1273" spans="1:18" x14ac:dyDescent="0.25">
      <c r="A1273" s="170">
        <v>44092</v>
      </c>
      <c r="B1273" s="116">
        <v>265.25</v>
      </c>
      <c r="C1273" s="116">
        <v>258.10000000000002</v>
      </c>
      <c r="D1273" s="116">
        <v>256.05</v>
      </c>
      <c r="E1273" s="116">
        <v>264.7</v>
      </c>
      <c r="F1273" s="116">
        <v>258.10000000000002</v>
      </c>
      <c r="G1273">
        <v>29583</v>
      </c>
      <c r="H1273" s="116"/>
      <c r="I1273" s="116"/>
      <c r="L1273" s="170">
        <v>44092</v>
      </c>
      <c r="M1273" s="116">
        <v>257.95</v>
      </c>
      <c r="N1273" s="116">
        <v>265.45</v>
      </c>
      <c r="O1273" s="116">
        <v>256</v>
      </c>
      <c r="P1273" s="116">
        <v>264</v>
      </c>
      <c r="Q1273" s="116">
        <v>257.95</v>
      </c>
      <c r="R1273">
        <v>238374</v>
      </c>
    </row>
    <row r="1274" spans="1:18" x14ac:dyDescent="0.25">
      <c r="A1274" s="170">
        <v>44095</v>
      </c>
      <c r="B1274" s="116">
        <v>260</v>
      </c>
      <c r="C1274" s="116">
        <v>245.35</v>
      </c>
      <c r="D1274" s="116">
        <v>240.05</v>
      </c>
      <c r="E1274" s="116">
        <v>258.14999999999998</v>
      </c>
      <c r="F1274" s="116">
        <v>245.35</v>
      </c>
      <c r="G1274">
        <v>61537</v>
      </c>
      <c r="H1274" s="116"/>
      <c r="I1274" s="116"/>
      <c r="L1274" s="170">
        <v>44095</v>
      </c>
      <c r="M1274" s="116">
        <v>245.6</v>
      </c>
      <c r="N1274" s="116">
        <v>259.75</v>
      </c>
      <c r="O1274" s="116">
        <v>244.15</v>
      </c>
      <c r="P1274" s="116">
        <v>259.75</v>
      </c>
      <c r="Q1274" s="116">
        <v>245.6</v>
      </c>
      <c r="R1274">
        <v>269836</v>
      </c>
    </row>
    <row r="1275" spans="1:18" x14ac:dyDescent="0.25">
      <c r="A1275" s="170">
        <v>44096</v>
      </c>
      <c r="B1275" s="116">
        <v>251.85</v>
      </c>
      <c r="C1275" s="116">
        <v>247.05</v>
      </c>
      <c r="D1275" s="116">
        <v>231.55</v>
      </c>
      <c r="E1275" s="116">
        <v>240</v>
      </c>
      <c r="F1275" s="116">
        <v>247.05</v>
      </c>
      <c r="G1275">
        <v>40935</v>
      </c>
      <c r="H1275" s="116"/>
      <c r="I1275" s="116"/>
      <c r="L1275" s="170">
        <v>44096</v>
      </c>
      <c r="M1275" s="116">
        <v>246.7</v>
      </c>
      <c r="N1275" s="116">
        <v>252.1</v>
      </c>
      <c r="O1275" s="116">
        <v>231.65</v>
      </c>
      <c r="P1275" s="116">
        <v>245.6</v>
      </c>
      <c r="Q1275" s="116">
        <v>246.7</v>
      </c>
      <c r="R1275">
        <v>406313</v>
      </c>
    </row>
    <row r="1276" spans="1:18" x14ac:dyDescent="0.25">
      <c r="A1276" s="170">
        <v>44097</v>
      </c>
      <c r="B1276" s="116">
        <v>251.65</v>
      </c>
      <c r="C1276" s="116">
        <v>241.9</v>
      </c>
      <c r="D1276" s="116">
        <v>240</v>
      </c>
      <c r="E1276" s="116">
        <v>250.6</v>
      </c>
      <c r="F1276" s="116">
        <v>241.9</v>
      </c>
      <c r="G1276">
        <v>24297</v>
      </c>
      <c r="H1276" s="116"/>
      <c r="I1276" s="116"/>
      <c r="L1276" s="170">
        <v>44097</v>
      </c>
      <c r="M1276" s="116">
        <v>241.75</v>
      </c>
      <c r="N1276" s="116">
        <v>251.9</v>
      </c>
      <c r="O1276" s="116">
        <v>239.9</v>
      </c>
      <c r="P1276" s="116">
        <v>248.1</v>
      </c>
      <c r="Q1276" s="116">
        <v>241.75</v>
      </c>
      <c r="R1276">
        <v>257707</v>
      </c>
    </row>
    <row r="1277" spans="1:18" x14ac:dyDescent="0.25">
      <c r="A1277" s="170">
        <v>44098</v>
      </c>
      <c r="B1277" s="116">
        <v>243.75</v>
      </c>
      <c r="C1277" s="116">
        <v>235</v>
      </c>
      <c r="D1277" s="116">
        <v>233.15</v>
      </c>
      <c r="E1277" s="116">
        <v>240</v>
      </c>
      <c r="F1277" s="116">
        <v>235</v>
      </c>
      <c r="G1277">
        <v>648998</v>
      </c>
      <c r="H1277" s="116"/>
      <c r="I1277" s="116"/>
      <c r="L1277" s="170">
        <v>44098</v>
      </c>
      <c r="M1277" s="116">
        <v>234.8</v>
      </c>
      <c r="N1277" s="116">
        <v>244.15</v>
      </c>
      <c r="O1277" s="116">
        <v>233.55</v>
      </c>
      <c r="P1277" s="116">
        <v>237.2</v>
      </c>
      <c r="Q1277" s="116">
        <v>234.8</v>
      </c>
      <c r="R1277">
        <v>603632</v>
      </c>
    </row>
    <row r="1278" spans="1:18" x14ac:dyDescent="0.25">
      <c r="A1278" s="170">
        <v>44099</v>
      </c>
      <c r="B1278" s="116">
        <v>249.7</v>
      </c>
      <c r="C1278" s="116">
        <v>247.15</v>
      </c>
      <c r="D1278" s="116">
        <v>235.05</v>
      </c>
      <c r="E1278" s="116">
        <v>235.05</v>
      </c>
      <c r="F1278" s="116">
        <v>247.15</v>
      </c>
      <c r="G1278">
        <v>28164</v>
      </c>
      <c r="H1278" s="116"/>
      <c r="I1278" s="116"/>
      <c r="L1278" s="170">
        <v>44099</v>
      </c>
      <c r="M1278" s="116">
        <v>247.55</v>
      </c>
      <c r="N1278" s="116">
        <v>249.6</v>
      </c>
      <c r="O1278" s="116">
        <v>236</v>
      </c>
      <c r="P1278" s="116">
        <v>238.9</v>
      </c>
      <c r="Q1278" s="116">
        <v>247.55</v>
      </c>
      <c r="R1278">
        <v>301204</v>
      </c>
    </row>
    <row r="1279" spans="1:18" x14ac:dyDescent="0.25">
      <c r="A1279" s="170">
        <v>44102</v>
      </c>
      <c r="B1279" s="116">
        <v>254.5</v>
      </c>
      <c r="C1279" s="116">
        <v>250.85</v>
      </c>
      <c r="D1279" s="116">
        <v>249.15</v>
      </c>
      <c r="E1279" s="116">
        <v>251.2</v>
      </c>
      <c r="F1279" s="116">
        <v>250.85</v>
      </c>
      <c r="G1279">
        <v>22058</v>
      </c>
      <c r="H1279" s="116"/>
      <c r="I1279" s="116"/>
      <c r="L1279" s="170">
        <v>44102</v>
      </c>
      <c r="M1279" s="116">
        <v>251.2</v>
      </c>
      <c r="N1279" s="116">
        <v>254.85</v>
      </c>
      <c r="O1279" s="116">
        <v>249.05</v>
      </c>
      <c r="P1279" s="116">
        <v>249.7</v>
      </c>
      <c r="Q1279" s="116">
        <v>251.2</v>
      </c>
      <c r="R1279">
        <v>274608</v>
      </c>
    </row>
    <row r="1280" spans="1:18" x14ac:dyDescent="0.25">
      <c r="A1280" s="170">
        <v>44103</v>
      </c>
      <c r="B1280" s="116">
        <v>258</v>
      </c>
      <c r="C1280" s="116">
        <v>248.4</v>
      </c>
      <c r="D1280" s="116">
        <v>247.05</v>
      </c>
      <c r="E1280" s="116">
        <v>258</v>
      </c>
      <c r="F1280" s="116">
        <v>248.4</v>
      </c>
      <c r="G1280">
        <v>20872</v>
      </c>
      <c r="H1280" s="116"/>
      <c r="I1280" s="116"/>
      <c r="L1280" s="170">
        <v>44103</v>
      </c>
      <c r="M1280" s="116">
        <v>249.15</v>
      </c>
      <c r="N1280" s="116">
        <v>257</v>
      </c>
      <c r="O1280" s="116">
        <v>246.5</v>
      </c>
      <c r="P1280" s="116">
        <v>254.4</v>
      </c>
      <c r="Q1280" s="116">
        <v>249.15</v>
      </c>
      <c r="R1280">
        <v>215649</v>
      </c>
    </row>
    <row r="1281" spans="1:18" x14ac:dyDescent="0.25">
      <c r="A1281" s="170">
        <v>44104</v>
      </c>
      <c r="B1281" s="116">
        <v>249.85</v>
      </c>
      <c r="C1281" s="116">
        <v>242.3</v>
      </c>
      <c r="D1281" s="116">
        <v>240.65</v>
      </c>
      <c r="E1281" s="116">
        <v>249.8</v>
      </c>
      <c r="F1281" s="116">
        <v>242.3</v>
      </c>
      <c r="G1281">
        <v>20774</v>
      </c>
      <c r="H1281" s="116"/>
      <c r="I1281" s="116"/>
      <c r="L1281" s="170">
        <v>44104</v>
      </c>
      <c r="M1281" s="116">
        <v>241.8</v>
      </c>
      <c r="N1281" s="116">
        <v>250.8</v>
      </c>
      <c r="O1281" s="116">
        <v>240</v>
      </c>
      <c r="P1281" s="116">
        <v>249.5</v>
      </c>
      <c r="Q1281" s="116">
        <v>241.8</v>
      </c>
      <c r="R1281">
        <v>240221</v>
      </c>
    </row>
    <row r="1282" spans="1:18" x14ac:dyDescent="0.25">
      <c r="A1282" s="170">
        <v>44105</v>
      </c>
      <c r="B1282" s="116">
        <v>247.9</v>
      </c>
      <c r="C1282" s="116">
        <v>246.9</v>
      </c>
      <c r="D1282" s="116">
        <v>241.65</v>
      </c>
      <c r="E1282" s="116">
        <v>241.65</v>
      </c>
      <c r="F1282" s="116">
        <v>246.9</v>
      </c>
      <c r="G1282">
        <v>16234</v>
      </c>
      <c r="H1282" s="116"/>
      <c r="I1282" s="116"/>
      <c r="L1282" s="170">
        <v>44105</v>
      </c>
      <c r="M1282" s="116">
        <v>247.2</v>
      </c>
      <c r="N1282" s="116">
        <v>248</v>
      </c>
      <c r="O1282" s="116">
        <v>244</v>
      </c>
      <c r="P1282" s="116">
        <v>244.65</v>
      </c>
      <c r="Q1282" s="116">
        <v>247.2</v>
      </c>
      <c r="R1282">
        <v>133131</v>
      </c>
    </row>
    <row r="1283" spans="1:18" x14ac:dyDescent="0.25">
      <c r="A1283" s="170">
        <v>44109</v>
      </c>
      <c r="B1283" s="116">
        <v>259.60000000000002</v>
      </c>
      <c r="C1283" s="116">
        <v>257.35000000000002</v>
      </c>
      <c r="D1283" s="116">
        <v>247</v>
      </c>
      <c r="E1283" s="116">
        <v>251.85</v>
      </c>
      <c r="F1283" s="116">
        <v>257.35000000000002</v>
      </c>
      <c r="G1283">
        <v>21878</v>
      </c>
      <c r="H1283" s="116"/>
      <c r="I1283" s="116"/>
      <c r="L1283" s="170">
        <v>44109</v>
      </c>
      <c r="M1283" s="116">
        <v>257.39999999999998</v>
      </c>
      <c r="N1283" s="116">
        <v>259.39999999999998</v>
      </c>
      <c r="O1283" s="116">
        <v>248</v>
      </c>
      <c r="P1283" s="116">
        <v>249.5</v>
      </c>
      <c r="Q1283" s="116">
        <v>257.39999999999998</v>
      </c>
      <c r="R1283">
        <v>330523</v>
      </c>
    </row>
    <row r="1284" spans="1:18" x14ac:dyDescent="0.25">
      <c r="A1284" s="170">
        <v>44110</v>
      </c>
      <c r="B1284" s="116">
        <v>263.75</v>
      </c>
      <c r="C1284" s="116">
        <v>259.64999999999998</v>
      </c>
      <c r="D1284" s="116">
        <v>258.14999999999998</v>
      </c>
      <c r="E1284" s="116">
        <v>260</v>
      </c>
      <c r="F1284" s="116">
        <v>259.64999999999998</v>
      </c>
      <c r="G1284">
        <v>18125</v>
      </c>
      <c r="H1284" s="116"/>
      <c r="I1284" s="116"/>
      <c r="L1284" s="170">
        <v>44110</v>
      </c>
      <c r="M1284" s="116">
        <v>259.89999999999998</v>
      </c>
      <c r="N1284" s="116">
        <v>263.8</v>
      </c>
      <c r="O1284" s="116">
        <v>258.2</v>
      </c>
      <c r="P1284" s="116">
        <v>260</v>
      </c>
      <c r="Q1284" s="116">
        <v>259.89999999999998</v>
      </c>
      <c r="R1284">
        <v>332944</v>
      </c>
    </row>
    <row r="1285" spans="1:18" x14ac:dyDescent="0.25">
      <c r="A1285" s="170">
        <v>44111</v>
      </c>
      <c r="B1285" s="116">
        <v>274.55</v>
      </c>
      <c r="C1285" s="116">
        <v>271.85000000000002</v>
      </c>
      <c r="D1285" s="116">
        <v>258.35000000000002</v>
      </c>
      <c r="E1285" s="116">
        <v>264.45</v>
      </c>
      <c r="F1285" s="116">
        <v>271.85000000000002</v>
      </c>
      <c r="G1285">
        <v>44820</v>
      </c>
      <c r="H1285" s="116"/>
      <c r="I1285" s="116"/>
      <c r="L1285" s="170">
        <v>44111</v>
      </c>
      <c r="M1285" s="116">
        <v>272.05</v>
      </c>
      <c r="N1285" s="116">
        <v>274.8</v>
      </c>
      <c r="O1285" s="116">
        <v>258.25</v>
      </c>
      <c r="P1285" s="116">
        <v>259.8</v>
      </c>
      <c r="Q1285" s="116">
        <v>272.05</v>
      </c>
      <c r="R1285">
        <v>1002886</v>
      </c>
    </row>
    <row r="1286" spans="1:18" x14ac:dyDescent="0.25">
      <c r="A1286" s="170">
        <v>44112</v>
      </c>
      <c r="B1286" s="116">
        <v>283.8</v>
      </c>
      <c r="C1286" s="116">
        <v>281.35000000000002</v>
      </c>
      <c r="D1286" s="116">
        <v>274.75</v>
      </c>
      <c r="E1286" s="116">
        <v>275</v>
      </c>
      <c r="F1286" s="116">
        <v>281.35000000000002</v>
      </c>
      <c r="G1286">
        <v>61115</v>
      </c>
      <c r="H1286" s="116"/>
      <c r="I1286" s="116"/>
      <c r="L1286" s="170">
        <v>44112</v>
      </c>
      <c r="M1286" s="116">
        <v>281.60000000000002</v>
      </c>
      <c r="N1286" s="116">
        <v>284</v>
      </c>
      <c r="O1286" s="116">
        <v>274.5</v>
      </c>
      <c r="P1286" s="116">
        <v>275</v>
      </c>
      <c r="Q1286" s="116">
        <v>281.60000000000002</v>
      </c>
      <c r="R1286">
        <v>1200867</v>
      </c>
    </row>
    <row r="1287" spans="1:18" x14ac:dyDescent="0.25">
      <c r="A1287" s="170">
        <v>44113</v>
      </c>
      <c r="B1287" s="116">
        <v>291.89999999999998</v>
      </c>
      <c r="C1287" s="116">
        <v>289.75</v>
      </c>
      <c r="D1287" s="116">
        <v>280.3</v>
      </c>
      <c r="E1287" s="116">
        <v>282</v>
      </c>
      <c r="F1287" s="116">
        <v>289.75</v>
      </c>
      <c r="G1287">
        <v>44267</v>
      </c>
      <c r="H1287" s="116"/>
      <c r="I1287" s="116"/>
      <c r="L1287" s="170">
        <v>44113</v>
      </c>
      <c r="M1287" s="116">
        <v>290</v>
      </c>
      <c r="N1287" s="116">
        <v>291.89999999999998</v>
      </c>
      <c r="O1287" s="116">
        <v>280.2</v>
      </c>
      <c r="P1287" s="116">
        <v>283.8</v>
      </c>
      <c r="Q1287" s="116">
        <v>290</v>
      </c>
      <c r="R1287">
        <v>888800</v>
      </c>
    </row>
    <row r="1288" spans="1:18" x14ac:dyDescent="0.25">
      <c r="A1288" s="170">
        <v>44116</v>
      </c>
      <c r="B1288" s="116">
        <v>294.5</v>
      </c>
      <c r="C1288" s="116">
        <v>293.39999999999998</v>
      </c>
      <c r="D1288" s="116">
        <v>283.05</v>
      </c>
      <c r="E1288" s="116">
        <v>293.95</v>
      </c>
      <c r="F1288" s="116">
        <v>293.39999999999998</v>
      </c>
      <c r="G1288">
        <v>39536</v>
      </c>
      <c r="H1288" s="116"/>
      <c r="I1288" s="116"/>
      <c r="L1288" s="170">
        <v>44116</v>
      </c>
      <c r="M1288" s="116">
        <v>293.25</v>
      </c>
      <c r="N1288" s="116">
        <v>295</v>
      </c>
      <c r="O1288" s="116">
        <v>282.35000000000002</v>
      </c>
      <c r="P1288" s="116">
        <v>294.95</v>
      </c>
      <c r="Q1288" s="116">
        <v>293.25</v>
      </c>
      <c r="R1288">
        <v>1151287</v>
      </c>
    </row>
    <row r="1289" spans="1:18" x14ac:dyDescent="0.25">
      <c r="A1289" s="170">
        <v>44117</v>
      </c>
      <c r="B1289" s="116">
        <v>299.10000000000002</v>
      </c>
      <c r="C1289" s="116">
        <v>297.5</v>
      </c>
      <c r="D1289" s="116">
        <v>290.39999999999998</v>
      </c>
      <c r="E1289" s="116">
        <v>293</v>
      </c>
      <c r="F1289" s="116">
        <v>297.5</v>
      </c>
      <c r="G1289">
        <v>59404</v>
      </c>
      <c r="H1289" s="116"/>
      <c r="I1289" s="116"/>
      <c r="L1289" s="170">
        <v>44117</v>
      </c>
      <c r="M1289" s="116">
        <v>296.7</v>
      </c>
      <c r="N1289" s="116">
        <v>299.5</v>
      </c>
      <c r="O1289" s="116">
        <v>290.2</v>
      </c>
      <c r="P1289" s="116">
        <v>293</v>
      </c>
      <c r="Q1289" s="116">
        <v>296.7</v>
      </c>
      <c r="R1289">
        <v>599490</v>
      </c>
    </row>
    <row r="1290" spans="1:18" x14ac:dyDescent="0.25">
      <c r="A1290" s="170">
        <v>44118</v>
      </c>
      <c r="B1290" s="116">
        <v>299</v>
      </c>
      <c r="C1290" s="116">
        <v>294.95</v>
      </c>
      <c r="D1290" s="116">
        <v>291</v>
      </c>
      <c r="E1290" s="116">
        <v>295.75</v>
      </c>
      <c r="F1290" s="116">
        <v>294.95</v>
      </c>
      <c r="G1290">
        <v>29936</v>
      </c>
      <c r="H1290" s="116"/>
      <c r="I1290" s="116"/>
      <c r="L1290" s="170">
        <v>44118</v>
      </c>
      <c r="M1290" s="116">
        <v>294.60000000000002</v>
      </c>
      <c r="N1290" s="116">
        <v>299.3</v>
      </c>
      <c r="O1290" s="116">
        <v>291.14999999999998</v>
      </c>
      <c r="P1290" s="116">
        <v>298.5</v>
      </c>
      <c r="Q1290" s="116">
        <v>294.60000000000002</v>
      </c>
      <c r="R1290">
        <v>500068</v>
      </c>
    </row>
    <row r="1291" spans="1:18" x14ac:dyDescent="0.25">
      <c r="A1291" s="170">
        <v>44119</v>
      </c>
      <c r="B1291" s="116">
        <v>297.35000000000002</v>
      </c>
      <c r="C1291" s="116">
        <v>287.85000000000002</v>
      </c>
      <c r="D1291" s="116">
        <v>287</v>
      </c>
      <c r="E1291" s="116">
        <v>295.60000000000002</v>
      </c>
      <c r="F1291" s="116">
        <v>287.85000000000002</v>
      </c>
      <c r="G1291">
        <v>39193</v>
      </c>
      <c r="H1291" s="116"/>
      <c r="I1291" s="116"/>
      <c r="L1291" s="170">
        <v>44119</v>
      </c>
      <c r="M1291" s="116">
        <v>288.10000000000002</v>
      </c>
      <c r="N1291" s="116">
        <v>297.60000000000002</v>
      </c>
      <c r="O1291" s="116">
        <v>286.89999999999998</v>
      </c>
      <c r="P1291" s="116">
        <v>293.14999999999998</v>
      </c>
      <c r="Q1291" s="116">
        <v>288.10000000000002</v>
      </c>
      <c r="R1291">
        <v>758273</v>
      </c>
    </row>
    <row r="1292" spans="1:18" x14ac:dyDescent="0.25">
      <c r="A1292" s="170">
        <v>44120</v>
      </c>
      <c r="B1292" s="116">
        <v>294.89999999999998</v>
      </c>
      <c r="C1292" s="116">
        <v>290.55</v>
      </c>
      <c r="D1292" s="116">
        <v>286</v>
      </c>
      <c r="E1292" s="116">
        <v>294.89999999999998</v>
      </c>
      <c r="F1292" s="116">
        <v>290.55</v>
      </c>
      <c r="G1292">
        <v>10688</v>
      </c>
      <c r="H1292" s="116"/>
      <c r="I1292" s="116"/>
      <c r="L1292" s="170">
        <v>44120</v>
      </c>
      <c r="M1292" s="116">
        <v>290.35000000000002</v>
      </c>
      <c r="N1292" s="116">
        <v>292.7</v>
      </c>
      <c r="O1292" s="116">
        <v>285.85000000000002</v>
      </c>
      <c r="P1292" s="116">
        <v>289.25</v>
      </c>
      <c r="Q1292" s="116">
        <v>290.35000000000002</v>
      </c>
      <c r="R1292">
        <v>213792</v>
      </c>
    </row>
    <row r="1293" spans="1:18" x14ac:dyDescent="0.25">
      <c r="A1293" s="170">
        <v>44123</v>
      </c>
      <c r="B1293" s="116">
        <v>293.39999999999998</v>
      </c>
      <c r="C1293" s="116">
        <v>288.8</v>
      </c>
      <c r="D1293" s="116">
        <v>287.5</v>
      </c>
      <c r="E1293" s="116">
        <v>292.05</v>
      </c>
      <c r="F1293" s="116">
        <v>288.8</v>
      </c>
      <c r="G1293">
        <v>15681</v>
      </c>
      <c r="H1293" s="116"/>
      <c r="I1293" s="116"/>
      <c r="L1293" s="170">
        <v>44123</v>
      </c>
      <c r="M1293" s="116">
        <v>289.10000000000002</v>
      </c>
      <c r="N1293" s="116">
        <v>294.10000000000002</v>
      </c>
      <c r="O1293" s="116">
        <v>287.10000000000002</v>
      </c>
      <c r="P1293" s="116">
        <v>291.5</v>
      </c>
      <c r="Q1293" s="116">
        <v>289.10000000000002</v>
      </c>
      <c r="R1293">
        <v>225690</v>
      </c>
    </row>
    <row r="1294" spans="1:18" x14ac:dyDescent="0.25">
      <c r="A1294" s="170">
        <v>44124</v>
      </c>
      <c r="B1294" s="116">
        <v>291</v>
      </c>
      <c r="C1294" s="116">
        <v>289.14999999999998</v>
      </c>
      <c r="D1294" s="116">
        <v>286.64999999999998</v>
      </c>
      <c r="E1294" s="116">
        <v>287.5</v>
      </c>
      <c r="F1294" s="116">
        <v>289.14999999999998</v>
      </c>
      <c r="G1294">
        <v>6565</v>
      </c>
      <c r="H1294" s="116"/>
      <c r="I1294" s="116"/>
      <c r="L1294" s="170">
        <v>44124</v>
      </c>
      <c r="M1294" s="116">
        <v>289.64999999999998</v>
      </c>
      <c r="N1294" s="116">
        <v>292</v>
      </c>
      <c r="O1294" s="116">
        <v>286</v>
      </c>
      <c r="P1294" s="116">
        <v>286.3</v>
      </c>
      <c r="Q1294" s="116">
        <v>289.64999999999998</v>
      </c>
      <c r="R1294">
        <v>263102</v>
      </c>
    </row>
    <row r="1295" spans="1:18" x14ac:dyDescent="0.25">
      <c r="A1295" s="170">
        <v>44125</v>
      </c>
      <c r="B1295" s="116">
        <v>298.3</v>
      </c>
      <c r="C1295" s="116">
        <v>294.39999999999998</v>
      </c>
      <c r="D1295" s="116">
        <v>287.85000000000002</v>
      </c>
      <c r="E1295" s="116">
        <v>290.25</v>
      </c>
      <c r="F1295" s="116">
        <v>294.39999999999998</v>
      </c>
      <c r="G1295">
        <v>15950</v>
      </c>
      <c r="H1295" s="116"/>
      <c r="I1295" s="116"/>
      <c r="L1295" s="170">
        <v>44125</v>
      </c>
      <c r="M1295" s="116">
        <v>294.05</v>
      </c>
      <c r="N1295" s="116">
        <v>298.39999999999998</v>
      </c>
      <c r="O1295" s="116">
        <v>288</v>
      </c>
      <c r="P1295" s="116">
        <v>291.45</v>
      </c>
      <c r="Q1295" s="116">
        <v>294.05</v>
      </c>
      <c r="R1295">
        <v>413938</v>
      </c>
    </row>
    <row r="1296" spans="1:18" x14ac:dyDescent="0.25">
      <c r="A1296" s="170">
        <v>44126</v>
      </c>
      <c r="B1296" s="116">
        <v>294.39999999999998</v>
      </c>
      <c r="C1296" s="116">
        <v>292.8</v>
      </c>
      <c r="D1296" s="116">
        <v>289.8</v>
      </c>
      <c r="E1296" s="116">
        <v>292.35000000000002</v>
      </c>
      <c r="F1296" s="116">
        <v>292.8</v>
      </c>
      <c r="G1296">
        <v>19756</v>
      </c>
      <c r="H1296" s="116"/>
      <c r="I1296" s="116"/>
      <c r="L1296" s="170">
        <v>44126</v>
      </c>
      <c r="M1296" s="116">
        <v>293.55</v>
      </c>
      <c r="N1296" s="116">
        <v>294.39999999999998</v>
      </c>
      <c r="O1296" s="116">
        <v>289.5</v>
      </c>
      <c r="P1296" s="116">
        <v>292.5</v>
      </c>
      <c r="Q1296" s="116">
        <v>293.55</v>
      </c>
      <c r="R1296">
        <v>148911</v>
      </c>
    </row>
    <row r="1297" spans="1:18" x14ac:dyDescent="0.25">
      <c r="A1297" s="170">
        <v>44127</v>
      </c>
      <c r="B1297" s="116">
        <v>296.2</v>
      </c>
      <c r="C1297" s="116">
        <v>292.60000000000002</v>
      </c>
      <c r="D1297" s="116">
        <v>290.64999999999998</v>
      </c>
      <c r="E1297" s="116">
        <v>294.45</v>
      </c>
      <c r="F1297" s="116">
        <v>292.60000000000002</v>
      </c>
      <c r="G1297">
        <v>9522</v>
      </c>
      <c r="H1297" s="116"/>
      <c r="I1297" s="116"/>
      <c r="L1297" s="170">
        <v>44127</v>
      </c>
      <c r="M1297" s="116">
        <v>293.35000000000002</v>
      </c>
      <c r="N1297" s="116">
        <v>295.89999999999998</v>
      </c>
      <c r="O1297" s="116">
        <v>290.64999999999998</v>
      </c>
      <c r="P1297" s="116">
        <v>294.05</v>
      </c>
      <c r="Q1297" s="116">
        <v>293.35000000000002</v>
      </c>
      <c r="R1297">
        <v>225096</v>
      </c>
    </row>
    <row r="1298" spans="1:18" x14ac:dyDescent="0.25">
      <c r="A1298" s="170">
        <v>44130</v>
      </c>
      <c r="B1298" s="116">
        <v>292.5</v>
      </c>
      <c r="C1298" s="116">
        <v>287.95</v>
      </c>
      <c r="D1298" s="116">
        <v>285.05</v>
      </c>
      <c r="E1298" s="116">
        <v>292.5</v>
      </c>
      <c r="F1298" s="116">
        <v>287.95</v>
      </c>
      <c r="G1298">
        <v>6012</v>
      </c>
      <c r="H1298" s="116"/>
      <c r="I1298" s="116"/>
      <c r="L1298" s="170">
        <v>44130</v>
      </c>
      <c r="M1298" s="116">
        <v>287.55</v>
      </c>
      <c r="N1298" s="116">
        <v>293.35000000000002</v>
      </c>
      <c r="O1298" s="116">
        <v>284</v>
      </c>
      <c r="P1298" s="116">
        <v>293.35000000000002</v>
      </c>
      <c r="Q1298" s="116">
        <v>287.55</v>
      </c>
      <c r="R1298">
        <v>131193</v>
      </c>
    </row>
    <row r="1299" spans="1:18" x14ac:dyDescent="0.25">
      <c r="A1299" s="170">
        <v>44131</v>
      </c>
      <c r="B1299" s="116">
        <v>291.85000000000002</v>
      </c>
      <c r="C1299" s="116">
        <v>288.3</v>
      </c>
      <c r="D1299" s="116">
        <v>284</v>
      </c>
      <c r="E1299" s="116">
        <v>285</v>
      </c>
      <c r="F1299" s="116">
        <v>288.3</v>
      </c>
      <c r="G1299">
        <v>15684</v>
      </c>
      <c r="H1299" s="116"/>
      <c r="I1299" s="116"/>
      <c r="L1299" s="170">
        <v>44131</v>
      </c>
      <c r="M1299" s="116">
        <v>288.89999999999998</v>
      </c>
      <c r="N1299" s="116">
        <v>291.75</v>
      </c>
      <c r="O1299" s="116">
        <v>284</v>
      </c>
      <c r="P1299" s="116">
        <v>284</v>
      </c>
      <c r="Q1299" s="116">
        <v>288.89999999999998</v>
      </c>
      <c r="R1299">
        <v>105493</v>
      </c>
    </row>
    <row r="1300" spans="1:18" x14ac:dyDescent="0.25">
      <c r="A1300" s="170">
        <v>44132</v>
      </c>
      <c r="B1300" s="116">
        <v>290.7</v>
      </c>
      <c r="C1300" s="116">
        <v>285.75</v>
      </c>
      <c r="D1300" s="116">
        <v>284.85000000000002</v>
      </c>
      <c r="E1300" s="116">
        <v>289.2</v>
      </c>
      <c r="F1300" s="116">
        <v>285.75</v>
      </c>
      <c r="G1300">
        <v>4774</v>
      </c>
      <c r="H1300" s="116"/>
      <c r="I1300" s="116"/>
      <c r="L1300" s="170">
        <v>44132</v>
      </c>
      <c r="M1300" s="116">
        <v>286.05</v>
      </c>
      <c r="N1300" s="116">
        <v>290.75</v>
      </c>
      <c r="O1300" s="116">
        <v>284.64999999999998</v>
      </c>
      <c r="P1300" s="116">
        <v>288</v>
      </c>
      <c r="Q1300" s="116">
        <v>286.05</v>
      </c>
      <c r="R1300">
        <v>168394</v>
      </c>
    </row>
    <row r="1301" spans="1:18" x14ac:dyDescent="0.25">
      <c r="A1301" s="170">
        <v>44133</v>
      </c>
      <c r="B1301" s="116">
        <v>289.3</v>
      </c>
      <c r="C1301" s="116">
        <v>288.85000000000002</v>
      </c>
      <c r="D1301" s="116">
        <v>280.2</v>
      </c>
      <c r="E1301" s="116">
        <v>285.85000000000002</v>
      </c>
      <c r="F1301" s="116">
        <v>288.85000000000002</v>
      </c>
      <c r="G1301">
        <v>7184</v>
      </c>
      <c r="H1301" s="116"/>
      <c r="I1301" s="116"/>
      <c r="L1301" s="170">
        <v>44133</v>
      </c>
      <c r="M1301" s="116">
        <v>288.7</v>
      </c>
      <c r="N1301" s="116">
        <v>290</v>
      </c>
      <c r="O1301" s="116">
        <v>280.25</v>
      </c>
      <c r="P1301" s="116">
        <v>286</v>
      </c>
      <c r="Q1301" s="116">
        <v>288.7</v>
      </c>
      <c r="R1301">
        <v>121739</v>
      </c>
    </row>
    <row r="1302" spans="1:18" x14ac:dyDescent="0.25">
      <c r="A1302" s="170">
        <v>44134</v>
      </c>
      <c r="B1302" s="116">
        <v>298.64999999999998</v>
      </c>
      <c r="C1302" s="116">
        <v>290.3</v>
      </c>
      <c r="D1302" s="116">
        <v>287.35000000000002</v>
      </c>
      <c r="E1302" s="116">
        <v>289.8</v>
      </c>
      <c r="F1302" s="116">
        <v>290.3</v>
      </c>
      <c r="G1302">
        <v>49058</v>
      </c>
      <c r="H1302" s="116"/>
      <c r="I1302" s="116"/>
      <c r="L1302" s="170">
        <v>44134</v>
      </c>
      <c r="M1302" s="116">
        <v>290.14999999999998</v>
      </c>
      <c r="N1302" s="116">
        <v>298.64999999999998</v>
      </c>
      <c r="O1302" s="116">
        <v>287.35000000000002</v>
      </c>
      <c r="P1302" s="116">
        <v>290</v>
      </c>
      <c r="Q1302" s="116">
        <v>290.14999999999998</v>
      </c>
      <c r="R1302">
        <v>600428</v>
      </c>
    </row>
    <row r="1303" spans="1:18" x14ac:dyDescent="0.25">
      <c r="A1303" s="170">
        <v>44137</v>
      </c>
      <c r="B1303" s="116">
        <v>296.14999999999998</v>
      </c>
      <c r="C1303" s="116">
        <v>286.85000000000002</v>
      </c>
      <c r="D1303" s="116">
        <v>285.8</v>
      </c>
      <c r="E1303" s="116">
        <v>292</v>
      </c>
      <c r="F1303" s="116">
        <v>286.85000000000002</v>
      </c>
      <c r="G1303">
        <v>27464</v>
      </c>
      <c r="H1303" s="116"/>
      <c r="I1303" s="116"/>
      <c r="L1303" s="170">
        <v>44137</v>
      </c>
      <c r="M1303" s="116">
        <v>287.2</v>
      </c>
      <c r="N1303" s="116">
        <v>296.85000000000002</v>
      </c>
      <c r="O1303" s="116">
        <v>286</v>
      </c>
      <c r="P1303" s="116">
        <v>291.8</v>
      </c>
      <c r="Q1303" s="116">
        <v>287.2</v>
      </c>
      <c r="R1303">
        <v>217259</v>
      </c>
    </row>
    <row r="1304" spans="1:18" x14ac:dyDescent="0.25">
      <c r="A1304" s="170">
        <v>44138</v>
      </c>
      <c r="B1304" s="116">
        <v>292.8</v>
      </c>
      <c r="C1304" s="116">
        <v>291.8</v>
      </c>
      <c r="D1304" s="116">
        <v>286.10000000000002</v>
      </c>
      <c r="E1304" s="116">
        <v>290</v>
      </c>
      <c r="F1304" s="116">
        <v>291.8</v>
      </c>
      <c r="G1304">
        <v>13089</v>
      </c>
      <c r="H1304" s="116"/>
      <c r="I1304" s="116"/>
      <c r="L1304" s="170">
        <v>44138</v>
      </c>
      <c r="M1304" s="116">
        <v>291.10000000000002</v>
      </c>
      <c r="N1304" s="116">
        <v>292.5</v>
      </c>
      <c r="O1304" s="116">
        <v>286</v>
      </c>
      <c r="P1304" s="116">
        <v>289.89999999999998</v>
      </c>
      <c r="Q1304" s="116">
        <v>291.10000000000002</v>
      </c>
      <c r="R1304">
        <v>356483</v>
      </c>
    </row>
    <row r="1305" spans="1:18" x14ac:dyDescent="0.25">
      <c r="A1305" s="170">
        <v>44139</v>
      </c>
      <c r="B1305" s="116">
        <v>297</v>
      </c>
      <c r="C1305" s="116">
        <v>292.95</v>
      </c>
      <c r="D1305" s="116">
        <v>284.14999999999998</v>
      </c>
      <c r="E1305" s="116">
        <v>287.10000000000002</v>
      </c>
      <c r="F1305" s="116">
        <v>292.95</v>
      </c>
      <c r="G1305">
        <v>97992</v>
      </c>
      <c r="H1305" s="116"/>
      <c r="I1305" s="116"/>
      <c r="L1305" s="170">
        <v>44139</v>
      </c>
      <c r="M1305" s="116">
        <v>295.14999999999998</v>
      </c>
      <c r="N1305" s="116">
        <v>297.7</v>
      </c>
      <c r="O1305" s="116">
        <v>284.05</v>
      </c>
      <c r="P1305" s="116">
        <v>292.5</v>
      </c>
      <c r="Q1305" s="116">
        <v>295.14999999999998</v>
      </c>
      <c r="R1305">
        <v>564069</v>
      </c>
    </row>
    <row r="1306" spans="1:18" x14ac:dyDescent="0.25">
      <c r="A1306" s="170">
        <v>44140</v>
      </c>
      <c r="B1306" s="116">
        <v>305</v>
      </c>
      <c r="C1306" s="116">
        <v>298.95</v>
      </c>
      <c r="D1306" s="116">
        <v>293.45</v>
      </c>
      <c r="E1306" s="116">
        <v>295.10000000000002</v>
      </c>
      <c r="F1306" s="116">
        <v>298.95</v>
      </c>
      <c r="G1306">
        <v>73286</v>
      </c>
      <c r="H1306" s="116"/>
      <c r="I1306" s="116"/>
      <c r="L1306" s="170">
        <v>44140</v>
      </c>
      <c r="M1306" s="116">
        <v>299.3</v>
      </c>
      <c r="N1306" s="116">
        <v>304.89999999999998</v>
      </c>
      <c r="O1306" s="116">
        <v>293.5</v>
      </c>
      <c r="P1306" s="116">
        <v>298.2</v>
      </c>
      <c r="Q1306" s="116">
        <v>299.3</v>
      </c>
      <c r="R1306">
        <v>886645</v>
      </c>
    </row>
    <row r="1307" spans="1:18" x14ac:dyDescent="0.25">
      <c r="A1307" s="170">
        <v>44141</v>
      </c>
      <c r="B1307" s="116">
        <v>299.5</v>
      </c>
      <c r="C1307" s="116">
        <v>291.55</v>
      </c>
      <c r="D1307" s="116">
        <v>289.7</v>
      </c>
      <c r="E1307" s="116">
        <v>299.5</v>
      </c>
      <c r="F1307" s="116">
        <v>291.55</v>
      </c>
      <c r="G1307">
        <v>47369</v>
      </c>
      <c r="H1307" s="116"/>
      <c r="I1307" s="116"/>
      <c r="L1307" s="170">
        <v>44141</v>
      </c>
      <c r="M1307" s="116">
        <v>291.85000000000002</v>
      </c>
      <c r="N1307" s="116">
        <v>299.89999999999998</v>
      </c>
      <c r="O1307" s="116">
        <v>289.39999999999998</v>
      </c>
      <c r="P1307" s="116">
        <v>299.7</v>
      </c>
      <c r="Q1307" s="116">
        <v>291.85000000000002</v>
      </c>
      <c r="R1307">
        <v>598578</v>
      </c>
    </row>
    <row r="1308" spans="1:18" x14ac:dyDescent="0.25">
      <c r="A1308" s="170">
        <v>44144</v>
      </c>
      <c r="B1308" s="116">
        <v>313.39999999999998</v>
      </c>
      <c r="C1308" s="116">
        <v>308.35000000000002</v>
      </c>
      <c r="D1308" s="116">
        <v>289.39999999999998</v>
      </c>
      <c r="E1308" s="116">
        <v>296</v>
      </c>
      <c r="F1308" s="116">
        <v>308.35000000000002</v>
      </c>
      <c r="G1308">
        <v>60617</v>
      </c>
      <c r="H1308" s="116"/>
      <c r="I1308" s="116"/>
      <c r="L1308" s="170">
        <v>44144</v>
      </c>
      <c r="M1308" s="116">
        <v>308.45</v>
      </c>
      <c r="N1308" s="116">
        <v>313.8</v>
      </c>
      <c r="O1308" s="116">
        <v>289.5</v>
      </c>
      <c r="P1308" s="116">
        <v>298.5</v>
      </c>
      <c r="Q1308" s="116">
        <v>308.45</v>
      </c>
      <c r="R1308">
        <v>1226000</v>
      </c>
    </row>
    <row r="1309" spans="1:18" x14ac:dyDescent="0.25">
      <c r="A1309" s="170">
        <v>44145</v>
      </c>
      <c r="B1309" s="116">
        <v>319</v>
      </c>
      <c r="C1309" s="116">
        <v>315.05</v>
      </c>
      <c r="D1309" s="116">
        <v>308.60000000000002</v>
      </c>
      <c r="E1309" s="116">
        <v>312</v>
      </c>
      <c r="F1309" s="116">
        <v>315.05</v>
      </c>
      <c r="G1309">
        <v>90272</v>
      </c>
      <c r="H1309" s="116"/>
      <c r="I1309" s="116"/>
      <c r="L1309" s="170">
        <v>44145</v>
      </c>
      <c r="M1309" s="116">
        <v>314.8</v>
      </c>
      <c r="N1309" s="116">
        <v>318.64999999999998</v>
      </c>
      <c r="O1309" s="116">
        <v>308.45</v>
      </c>
      <c r="P1309" s="116">
        <v>312</v>
      </c>
      <c r="Q1309" s="116">
        <v>314.8</v>
      </c>
      <c r="R1309">
        <v>859782</v>
      </c>
    </row>
    <row r="1310" spans="1:18" x14ac:dyDescent="0.25">
      <c r="A1310" s="170">
        <v>44146</v>
      </c>
      <c r="B1310" s="116">
        <v>324.14999999999998</v>
      </c>
      <c r="C1310" s="116">
        <v>319.45</v>
      </c>
      <c r="D1310" s="116">
        <v>312</v>
      </c>
      <c r="E1310" s="116">
        <v>315</v>
      </c>
      <c r="F1310" s="116">
        <v>319.45</v>
      </c>
      <c r="G1310">
        <v>105234</v>
      </c>
      <c r="H1310" s="116"/>
      <c r="I1310" s="116"/>
      <c r="L1310" s="170">
        <v>44146</v>
      </c>
      <c r="M1310" s="116">
        <v>319.2</v>
      </c>
      <c r="N1310" s="116">
        <v>324.5</v>
      </c>
      <c r="O1310" s="116">
        <v>311.3</v>
      </c>
      <c r="P1310" s="116">
        <v>315.2</v>
      </c>
      <c r="Q1310" s="116">
        <v>319.2</v>
      </c>
      <c r="R1310">
        <v>625893</v>
      </c>
    </row>
    <row r="1311" spans="1:18" x14ac:dyDescent="0.25">
      <c r="A1311" s="170">
        <v>44147</v>
      </c>
      <c r="B1311" s="116">
        <v>329.75</v>
      </c>
      <c r="C1311" s="116">
        <v>326.05</v>
      </c>
      <c r="D1311" s="116">
        <v>319.85000000000002</v>
      </c>
      <c r="E1311" s="116">
        <v>320.05</v>
      </c>
      <c r="F1311" s="116">
        <v>326.05</v>
      </c>
      <c r="G1311">
        <v>56788</v>
      </c>
      <c r="H1311" s="116"/>
      <c r="I1311" s="116"/>
      <c r="L1311" s="170">
        <v>44147</v>
      </c>
      <c r="M1311" s="116">
        <v>325.45</v>
      </c>
      <c r="N1311" s="116">
        <v>329.95</v>
      </c>
      <c r="O1311" s="116">
        <v>320</v>
      </c>
      <c r="P1311" s="116">
        <v>323</v>
      </c>
      <c r="Q1311" s="116">
        <v>325.45</v>
      </c>
      <c r="R1311">
        <v>568197</v>
      </c>
    </row>
    <row r="1312" spans="1:18" x14ac:dyDescent="0.25">
      <c r="A1312" s="170">
        <v>44148</v>
      </c>
      <c r="B1312" s="116">
        <v>333.5</v>
      </c>
      <c r="C1312" s="116">
        <v>331.35</v>
      </c>
      <c r="D1312" s="116">
        <v>323</v>
      </c>
      <c r="E1312" s="116">
        <v>326.55</v>
      </c>
      <c r="F1312" s="116">
        <v>331.35</v>
      </c>
      <c r="G1312">
        <v>55016</v>
      </c>
      <c r="H1312" s="116"/>
      <c r="I1312" s="116"/>
      <c r="L1312" s="170">
        <v>44148</v>
      </c>
      <c r="M1312" s="116">
        <v>331.8</v>
      </c>
      <c r="N1312" s="116">
        <v>333.8</v>
      </c>
      <c r="O1312" s="116">
        <v>323.10000000000002</v>
      </c>
      <c r="P1312" s="116">
        <v>327.10000000000002</v>
      </c>
      <c r="Q1312" s="116">
        <v>331.8</v>
      </c>
      <c r="R1312">
        <v>424648</v>
      </c>
    </row>
    <row r="1313" spans="1:18" x14ac:dyDescent="0.25">
      <c r="A1313" s="170">
        <v>44149</v>
      </c>
      <c r="B1313" s="116">
        <v>344</v>
      </c>
      <c r="C1313" s="116">
        <v>340.65</v>
      </c>
      <c r="D1313" s="116">
        <v>333.5</v>
      </c>
      <c r="E1313" s="116">
        <v>335</v>
      </c>
      <c r="F1313" s="116">
        <v>340.65</v>
      </c>
      <c r="G1313">
        <v>34139</v>
      </c>
      <c r="H1313" s="116"/>
      <c r="I1313" s="116"/>
      <c r="L1313" s="170">
        <v>44149</v>
      </c>
      <c r="M1313" s="116">
        <v>340.35</v>
      </c>
      <c r="N1313" s="116">
        <v>344.4</v>
      </c>
      <c r="O1313" s="116">
        <v>332.8</v>
      </c>
      <c r="P1313" s="116">
        <v>334.9</v>
      </c>
      <c r="Q1313" s="116">
        <v>340.35</v>
      </c>
      <c r="R1313">
        <v>348405</v>
      </c>
    </row>
    <row r="1314" spans="1:18" x14ac:dyDescent="0.25">
      <c r="A1314" s="170">
        <v>44152</v>
      </c>
      <c r="B1314" s="116">
        <v>372.9</v>
      </c>
      <c r="C1314" s="116">
        <v>367.75</v>
      </c>
      <c r="D1314" s="116">
        <v>340.65</v>
      </c>
      <c r="E1314" s="116">
        <v>340.65</v>
      </c>
      <c r="F1314" s="116">
        <v>367.75</v>
      </c>
      <c r="G1314">
        <v>251939</v>
      </c>
      <c r="H1314" s="116"/>
      <c r="I1314" s="116"/>
      <c r="L1314" s="170">
        <v>44152</v>
      </c>
      <c r="M1314" s="116">
        <v>368.65</v>
      </c>
      <c r="N1314" s="116">
        <v>373.4</v>
      </c>
      <c r="O1314" s="116">
        <v>339.3</v>
      </c>
      <c r="P1314" s="116">
        <v>339.3</v>
      </c>
      <c r="Q1314" s="116">
        <v>368.65</v>
      </c>
      <c r="R1314">
        <v>2679615</v>
      </c>
    </row>
    <row r="1315" spans="1:18" x14ac:dyDescent="0.25">
      <c r="A1315" s="170">
        <v>44153</v>
      </c>
      <c r="B1315" s="116">
        <v>407.7</v>
      </c>
      <c r="C1315" s="116">
        <v>386.25</v>
      </c>
      <c r="D1315" s="116">
        <v>369.9</v>
      </c>
      <c r="E1315" s="116">
        <v>371.6</v>
      </c>
      <c r="F1315" s="116">
        <v>386.25</v>
      </c>
      <c r="G1315">
        <v>302145</v>
      </c>
      <c r="H1315" s="116"/>
      <c r="I1315" s="116"/>
      <c r="L1315" s="170">
        <v>44153</v>
      </c>
      <c r="M1315" s="116">
        <v>387.05</v>
      </c>
      <c r="N1315" s="116">
        <v>407.7</v>
      </c>
      <c r="O1315" s="116">
        <v>370</v>
      </c>
      <c r="P1315" s="116">
        <v>370.9</v>
      </c>
      <c r="Q1315" s="116">
        <v>387.05</v>
      </c>
      <c r="R1315">
        <v>3577670</v>
      </c>
    </row>
    <row r="1316" spans="1:18" x14ac:dyDescent="0.25">
      <c r="A1316" s="170">
        <v>44154</v>
      </c>
      <c r="B1316" s="116">
        <v>384.8</v>
      </c>
      <c r="C1316" s="116">
        <v>375.8</v>
      </c>
      <c r="D1316" s="116">
        <v>370</v>
      </c>
      <c r="E1316" s="116">
        <v>380.1</v>
      </c>
      <c r="F1316" s="116">
        <v>375.8</v>
      </c>
      <c r="G1316">
        <v>65376</v>
      </c>
      <c r="H1316" s="116"/>
      <c r="I1316" s="116"/>
      <c r="L1316" s="170">
        <v>44154</v>
      </c>
      <c r="M1316" s="116">
        <v>375.7</v>
      </c>
      <c r="N1316" s="116">
        <v>385</v>
      </c>
      <c r="O1316" s="116">
        <v>370.2</v>
      </c>
      <c r="P1316" s="116">
        <v>380</v>
      </c>
      <c r="Q1316" s="116">
        <v>375.7</v>
      </c>
      <c r="R1316">
        <v>819897</v>
      </c>
    </row>
    <row r="1317" spans="1:18" x14ac:dyDescent="0.25">
      <c r="A1317" s="170">
        <v>44155</v>
      </c>
      <c r="B1317" s="116">
        <v>395.2</v>
      </c>
      <c r="C1317" s="116">
        <v>383.9</v>
      </c>
      <c r="D1317" s="116">
        <v>374</v>
      </c>
      <c r="E1317" s="116">
        <v>374</v>
      </c>
      <c r="F1317" s="116">
        <v>383.9</v>
      </c>
      <c r="G1317">
        <v>125477</v>
      </c>
      <c r="H1317" s="116"/>
      <c r="I1317" s="116"/>
      <c r="L1317" s="170">
        <v>44155</v>
      </c>
      <c r="M1317" s="116">
        <v>384</v>
      </c>
      <c r="N1317" s="116">
        <v>395.4</v>
      </c>
      <c r="O1317" s="116">
        <v>375</v>
      </c>
      <c r="P1317" s="116">
        <v>375.7</v>
      </c>
      <c r="Q1317" s="116">
        <v>384</v>
      </c>
      <c r="R1317">
        <v>899668</v>
      </c>
    </row>
    <row r="1318" spans="1:18" x14ac:dyDescent="0.25">
      <c r="A1318" s="170">
        <v>44158</v>
      </c>
      <c r="B1318" s="116">
        <v>395</v>
      </c>
      <c r="C1318" s="116">
        <v>379.8</v>
      </c>
      <c r="D1318" s="116">
        <v>375.3</v>
      </c>
      <c r="E1318" s="116">
        <v>395</v>
      </c>
      <c r="F1318" s="116">
        <v>379.8</v>
      </c>
      <c r="G1318">
        <v>46718</v>
      </c>
      <c r="H1318" s="116"/>
      <c r="I1318" s="116"/>
      <c r="L1318" s="170">
        <v>44158</v>
      </c>
      <c r="M1318" s="116">
        <v>379.65</v>
      </c>
      <c r="N1318" s="116">
        <v>389.6</v>
      </c>
      <c r="O1318" s="116">
        <v>375</v>
      </c>
      <c r="P1318" s="116">
        <v>385.6</v>
      </c>
      <c r="Q1318" s="116">
        <v>379.65</v>
      </c>
      <c r="R1318">
        <v>806504</v>
      </c>
    </row>
    <row r="1319" spans="1:18" x14ac:dyDescent="0.25">
      <c r="A1319" s="170">
        <v>44159</v>
      </c>
      <c r="B1319" s="116">
        <v>387.7</v>
      </c>
      <c r="C1319" s="116">
        <v>380.15</v>
      </c>
      <c r="D1319" s="116">
        <v>378.05</v>
      </c>
      <c r="E1319" s="116">
        <v>379.5</v>
      </c>
      <c r="F1319" s="116">
        <v>380.15</v>
      </c>
      <c r="G1319">
        <v>55844</v>
      </c>
      <c r="H1319" s="116"/>
      <c r="I1319" s="116"/>
      <c r="L1319" s="170">
        <v>44159</v>
      </c>
      <c r="M1319" s="116">
        <v>380.25</v>
      </c>
      <c r="N1319" s="116">
        <v>388</v>
      </c>
      <c r="O1319" s="116">
        <v>378.7</v>
      </c>
      <c r="P1319" s="116">
        <v>381.6</v>
      </c>
      <c r="Q1319" s="116">
        <v>380.25</v>
      </c>
      <c r="R1319">
        <v>533615</v>
      </c>
    </row>
    <row r="1320" spans="1:18" x14ac:dyDescent="0.25">
      <c r="A1320" s="170">
        <v>44160</v>
      </c>
      <c r="B1320" s="116">
        <v>383.25</v>
      </c>
      <c r="C1320" s="116">
        <v>367.35</v>
      </c>
      <c r="D1320" s="116">
        <v>344.55</v>
      </c>
      <c r="E1320" s="116">
        <v>378</v>
      </c>
      <c r="F1320" s="116">
        <v>367.35</v>
      </c>
      <c r="G1320">
        <v>85453</v>
      </c>
      <c r="H1320" s="116"/>
      <c r="I1320" s="116"/>
      <c r="L1320" s="170">
        <v>44160</v>
      </c>
      <c r="M1320" s="116">
        <v>367.15</v>
      </c>
      <c r="N1320" s="116">
        <v>383.5</v>
      </c>
      <c r="O1320" s="116">
        <v>344.55</v>
      </c>
      <c r="P1320" s="116">
        <v>382.75</v>
      </c>
      <c r="Q1320" s="116">
        <v>367.15</v>
      </c>
      <c r="R1320">
        <v>899730</v>
      </c>
    </row>
    <row r="1321" spans="1:18" x14ac:dyDescent="0.25">
      <c r="A1321" s="170">
        <v>44161</v>
      </c>
      <c r="B1321" s="116">
        <v>373</v>
      </c>
      <c r="C1321" s="116">
        <v>364.6</v>
      </c>
      <c r="D1321" s="116">
        <v>357.75</v>
      </c>
      <c r="E1321" s="116">
        <v>373</v>
      </c>
      <c r="F1321" s="116">
        <v>364.6</v>
      </c>
      <c r="G1321">
        <v>28324</v>
      </c>
      <c r="H1321" s="116"/>
      <c r="I1321" s="116"/>
      <c r="L1321" s="170">
        <v>44161</v>
      </c>
      <c r="M1321" s="116">
        <v>364.25</v>
      </c>
      <c r="N1321" s="116">
        <v>369</v>
      </c>
      <c r="O1321" s="116">
        <v>357.1</v>
      </c>
      <c r="P1321" s="116">
        <v>369</v>
      </c>
      <c r="Q1321" s="116">
        <v>364.25</v>
      </c>
      <c r="R1321">
        <v>275609</v>
      </c>
    </row>
    <row r="1322" spans="1:18" x14ac:dyDescent="0.25">
      <c r="A1322" s="170">
        <v>44162</v>
      </c>
      <c r="B1322" s="116">
        <v>390.85</v>
      </c>
      <c r="C1322" s="116">
        <v>377.15</v>
      </c>
      <c r="D1322" s="116">
        <v>364.15</v>
      </c>
      <c r="E1322" s="116">
        <v>364.6</v>
      </c>
      <c r="F1322" s="116">
        <v>377.15</v>
      </c>
      <c r="G1322">
        <v>97019</v>
      </c>
      <c r="H1322" s="116"/>
      <c r="I1322" s="116"/>
      <c r="L1322" s="170">
        <v>44162</v>
      </c>
      <c r="M1322" s="116">
        <v>376.3</v>
      </c>
      <c r="N1322" s="116">
        <v>390.9</v>
      </c>
      <c r="O1322" s="116">
        <v>365.05</v>
      </c>
      <c r="P1322" s="116">
        <v>366.1</v>
      </c>
      <c r="Q1322" s="116">
        <v>376.3</v>
      </c>
      <c r="R1322">
        <v>1160308</v>
      </c>
    </row>
    <row r="1323" spans="1:18" x14ac:dyDescent="0.25">
      <c r="A1323" s="170">
        <v>44166</v>
      </c>
      <c r="B1323" s="116">
        <v>382.9</v>
      </c>
      <c r="C1323" s="116">
        <v>378.65</v>
      </c>
      <c r="D1323" s="116">
        <v>372</v>
      </c>
      <c r="E1323" s="116">
        <v>382.9</v>
      </c>
      <c r="F1323" s="116">
        <v>378.65</v>
      </c>
      <c r="G1323">
        <v>60212</v>
      </c>
      <c r="H1323" s="116"/>
      <c r="I1323" s="116"/>
      <c r="L1323" s="170">
        <v>44166</v>
      </c>
      <c r="M1323" s="116">
        <v>378.95</v>
      </c>
      <c r="N1323" s="116">
        <v>383</v>
      </c>
      <c r="O1323" s="116">
        <v>372.05</v>
      </c>
      <c r="P1323" s="116">
        <v>379.85</v>
      </c>
      <c r="Q1323" s="116">
        <v>378.95</v>
      </c>
      <c r="R1323">
        <v>533772</v>
      </c>
    </row>
    <row r="1324" spans="1:18" x14ac:dyDescent="0.25">
      <c r="A1324" s="170">
        <v>44167</v>
      </c>
      <c r="B1324" s="116">
        <v>434</v>
      </c>
      <c r="C1324" s="116">
        <v>419.5</v>
      </c>
      <c r="D1324" s="116">
        <v>376.1</v>
      </c>
      <c r="E1324" s="116">
        <v>381.2</v>
      </c>
      <c r="F1324" s="116">
        <v>419.5</v>
      </c>
      <c r="G1324">
        <v>244117</v>
      </c>
      <c r="H1324" s="116"/>
      <c r="I1324" s="116"/>
      <c r="L1324" s="170">
        <v>44167</v>
      </c>
      <c r="M1324" s="116">
        <v>419.2</v>
      </c>
      <c r="N1324" s="116">
        <v>433.9</v>
      </c>
      <c r="O1324" s="116">
        <v>375.6</v>
      </c>
      <c r="P1324" s="116">
        <v>380</v>
      </c>
      <c r="Q1324" s="116">
        <v>419.2</v>
      </c>
      <c r="R1324">
        <v>4614719</v>
      </c>
    </row>
    <row r="1325" spans="1:18" x14ac:dyDescent="0.25">
      <c r="A1325" s="170">
        <v>44168</v>
      </c>
      <c r="B1325" s="116">
        <v>438.6</v>
      </c>
      <c r="C1325" s="116">
        <v>427.75</v>
      </c>
      <c r="D1325" s="116">
        <v>420.45</v>
      </c>
      <c r="E1325" s="116">
        <v>426.65</v>
      </c>
      <c r="F1325" s="116">
        <v>427.75</v>
      </c>
      <c r="G1325">
        <v>258290</v>
      </c>
      <c r="H1325" s="116"/>
      <c r="I1325" s="116"/>
      <c r="L1325" s="170">
        <v>44168</v>
      </c>
      <c r="M1325" s="116">
        <v>427.8</v>
      </c>
      <c r="N1325" s="116">
        <v>438.35</v>
      </c>
      <c r="O1325" s="116">
        <v>420</v>
      </c>
      <c r="P1325" s="116">
        <v>423</v>
      </c>
      <c r="Q1325" s="116">
        <v>427.8</v>
      </c>
      <c r="R1325">
        <v>2475560</v>
      </c>
    </row>
    <row r="1326" spans="1:18" x14ac:dyDescent="0.25">
      <c r="A1326" s="170">
        <v>44169</v>
      </c>
      <c r="B1326" s="116">
        <v>444.6</v>
      </c>
      <c r="C1326" s="116">
        <v>436.1</v>
      </c>
      <c r="D1326" s="116">
        <v>430</v>
      </c>
      <c r="E1326" s="116">
        <v>431.9</v>
      </c>
      <c r="F1326" s="116">
        <v>436.1</v>
      </c>
      <c r="G1326">
        <v>103896</v>
      </c>
      <c r="H1326" s="116"/>
      <c r="I1326" s="116"/>
      <c r="L1326" s="170">
        <v>44169</v>
      </c>
      <c r="M1326" s="116">
        <v>436.55</v>
      </c>
      <c r="N1326" s="116">
        <v>445</v>
      </c>
      <c r="O1326" s="116">
        <v>428.45</v>
      </c>
      <c r="P1326" s="116">
        <v>428.45</v>
      </c>
      <c r="Q1326" s="116">
        <v>436.55</v>
      </c>
      <c r="R1326">
        <v>1430614</v>
      </c>
    </row>
    <row r="1327" spans="1:18" x14ac:dyDescent="0.25">
      <c r="A1327" s="170">
        <v>44172</v>
      </c>
      <c r="B1327" s="116">
        <v>444.85</v>
      </c>
      <c r="C1327" s="116">
        <v>439.8</v>
      </c>
      <c r="D1327" s="116">
        <v>427.4</v>
      </c>
      <c r="E1327" s="116">
        <v>440</v>
      </c>
      <c r="F1327" s="116">
        <v>439.8</v>
      </c>
      <c r="G1327">
        <v>51038</v>
      </c>
      <c r="H1327" s="116"/>
      <c r="I1327" s="116"/>
      <c r="L1327" s="170">
        <v>44172</v>
      </c>
      <c r="M1327" s="116">
        <v>440.05</v>
      </c>
      <c r="N1327" s="116">
        <v>444.85</v>
      </c>
      <c r="O1327" s="116">
        <v>426.6</v>
      </c>
      <c r="P1327" s="116">
        <v>439.5</v>
      </c>
      <c r="Q1327" s="116">
        <v>440.05</v>
      </c>
      <c r="R1327">
        <v>803604</v>
      </c>
    </row>
    <row r="1328" spans="1:18" x14ac:dyDescent="0.25">
      <c r="A1328" s="170">
        <v>44173</v>
      </c>
      <c r="B1328" s="116">
        <v>439.95</v>
      </c>
      <c r="C1328" s="116">
        <v>432.1</v>
      </c>
      <c r="D1328" s="116">
        <v>415.5</v>
      </c>
      <c r="E1328" s="116">
        <v>439.95</v>
      </c>
      <c r="F1328" s="116">
        <v>432.1</v>
      </c>
      <c r="G1328">
        <v>58484</v>
      </c>
      <c r="H1328" s="116"/>
      <c r="I1328" s="116"/>
      <c r="L1328" s="170">
        <v>44173</v>
      </c>
      <c r="M1328" s="116">
        <v>431.9</v>
      </c>
      <c r="N1328" s="116">
        <v>439.7</v>
      </c>
      <c r="O1328" s="116">
        <v>415.1</v>
      </c>
      <c r="P1328" s="116">
        <v>435.95</v>
      </c>
      <c r="Q1328" s="116">
        <v>431.9</v>
      </c>
      <c r="R1328">
        <v>956906</v>
      </c>
    </row>
    <row r="1329" spans="1:18" x14ac:dyDescent="0.25">
      <c r="A1329" s="170">
        <v>44174</v>
      </c>
      <c r="B1329" s="116">
        <v>435</v>
      </c>
      <c r="C1329" s="116">
        <v>426.65</v>
      </c>
      <c r="D1329" s="116">
        <v>423.8</v>
      </c>
      <c r="E1329" s="116">
        <v>423.8</v>
      </c>
      <c r="F1329" s="116">
        <v>426.65</v>
      </c>
      <c r="G1329">
        <v>36276</v>
      </c>
      <c r="H1329" s="116"/>
      <c r="I1329" s="116"/>
      <c r="L1329" s="170">
        <v>44174</v>
      </c>
      <c r="M1329" s="116">
        <v>426.55</v>
      </c>
      <c r="N1329" s="116">
        <v>435</v>
      </c>
      <c r="O1329" s="116">
        <v>425.1</v>
      </c>
      <c r="P1329" s="116">
        <v>432.65</v>
      </c>
      <c r="Q1329" s="116">
        <v>426.55</v>
      </c>
      <c r="R1329">
        <v>336825</v>
      </c>
    </row>
    <row r="1330" spans="1:18" x14ac:dyDescent="0.25">
      <c r="A1330" s="170">
        <v>44175</v>
      </c>
      <c r="B1330" s="116">
        <v>435.35</v>
      </c>
      <c r="C1330" s="116">
        <v>429.8</v>
      </c>
      <c r="D1330" s="116">
        <v>415.25</v>
      </c>
      <c r="E1330" s="116">
        <v>424</v>
      </c>
      <c r="F1330" s="116">
        <v>429.8</v>
      </c>
      <c r="G1330">
        <v>62803</v>
      </c>
      <c r="H1330" s="116"/>
      <c r="I1330" s="116"/>
      <c r="L1330" s="170">
        <v>44175</v>
      </c>
      <c r="M1330" s="116">
        <v>430.25</v>
      </c>
      <c r="N1330" s="116">
        <v>435.95</v>
      </c>
      <c r="O1330" s="116">
        <v>415</v>
      </c>
      <c r="P1330" s="116">
        <v>425</v>
      </c>
      <c r="Q1330" s="116">
        <v>430.25</v>
      </c>
      <c r="R1330">
        <v>550671</v>
      </c>
    </row>
    <row r="1331" spans="1:18" x14ac:dyDescent="0.25">
      <c r="A1331" s="170">
        <v>44176</v>
      </c>
      <c r="B1331" s="116">
        <v>431.45</v>
      </c>
      <c r="C1331" s="116">
        <v>425.1</v>
      </c>
      <c r="D1331" s="116">
        <v>416.55</v>
      </c>
      <c r="E1331" s="116">
        <v>426</v>
      </c>
      <c r="F1331" s="116">
        <v>425.1</v>
      </c>
      <c r="G1331">
        <v>31032</v>
      </c>
      <c r="H1331" s="116"/>
      <c r="I1331" s="116"/>
      <c r="L1331" s="170">
        <v>44176</v>
      </c>
      <c r="M1331" s="116">
        <v>425.05</v>
      </c>
      <c r="N1331" s="116">
        <v>432.4</v>
      </c>
      <c r="O1331" s="116">
        <v>416</v>
      </c>
      <c r="P1331" s="116">
        <v>432.4</v>
      </c>
      <c r="Q1331" s="116">
        <v>425.05</v>
      </c>
      <c r="R1331">
        <v>391528</v>
      </c>
    </row>
    <row r="1332" spans="1:18" x14ac:dyDescent="0.25">
      <c r="A1332" s="170">
        <v>44179</v>
      </c>
      <c r="B1332" s="116">
        <v>433.15</v>
      </c>
      <c r="C1332" s="116">
        <v>425.65</v>
      </c>
      <c r="D1332" s="116">
        <v>418.65</v>
      </c>
      <c r="E1332" s="116">
        <v>427</v>
      </c>
      <c r="F1332" s="116">
        <v>425.65</v>
      </c>
      <c r="G1332">
        <v>43941</v>
      </c>
      <c r="H1332" s="116"/>
      <c r="I1332" s="116"/>
      <c r="L1332" s="170">
        <v>44179</v>
      </c>
      <c r="M1332" s="116">
        <v>425.25</v>
      </c>
      <c r="N1332" s="116">
        <v>432.8</v>
      </c>
      <c r="O1332" s="116">
        <v>418.7</v>
      </c>
      <c r="P1332" s="116">
        <v>426.5</v>
      </c>
      <c r="Q1332" s="116">
        <v>425.25</v>
      </c>
      <c r="R1332">
        <v>281810</v>
      </c>
    </row>
    <row r="1333" spans="1:18" x14ac:dyDescent="0.25">
      <c r="A1333" s="170">
        <v>44180</v>
      </c>
      <c r="B1333" s="116">
        <v>432.5</v>
      </c>
      <c r="C1333" s="116">
        <v>430.85</v>
      </c>
      <c r="D1333" s="116">
        <v>416.1</v>
      </c>
      <c r="E1333" s="116">
        <v>421</v>
      </c>
      <c r="F1333" s="116">
        <v>430.85</v>
      </c>
      <c r="G1333">
        <v>63216</v>
      </c>
      <c r="H1333" s="116"/>
      <c r="I1333" s="116"/>
      <c r="L1333" s="170">
        <v>44180</v>
      </c>
      <c r="M1333" s="116">
        <v>431.1</v>
      </c>
      <c r="N1333" s="116">
        <v>432.5</v>
      </c>
      <c r="O1333" s="116">
        <v>416</v>
      </c>
      <c r="P1333" s="116">
        <v>425</v>
      </c>
      <c r="Q1333" s="116">
        <v>431.1</v>
      </c>
      <c r="R1333">
        <v>603323</v>
      </c>
    </row>
    <row r="1334" spans="1:18" x14ac:dyDescent="0.25">
      <c r="A1334" s="170">
        <v>44181</v>
      </c>
      <c r="B1334" s="116">
        <v>435</v>
      </c>
      <c r="C1334" s="116">
        <v>431.5</v>
      </c>
      <c r="D1334" s="116">
        <v>425.65</v>
      </c>
      <c r="E1334" s="116">
        <v>430.9</v>
      </c>
      <c r="F1334" s="116">
        <v>431.5</v>
      </c>
      <c r="G1334">
        <v>18484</v>
      </c>
      <c r="H1334" s="116"/>
      <c r="I1334" s="116"/>
      <c r="L1334" s="170">
        <v>44181</v>
      </c>
      <c r="M1334" s="116">
        <v>431.65</v>
      </c>
      <c r="N1334" s="116">
        <v>435.15</v>
      </c>
      <c r="O1334" s="116">
        <v>425.3</v>
      </c>
      <c r="P1334" s="116">
        <v>434.9</v>
      </c>
      <c r="Q1334" s="116">
        <v>431.65</v>
      </c>
      <c r="R1334">
        <v>342088</v>
      </c>
    </row>
    <row r="1335" spans="1:18" x14ac:dyDescent="0.25">
      <c r="A1335" s="170">
        <v>44182</v>
      </c>
      <c r="B1335" s="116">
        <v>441.55</v>
      </c>
      <c r="C1335" s="116">
        <v>429.25</v>
      </c>
      <c r="D1335" s="116">
        <v>424.7</v>
      </c>
      <c r="E1335" s="116">
        <v>433</v>
      </c>
      <c r="F1335" s="116">
        <v>429.25</v>
      </c>
      <c r="G1335">
        <v>41875</v>
      </c>
      <c r="H1335" s="116"/>
      <c r="I1335" s="116"/>
      <c r="L1335" s="170">
        <v>44182</v>
      </c>
      <c r="M1335" s="116">
        <v>429.35</v>
      </c>
      <c r="N1335" s="116">
        <v>441.9</v>
      </c>
      <c r="O1335" s="116">
        <v>424.15</v>
      </c>
      <c r="P1335" s="116">
        <v>432</v>
      </c>
      <c r="Q1335" s="116">
        <v>429.35</v>
      </c>
      <c r="R1335">
        <v>709430</v>
      </c>
    </row>
    <row r="1336" spans="1:18" x14ac:dyDescent="0.25">
      <c r="A1336" s="170">
        <v>44183</v>
      </c>
      <c r="B1336" s="116">
        <v>428.4</v>
      </c>
      <c r="C1336" s="116">
        <v>424.95</v>
      </c>
      <c r="D1336" s="116">
        <v>421.15</v>
      </c>
      <c r="E1336" s="116">
        <v>428</v>
      </c>
      <c r="F1336" s="116">
        <v>424.95</v>
      </c>
      <c r="G1336">
        <v>21745</v>
      </c>
      <c r="H1336" s="116"/>
      <c r="I1336" s="116"/>
      <c r="L1336" s="170">
        <v>44183</v>
      </c>
      <c r="M1336" s="116">
        <v>424.85</v>
      </c>
      <c r="N1336" s="116">
        <v>429</v>
      </c>
      <c r="O1336" s="116">
        <v>420.75</v>
      </c>
      <c r="P1336" s="116">
        <v>427</v>
      </c>
      <c r="Q1336" s="116">
        <v>424.85</v>
      </c>
      <c r="R1336">
        <v>288795</v>
      </c>
    </row>
    <row r="1337" spans="1:18" x14ac:dyDescent="0.25">
      <c r="A1337" s="170">
        <v>44186</v>
      </c>
      <c r="B1337" s="116">
        <v>434.75</v>
      </c>
      <c r="C1337" s="116">
        <v>395.25</v>
      </c>
      <c r="D1337" s="116">
        <v>383.65</v>
      </c>
      <c r="E1337" s="116">
        <v>420.1</v>
      </c>
      <c r="F1337" s="116">
        <v>395.25</v>
      </c>
      <c r="G1337">
        <v>101648</v>
      </c>
      <c r="H1337" s="116"/>
      <c r="I1337" s="116"/>
      <c r="L1337" s="170">
        <v>44186</v>
      </c>
      <c r="M1337" s="116">
        <v>395.75</v>
      </c>
      <c r="N1337" s="116">
        <v>434.85</v>
      </c>
      <c r="O1337" s="116">
        <v>381.55</v>
      </c>
      <c r="P1337" s="116">
        <v>425</v>
      </c>
      <c r="Q1337" s="116">
        <v>395.75</v>
      </c>
      <c r="R1337">
        <v>710255</v>
      </c>
    </row>
    <row r="1338" spans="1:18" x14ac:dyDescent="0.25">
      <c r="A1338" s="170">
        <v>44187</v>
      </c>
      <c r="B1338" s="116">
        <v>412.2</v>
      </c>
      <c r="C1338" s="116">
        <v>408.2</v>
      </c>
      <c r="D1338" s="116">
        <v>381.3</v>
      </c>
      <c r="E1338" s="116">
        <v>388.25</v>
      </c>
      <c r="F1338" s="116">
        <v>408.2</v>
      </c>
      <c r="G1338">
        <v>85557</v>
      </c>
      <c r="H1338" s="116"/>
      <c r="I1338" s="116"/>
      <c r="L1338" s="170">
        <v>44187</v>
      </c>
      <c r="M1338" s="116">
        <v>408.3</v>
      </c>
      <c r="N1338" s="116">
        <v>411.9</v>
      </c>
      <c r="O1338" s="116">
        <v>381.9</v>
      </c>
      <c r="P1338" s="116">
        <v>395.1</v>
      </c>
      <c r="Q1338" s="116">
        <v>408.3</v>
      </c>
      <c r="R1338">
        <v>605872</v>
      </c>
    </row>
    <row r="1339" spans="1:18" x14ac:dyDescent="0.25">
      <c r="A1339" s="170">
        <v>44188</v>
      </c>
      <c r="B1339" s="116">
        <v>430.3</v>
      </c>
      <c r="C1339" s="116">
        <v>428.15</v>
      </c>
      <c r="D1339" s="116">
        <v>406.55</v>
      </c>
      <c r="E1339" s="116">
        <v>410</v>
      </c>
      <c r="F1339" s="116">
        <v>428.15</v>
      </c>
      <c r="G1339">
        <v>47246</v>
      </c>
      <c r="H1339" s="116"/>
      <c r="I1339" s="116"/>
      <c r="L1339" s="170">
        <v>44188</v>
      </c>
      <c r="M1339" s="116">
        <v>427.95</v>
      </c>
      <c r="N1339" s="116">
        <v>429.9</v>
      </c>
      <c r="O1339" s="116">
        <v>406</v>
      </c>
      <c r="P1339" s="116">
        <v>411.3</v>
      </c>
      <c r="Q1339" s="116">
        <v>427.95</v>
      </c>
      <c r="R1339">
        <v>532916</v>
      </c>
    </row>
    <row r="1340" spans="1:18" x14ac:dyDescent="0.25">
      <c r="A1340" s="170">
        <v>44189</v>
      </c>
      <c r="B1340" s="116">
        <v>436</v>
      </c>
      <c r="C1340" s="116">
        <v>428.05</v>
      </c>
      <c r="D1340" s="116">
        <v>425.9</v>
      </c>
      <c r="E1340" s="116">
        <v>430</v>
      </c>
      <c r="F1340" s="116">
        <v>428.05</v>
      </c>
      <c r="G1340">
        <v>55209</v>
      </c>
      <c r="H1340" s="116"/>
      <c r="I1340" s="116"/>
      <c r="L1340" s="170">
        <v>44189</v>
      </c>
      <c r="M1340" s="116">
        <v>428.1</v>
      </c>
      <c r="N1340" s="116">
        <v>435</v>
      </c>
      <c r="O1340" s="116">
        <v>425.65</v>
      </c>
      <c r="P1340" s="116">
        <v>430</v>
      </c>
      <c r="Q1340" s="116">
        <v>428.1</v>
      </c>
      <c r="R1340">
        <v>401346</v>
      </c>
    </row>
    <row r="1341" spans="1:18" x14ac:dyDescent="0.25">
      <c r="A1341" s="170">
        <v>44193</v>
      </c>
      <c r="B1341" s="116">
        <v>455</v>
      </c>
      <c r="C1341" s="116">
        <v>434.6</v>
      </c>
      <c r="D1341" s="116">
        <v>430.9</v>
      </c>
      <c r="E1341" s="116">
        <v>431.25</v>
      </c>
      <c r="F1341" s="116">
        <v>434.6</v>
      </c>
      <c r="G1341">
        <v>100415</v>
      </c>
      <c r="H1341" s="116"/>
      <c r="I1341" s="116"/>
      <c r="L1341" s="170">
        <v>44193</v>
      </c>
      <c r="M1341" s="116">
        <v>433.65</v>
      </c>
      <c r="N1341" s="116">
        <v>455.15</v>
      </c>
      <c r="O1341" s="116">
        <v>430.1</v>
      </c>
      <c r="P1341" s="116">
        <v>430.7</v>
      </c>
      <c r="Q1341" s="116">
        <v>433.65</v>
      </c>
      <c r="R1341">
        <v>1752252</v>
      </c>
    </row>
    <row r="1342" spans="1:18" x14ac:dyDescent="0.25">
      <c r="A1342" s="170">
        <v>44194</v>
      </c>
      <c r="B1342" s="116">
        <v>442.8</v>
      </c>
      <c r="C1342" s="116">
        <v>429</v>
      </c>
      <c r="D1342" s="116">
        <v>421.8</v>
      </c>
      <c r="E1342" s="116">
        <v>442.8</v>
      </c>
      <c r="F1342" s="116">
        <v>429</v>
      </c>
      <c r="G1342">
        <v>90338</v>
      </c>
      <c r="H1342" s="116"/>
      <c r="I1342" s="116"/>
      <c r="L1342" s="170">
        <v>44194</v>
      </c>
      <c r="M1342" s="116">
        <v>429.15</v>
      </c>
      <c r="N1342" s="116">
        <v>440.95</v>
      </c>
      <c r="O1342" s="116">
        <v>422.3</v>
      </c>
      <c r="P1342" s="116">
        <v>437.8</v>
      </c>
      <c r="Q1342" s="116">
        <v>429.15</v>
      </c>
      <c r="R1342">
        <v>613612</v>
      </c>
    </row>
    <row r="1343" spans="1:18" x14ac:dyDescent="0.25">
      <c r="A1343" s="170">
        <v>44195</v>
      </c>
      <c r="B1343" s="116">
        <v>447</v>
      </c>
      <c r="C1343" s="116">
        <v>436.5</v>
      </c>
      <c r="D1343" s="116">
        <v>426</v>
      </c>
      <c r="E1343" s="116">
        <v>435</v>
      </c>
      <c r="F1343" s="116">
        <v>436.5</v>
      </c>
      <c r="G1343">
        <v>77107</v>
      </c>
      <c r="H1343" s="116"/>
      <c r="I1343" s="116"/>
      <c r="L1343" s="170">
        <v>44195</v>
      </c>
      <c r="M1343" s="116">
        <v>436.2</v>
      </c>
      <c r="N1343" s="116">
        <v>447.4</v>
      </c>
      <c r="O1343" s="116">
        <v>425</v>
      </c>
      <c r="P1343" s="116">
        <v>432.65</v>
      </c>
      <c r="Q1343" s="116">
        <v>436.2</v>
      </c>
      <c r="R1343">
        <v>1324653</v>
      </c>
    </row>
    <row r="1344" spans="1:18" x14ac:dyDescent="0.25">
      <c r="A1344" s="170">
        <v>44196</v>
      </c>
      <c r="B1344" s="116">
        <v>442</v>
      </c>
      <c r="C1344" s="116">
        <v>437.7</v>
      </c>
      <c r="D1344" s="116">
        <v>432.2</v>
      </c>
      <c r="E1344" s="116">
        <v>438</v>
      </c>
      <c r="F1344" s="116">
        <v>437.7</v>
      </c>
      <c r="G1344">
        <v>46520</v>
      </c>
      <c r="H1344" s="116"/>
      <c r="I1344" s="116"/>
      <c r="L1344" s="170">
        <v>44196</v>
      </c>
      <c r="M1344" s="116">
        <v>437.5</v>
      </c>
      <c r="N1344" s="116">
        <v>442.5</v>
      </c>
      <c r="O1344" s="116">
        <v>432.05</v>
      </c>
      <c r="P1344" s="116">
        <v>439.4</v>
      </c>
      <c r="Q1344" s="116">
        <v>437.5</v>
      </c>
      <c r="R1344">
        <v>404280</v>
      </c>
    </row>
    <row r="1345" spans="1:18" x14ac:dyDescent="0.25">
      <c r="A1345" s="170">
        <v>44197</v>
      </c>
      <c r="B1345" s="116">
        <v>440.1</v>
      </c>
      <c r="C1345" s="116">
        <v>434.55</v>
      </c>
      <c r="D1345" s="116">
        <v>431.75</v>
      </c>
      <c r="E1345" s="116">
        <v>438.35</v>
      </c>
      <c r="F1345" s="116">
        <v>434.55</v>
      </c>
      <c r="G1345">
        <v>39904</v>
      </c>
      <c r="H1345" s="116"/>
      <c r="I1345" s="116"/>
      <c r="L1345" s="170">
        <v>44197</v>
      </c>
      <c r="M1345" s="116">
        <v>434.25</v>
      </c>
      <c r="N1345" s="116">
        <v>440.95</v>
      </c>
      <c r="O1345" s="116">
        <v>431</v>
      </c>
      <c r="P1345" s="116">
        <v>438.9</v>
      </c>
      <c r="Q1345" s="116">
        <v>434.25</v>
      </c>
      <c r="R1345">
        <v>244567</v>
      </c>
    </row>
    <row r="1346" spans="1:18" x14ac:dyDescent="0.25">
      <c r="A1346" s="170">
        <v>44200</v>
      </c>
      <c r="B1346" s="116">
        <v>448</v>
      </c>
      <c r="C1346" s="116">
        <v>441.1</v>
      </c>
      <c r="D1346" s="116">
        <v>435.25</v>
      </c>
      <c r="E1346" s="116">
        <v>448</v>
      </c>
      <c r="F1346" s="116">
        <v>441.1</v>
      </c>
      <c r="G1346">
        <v>65956</v>
      </c>
      <c r="H1346" s="116"/>
      <c r="I1346" s="116"/>
      <c r="L1346" s="170">
        <v>44200</v>
      </c>
      <c r="M1346" s="116">
        <v>441.2</v>
      </c>
      <c r="N1346" s="116">
        <v>445.45</v>
      </c>
      <c r="O1346" s="116">
        <v>435.1</v>
      </c>
      <c r="P1346" s="116">
        <v>437.25</v>
      </c>
      <c r="Q1346" s="116">
        <v>441.2</v>
      </c>
      <c r="R1346">
        <v>454470</v>
      </c>
    </row>
    <row r="1347" spans="1:18" x14ac:dyDescent="0.25">
      <c r="A1347" s="170">
        <v>44201</v>
      </c>
      <c r="B1347" s="116">
        <v>443.9</v>
      </c>
      <c r="C1347" s="116">
        <v>437.45</v>
      </c>
      <c r="D1347" s="116">
        <v>436.1</v>
      </c>
      <c r="E1347" s="116">
        <v>436.1</v>
      </c>
      <c r="F1347" s="116">
        <v>437.45</v>
      </c>
      <c r="G1347">
        <v>40672</v>
      </c>
      <c r="H1347" s="116"/>
      <c r="I1347" s="116"/>
      <c r="L1347" s="170">
        <v>44201</v>
      </c>
      <c r="M1347" s="116">
        <v>437.95</v>
      </c>
      <c r="N1347" s="116">
        <v>443.9</v>
      </c>
      <c r="O1347" s="116">
        <v>436</v>
      </c>
      <c r="P1347" s="116">
        <v>441</v>
      </c>
      <c r="Q1347" s="116">
        <v>437.95</v>
      </c>
      <c r="R1347">
        <v>399092</v>
      </c>
    </row>
    <row r="1348" spans="1:18" x14ac:dyDescent="0.25">
      <c r="A1348" s="170">
        <v>44202</v>
      </c>
      <c r="B1348" s="116">
        <v>459.3</v>
      </c>
      <c r="C1348" s="116">
        <v>453.3</v>
      </c>
      <c r="D1348" s="116">
        <v>438</v>
      </c>
      <c r="E1348" s="116">
        <v>441.95</v>
      </c>
      <c r="F1348" s="116">
        <v>453.3</v>
      </c>
      <c r="G1348">
        <v>92033</v>
      </c>
      <c r="H1348" s="116"/>
      <c r="I1348" s="116"/>
      <c r="L1348" s="170">
        <v>44202</v>
      </c>
      <c r="M1348" s="116">
        <v>454.25</v>
      </c>
      <c r="N1348" s="116">
        <v>459.8</v>
      </c>
      <c r="O1348" s="116">
        <v>437.7</v>
      </c>
      <c r="P1348" s="116">
        <v>441</v>
      </c>
      <c r="Q1348" s="116">
        <v>454.25</v>
      </c>
      <c r="R1348">
        <v>1594908</v>
      </c>
    </row>
    <row r="1349" spans="1:18" x14ac:dyDescent="0.25">
      <c r="A1349" s="170">
        <v>44203</v>
      </c>
      <c r="B1349" s="116">
        <v>464</v>
      </c>
      <c r="C1349" s="116">
        <v>454.95</v>
      </c>
      <c r="D1349" s="116">
        <v>451.85</v>
      </c>
      <c r="E1349" s="116">
        <v>458.25</v>
      </c>
      <c r="F1349" s="116">
        <v>454.95</v>
      </c>
      <c r="G1349">
        <v>51805</v>
      </c>
      <c r="H1349" s="116"/>
      <c r="I1349" s="116"/>
      <c r="L1349" s="170">
        <v>44203</v>
      </c>
      <c r="M1349" s="116">
        <v>454.65</v>
      </c>
      <c r="N1349" s="116">
        <v>462.3</v>
      </c>
      <c r="O1349" s="116">
        <v>451.6</v>
      </c>
      <c r="P1349" s="116">
        <v>457</v>
      </c>
      <c r="Q1349" s="116">
        <v>454.65</v>
      </c>
      <c r="R1349">
        <v>1368304</v>
      </c>
    </row>
    <row r="1350" spans="1:18" x14ac:dyDescent="0.25">
      <c r="A1350" s="170">
        <v>44204</v>
      </c>
      <c r="B1350" s="116">
        <v>459.95</v>
      </c>
      <c r="C1350" s="116">
        <v>454.35</v>
      </c>
      <c r="D1350" s="116">
        <v>452.3</v>
      </c>
      <c r="E1350" s="116">
        <v>459.95</v>
      </c>
      <c r="F1350" s="116">
        <v>454.35</v>
      </c>
      <c r="G1350">
        <v>33077</v>
      </c>
      <c r="H1350" s="116"/>
      <c r="I1350" s="116"/>
      <c r="L1350" s="170">
        <v>44204</v>
      </c>
      <c r="M1350" s="116">
        <v>454.75</v>
      </c>
      <c r="N1350" s="116">
        <v>460</v>
      </c>
      <c r="O1350" s="116">
        <v>452.5</v>
      </c>
      <c r="P1350" s="116">
        <v>456.7</v>
      </c>
      <c r="Q1350" s="116">
        <v>454.75</v>
      </c>
      <c r="R1350">
        <v>354700</v>
      </c>
    </row>
    <row r="1351" spans="1:18" x14ac:dyDescent="0.25">
      <c r="A1351" s="170">
        <v>44207</v>
      </c>
      <c r="B1351" s="116">
        <v>464.25</v>
      </c>
      <c r="C1351" s="116">
        <v>448.9</v>
      </c>
      <c r="D1351" s="116">
        <v>441</v>
      </c>
      <c r="E1351" s="116">
        <v>459.95</v>
      </c>
      <c r="F1351" s="116">
        <v>448.9</v>
      </c>
      <c r="G1351">
        <v>36168</v>
      </c>
      <c r="H1351" s="116"/>
      <c r="I1351" s="116"/>
      <c r="L1351" s="170">
        <v>44207</v>
      </c>
      <c r="M1351" s="116">
        <v>448.3</v>
      </c>
      <c r="N1351" s="116">
        <v>464.4</v>
      </c>
      <c r="O1351" s="116">
        <v>441</v>
      </c>
      <c r="P1351" s="116">
        <v>458.6</v>
      </c>
      <c r="Q1351" s="116">
        <v>448.3</v>
      </c>
      <c r="R1351">
        <v>528940</v>
      </c>
    </row>
    <row r="1352" spans="1:18" x14ac:dyDescent="0.25">
      <c r="A1352" s="170">
        <v>44208</v>
      </c>
      <c r="B1352" s="116">
        <v>457.9</v>
      </c>
      <c r="C1352" s="116">
        <v>449.9</v>
      </c>
      <c r="D1352" s="116">
        <v>447.05</v>
      </c>
      <c r="E1352" s="116">
        <v>447.05</v>
      </c>
      <c r="F1352" s="116">
        <v>449.9</v>
      </c>
      <c r="G1352">
        <v>39395</v>
      </c>
      <c r="H1352" s="116"/>
      <c r="I1352" s="116"/>
      <c r="L1352" s="170">
        <v>44208</v>
      </c>
      <c r="M1352" s="116">
        <v>450</v>
      </c>
      <c r="N1352" s="116">
        <v>457.9</v>
      </c>
      <c r="O1352" s="116">
        <v>447.15</v>
      </c>
      <c r="P1352" s="116">
        <v>449.7</v>
      </c>
      <c r="Q1352" s="116">
        <v>450</v>
      </c>
      <c r="R1352">
        <v>322823</v>
      </c>
    </row>
    <row r="1353" spans="1:18" x14ac:dyDescent="0.25">
      <c r="A1353" s="170">
        <v>44209</v>
      </c>
      <c r="B1353" s="116">
        <v>453.75</v>
      </c>
      <c r="C1353" s="116">
        <v>447.2</v>
      </c>
      <c r="D1353" s="116">
        <v>442.25</v>
      </c>
      <c r="E1353" s="116">
        <v>449</v>
      </c>
      <c r="F1353" s="116">
        <v>447.2</v>
      </c>
      <c r="G1353">
        <v>34811</v>
      </c>
      <c r="H1353" s="116"/>
      <c r="I1353" s="116"/>
      <c r="L1353" s="170">
        <v>44209</v>
      </c>
      <c r="M1353" s="116">
        <v>446.85</v>
      </c>
      <c r="N1353" s="116">
        <v>454.15</v>
      </c>
      <c r="O1353" s="116">
        <v>441.5</v>
      </c>
      <c r="P1353" s="116">
        <v>450</v>
      </c>
      <c r="Q1353" s="116">
        <v>446.85</v>
      </c>
      <c r="R1353">
        <v>290357</v>
      </c>
    </row>
    <row r="1354" spans="1:18" x14ac:dyDescent="0.25">
      <c r="A1354" s="170">
        <v>44210</v>
      </c>
      <c r="B1354" s="116">
        <v>454.9</v>
      </c>
      <c r="C1354" s="116">
        <v>443.45</v>
      </c>
      <c r="D1354" s="116">
        <v>433.4</v>
      </c>
      <c r="E1354" s="116">
        <v>448</v>
      </c>
      <c r="F1354" s="116">
        <v>443.45</v>
      </c>
      <c r="G1354">
        <v>53984</v>
      </c>
      <c r="H1354" s="116"/>
      <c r="I1354" s="116"/>
      <c r="L1354" s="170">
        <v>44210</v>
      </c>
      <c r="M1354" s="116">
        <v>443.45</v>
      </c>
      <c r="N1354" s="116">
        <v>455</v>
      </c>
      <c r="O1354" s="116">
        <v>432.95</v>
      </c>
      <c r="P1354" s="116">
        <v>449.1</v>
      </c>
      <c r="Q1354" s="116">
        <v>443.45</v>
      </c>
      <c r="R1354">
        <v>426825</v>
      </c>
    </row>
    <row r="1355" spans="1:18" x14ac:dyDescent="0.25">
      <c r="A1355" s="170">
        <v>44211</v>
      </c>
      <c r="B1355" s="116">
        <v>447</v>
      </c>
      <c r="C1355" s="116">
        <v>433.25</v>
      </c>
      <c r="D1355" s="116">
        <v>428</v>
      </c>
      <c r="E1355" s="116">
        <v>443.6</v>
      </c>
      <c r="F1355" s="116">
        <v>433.25</v>
      </c>
      <c r="G1355">
        <v>38185</v>
      </c>
      <c r="H1355" s="116"/>
      <c r="I1355" s="116"/>
      <c r="L1355" s="170">
        <v>44211</v>
      </c>
      <c r="M1355" s="116">
        <v>432.85</v>
      </c>
      <c r="N1355" s="116">
        <v>447.9</v>
      </c>
      <c r="O1355" s="116">
        <v>428</v>
      </c>
      <c r="P1355" s="116">
        <v>445.95</v>
      </c>
      <c r="Q1355" s="116">
        <v>432.85</v>
      </c>
      <c r="R1355">
        <v>265713</v>
      </c>
    </row>
    <row r="1356" spans="1:18" x14ac:dyDescent="0.25">
      <c r="A1356" s="170">
        <v>44214</v>
      </c>
      <c r="B1356" s="116">
        <v>432.5</v>
      </c>
      <c r="C1356" s="116">
        <v>405.95</v>
      </c>
      <c r="D1356" s="116">
        <v>400</v>
      </c>
      <c r="E1356" s="116">
        <v>425.5</v>
      </c>
      <c r="F1356" s="116">
        <v>405.95</v>
      </c>
      <c r="G1356">
        <v>68850</v>
      </c>
      <c r="H1356" s="116"/>
      <c r="I1356" s="116"/>
      <c r="L1356" s="170">
        <v>44214</v>
      </c>
      <c r="M1356" s="116">
        <v>406.1</v>
      </c>
      <c r="N1356" s="116">
        <v>433.4</v>
      </c>
      <c r="O1356" s="116">
        <v>397.15</v>
      </c>
      <c r="P1356" s="116">
        <v>433.4</v>
      </c>
      <c r="Q1356" s="116">
        <v>406.1</v>
      </c>
      <c r="R1356">
        <v>526937</v>
      </c>
    </row>
    <row r="1357" spans="1:18" x14ac:dyDescent="0.25">
      <c r="A1357" s="170">
        <v>44215</v>
      </c>
      <c r="B1357" s="116">
        <v>423</v>
      </c>
      <c r="C1357" s="116">
        <v>418.05</v>
      </c>
      <c r="D1357" s="116">
        <v>407.05</v>
      </c>
      <c r="E1357" s="116">
        <v>407.55</v>
      </c>
      <c r="F1357" s="116">
        <v>418.05</v>
      </c>
      <c r="G1357">
        <v>34016</v>
      </c>
      <c r="H1357" s="116"/>
      <c r="I1357" s="116"/>
      <c r="L1357" s="170">
        <v>44215</v>
      </c>
      <c r="M1357" s="116">
        <v>418.1</v>
      </c>
      <c r="N1357" s="116">
        <v>423.4</v>
      </c>
      <c r="O1357" s="116">
        <v>406</v>
      </c>
      <c r="P1357" s="116">
        <v>410</v>
      </c>
      <c r="Q1357" s="116">
        <v>418.1</v>
      </c>
      <c r="R1357">
        <v>435407</v>
      </c>
    </row>
    <row r="1358" spans="1:18" x14ac:dyDescent="0.25">
      <c r="A1358" s="170">
        <v>44216</v>
      </c>
      <c r="B1358" s="116">
        <v>458</v>
      </c>
      <c r="C1358" s="116">
        <v>455.55</v>
      </c>
      <c r="D1358" s="116">
        <v>418.5</v>
      </c>
      <c r="E1358" s="116">
        <v>420.55</v>
      </c>
      <c r="F1358" s="116">
        <v>455.55</v>
      </c>
      <c r="G1358">
        <v>123131</v>
      </c>
      <c r="H1358" s="116"/>
      <c r="I1358" s="116"/>
      <c r="L1358" s="170">
        <v>44216</v>
      </c>
      <c r="M1358" s="116">
        <v>455.2</v>
      </c>
      <c r="N1358" s="116">
        <v>458</v>
      </c>
      <c r="O1358" s="116">
        <v>418.1</v>
      </c>
      <c r="P1358" s="116">
        <v>421.7</v>
      </c>
      <c r="Q1358" s="116">
        <v>455.2</v>
      </c>
      <c r="R1358">
        <v>2495792</v>
      </c>
    </row>
    <row r="1359" spans="1:18" x14ac:dyDescent="0.25">
      <c r="A1359" s="170">
        <v>44217</v>
      </c>
      <c r="B1359" s="116">
        <v>478</v>
      </c>
      <c r="C1359" s="116">
        <v>471.25</v>
      </c>
      <c r="D1359" s="116">
        <v>447.85</v>
      </c>
      <c r="E1359" s="116">
        <v>458</v>
      </c>
      <c r="F1359" s="116">
        <v>471.25</v>
      </c>
      <c r="G1359">
        <v>192950</v>
      </c>
      <c r="H1359" s="116"/>
      <c r="I1359" s="116"/>
      <c r="L1359" s="170">
        <v>44217</v>
      </c>
      <c r="M1359" s="116">
        <v>471.65</v>
      </c>
      <c r="N1359" s="116">
        <v>478</v>
      </c>
      <c r="O1359" s="116">
        <v>448</v>
      </c>
      <c r="P1359" s="116">
        <v>458.35</v>
      </c>
      <c r="Q1359" s="116">
        <v>471.65</v>
      </c>
      <c r="R1359">
        <v>1905251</v>
      </c>
    </row>
    <row r="1360" spans="1:18" x14ac:dyDescent="0.25">
      <c r="A1360" s="170">
        <v>44218</v>
      </c>
      <c r="B1360" s="116">
        <v>486.15</v>
      </c>
      <c r="C1360" s="116">
        <v>477.15</v>
      </c>
      <c r="D1360" s="116">
        <v>463</v>
      </c>
      <c r="E1360" s="116">
        <v>472</v>
      </c>
      <c r="F1360" s="116">
        <v>477.15</v>
      </c>
      <c r="G1360">
        <v>107675</v>
      </c>
      <c r="H1360" s="116"/>
      <c r="I1360" s="116"/>
      <c r="L1360" s="170">
        <v>44218</v>
      </c>
      <c r="M1360" s="116">
        <v>477.2</v>
      </c>
      <c r="N1360" s="116">
        <v>486</v>
      </c>
      <c r="O1360" s="116">
        <v>462.65</v>
      </c>
      <c r="P1360" s="116">
        <v>475.1</v>
      </c>
      <c r="Q1360" s="116">
        <v>477.2</v>
      </c>
      <c r="R1360">
        <v>1428525</v>
      </c>
    </row>
    <row r="1361" spans="1:18" x14ac:dyDescent="0.25">
      <c r="A1361" s="170">
        <v>44221</v>
      </c>
      <c r="B1361" s="116">
        <v>500</v>
      </c>
      <c r="C1361" s="116">
        <v>471.15</v>
      </c>
      <c r="D1361" s="116">
        <v>465</v>
      </c>
      <c r="E1361" s="116">
        <v>500</v>
      </c>
      <c r="F1361" s="116">
        <v>471.15</v>
      </c>
      <c r="G1361">
        <v>61260</v>
      </c>
      <c r="H1361" s="116"/>
      <c r="I1361" s="116"/>
      <c r="L1361" s="170">
        <v>44221</v>
      </c>
      <c r="M1361" s="116">
        <v>471.6</v>
      </c>
      <c r="N1361" s="116">
        <v>489.4</v>
      </c>
      <c r="O1361" s="116">
        <v>465</v>
      </c>
      <c r="P1361" s="116">
        <v>486</v>
      </c>
      <c r="Q1361" s="116">
        <v>471.6</v>
      </c>
      <c r="R1361">
        <v>732208</v>
      </c>
    </row>
    <row r="1362" spans="1:18" x14ac:dyDescent="0.25">
      <c r="A1362" s="170">
        <v>44223</v>
      </c>
      <c r="B1362" s="116">
        <v>487.3</v>
      </c>
      <c r="C1362" s="116">
        <v>463.15</v>
      </c>
      <c r="D1362" s="116">
        <v>461</v>
      </c>
      <c r="E1362" s="116">
        <v>467.75</v>
      </c>
      <c r="F1362" s="116">
        <v>463.15</v>
      </c>
      <c r="G1362">
        <v>53262</v>
      </c>
      <c r="H1362" s="116"/>
      <c r="I1362" s="116"/>
      <c r="L1362" s="170">
        <v>44223</v>
      </c>
      <c r="M1362" s="116">
        <v>464.05</v>
      </c>
      <c r="N1362" s="116">
        <v>487.45</v>
      </c>
      <c r="O1362" s="116">
        <v>461</v>
      </c>
      <c r="P1362" s="116">
        <v>468.35</v>
      </c>
      <c r="Q1362" s="116">
        <v>464.05</v>
      </c>
      <c r="R1362">
        <v>600672</v>
      </c>
    </row>
    <row r="1363" spans="1:18" x14ac:dyDescent="0.25">
      <c r="A1363" s="170">
        <v>44224</v>
      </c>
      <c r="B1363" s="116">
        <v>475.75</v>
      </c>
      <c r="C1363" s="116">
        <v>459.8</v>
      </c>
      <c r="D1363" s="116">
        <v>449</v>
      </c>
      <c r="E1363" s="116">
        <v>460</v>
      </c>
      <c r="F1363" s="116">
        <v>459.8</v>
      </c>
      <c r="G1363">
        <v>39965</v>
      </c>
      <c r="H1363" s="116"/>
      <c r="I1363" s="116"/>
      <c r="L1363" s="170">
        <v>44224</v>
      </c>
      <c r="M1363" s="116">
        <v>459.3</v>
      </c>
      <c r="N1363" s="116">
        <v>475.85</v>
      </c>
      <c r="O1363" s="116">
        <v>448.35</v>
      </c>
      <c r="P1363" s="116">
        <v>458</v>
      </c>
      <c r="Q1363" s="116">
        <v>459.3</v>
      </c>
      <c r="R1363">
        <v>522871</v>
      </c>
    </row>
    <row r="1364" spans="1:18" x14ac:dyDescent="0.25">
      <c r="A1364" s="170">
        <v>44225</v>
      </c>
      <c r="B1364" s="116">
        <v>472.75</v>
      </c>
      <c r="C1364" s="116">
        <v>461</v>
      </c>
      <c r="D1364" s="116">
        <v>454.25</v>
      </c>
      <c r="E1364" s="116">
        <v>469</v>
      </c>
      <c r="F1364" s="116">
        <v>461</v>
      </c>
      <c r="G1364">
        <v>34311</v>
      </c>
      <c r="H1364" s="116"/>
      <c r="I1364" s="116"/>
      <c r="L1364" s="170">
        <v>44225</v>
      </c>
      <c r="M1364" s="116">
        <v>460.15</v>
      </c>
      <c r="N1364" s="116">
        <v>473.1</v>
      </c>
      <c r="O1364" s="116">
        <v>453</v>
      </c>
      <c r="P1364" s="116">
        <v>463.9</v>
      </c>
      <c r="Q1364" s="116">
        <v>460.15</v>
      </c>
      <c r="R1364">
        <v>336323</v>
      </c>
    </row>
    <row r="1365" spans="1:18" x14ac:dyDescent="0.25">
      <c r="A1365" s="170">
        <v>44228</v>
      </c>
      <c r="B1365" s="116">
        <v>491.55</v>
      </c>
      <c r="C1365" s="116">
        <v>482.3</v>
      </c>
      <c r="D1365" s="116">
        <v>456.45</v>
      </c>
      <c r="E1365" s="116">
        <v>463.3</v>
      </c>
      <c r="F1365" s="116">
        <v>482.3</v>
      </c>
      <c r="G1365">
        <v>61435</v>
      </c>
      <c r="H1365" s="116"/>
      <c r="I1365" s="116"/>
      <c r="L1365" s="170">
        <v>44228</v>
      </c>
      <c r="M1365" s="116">
        <v>481.5</v>
      </c>
      <c r="N1365" s="116">
        <v>492</v>
      </c>
      <c r="O1365" s="116">
        <v>456.9</v>
      </c>
      <c r="P1365" s="116">
        <v>465.55</v>
      </c>
      <c r="Q1365" s="116">
        <v>481.5</v>
      </c>
      <c r="R1365">
        <v>633491</v>
      </c>
    </row>
    <row r="1366" spans="1:18" x14ac:dyDescent="0.25">
      <c r="A1366" s="170">
        <v>44229</v>
      </c>
      <c r="B1366" s="116">
        <v>498.6</v>
      </c>
      <c r="C1366" s="116">
        <v>491.55</v>
      </c>
      <c r="D1366" s="116">
        <v>473.75</v>
      </c>
      <c r="E1366" s="116">
        <v>489.45</v>
      </c>
      <c r="F1366" s="116">
        <v>491.55</v>
      </c>
      <c r="G1366">
        <v>68858</v>
      </c>
      <c r="H1366" s="116"/>
      <c r="I1366" s="116"/>
      <c r="L1366" s="170">
        <v>44229</v>
      </c>
      <c r="M1366" s="116">
        <v>491.35</v>
      </c>
      <c r="N1366" s="116">
        <v>498.7</v>
      </c>
      <c r="O1366" s="116">
        <v>472.5</v>
      </c>
      <c r="P1366" s="116">
        <v>488.3</v>
      </c>
      <c r="Q1366" s="116">
        <v>491.35</v>
      </c>
      <c r="R1366">
        <v>790371</v>
      </c>
    </row>
    <row r="1367" spans="1:18" x14ac:dyDescent="0.25">
      <c r="A1367" s="170">
        <v>44230</v>
      </c>
      <c r="B1367" s="116">
        <v>511.7</v>
      </c>
      <c r="C1367" s="116">
        <v>504.65</v>
      </c>
      <c r="D1367" s="116">
        <v>483</v>
      </c>
      <c r="E1367" s="116">
        <v>492.15</v>
      </c>
      <c r="F1367" s="116">
        <v>504.65</v>
      </c>
      <c r="G1367">
        <v>64740</v>
      </c>
      <c r="H1367" s="116"/>
      <c r="I1367" s="116"/>
      <c r="L1367" s="170">
        <v>44230</v>
      </c>
      <c r="M1367" s="116">
        <v>504.7</v>
      </c>
      <c r="N1367" s="116">
        <v>511.7</v>
      </c>
      <c r="O1367" s="116">
        <v>482.25</v>
      </c>
      <c r="P1367" s="116">
        <v>494.5</v>
      </c>
      <c r="Q1367" s="116">
        <v>504.7</v>
      </c>
      <c r="R1367">
        <v>721495</v>
      </c>
    </row>
    <row r="1368" spans="1:18" x14ac:dyDescent="0.25">
      <c r="A1368" s="170">
        <v>44231</v>
      </c>
      <c r="B1368" s="116">
        <v>525.1</v>
      </c>
      <c r="C1368" s="116">
        <v>516.75</v>
      </c>
      <c r="D1368" s="116">
        <v>504</v>
      </c>
      <c r="E1368" s="116">
        <v>513</v>
      </c>
      <c r="F1368" s="116">
        <v>516.75</v>
      </c>
      <c r="G1368">
        <v>78911</v>
      </c>
      <c r="H1368" s="116"/>
      <c r="I1368" s="116"/>
      <c r="L1368" s="170">
        <v>44231</v>
      </c>
      <c r="M1368" s="116">
        <v>516.20000000000005</v>
      </c>
      <c r="N1368" s="116">
        <v>525</v>
      </c>
      <c r="O1368" s="116">
        <v>503.15</v>
      </c>
      <c r="P1368" s="116">
        <v>505.9</v>
      </c>
      <c r="Q1368" s="116">
        <v>516.20000000000005</v>
      </c>
      <c r="R1368">
        <v>854581</v>
      </c>
    </row>
    <row r="1369" spans="1:18" x14ac:dyDescent="0.25">
      <c r="A1369" s="170">
        <v>44232</v>
      </c>
      <c r="B1369" s="116">
        <v>545</v>
      </c>
      <c r="C1369" s="116">
        <v>529.6</v>
      </c>
      <c r="D1369" s="116">
        <v>518</v>
      </c>
      <c r="E1369" s="116">
        <v>526.04999999999995</v>
      </c>
      <c r="F1369" s="116">
        <v>529.6</v>
      </c>
      <c r="G1369">
        <v>142086</v>
      </c>
      <c r="H1369" s="116"/>
      <c r="I1369" s="116"/>
      <c r="L1369" s="170">
        <v>44232</v>
      </c>
      <c r="M1369" s="116">
        <v>529.25</v>
      </c>
      <c r="N1369" s="116">
        <v>544.95000000000005</v>
      </c>
      <c r="O1369" s="116">
        <v>517.54999999999995</v>
      </c>
      <c r="P1369" s="116">
        <v>531</v>
      </c>
      <c r="Q1369" s="116">
        <v>529.25</v>
      </c>
      <c r="R1369">
        <v>1328135</v>
      </c>
    </row>
    <row r="1370" spans="1:18" x14ac:dyDescent="0.25">
      <c r="A1370" s="170">
        <v>44235</v>
      </c>
      <c r="B1370" s="116">
        <v>589</v>
      </c>
      <c r="C1370" s="116">
        <v>573.25</v>
      </c>
      <c r="D1370" s="116">
        <v>522.95000000000005</v>
      </c>
      <c r="E1370" s="116">
        <v>530</v>
      </c>
      <c r="F1370" s="116">
        <v>573.25</v>
      </c>
      <c r="G1370">
        <v>91725</v>
      </c>
      <c r="H1370" s="116"/>
      <c r="I1370" s="116"/>
      <c r="L1370" s="170">
        <v>44235</v>
      </c>
      <c r="M1370" s="116">
        <v>571.54999999999995</v>
      </c>
      <c r="N1370" s="116">
        <v>590</v>
      </c>
      <c r="O1370" s="116">
        <v>530.25</v>
      </c>
      <c r="P1370" s="116">
        <v>530.25</v>
      </c>
      <c r="Q1370" s="116">
        <v>571.54999999999995</v>
      </c>
      <c r="R1370">
        <v>1235134</v>
      </c>
    </row>
    <row r="1371" spans="1:18" x14ac:dyDescent="0.25">
      <c r="A1371" s="170">
        <v>44236</v>
      </c>
      <c r="B1371" s="116">
        <v>583.65</v>
      </c>
      <c r="C1371" s="116">
        <v>566.70000000000005</v>
      </c>
      <c r="D1371" s="116">
        <v>560.15</v>
      </c>
      <c r="E1371" s="116">
        <v>571.9</v>
      </c>
      <c r="F1371" s="116">
        <v>566.70000000000005</v>
      </c>
      <c r="G1371">
        <v>80140</v>
      </c>
      <c r="H1371" s="116"/>
      <c r="I1371" s="116"/>
      <c r="L1371" s="170">
        <v>44236</v>
      </c>
      <c r="M1371" s="116">
        <v>567.20000000000005</v>
      </c>
      <c r="N1371" s="116">
        <v>583.75</v>
      </c>
      <c r="O1371" s="116">
        <v>561</v>
      </c>
      <c r="P1371" s="116">
        <v>570</v>
      </c>
      <c r="Q1371" s="116">
        <v>567.20000000000005</v>
      </c>
      <c r="R1371">
        <v>705297</v>
      </c>
    </row>
    <row r="1372" spans="1:18" x14ac:dyDescent="0.25">
      <c r="A1372" s="170">
        <v>44237</v>
      </c>
      <c r="B1372" s="116">
        <v>578.04999999999995</v>
      </c>
      <c r="C1372" s="116">
        <v>563.95000000000005</v>
      </c>
      <c r="D1372" s="116">
        <v>556.79999999999995</v>
      </c>
      <c r="E1372" s="116">
        <v>578.04999999999995</v>
      </c>
      <c r="F1372" s="116">
        <v>563.95000000000005</v>
      </c>
      <c r="G1372">
        <v>51395</v>
      </c>
      <c r="H1372" s="116"/>
      <c r="I1372" s="116"/>
      <c r="L1372" s="170">
        <v>44237</v>
      </c>
      <c r="M1372" s="116">
        <v>564.45000000000005</v>
      </c>
      <c r="N1372" s="116">
        <v>572.79999999999995</v>
      </c>
      <c r="O1372" s="116">
        <v>556.1</v>
      </c>
      <c r="P1372" s="116">
        <v>565.65</v>
      </c>
      <c r="Q1372" s="116">
        <v>564.45000000000005</v>
      </c>
      <c r="R1372">
        <v>380597</v>
      </c>
    </row>
    <row r="1373" spans="1:18" x14ac:dyDescent="0.25">
      <c r="A1373" s="170">
        <v>44238</v>
      </c>
      <c r="B1373" s="116">
        <v>592</v>
      </c>
      <c r="C1373" s="116">
        <v>588.75</v>
      </c>
      <c r="D1373" s="116">
        <v>563.6</v>
      </c>
      <c r="E1373" s="116">
        <v>564.25</v>
      </c>
      <c r="F1373" s="116">
        <v>588.75</v>
      </c>
      <c r="G1373">
        <v>30533</v>
      </c>
      <c r="H1373" s="116"/>
      <c r="I1373" s="116"/>
      <c r="L1373" s="170">
        <v>44238</v>
      </c>
      <c r="M1373" s="116">
        <v>589.04999999999995</v>
      </c>
      <c r="N1373" s="116">
        <v>592.9</v>
      </c>
      <c r="O1373" s="116">
        <v>559.29999999999995</v>
      </c>
      <c r="P1373" s="116">
        <v>564</v>
      </c>
      <c r="Q1373" s="116">
        <v>589.04999999999995</v>
      </c>
      <c r="R1373">
        <v>682583</v>
      </c>
    </row>
    <row r="1374" spans="1:18" x14ac:dyDescent="0.25">
      <c r="A1374" s="170">
        <v>44239</v>
      </c>
      <c r="B1374" s="116">
        <v>632.95000000000005</v>
      </c>
      <c r="C1374" s="116">
        <v>627.6</v>
      </c>
      <c r="D1374" s="116">
        <v>592.65</v>
      </c>
      <c r="E1374" s="116">
        <v>596.29999999999995</v>
      </c>
      <c r="F1374" s="116">
        <v>627.6</v>
      </c>
      <c r="G1374">
        <v>114013</v>
      </c>
      <c r="H1374" s="116"/>
      <c r="I1374" s="116"/>
      <c r="L1374" s="170">
        <v>44239</v>
      </c>
      <c r="M1374" s="116">
        <v>627.54999999999995</v>
      </c>
      <c r="N1374" s="116">
        <v>632.9</v>
      </c>
      <c r="O1374" s="116">
        <v>589.15</v>
      </c>
      <c r="P1374" s="116">
        <v>593.5</v>
      </c>
      <c r="Q1374" s="116">
        <v>627.54999999999995</v>
      </c>
      <c r="R1374">
        <v>2414639</v>
      </c>
    </row>
    <row r="1375" spans="1:18" x14ac:dyDescent="0.25">
      <c r="A1375" s="170">
        <v>44242</v>
      </c>
      <c r="B1375" s="116">
        <v>706.45</v>
      </c>
      <c r="C1375" s="116">
        <v>683.35</v>
      </c>
      <c r="D1375" s="116">
        <v>630</v>
      </c>
      <c r="E1375" s="116">
        <v>645</v>
      </c>
      <c r="F1375" s="116">
        <v>683.35</v>
      </c>
      <c r="G1375">
        <v>325564</v>
      </c>
      <c r="H1375" s="116"/>
      <c r="I1375" s="116"/>
      <c r="L1375" s="170">
        <v>44242</v>
      </c>
      <c r="M1375" s="116">
        <v>682.85</v>
      </c>
      <c r="N1375" s="116">
        <v>706</v>
      </c>
      <c r="O1375" s="116">
        <v>629.1</v>
      </c>
      <c r="P1375" s="116">
        <v>629.1</v>
      </c>
      <c r="Q1375" s="116">
        <v>682.85</v>
      </c>
      <c r="R1375">
        <v>5279347</v>
      </c>
    </row>
    <row r="1376" spans="1:18" x14ac:dyDescent="0.25">
      <c r="A1376" s="170">
        <v>44243</v>
      </c>
      <c r="B1376" s="116">
        <v>787.8</v>
      </c>
      <c r="C1376" s="116">
        <v>764.05</v>
      </c>
      <c r="D1376" s="116">
        <v>687.15</v>
      </c>
      <c r="E1376" s="116">
        <v>710</v>
      </c>
      <c r="F1376" s="116">
        <v>764.05</v>
      </c>
      <c r="G1376">
        <v>346745</v>
      </c>
      <c r="H1376" s="116"/>
      <c r="I1376" s="116"/>
      <c r="L1376" s="170">
        <v>44243</v>
      </c>
      <c r="M1376" s="116">
        <v>763.55</v>
      </c>
      <c r="N1376" s="116">
        <v>787.7</v>
      </c>
      <c r="O1376" s="116">
        <v>689</v>
      </c>
      <c r="P1376" s="116">
        <v>690</v>
      </c>
      <c r="Q1376" s="116">
        <v>763.55</v>
      </c>
      <c r="R1376">
        <v>4652336</v>
      </c>
    </row>
    <row r="1377" spans="1:18" x14ac:dyDescent="0.25">
      <c r="A1377" s="170">
        <v>44244</v>
      </c>
      <c r="B1377" s="116">
        <v>820.05</v>
      </c>
      <c r="C1377" s="116">
        <v>749.55</v>
      </c>
      <c r="D1377" s="116">
        <v>712.1</v>
      </c>
      <c r="E1377" s="116">
        <v>778.15</v>
      </c>
      <c r="F1377" s="116">
        <v>749.55</v>
      </c>
      <c r="G1377">
        <v>406422</v>
      </c>
      <c r="H1377" s="116"/>
      <c r="I1377" s="116"/>
      <c r="L1377" s="170">
        <v>44244</v>
      </c>
      <c r="M1377" s="116">
        <v>756.25</v>
      </c>
      <c r="N1377" s="116">
        <v>820</v>
      </c>
      <c r="O1377" s="116">
        <v>712</v>
      </c>
      <c r="P1377" s="116">
        <v>767</v>
      </c>
      <c r="Q1377" s="116">
        <v>756.25</v>
      </c>
      <c r="R1377">
        <v>5757036</v>
      </c>
    </row>
    <row r="1378" spans="1:18" x14ac:dyDescent="0.25">
      <c r="A1378" s="170">
        <v>44245</v>
      </c>
      <c r="B1378" s="116">
        <v>813</v>
      </c>
      <c r="C1378" s="116">
        <v>784.2</v>
      </c>
      <c r="D1378" s="116">
        <v>725</v>
      </c>
      <c r="E1378" s="116">
        <v>761.1</v>
      </c>
      <c r="F1378" s="116">
        <v>784.2</v>
      </c>
      <c r="G1378">
        <v>140889</v>
      </c>
      <c r="H1378" s="116"/>
      <c r="I1378" s="116"/>
      <c r="L1378" s="170">
        <v>44245</v>
      </c>
      <c r="M1378" s="116">
        <v>786.2</v>
      </c>
      <c r="N1378" s="116">
        <v>798.9</v>
      </c>
      <c r="O1378" s="116">
        <v>720</v>
      </c>
      <c r="P1378" s="116">
        <v>768</v>
      </c>
      <c r="Q1378" s="116">
        <v>786.2</v>
      </c>
      <c r="R1378">
        <v>2664007</v>
      </c>
    </row>
    <row r="1379" spans="1:18" x14ac:dyDescent="0.25">
      <c r="A1379" s="170">
        <v>44246</v>
      </c>
      <c r="B1379" s="116">
        <v>796.7</v>
      </c>
      <c r="C1379" s="116">
        <v>769</v>
      </c>
      <c r="D1379" s="116">
        <v>720.05</v>
      </c>
      <c r="E1379" s="116">
        <v>796.7</v>
      </c>
      <c r="F1379" s="116">
        <v>769</v>
      </c>
      <c r="G1379">
        <v>90757</v>
      </c>
      <c r="H1379" s="116"/>
      <c r="I1379" s="116"/>
      <c r="L1379" s="170">
        <v>44246</v>
      </c>
      <c r="M1379" s="116">
        <v>770.15</v>
      </c>
      <c r="N1379" s="116">
        <v>792</v>
      </c>
      <c r="O1379" s="116">
        <v>720</v>
      </c>
      <c r="P1379" s="116">
        <v>790</v>
      </c>
      <c r="Q1379" s="116">
        <v>770.15</v>
      </c>
      <c r="R1379">
        <v>1763347</v>
      </c>
    </row>
    <row r="1380" spans="1:18" x14ac:dyDescent="0.25">
      <c r="A1380" s="170">
        <v>44249</v>
      </c>
      <c r="B1380" s="116">
        <v>778.8</v>
      </c>
      <c r="C1380" s="116">
        <v>759.4</v>
      </c>
      <c r="D1380" s="116">
        <v>750</v>
      </c>
      <c r="E1380" s="116">
        <v>778.8</v>
      </c>
      <c r="F1380" s="116">
        <v>759.4</v>
      </c>
      <c r="G1380">
        <v>51908</v>
      </c>
      <c r="H1380" s="116"/>
      <c r="I1380" s="116"/>
      <c r="L1380" s="170">
        <v>44249</v>
      </c>
      <c r="M1380" s="116">
        <v>759.5</v>
      </c>
      <c r="N1380" s="116">
        <v>776.45</v>
      </c>
      <c r="O1380" s="116">
        <v>745</v>
      </c>
      <c r="P1380" s="116">
        <v>770</v>
      </c>
      <c r="Q1380" s="116">
        <v>759.5</v>
      </c>
      <c r="R1380">
        <v>952152</v>
      </c>
    </row>
    <row r="1381" spans="1:18" x14ac:dyDescent="0.25">
      <c r="A1381" s="170">
        <v>44250</v>
      </c>
      <c r="B1381" s="116">
        <v>766.6</v>
      </c>
      <c r="C1381" s="116">
        <v>733.4</v>
      </c>
      <c r="D1381" s="116">
        <v>721.1</v>
      </c>
      <c r="E1381" s="116">
        <v>762</v>
      </c>
      <c r="F1381" s="116">
        <v>733.4</v>
      </c>
      <c r="G1381">
        <v>53799</v>
      </c>
      <c r="H1381" s="116"/>
      <c r="I1381" s="116"/>
      <c r="L1381" s="170">
        <v>44250</v>
      </c>
      <c r="M1381" s="116">
        <v>734.5</v>
      </c>
      <c r="N1381" s="116">
        <v>766.95</v>
      </c>
      <c r="O1381" s="116">
        <v>721</v>
      </c>
      <c r="P1381" s="116">
        <v>762</v>
      </c>
      <c r="Q1381" s="116">
        <v>734.5</v>
      </c>
      <c r="R1381">
        <v>812740</v>
      </c>
    </row>
    <row r="1382" spans="1:18" x14ac:dyDescent="0.25">
      <c r="A1382" s="170">
        <v>44251</v>
      </c>
      <c r="B1382" s="116">
        <v>758</v>
      </c>
      <c r="C1382" s="116">
        <v>742.55</v>
      </c>
      <c r="D1382" s="116">
        <v>688.55</v>
      </c>
      <c r="E1382" s="116">
        <v>742</v>
      </c>
      <c r="F1382" s="116">
        <v>742.55</v>
      </c>
      <c r="G1382">
        <v>91558</v>
      </c>
      <c r="H1382" s="116"/>
      <c r="I1382" s="116"/>
      <c r="L1382" s="170">
        <v>44251</v>
      </c>
      <c r="M1382" s="116">
        <v>743.75</v>
      </c>
      <c r="N1382" s="116">
        <v>758.9</v>
      </c>
      <c r="O1382" s="116">
        <v>687</v>
      </c>
      <c r="P1382" s="116">
        <v>740</v>
      </c>
      <c r="Q1382" s="116">
        <v>743.75</v>
      </c>
      <c r="R1382">
        <v>727244</v>
      </c>
    </row>
    <row r="1383" spans="1:18" x14ac:dyDescent="0.25">
      <c r="A1383" s="170">
        <v>44252</v>
      </c>
      <c r="B1383" s="116">
        <v>759.95</v>
      </c>
      <c r="C1383" s="116">
        <v>740</v>
      </c>
      <c r="D1383" s="116">
        <v>736</v>
      </c>
      <c r="E1383" s="116">
        <v>749.9</v>
      </c>
      <c r="F1383" s="116">
        <v>740</v>
      </c>
      <c r="G1383">
        <v>27948</v>
      </c>
      <c r="H1383" s="116"/>
      <c r="I1383" s="116"/>
      <c r="L1383" s="170">
        <v>44252</v>
      </c>
      <c r="M1383" s="116">
        <v>739.6</v>
      </c>
      <c r="N1383" s="116">
        <v>758</v>
      </c>
      <c r="O1383" s="116">
        <v>735.5</v>
      </c>
      <c r="P1383" s="116">
        <v>749.9</v>
      </c>
      <c r="Q1383" s="116">
        <v>739.6</v>
      </c>
      <c r="R1383">
        <v>505499</v>
      </c>
    </row>
    <row r="1384" spans="1:18" x14ac:dyDescent="0.25">
      <c r="A1384" s="170">
        <v>44253</v>
      </c>
      <c r="B1384" s="116">
        <v>769.1</v>
      </c>
      <c r="C1384" s="116">
        <v>749.6</v>
      </c>
      <c r="D1384" s="116">
        <v>724</v>
      </c>
      <c r="E1384" s="116">
        <v>729</v>
      </c>
      <c r="F1384" s="116">
        <v>749.6</v>
      </c>
      <c r="G1384">
        <v>72640</v>
      </c>
      <c r="H1384" s="116"/>
      <c r="I1384" s="116"/>
      <c r="L1384" s="170">
        <v>44253</v>
      </c>
      <c r="M1384" s="116">
        <v>750</v>
      </c>
      <c r="N1384" s="116">
        <v>769.85</v>
      </c>
      <c r="O1384" s="116">
        <v>721</v>
      </c>
      <c r="P1384" s="116">
        <v>734</v>
      </c>
      <c r="Q1384" s="116">
        <v>750</v>
      </c>
      <c r="R1384">
        <v>825368</v>
      </c>
    </row>
    <row r="1385" spans="1:18" x14ac:dyDescent="0.25">
      <c r="A1385" s="170">
        <v>44256</v>
      </c>
      <c r="B1385" s="116">
        <v>768</v>
      </c>
      <c r="C1385" s="116">
        <v>758.35</v>
      </c>
      <c r="D1385" s="116">
        <v>737.55</v>
      </c>
      <c r="E1385" s="116">
        <v>764.6</v>
      </c>
      <c r="F1385" s="116">
        <v>758.35</v>
      </c>
      <c r="G1385">
        <v>20742</v>
      </c>
      <c r="H1385" s="116"/>
      <c r="I1385" s="116"/>
      <c r="L1385" s="170">
        <v>44256</v>
      </c>
      <c r="M1385" s="116">
        <v>758.05</v>
      </c>
      <c r="N1385" s="116">
        <v>768</v>
      </c>
      <c r="O1385" s="116">
        <v>736.9</v>
      </c>
      <c r="P1385" s="116">
        <v>757.7</v>
      </c>
      <c r="Q1385" s="116">
        <v>758.05</v>
      </c>
      <c r="R1385">
        <v>391954</v>
      </c>
    </row>
    <row r="1386" spans="1:18" x14ac:dyDescent="0.25">
      <c r="A1386" s="170">
        <v>44257</v>
      </c>
      <c r="B1386" s="116">
        <v>797.35</v>
      </c>
      <c r="C1386" s="116">
        <v>782.65</v>
      </c>
      <c r="D1386" s="116">
        <v>753.4</v>
      </c>
      <c r="E1386" s="116">
        <v>761.9</v>
      </c>
      <c r="F1386" s="116">
        <v>782.65</v>
      </c>
      <c r="G1386">
        <v>82857</v>
      </c>
      <c r="H1386" s="116"/>
      <c r="I1386" s="116"/>
      <c r="L1386" s="170">
        <v>44257</v>
      </c>
      <c r="M1386" s="116">
        <v>781.05</v>
      </c>
      <c r="N1386" s="116">
        <v>797.4</v>
      </c>
      <c r="O1386" s="116">
        <v>753.55</v>
      </c>
      <c r="P1386" s="116">
        <v>763</v>
      </c>
      <c r="Q1386" s="116">
        <v>781.05</v>
      </c>
      <c r="R1386">
        <v>762353</v>
      </c>
    </row>
    <row r="1387" spans="1:18" x14ac:dyDescent="0.25">
      <c r="A1387" s="170">
        <v>44258</v>
      </c>
      <c r="B1387" s="116">
        <v>851</v>
      </c>
      <c r="C1387" s="116">
        <v>828.35</v>
      </c>
      <c r="D1387" s="116">
        <v>727.2</v>
      </c>
      <c r="E1387" s="116">
        <v>783.9</v>
      </c>
      <c r="F1387" s="116">
        <v>828.35</v>
      </c>
      <c r="G1387">
        <v>163448</v>
      </c>
      <c r="H1387" s="116"/>
      <c r="I1387" s="116"/>
      <c r="L1387" s="170">
        <v>44258</v>
      </c>
      <c r="M1387" s="116">
        <v>828</v>
      </c>
      <c r="N1387" s="116">
        <v>852.55</v>
      </c>
      <c r="O1387" s="116">
        <v>782.25</v>
      </c>
      <c r="P1387" s="116">
        <v>788.85</v>
      </c>
      <c r="Q1387" s="116">
        <v>828</v>
      </c>
      <c r="R1387">
        <v>1454549</v>
      </c>
    </row>
    <row r="1388" spans="1:18" x14ac:dyDescent="0.25">
      <c r="A1388" s="170">
        <v>44259</v>
      </c>
      <c r="B1388" s="116">
        <v>854.65</v>
      </c>
      <c r="C1388" s="116">
        <v>833.55</v>
      </c>
      <c r="D1388" s="116">
        <v>787.2</v>
      </c>
      <c r="E1388" s="116">
        <v>828</v>
      </c>
      <c r="F1388" s="116">
        <v>833.55</v>
      </c>
      <c r="G1388">
        <v>63728</v>
      </c>
      <c r="H1388" s="116"/>
      <c r="I1388" s="116"/>
      <c r="L1388" s="170">
        <v>44259</v>
      </c>
      <c r="M1388" s="116">
        <v>834.25</v>
      </c>
      <c r="N1388" s="116">
        <v>854.95</v>
      </c>
      <c r="O1388" s="116">
        <v>805.4</v>
      </c>
      <c r="P1388" s="116">
        <v>823.9</v>
      </c>
      <c r="Q1388" s="116">
        <v>834.25</v>
      </c>
      <c r="R1388">
        <v>893475</v>
      </c>
    </row>
    <row r="1389" spans="1:18" x14ac:dyDescent="0.25">
      <c r="A1389" s="170">
        <v>44260</v>
      </c>
      <c r="B1389" s="116">
        <v>853.15</v>
      </c>
      <c r="C1389" s="116">
        <v>814.05</v>
      </c>
      <c r="D1389" s="116">
        <v>767.65</v>
      </c>
      <c r="E1389" s="116">
        <v>835</v>
      </c>
      <c r="F1389" s="116">
        <v>814.05</v>
      </c>
      <c r="G1389">
        <v>62120</v>
      </c>
      <c r="H1389" s="116"/>
      <c r="I1389" s="116"/>
      <c r="L1389" s="170">
        <v>44260</v>
      </c>
      <c r="M1389" s="116">
        <v>813.65</v>
      </c>
      <c r="N1389" s="116">
        <v>853</v>
      </c>
      <c r="O1389" s="116">
        <v>755</v>
      </c>
      <c r="P1389" s="116">
        <v>837</v>
      </c>
      <c r="Q1389" s="116">
        <v>813.65</v>
      </c>
      <c r="R1389">
        <v>863616</v>
      </c>
    </row>
    <row r="1390" spans="1:18" x14ac:dyDescent="0.25">
      <c r="A1390" s="170">
        <v>44263</v>
      </c>
      <c r="B1390" s="116">
        <v>835</v>
      </c>
      <c r="C1390" s="116">
        <v>792.9</v>
      </c>
      <c r="D1390" s="116">
        <v>776.25</v>
      </c>
      <c r="E1390" s="116">
        <v>819.85</v>
      </c>
      <c r="F1390" s="116">
        <v>792.9</v>
      </c>
      <c r="G1390">
        <v>63296</v>
      </c>
      <c r="H1390" s="116"/>
      <c r="I1390" s="116"/>
      <c r="L1390" s="170">
        <v>44263</v>
      </c>
      <c r="M1390" s="116">
        <v>793.9</v>
      </c>
      <c r="N1390" s="116">
        <v>827.4</v>
      </c>
      <c r="O1390" s="116">
        <v>776.1</v>
      </c>
      <c r="P1390" s="116">
        <v>816</v>
      </c>
      <c r="Q1390" s="116">
        <v>793.9</v>
      </c>
      <c r="R1390">
        <v>774750</v>
      </c>
    </row>
    <row r="1391" spans="1:18" x14ac:dyDescent="0.25">
      <c r="A1391" s="170">
        <v>44264</v>
      </c>
      <c r="B1391" s="116">
        <v>804.9</v>
      </c>
      <c r="C1391" s="116">
        <v>757.9</v>
      </c>
      <c r="D1391" s="116">
        <v>740.5</v>
      </c>
      <c r="E1391" s="116">
        <v>804.9</v>
      </c>
      <c r="F1391" s="116">
        <v>757.9</v>
      </c>
      <c r="G1391">
        <v>53840</v>
      </c>
      <c r="H1391" s="116"/>
      <c r="I1391" s="116"/>
      <c r="L1391" s="170">
        <v>44264</v>
      </c>
      <c r="M1391" s="116">
        <v>757.65</v>
      </c>
      <c r="N1391" s="116">
        <v>801.1</v>
      </c>
      <c r="O1391" s="116">
        <v>740.3</v>
      </c>
      <c r="P1391" s="116">
        <v>801.1</v>
      </c>
      <c r="Q1391" s="116">
        <v>757.65</v>
      </c>
      <c r="R1391">
        <v>1296110</v>
      </c>
    </row>
    <row r="1392" spans="1:18" x14ac:dyDescent="0.25">
      <c r="A1392" s="170">
        <v>44265</v>
      </c>
      <c r="B1392" s="116">
        <v>766.4</v>
      </c>
      <c r="C1392" s="116">
        <v>732.9</v>
      </c>
      <c r="D1392" s="116">
        <v>730.4</v>
      </c>
      <c r="E1392" s="116">
        <v>758</v>
      </c>
      <c r="F1392" s="116">
        <v>732.9</v>
      </c>
      <c r="G1392">
        <v>62533</v>
      </c>
      <c r="H1392" s="116"/>
      <c r="I1392" s="116"/>
      <c r="L1392" s="170">
        <v>44265</v>
      </c>
      <c r="M1392" s="116">
        <v>733.05</v>
      </c>
      <c r="N1392" s="116">
        <v>765</v>
      </c>
      <c r="O1392" s="116">
        <v>730.55</v>
      </c>
      <c r="P1392" s="116">
        <v>740</v>
      </c>
      <c r="Q1392" s="116">
        <v>733.05</v>
      </c>
      <c r="R1392">
        <v>662901</v>
      </c>
    </row>
    <row r="1393" spans="1:18" x14ac:dyDescent="0.25">
      <c r="A1393" s="170">
        <v>44267</v>
      </c>
      <c r="B1393" s="116">
        <v>785.65</v>
      </c>
      <c r="C1393" s="116">
        <v>773.8</v>
      </c>
      <c r="D1393" s="116">
        <v>733</v>
      </c>
      <c r="E1393" s="116">
        <v>733</v>
      </c>
      <c r="F1393" s="116">
        <v>773.8</v>
      </c>
      <c r="G1393">
        <v>46917</v>
      </c>
      <c r="H1393" s="116"/>
      <c r="I1393" s="116"/>
      <c r="L1393" s="170">
        <v>44267</v>
      </c>
      <c r="M1393" s="116">
        <v>773.7</v>
      </c>
      <c r="N1393" s="116">
        <v>785.5</v>
      </c>
      <c r="O1393" s="116">
        <v>734.5</v>
      </c>
      <c r="P1393" s="116">
        <v>737</v>
      </c>
      <c r="Q1393" s="116">
        <v>773.7</v>
      </c>
      <c r="R1393">
        <v>1537523</v>
      </c>
    </row>
    <row r="1394" spans="1:18" x14ac:dyDescent="0.25">
      <c r="A1394" s="170">
        <v>44270</v>
      </c>
      <c r="B1394" s="116">
        <v>791.9</v>
      </c>
      <c r="C1394" s="116">
        <v>778</v>
      </c>
      <c r="D1394" s="116">
        <v>760.6</v>
      </c>
      <c r="E1394" s="116">
        <v>780</v>
      </c>
      <c r="F1394" s="116">
        <v>778</v>
      </c>
      <c r="G1394">
        <v>51610</v>
      </c>
      <c r="H1394" s="116"/>
      <c r="I1394" s="116"/>
      <c r="L1394" s="170">
        <v>44270</v>
      </c>
      <c r="M1394" s="116">
        <v>778.4</v>
      </c>
      <c r="N1394" s="116">
        <v>791.6</v>
      </c>
      <c r="O1394" s="116">
        <v>761.15</v>
      </c>
      <c r="P1394" s="116">
        <v>780.9</v>
      </c>
      <c r="Q1394" s="116">
        <v>778.4</v>
      </c>
      <c r="R1394">
        <v>722573</v>
      </c>
    </row>
    <row r="1395" spans="1:18" x14ac:dyDescent="0.25">
      <c r="A1395" s="170">
        <v>44271</v>
      </c>
      <c r="B1395" s="116">
        <v>793</v>
      </c>
      <c r="C1395" s="116">
        <v>779.05</v>
      </c>
      <c r="D1395" s="116">
        <v>763</v>
      </c>
      <c r="E1395" s="116">
        <v>784.7</v>
      </c>
      <c r="F1395" s="116">
        <v>779.05</v>
      </c>
      <c r="G1395">
        <v>20392</v>
      </c>
      <c r="H1395" s="116"/>
      <c r="I1395" s="116"/>
      <c r="L1395" s="170">
        <v>44271</v>
      </c>
      <c r="M1395" s="116">
        <v>780.3</v>
      </c>
      <c r="N1395" s="116">
        <v>792.8</v>
      </c>
      <c r="O1395" s="116">
        <v>762</v>
      </c>
      <c r="P1395" s="116">
        <v>782.3</v>
      </c>
      <c r="Q1395" s="116">
        <v>780.3</v>
      </c>
      <c r="R1395">
        <v>469636</v>
      </c>
    </row>
    <row r="1396" spans="1:18" x14ac:dyDescent="0.25">
      <c r="A1396" s="170">
        <v>44272</v>
      </c>
      <c r="B1396" s="116">
        <v>789.3</v>
      </c>
      <c r="C1396" s="116">
        <v>742.4</v>
      </c>
      <c r="D1396" s="116">
        <v>737</v>
      </c>
      <c r="E1396" s="116">
        <v>781</v>
      </c>
      <c r="F1396" s="116">
        <v>742.4</v>
      </c>
      <c r="G1396">
        <v>26527</v>
      </c>
      <c r="H1396" s="116"/>
      <c r="I1396" s="116"/>
      <c r="L1396" s="170">
        <v>44272</v>
      </c>
      <c r="M1396" s="116">
        <v>742.8</v>
      </c>
      <c r="N1396" s="116">
        <v>789.95</v>
      </c>
      <c r="O1396" s="116">
        <v>736.1</v>
      </c>
      <c r="P1396" s="116">
        <v>780.3</v>
      </c>
      <c r="Q1396" s="116">
        <v>742.8</v>
      </c>
      <c r="R1396">
        <v>505377</v>
      </c>
    </row>
    <row r="1397" spans="1:18" x14ac:dyDescent="0.25">
      <c r="A1397" s="170">
        <v>44273</v>
      </c>
      <c r="B1397" s="116">
        <v>801</v>
      </c>
      <c r="C1397" s="116">
        <v>772.95</v>
      </c>
      <c r="D1397" s="116">
        <v>745.95</v>
      </c>
      <c r="E1397" s="116">
        <v>749.9</v>
      </c>
      <c r="F1397" s="116">
        <v>772.95</v>
      </c>
      <c r="G1397">
        <v>59496</v>
      </c>
      <c r="H1397" s="116"/>
      <c r="I1397" s="116"/>
      <c r="L1397" s="170">
        <v>44273</v>
      </c>
      <c r="M1397" s="116">
        <v>771.2</v>
      </c>
      <c r="N1397" s="116">
        <v>785</v>
      </c>
      <c r="O1397" s="116">
        <v>745</v>
      </c>
      <c r="P1397" s="116">
        <v>750.25</v>
      </c>
      <c r="Q1397" s="116">
        <v>771.2</v>
      </c>
      <c r="R1397">
        <v>901859</v>
      </c>
    </row>
    <row r="1398" spans="1:18" x14ac:dyDescent="0.25">
      <c r="A1398" s="170">
        <v>44274</v>
      </c>
      <c r="B1398" s="116">
        <v>774</v>
      </c>
      <c r="C1398" s="116">
        <v>767.6</v>
      </c>
      <c r="D1398" s="116">
        <v>715.6</v>
      </c>
      <c r="E1398" s="116">
        <v>760.1</v>
      </c>
      <c r="F1398" s="116">
        <v>767.6</v>
      </c>
      <c r="G1398">
        <v>65639</v>
      </c>
      <c r="H1398" s="116"/>
      <c r="I1398" s="116"/>
      <c r="L1398" s="170">
        <v>44274</v>
      </c>
      <c r="M1398" s="116">
        <v>767.8</v>
      </c>
      <c r="N1398" s="116">
        <v>772</v>
      </c>
      <c r="O1398" s="116">
        <v>714</v>
      </c>
      <c r="P1398" s="116">
        <v>771</v>
      </c>
      <c r="Q1398" s="116">
        <v>767.8</v>
      </c>
      <c r="R1398">
        <v>819318</v>
      </c>
    </row>
    <row r="1399" spans="1:18" x14ac:dyDescent="0.25">
      <c r="A1399" s="170">
        <v>44277</v>
      </c>
      <c r="B1399" s="116">
        <v>806.35</v>
      </c>
      <c r="C1399" s="116">
        <v>794.25</v>
      </c>
      <c r="D1399" s="116">
        <v>755</v>
      </c>
      <c r="E1399" s="116">
        <v>774.9</v>
      </c>
      <c r="F1399" s="116">
        <v>794.25</v>
      </c>
      <c r="G1399">
        <v>47234</v>
      </c>
      <c r="H1399" s="116"/>
      <c r="I1399" s="116"/>
      <c r="L1399" s="170">
        <v>44277</v>
      </c>
      <c r="M1399" s="116">
        <v>792.15</v>
      </c>
      <c r="N1399" s="116">
        <v>807</v>
      </c>
      <c r="O1399" s="116">
        <v>758.15</v>
      </c>
      <c r="P1399" s="116">
        <v>767.8</v>
      </c>
      <c r="Q1399" s="116">
        <v>792.15</v>
      </c>
      <c r="R1399">
        <v>1802300</v>
      </c>
    </row>
    <row r="1400" spans="1:18" x14ac:dyDescent="0.25">
      <c r="A1400" s="170">
        <v>44278</v>
      </c>
      <c r="B1400" s="116">
        <v>859.2</v>
      </c>
      <c r="C1400" s="116">
        <v>848.6</v>
      </c>
      <c r="D1400" s="116">
        <v>788.65</v>
      </c>
      <c r="E1400" s="116">
        <v>799.9</v>
      </c>
      <c r="F1400" s="116">
        <v>848.6</v>
      </c>
      <c r="G1400">
        <v>192597</v>
      </c>
      <c r="H1400" s="116"/>
      <c r="I1400" s="116"/>
      <c r="L1400" s="170">
        <v>44278</v>
      </c>
      <c r="M1400" s="116">
        <v>847.5</v>
      </c>
      <c r="N1400" s="116">
        <v>860</v>
      </c>
      <c r="O1400" s="116">
        <v>790</v>
      </c>
      <c r="P1400" s="116">
        <v>799.3</v>
      </c>
      <c r="Q1400" s="116">
        <v>847.5</v>
      </c>
      <c r="R1400">
        <v>3050761</v>
      </c>
    </row>
    <row r="1401" spans="1:18" x14ac:dyDescent="0.25">
      <c r="A1401" s="170">
        <v>44279</v>
      </c>
      <c r="B1401" s="116">
        <v>890</v>
      </c>
      <c r="C1401" s="116">
        <v>864.65</v>
      </c>
      <c r="D1401" s="116">
        <v>812</v>
      </c>
      <c r="E1401" s="116">
        <v>856</v>
      </c>
      <c r="F1401" s="116">
        <v>864.65</v>
      </c>
      <c r="G1401">
        <v>152280</v>
      </c>
      <c r="H1401" s="116"/>
      <c r="I1401" s="116"/>
      <c r="L1401" s="170">
        <v>44279</v>
      </c>
      <c r="M1401" s="116">
        <v>864.55</v>
      </c>
      <c r="N1401" s="116">
        <v>889.75</v>
      </c>
      <c r="O1401" s="116">
        <v>853</v>
      </c>
      <c r="P1401" s="116">
        <v>859.4</v>
      </c>
      <c r="Q1401" s="116">
        <v>864.55</v>
      </c>
      <c r="R1401">
        <v>2795118</v>
      </c>
    </row>
    <row r="1402" spans="1:18" x14ac:dyDescent="0.25">
      <c r="A1402" s="170">
        <v>44280</v>
      </c>
      <c r="B1402" s="116">
        <v>883.7</v>
      </c>
      <c r="C1402" s="116">
        <v>833.55</v>
      </c>
      <c r="D1402" s="116">
        <v>821.15</v>
      </c>
      <c r="E1402" s="116">
        <v>876.9</v>
      </c>
      <c r="F1402" s="116">
        <v>833.55</v>
      </c>
      <c r="G1402">
        <v>95780</v>
      </c>
      <c r="H1402" s="116"/>
      <c r="I1402" s="116"/>
      <c r="L1402" s="170">
        <v>44280</v>
      </c>
      <c r="M1402" s="116">
        <v>834.7</v>
      </c>
      <c r="N1402" s="116">
        <v>883.7</v>
      </c>
      <c r="O1402" s="116">
        <v>821.05</v>
      </c>
      <c r="P1402" s="116">
        <v>875</v>
      </c>
      <c r="Q1402" s="116">
        <v>834.7</v>
      </c>
      <c r="R1402">
        <v>1218113</v>
      </c>
    </row>
    <row r="1403" spans="1:18" x14ac:dyDescent="0.25">
      <c r="A1403" s="170">
        <v>44281</v>
      </c>
      <c r="B1403" s="116">
        <v>882.95</v>
      </c>
      <c r="C1403" s="116">
        <v>869</v>
      </c>
      <c r="D1403" s="116">
        <v>843</v>
      </c>
      <c r="E1403" s="116">
        <v>843</v>
      </c>
      <c r="F1403" s="116">
        <v>869</v>
      </c>
      <c r="G1403">
        <v>46889</v>
      </c>
      <c r="H1403" s="116"/>
      <c r="I1403" s="116"/>
      <c r="L1403" s="170">
        <v>44281</v>
      </c>
      <c r="M1403" s="116">
        <v>870.6</v>
      </c>
      <c r="N1403" s="116">
        <v>884</v>
      </c>
      <c r="O1403" s="116">
        <v>844</v>
      </c>
      <c r="P1403" s="116">
        <v>850.5</v>
      </c>
      <c r="Q1403" s="116">
        <v>870.6</v>
      </c>
      <c r="R1403">
        <v>1472044</v>
      </c>
    </row>
    <row r="1404" spans="1:18" x14ac:dyDescent="0.25">
      <c r="A1404" s="170">
        <v>44285</v>
      </c>
      <c r="B1404" s="116">
        <v>924.4</v>
      </c>
      <c r="C1404" s="116">
        <v>875.9</v>
      </c>
      <c r="D1404" s="116">
        <v>846</v>
      </c>
      <c r="E1404" s="116">
        <v>898</v>
      </c>
      <c r="F1404" s="116">
        <v>875.9</v>
      </c>
      <c r="G1404">
        <v>76624</v>
      </c>
      <c r="H1404" s="116"/>
      <c r="I1404" s="116"/>
      <c r="L1404" s="170">
        <v>44285</v>
      </c>
      <c r="M1404" s="116">
        <v>877.55</v>
      </c>
      <c r="N1404" s="116">
        <v>918</v>
      </c>
      <c r="O1404" s="116">
        <v>845.35</v>
      </c>
      <c r="P1404" s="116">
        <v>896</v>
      </c>
      <c r="Q1404" s="116">
        <v>877.55</v>
      </c>
      <c r="R1404">
        <v>1514205</v>
      </c>
    </row>
    <row r="1405" spans="1:18" x14ac:dyDescent="0.25">
      <c r="A1405" s="170">
        <v>44286</v>
      </c>
      <c r="B1405" s="116">
        <v>920</v>
      </c>
      <c r="C1405" s="116">
        <v>908.35</v>
      </c>
      <c r="D1405" s="116">
        <v>870.75</v>
      </c>
      <c r="E1405" s="116">
        <v>889.9</v>
      </c>
      <c r="F1405" s="116">
        <v>908.35</v>
      </c>
      <c r="G1405">
        <v>42407</v>
      </c>
      <c r="H1405" s="116"/>
      <c r="I1405" s="116"/>
      <c r="L1405" s="170">
        <v>44286</v>
      </c>
      <c r="M1405" s="116">
        <v>908.4</v>
      </c>
      <c r="N1405" s="116">
        <v>920</v>
      </c>
      <c r="O1405" s="116">
        <v>870.1</v>
      </c>
      <c r="P1405" s="116">
        <v>887</v>
      </c>
      <c r="Q1405" s="116">
        <v>908.4</v>
      </c>
      <c r="R1405">
        <v>1219884</v>
      </c>
    </row>
    <row r="1406" spans="1:18" x14ac:dyDescent="0.25">
      <c r="A1406" s="170">
        <v>44287</v>
      </c>
      <c r="B1406" s="116">
        <v>999.15</v>
      </c>
      <c r="C1406" s="116">
        <v>999.15</v>
      </c>
      <c r="D1406" s="116">
        <v>917.3</v>
      </c>
      <c r="E1406" s="116">
        <v>924.9</v>
      </c>
      <c r="F1406" s="116">
        <v>999.15</v>
      </c>
      <c r="G1406">
        <v>156579</v>
      </c>
      <c r="H1406" s="116"/>
      <c r="I1406" s="116"/>
      <c r="L1406" s="170">
        <v>44287</v>
      </c>
      <c r="M1406" s="116">
        <v>999.2</v>
      </c>
      <c r="N1406" s="116">
        <v>999.2</v>
      </c>
      <c r="O1406" s="116">
        <v>917.05</v>
      </c>
      <c r="P1406" s="116">
        <v>923</v>
      </c>
      <c r="Q1406" s="116">
        <v>999.2</v>
      </c>
      <c r="R1406">
        <v>2213099</v>
      </c>
    </row>
    <row r="1407" spans="1:18" x14ac:dyDescent="0.25">
      <c r="A1407" s="170">
        <v>44291</v>
      </c>
      <c r="B1407" s="116">
        <v>1099.05</v>
      </c>
      <c r="C1407" s="116">
        <v>1096.25</v>
      </c>
      <c r="D1407" s="116">
        <v>1004.5</v>
      </c>
      <c r="E1407" s="116">
        <v>1010</v>
      </c>
      <c r="F1407" s="116">
        <v>1096.25</v>
      </c>
      <c r="G1407">
        <v>326055</v>
      </c>
      <c r="H1407" s="116"/>
      <c r="I1407" s="116"/>
      <c r="L1407" s="170">
        <v>44291</v>
      </c>
      <c r="M1407" s="116">
        <v>1095.1500000000001</v>
      </c>
      <c r="N1407" s="116">
        <v>1099.0999999999999</v>
      </c>
      <c r="O1407" s="116">
        <v>1000</v>
      </c>
      <c r="P1407" s="116">
        <v>1008</v>
      </c>
      <c r="Q1407" s="116">
        <v>1095.1500000000001</v>
      </c>
      <c r="R1407">
        <v>3267413</v>
      </c>
    </row>
    <row r="1408" spans="1:18" x14ac:dyDescent="0.25">
      <c r="A1408" s="170">
        <v>44292</v>
      </c>
      <c r="B1408" s="116">
        <v>1147</v>
      </c>
      <c r="C1408" s="116">
        <v>1109.9000000000001</v>
      </c>
      <c r="D1408" s="116">
        <v>1090</v>
      </c>
      <c r="E1408" s="116">
        <v>1106.05</v>
      </c>
      <c r="F1408" s="116">
        <v>1109.9000000000001</v>
      </c>
      <c r="G1408">
        <v>156609</v>
      </c>
      <c r="H1408" s="116"/>
      <c r="I1408" s="116"/>
      <c r="L1408" s="170">
        <v>44292</v>
      </c>
      <c r="M1408" s="116">
        <v>1110.6500000000001</v>
      </c>
      <c r="N1408" s="116">
        <v>1144.7</v>
      </c>
      <c r="O1408" s="116">
        <v>1100</v>
      </c>
      <c r="P1408" s="116">
        <v>1110</v>
      </c>
      <c r="Q1408" s="116">
        <v>1110.6500000000001</v>
      </c>
      <c r="R1408">
        <v>1910242</v>
      </c>
    </row>
    <row r="1409" spans="1:18" x14ac:dyDescent="0.25">
      <c r="A1409" s="170">
        <v>44293</v>
      </c>
      <c r="B1409" s="116">
        <v>1120.55</v>
      </c>
      <c r="C1409" s="116">
        <v>1054.8499999999999</v>
      </c>
      <c r="D1409" s="116">
        <v>1054.45</v>
      </c>
      <c r="E1409" s="116">
        <v>1117</v>
      </c>
      <c r="F1409" s="116">
        <v>1054.8499999999999</v>
      </c>
      <c r="G1409">
        <v>156872</v>
      </c>
      <c r="H1409" s="116"/>
      <c r="I1409" s="116"/>
      <c r="L1409" s="170">
        <v>44293</v>
      </c>
      <c r="M1409" s="116">
        <v>1055.1500000000001</v>
      </c>
      <c r="N1409" s="116">
        <v>1120.7</v>
      </c>
      <c r="O1409" s="116">
        <v>1055.1500000000001</v>
      </c>
      <c r="P1409" s="116">
        <v>1114.5</v>
      </c>
      <c r="Q1409" s="116">
        <v>1055.1500000000001</v>
      </c>
      <c r="R1409">
        <v>1964534</v>
      </c>
    </row>
    <row r="1410" spans="1:18" x14ac:dyDescent="0.25">
      <c r="A1410" s="170">
        <v>44294</v>
      </c>
      <c r="B1410" s="116">
        <v>1068</v>
      </c>
      <c r="C1410" s="116">
        <v>1002.15</v>
      </c>
      <c r="D1410" s="116">
        <v>1002.15</v>
      </c>
      <c r="E1410" s="116">
        <v>1068</v>
      </c>
      <c r="F1410" s="116">
        <v>1002.15</v>
      </c>
      <c r="G1410">
        <v>50629</v>
      </c>
      <c r="H1410" s="116"/>
      <c r="I1410" s="116"/>
      <c r="L1410" s="170">
        <v>44294</v>
      </c>
      <c r="M1410" s="116">
        <v>1002.4</v>
      </c>
      <c r="N1410" s="116">
        <v>1075</v>
      </c>
      <c r="O1410" s="116">
        <v>1002.4</v>
      </c>
      <c r="P1410" s="116">
        <v>1063</v>
      </c>
      <c r="Q1410" s="116">
        <v>1002.4</v>
      </c>
      <c r="R1410">
        <v>735982</v>
      </c>
    </row>
    <row r="1411" spans="1:18" x14ac:dyDescent="0.25">
      <c r="A1411" s="170">
        <v>44295</v>
      </c>
      <c r="B1411" s="116">
        <v>1023.8</v>
      </c>
      <c r="C1411" s="116">
        <v>978.35</v>
      </c>
      <c r="D1411" s="116">
        <v>952.05</v>
      </c>
      <c r="E1411" s="116">
        <v>975</v>
      </c>
      <c r="F1411" s="116">
        <v>978.35</v>
      </c>
      <c r="G1411">
        <v>174286</v>
      </c>
      <c r="H1411" s="116"/>
      <c r="I1411" s="116"/>
      <c r="L1411" s="170">
        <v>44295</v>
      </c>
      <c r="M1411" s="116">
        <v>973.55</v>
      </c>
      <c r="N1411" s="116">
        <v>1024</v>
      </c>
      <c r="O1411" s="116">
        <v>952.55</v>
      </c>
      <c r="P1411" s="116">
        <v>965.6</v>
      </c>
      <c r="Q1411" s="116">
        <v>973.55</v>
      </c>
      <c r="R1411">
        <v>2893544</v>
      </c>
    </row>
    <row r="1412" spans="1:18" x14ac:dyDescent="0.25">
      <c r="A1412" s="170">
        <v>44298</v>
      </c>
      <c r="B1412" s="116">
        <v>949.95</v>
      </c>
      <c r="C1412" s="116">
        <v>929.45</v>
      </c>
      <c r="D1412" s="116">
        <v>929.45</v>
      </c>
      <c r="E1412" s="116">
        <v>937.05</v>
      </c>
      <c r="F1412" s="116">
        <v>929.45</v>
      </c>
      <c r="G1412">
        <v>80645</v>
      </c>
      <c r="H1412" s="116"/>
      <c r="I1412" s="116"/>
      <c r="L1412" s="170">
        <v>44298</v>
      </c>
      <c r="M1412" s="116">
        <v>924.9</v>
      </c>
      <c r="N1412" s="116">
        <v>949.2</v>
      </c>
      <c r="O1412" s="116">
        <v>924.9</v>
      </c>
      <c r="P1412" s="116">
        <v>949.2</v>
      </c>
      <c r="Q1412" s="116">
        <v>924.9</v>
      </c>
      <c r="R1412">
        <v>451486</v>
      </c>
    </row>
    <row r="1413" spans="1:18" x14ac:dyDescent="0.25">
      <c r="A1413" s="170">
        <v>44299</v>
      </c>
      <c r="B1413" s="116">
        <v>913.7</v>
      </c>
      <c r="C1413" s="116">
        <v>899.65</v>
      </c>
      <c r="D1413" s="116">
        <v>883</v>
      </c>
      <c r="E1413" s="116">
        <v>888</v>
      </c>
      <c r="F1413" s="116">
        <v>899.65</v>
      </c>
      <c r="G1413">
        <v>262607</v>
      </c>
      <c r="H1413" s="116"/>
      <c r="I1413" s="116"/>
      <c r="L1413" s="170">
        <v>44299</v>
      </c>
      <c r="M1413" s="116">
        <v>899.25</v>
      </c>
      <c r="N1413" s="116">
        <v>913.7</v>
      </c>
      <c r="O1413" s="116">
        <v>878.7</v>
      </c>
      <c r="P1413" s="116">
        <v>897.1</v>
      </c>
      <c r="Q1413" s="116">
        <v>899.25</v>
      </c>
      <c r="R1413">
        <v>2133962</v>
      </c>
    </row>
    <row r="1414" spans="1:18" x14ac:dyDescent="0.25">
      <c r="A1414" s="170">
        <v>44301</v>
      </c>
      <c r="B1414" s="116">
        <v>944.6</v>
      </c>
      <c r="C1414" s="116">
        <v>944.4</v>
      </c>
      <c r="D1414" s="116">
        <v>865.1</v>
      </c>
      <c r="E1414" s="116">
        <v>890.3</v>
      </c>
      <c r="F1414" s="116">
        <v>944.4</v>
      </c>
      <c r="G1414">
        <v>200793</v>
      </c>
      <c r="H1414" s="116"/>
      <c r="I1414" s="116"/>
      <c r="L1414" s="170">
        <v>44301</v>
      </c>
      <c r="M1414" s="116">
        <v>944.15</v>
      </c>
      <c r="N1414" s="116">
        <v>944.2</v>
      </c>
      <c r="O1414" s="116">
        <v>860.1</v>
      </c>
      <c r="P1414" s="116">
        <v>889.9</v>
      </c>
      <c r="Q1414" s="116">
        <v>944.15</v>
      </c>
      <c r="R1414">
        <v>1477107</v>
      </c>
    </row>
    <row r="1415" spans="1:18" x14ac:dyDescent="0.25">
      <c r="A1415" s="170">
        <v>44302</v>
      </c>
      <c r="B1415" s="116">
        <v>991.6</v>
      </c>
      <c r="C1415" s="116">
        <v>991.6</v>
      </c>
      <c r="D1415" s="116">
        <v>957</v>
      </c>
      <c r="E1415" s="116">
        <v>958</v>
      </c>
      <c r="F1415" s="116">
        <v>991.6</v>
      </c>
      <c r="G1415">
        <v>155050</v>
      </c>
      <c r="H1415" s="116"/>
      <c r="I1415" s="116"/>
      <c r="L1415" s="170">
        <v>44302</v>
      </c>
      <c r="M1415" s="116">
        <v>991.35</v>
      </c>
      <c r="N1415" s="116">
        <v>991.35</v>
      </c>
      <c r="O1415" s="116">
        <v>954.5</v>
      </c>
      <c r="P1415" s="116">
        <v>960</v>
      </c>
      <c r="Q1415" s="116">
        <v>991.35</v>
      </c>
      <c r="R1415">
        <v>1065010</v>
      </c>
    </row>
    <row r="1416" spans="1:18" x14ac:dyDescent="0.25">
      <c r="A1416" s="170">
        <v>44305</v>
      </c>
      <c r="B1416" s="116">
        <v>1038.25</v>
      </c>
      <c r="C1416" s="116">
        <v>1011.85</v>
      </c>
      <c r="D1416" s="116">
        <v>942.05</v>
      </c>
      <c r="E1416" s="116">
        <v>956.3</v>
      </c>
      <c r="F1416" s="116">
        <v>1011.85</v>
      </c>
      <c r="G1416">
        <v>207543</v>
      </c>
      <c r="H1416" s="116"/>
      <c r="I1416" s="116"/>
      <c r="L1416" s="170">
        <v>44305</v>
      </c>
      <c r="M1416" s="116">
        <v>1012.6</v>
      </c>
      <c r="N1416" s="116">
        <v>1038</v>
      </c>
      <c r="O1416" s="116">
        <v>942.2</v>
      </c>
      <c r="P1416" s="116">
        <v>954.9</v>
      </c>
      <c r="Q1416" s="116">
        <v>1012.6</v>
      </c>
      <c r="R1416">
        <v>1713716</v>
      </c>
    </row>
    <row r="1417" spans="1:18" x14ac:dyDescent="0.25">
      <c r="A1417" s="170">
        <v>44306</v>
      </c>
      <c r="B1417" s="116">
        <v>1052</v>
      </c>
      <c r="C1417" s="116">
        <v>1019.15</v>
      </c>
      <c r="D1417" s="116">
        <v>1015</v>
      </c>
      <c r="E1417" s="116">
        <v>1040</v>
      </c>
      <c r="F1417" s="116">
        <v>1019.15</v>
      </c>
      <c r="G1417">
        <v>37721</v>
      </c>
      <c r="H1417" s="116"/>
      <c r="I1417" s="116"/>
      <c r="L1417" s="170">
        <v>44306</v>
      </c>
      <c r="M1417" s="116">
        <v>1020.7</v>
      </c>
      <c r="N1417" s="116">
        <v>1052.7</v>
      </c>
      <c r="O1417" s="116">
        <v>1015.1</v>
      </c>
      <c r="P1417" s="116">
        <v>1035</v>
      </c>
      <c r="Q1417" s="116">
        <v>1020.7</v>
      </c>
      <c r="R1417">
        <v>725372</v>
      </c>
    </row>
    <row r="1418" spans="1:18" x14ac:dyDescent="0.25">
      <c r="A1418" s="170">
        <v>44308</v>
      </c>
      <c r="B1418" s="116">
        <v>1060</v>
      </c>
      <c r="C1418" s="116">
        <v>1049.55</v>
      </c>
      <c r="D1418" s="116">
        <v>984.5</v>
      </c>
      <c r="E1418" s="116">
        <v>1022</v>
      </c>
      <c r="F1418" s="116">
        <v>1049.55</v>
      </c>
      <c r="G1418">
        <v>42941</v>
      </c>
      <c r="H1418" s="116"/>
      <c r="I1418" s="116"/>
      <c r="L1418" s="170">
        <v>44308</v>
      </c>
      <c r="M1418" s="116">
        <v>1050.7</v>
      </c>
      <c r="N1418" s="116">
        <v>1061.5</v>
      </c>
      <c r="O1418" s="116">
        <v>981.2</v>
      </c>
      <c r="P1418" s="116">
        <v>1024.6500000000001</v>
      </c>
      <c r="Q1418" s="116">
        <v>1050.7</v>
      </c>
      <c r="R1418">
        <v>805754</v>
      </c>
    </row>
    <row r="1419" spans="1:18" x14ac:dyDescent="0.25">
      <c r="A1419" s="170">
        <v>44309</v>
      </c>
      <c r="B1419" s="116">
        <v>1081.95</v>
      </c>
      <c r="C1419" s="116">
        <v>1064.75</v>
      </c>
      <c r="D1419" s="116">
        <v>1056.2</v>
      </c>
      <c r="E1419" s="116">
        <v>1064</v>
      </c>
      <c r="F1419" s="116">
        <v>1064.75</v>
      </c>
      <c r="G1419">
        <v>32815</v>
      </c>
      <c r="H1419" s="116"/>
      <c r="I1419" s="116"/>
      <c r="L1419" s="170">
        <v>44309</v>
      </c>
      <c r="M1419" s="116">
        <v>1065.45</v>
      </c>
      <c r="N1419" s="116">
        <v>1082</v>
      </c>
      <c r="O1419" s="116">
        <v>1052.1500000000001</v>
      </c>
      <c r="P1419" s="116">
        <v>1060</v>
      </c>
      <c r="Q1419" s="116">
        <v>1065.45</v>
      </c>
      <c r="R1419">
        <v>903003</v>
      </c>
    </row>
    <row r="1420" spans="1:18" x14ac:dyDescent="0.25">
      <c r="A1420" s="170">
        <v>44312</v>
      </c>
      <c r="B1420" s="116">
        <v>1084</v>
      </c>
      <c r="C1420" s="116">
        <v>1050.75</v>
      </c>
      <c r="D1420" s="116">
        <v>1026.0999999999999</v>
      </c>
      <c r="E1420" s="116">
        <v>1084</v>
      </c>
      <c r="F1420" s="116">
        <v>1050.75</v>
      </c>
      <c r="G1420">
        <v>27607</v>
      </c>
      <c r="H1420" s="116"/>
      <c r="I1420" s="116"/>
      <c r="L1420" s="170">
        <v>44312</v>
      </c>
      <c r="M1420" s="116">
        <v>1055.2</v>
      </c>
      <c r="N1420" s="116">
        <v>1078.95</v>
      </c>
      <c r="O1420" s="116">
        <v>1042.2</v>
      </c>
      <c r="P1420" s="116">
        <v>1070</v>
      </c>
      <c r="Q1420" s="116">
        <v>1055.2</v>
      </c>
      <c r="R1420">
        <v>520738</v>
      </c>
    </row>
    <row r="1421" spans="1:18" x14ac:dyDescent="0.25">
      <c r="A1421" s="170">
        <v>44313</v>
      </c>
      <c r="B1421" s="116">
        <v>1063.55</v>
      </c>
      <c r="C1421" s="116">
        <v>1044.05</v>
      </c>
      <c r="D1421" s="116">
        <v>1032.5999999999999</v>
      </c>
      <c r="E1421" s="116">
        <v>1055</v>
      </c>
      <c r="F1421" s="116">
        <v>1044.05</v>
      </c>
      <c r="G1421">
        <v>24805</v>
      </c>
      <c r="H1421" s="116"/>
      <c r="I1421" s="116"/>
      <c r="L1421" s="170">
        <v>44313</v>
      </c>
      <c r="M1421" s="116">
        <v>1044.0999999999999</v>
      </c>
      <c r="N1421" s="116">
        <v>1064.8</v>
      </c>
      <c r="O1421" s="116">
        <v>1035</v>
      </c>
      <c r="P1421" s="116">
        <v>1054</v>
      </c>
      <c r="Q1421" s="116">
        <v>1044.0999999999999</v>
      </c>
      <c r="R1421">
        <v>392365</v>
      </c>
    </row>
    <row r="1422" spans="1:18" x14ac:dyDescent="0.25">
      <c r="A1422" s="170">
        <v>44314</v>
      </c>
      <c r="B1422" s="116">
        <v>1065</v>
      </c>
      <c r="C1422" s="116">
        <v>1056.2</v>
      </c>
      <c r="D1422" s="116">
        <v>1045</v>
      </c>
      <c r="E1422" s="116">
        <v>1045</v>
      </c>
      <c r="F1422" s="116">
        <v>1056.2</v>
      </c>
      <c r="G1422">
        <v>19319</v>
      </c>
      <c r="H1422" s="116"/>
      <c r="I1422" s="116"/>
      <c r="L1422" s="170">
        <v>44314</v>
      </c>
      <c r="M1422" s="116">
        <v>1056.55</v>
      </c>
      <c r="N1422" s="116">
        <v>1065</v>
      </c>
      <c r="O1422" s="116">
        <v>1046.25</v>
      </c>
      <c r="P1422" s="116">
        <v>1049</v>
      </c>
      <c r="Q1422" s="116">
        <v>1056.55</v>
      </c>
      <c r="R1422">
        <v>942307</v>
      </c>
    </row>
    <row r="1423" spans="1:18" x14ac:dyDescent="0.25">
      <c r="A1423" s="170">
        <v>44315</v>
      </c>
      <c r="B1423" s="116">
        <v>1063.7</v>
      </c>
      <c r="C1423" s="116">
        <v>1049.75</v>
      </c>
      <c r="D1423" s="116">
        <v>1031.0999999999999</v>
      </c>
      <c r="E1423" s="116">
        <v>1050</v>
      </c>
      <c r="F1423" s="116">
        <v>1049.75</v>
      </c>
      <c r="G1423">
        <v>22235</v>
      </c>
      <c r="H1423" s="116"/>
      <c r="I1423" s="116"/>
      <c r="L1423" s="170">
        <v>44315</v>
      </c>
      <c r="M1423" s="116">
        <v>1050.1500000000001</v>
      </c>
      <c r="N1423" s="116">
        <v>1065.45</v>
      </c>
      <c r="O1423" s="116">
        <v>1033.3</v>
      </c>
      <c r="P1423" s="116">
        <v>1065.4000000000001</v>
      </c>
      <c r="Q1423" s="116">
        <v>1050.1500000000001</v>
      </c>
      <c r="R1423">
        <v>335442</v>
      </c>
    </row>
    <row r="1424" spans="1:18" x14ac:dyDescent="0.25">
      <c r="A1424" s="170">
        <v>44316</v>
      </c>
      <c r="B1424" s="116">
        <v>1060.3499999999999</v>
      </c>
      <c r="C1424" s="116">
        <v>1049.8499999999999</v>
      </c>
      <c r="D1424" s="116">
        <v>1036</v>
      </c>
      <c r="E1424" s="116">
        <v>1050.1500000000001</v>
      </c>
      <c r="F1424" s="116">
        <v>1049.8499999999999</v>
      </c>
      <c r="G1424">
        <v>22517</v>
      </c>
      <c r="H1424" s="116"/>
      <c r="I1424" s="116"/>
      <c r="L1424" s="170">
        <v>44316</v>
      </c>
      <c r="M1424" s="116">
        <v>1049.9000000000001</v>
      </c>
      <c r="N1424" s="116">
        <v>1060</v>
      </c>
      <c r="O1424" s="116">
        <v>1035.2</v>
      </c>
      <c r="P1424" s="116">
        <v>1048</v>
      </c>
      <c r="Q1424" s="116">
        <v>1049.9000000000001</v>
      </c>
      <c r="R1424">
        <v>439220</v>
      </c>
    </row>
    <row r="1425" spans="1:18" x14ac:dyDescent="0.25">
      <c r="A1425" s="170">
        <v>44319</v>
      </c>
      <c r="B1425" s="116">
        <v>1095</v>
      </c>
      <c r="C1425" s="116">
        <v>1061.0999999999999</v>
      </c>
      <c r="D1425" s="116">
        <v>1015</v>
      </c>
      <c r="E1425" s="116">
        <v>1015</v>
      </c>
      <c r="F1425" s="116">
        <v>1061.0999999999999</v>
      </c>
      <c r="G1425">
        <v>43091</v>
      </c>
      <c r="H1425" s="116"/>
      <c r="I1425" s="116"/>
      <c r="L1425" s="170">
        <v>44319</v>
      </c>
      <c r="M1425" s="116">
        <v>1066</v>
      </c>
      <c r="N1425" s="116">
        <v>1095</v>
      </c>
      <c r="O1425" s="116">
        <v>1017</v>
      </c>
      <c r="P1425" s="116">
        <v>1020</v>
      </c>
      <c r="Q1425" s="116">
        <v>1066</v>
      </c>
      <c r="R1425">
        <v>1266237</v>
      </c>
    </row>
    <row r="1426" spans="1:18" x14ac:dyDescent="0.25">
      <c r="A1426" s="170">
        <v>44320</v>
      </c>
      <c r="B1426" s="116">
        <v>1098</v>
      </c>
      <c r="C1426" s="116">
        <v>1065.4000000000001</v>
      </c>
      <c r="D1426" s="116">
        <v>1054.05</v>
      </c>
      <c r="E1426" s="116">
        <v>1075.3499999999999</v>
      </c>
      <c r="F1426" s="116">
        <v>1065.4000000000001</v>
      </c>
      <c r="G1426">
        <v>30802</v>
      </c>
      <c r="H1426" s="116"/>
      <c r="I1426" s="116"/>
      <c r="L1426" s="170">
        <v>44320</v>
      </c>
      <c r="M1426" s="116">
        <v>1065.3499999999999</v>
      </c>
      <c r="N1426" s="116">
        <v>1095</v>
      </c>
      <c r="O1426" s="116">
        <v>1053.05</v>
      </c>
      <c r="P1426" s="116">
        <v>1090</v>
      </c>
      <c r="Q1426" s="116">
        <v>1065.3499999999999</v>
      </c>
      <c r="R1426">
        <v>754879</v>
      </c>
    </row>
    <row r="1427" spans="1:18" x14ac:dyDescent="0.25">
      <c r="A1427" s="170">
        <v>44321</v>
      </c>
      <c r="B1427" s="116">
        <v>1104.4000000000001</v>
      </c>
      <c r="C1427" s="116">
        <v>1088.45</v>
      </c>
      <c r="D1427" s="116">
        <v>1064</v>
      </c>
      <c r="E1427" s="116">
        <v>1091.6500000000001</v>
      </c>
      <c r="F1427" s="116">
        <v>1088.45</v>
      </c>
      <c r="G1427">
        <v>37187</v>
      </c>
      <c r="H1427" s="116"/>
      <c r="I1427" s="116"/>
      <c r="L1427" s="170">
        <v>44321</v>
      </c>
      <c r="M1427" s="116">
        <v>1088.2</v>
      </c>
      <c r="N1427" s="116">
        <v>1104.95</v>
      </c>
      <c r="O1427" s="116">
        <v>1065.8</v>
      </c>
      <c r="P1427" s="116">
        <v>1082.2</v>
      </c>
      <c r="Q1427" s="116">
        <v>1088.2</v>
      </c>
      <c r="R1427">
        <v>481259</v>
      </c>
    </row>
    <row r="1428" spans="1:18" x14ac:dyDescent="0.25">
      <c r="A1428" s="170">
        <v>44322</v>
      </c>
      <c r="B1428" s="116">
        <v>1141</v>
      </c>
      <c r="C1428" s="116">
        <v>1131.05</v>
      </c>
      <c r="D1428" s="116">
        <v>1099.9000000000001</v>
      </c>
      <c r="E1428" s="116">
        <v>1099.9000000000001</v>
      </c>
      <c r="F1428" s="116">
        <v>1131.05</v>
      </c>
      <c r="G1428">
        <v>68167</v>
      </c>
      <c r="H1428" s="116"/>
      <c r="I1428" s="116"/>
      <c r="L1428" s="170">
        <v>44322</v>
      </c>
      <c r="M1428" s="116">
        <v>1126.5</v>
      </c>
      <c r="N1428" s="116">
        <v>1139</v>
      </c>
      <c r="O1428" s="116">
        <v>1096.8</v>
      </c>
      <c r="P1428" s="116">
        <v>1097</v>
      </c>
      <c r="Q1428" s="116">
        <v>1126.5</v>
      </c>
      <c r="R1428">
        <v>1166956</v>
      </c>
    </row>
    <row r="1429" spans="1:18" x14ac:dyDescent="0.25">
      <c r="A1429" s="170">
        <v>44323</v>
      </c>
      <c r="B1429" s="116">
        <v>1187.5999999999999</v>
      </c>
      <c r="C1429" s="116">
        <v>1176.45</v>
      </c>
      <c r="D1429" s="116">
        <v>1140.0999999999999</v>
      </c>
      <c r="E1429" s="116">
        <v>1160</v>
      </c>
      <c r="F1429" s="116">
        <v>1176.45</v>
      </c>
      <c r="G1429">
        <v>139010</v>
      </c>
      <c r="H1429" s="116"/>
      <c r="I1429" s="116"/>
      <c r="L1429" s="170">
        <v>44323</v>
      </c>
      <c r="M1429" s="116">
        <v>1176.4000000000001</v>
      </c>
      <c r="N1429" s="116">
        <v>1182.8</v>
      </c>
      <c r="O1429" s="116">
        <v>1133</v>
      </c>
      <c r="P1429" s="116">
        <v>1163</v>
      </c>
      <c r="Q1429" s="116">
        <v>1176.4000000000001</v>
      </c>
      <c r="R1429">
        <v>1461933</v>
      </c>
    </row>
    <row r="1430" spans="1:18" x14ac:dyDescent="0.25">
      <c r="A1430" s="170">
        <v>44326</v>
      </c>
      <c r="B1430" s="116">
        <v>1203.5999999999999</v>
      </c>
      <c r="C1430" s="116">
        <v>1162.5</v>
      </c>
      <c r="D1430" s="116">
        <v>1140</v>
      </c>
      <c r="E1430" s="116">
        <v>1203.5999999999999</v>
      </c>
      <c r="F1430" s="116">
        <v>1162.5</v>
      </c>
      <c r="G1430">
        <v>76557</v>
      </c>
      <c r="H1430" s="116"/>
      <c r="I1430" s="116"/>
      <c r="L1430" s="170">
        <v>44326</v>
      </c>
      <c r="M1430" s="116">
        <v>1163.55</v>
      </c>
      <c r="N1430" s="116">
        <v>1199</v>
      </c>
      <c r="O1430" s="116">
        <v>1140.75</v>
      </c>
      <c r="P1430" s="116">
        <v>1199</v>
      </c>
      <c r="Q1430" s="116">
        <v>1163.55</v>
      </c>
      <c r="R1430">
        <v>687558</v>
      </c>
    </row>
    <row r="1431" spans="1:18" x14ac:dyDescent="0.25">
      <c r="A1431" s="170">
        <v>44327</v>
      </c>
      <c r="B1431" s="116">
        <v>1216.45</v>
      </c>
      <c r="C1431" s="116">
        <v>1196.55</v>
      </c>
      <c r="D1431" s="116">
        <v>1146.3499999999999</v>
      </c>
      <c r="E1431" s="116">
        <v>1185</v>
      </c>
      <c r="F1431" s="116">
        <v>1196.55</v>
      </c>
      <c r="G1431">
        <v>49561</v>
      </c>
      <c r="H1431" s="116"/>
      <c r="I1431" s="116"/>
      <c r="L1431" s="170">
        <v>44327</v>
      </c>
      <c r="M1431" s="116">
        <v>1197.3</v>
      </c>
      <c r="N1431" s="116">
        <v>1216</v>
      </c>
      <c r="O1431" s="116">
        <v>1145</v>
      </c>
      <c r="P1431" s="116">
        <v>1166.75</v>
      </c>
      <c r="Q1431" s="116">
        <v>1197.3</v>
      </c>
      <c r="R1431">
        <v>1018401</v>
      </c>
    </row>
    <row r="1432" spans="1:18" x14ac:dyDescent="0.25">
      <c r="A1432" s="170">
        <v>44328</v>
      </c>
      <c r="B1432" s="116">
        <v>1221.25</v>
      </c>
      <c r="C1432" s="116">
        <v>1203.6500000000001</v>
      </c>
      <c r="D1432" s="116">
        <v>1168.1500000000001</v>
      </c>
      <c r="E1432" s="116">
        <v>1214.8</v>
      </c>
      <c r="F1432" s="116">
        <v>1203.6500000000001</v>
      </c>
      <c r="G1432">
        <v>42510</v>
      </c>
      <c r="H1432" s="116"/>
      <c r="I1432" s="116"/>
      <c r="L1432" s="170">
        <v>44328</v>
      </c>
      <c r="M1432" s="116">
        <v>1203.55</v>
      </c>
      <c r="N1432" s="116">
        <v>1222</v>
      </c>
      <c r="O1432" s="116">
        <v>1167.2</v>
      </c>
      <c r="P1432" s="116">
        <v>1210</v>
      </c>
      <c r="Q1432" s="116">
        <v>1203.55</v>
      </c>
      <c r="R1432">
        <v>949524</v>
      </c>
    </row>
    <row r="1433" spans="1:18" x14ac:dyDescent="0.25">
      <c r="A1433" s="170">
        <v>44330</v>
      </c>
      <c r="B1433" s="116">
        <v>1233</v>
      </c>
      <c r="C1433" s="116">
        <v>1143.5</v>
      </c>
      <c r="D1433" s="116">
        <v>1143.5</v>
      </c>
      <c r="E1433" s="116">
        <v>1233</v>
      </c>
      <c r="F1433" s="116">
        <v>1143.5</v>
      </c>
      <c r="G1433">
        <v>35064</v>
      </c>
      <c r="H1433" s="116"/>
      <c r="I1433" s="116"/>
      <c r="L1433" s="170">
        <v>44330</v>
      </c>
      <c r="M1433" s="116">
        <v>1143.4000000000001</v>
      </c>
      <c r="N1433" s="116">
        <v>1230</v>
      </c>
      <c r="O1433" s="116">
        <v>1143.4000000000001</v>
      </c>
      <c r="P1433" s="116">
        <v>1225</v>
      </c>
      <c r="Q1433" s="116">
        <v>1143.4000000000001</v>
      </c>
      <c r="R1433">
        <v>548122</v>
      </c>
    </row>
    <row r="1434" spans="1:18" x14ac:dyDescent="0.25">
      <c r="A1434" s="170">
        <v>44333</v>
      </c>
      <c r="B1434" s="116">
        <v>1200.6500000000001</v>
      </c>
      <c r="C1434" s="116">
        <v>1200.5999999999999</v>
      </c>
      <c r="D1434" s="116">
        <v>1087</v>
      </c>
      <c r="E1434" s="116">
        <v>1087</v>
      </c>
      <c r="F1434" s="116">
        <v>1200.5999999999999</v>
      </c>
      <c r="G1434">
        <v>148404</v>
      </c>
      <c r="H1434" s="116"/>
      <c r="I1434" s="116"/>
      <c r="L1434" s="170">
        <v>44333</v>
      </c>
      <c r="M1434" s="116">
        <v>1200.3499999999999</v>
      </c>
      <c r="N1434" s="116">
        <v>1200.55</v>
      </c>
      <c r="O1434" s="116">
        <v>1096</v>
      </c>
      <c r="P1434" s="116">
        <v>1096</v>
      </c>
      <c r="Q1434" s="116">
        <v>1200.3499999999999</v>
      </c>
      <c r="R1434">
        <v>2138578</v>
      </c>
    </row>
    <row r="1435" spans="1:18" x14ac:dyDescent="0.25">
      <c r="A1435" s="170">
        <v>44334</v>
      </c>
      <c r="B1435" s="116">
        <v>1260.5999999999999</v>
      </c>
      <c r="C1435" s="116">
        <v>1260.5999999999999</v>
      </c>
      <c r="D1435" s="116">
        <v>1210</v>
      </c>
      <c r="E1435" s="116">
        <v>1218</v>
      </c>
      <c r="F1435" s="116">
        <v>1260.5999999999999</v>
      </c>
      <c r="G1435">
        <v>177057</v>
      </c>
      <c r="H1435" s="116"/>
      <c r="I1435" s="116"/>
      <c r="L1435" s="170">
        <v>44334</v>
      </c>
      <c r="M1435" s="116">
        <v>1260.3499999999999</v>
      </c>
      <c r="N1435" s="116">
        <v>1260.3499999999999</v>
      </c>
      <c r="O1435" s="116">
        <v>1210</v>
      </c>
      <c r="P1435" s="116">
        <v>1210</v>
      </c>
      <c r="Q1435" s="116">
        <v>1260.3499999999999</v>
      </c>
      <c r="R1435">
        <v>1736873</v>
      </c>
    </row>
    <row r="1436" spans="1:18" x14ac:dyDescent="0.25">
      <c r="A1436" s="170">
        <v>44335</v>
      </c>
      <c r="B1436" s="116">
        <v>1323.6</v>
      </c>
      <c r="C1436" s="116">
        <v>1323.55</v>
      </c>
      <c r="D1436" s="116">
        <v>1258.4000000000001</v>
      </c>
      <c r="E1436" s="116">
        <v>1269.95</v>
      </c>
      <c r="F1436" s="116">
        <v>1323.55</v>
      </c>
      <c r="G1436">
        <v>182635</v>
      </c>
      <c r="H1436" s="116"/>
      <c r="I1436" s="116"/>
      <c r="L1436" s="170">
        <v>44335</v>
      </c>
      <c r="M1436" s="116">
        <v>1323.35</v>
      </c>
      <c r="N1436" s="116">
        <v>1323.35</v>
      </c>
      <c r="O1436" s="116">
        <v>1260</v>
      </c>
      <c r="P1436" s="116">
        <v>1269.95</v>
      </c>
      <c r="Q1436" s="116">
        <v>1323.35</v>
      </c>
      <c r="R1436">
        <v>2406352</v>
      </c>
    </row>
    <row r="1437" spans="1:18" x14ac:dyDescent="0.25">
      <c r="A1437" s="170">
        <v>44336</v>
      </c>
      <c r="B1437" s="116">
        <v>1389.7</v>
      </c>
      <c r="C1437" s="116">
        <v>1385.95</v>
      </c>
      <c r="D1437" s="116">
        <v>1325</v>
      </c>
      <c r="E1437" s="116">
        <v>1330.1</v>
      </c>
      <c r="F1437" s="116">
        <v>1385.95</v>
      </c>
      <c r="G1437">
        <v>115396</v>
      </c>
      <c r="H1437" s="116"/>
      <c r="I1437" s="116"/>
      <c r="L1437" s="170">
        <v>44336</v>
      </c>
      <c r="M1437" s="116">
        <v>1385.75</v>
      </c>
      <c r="N1437" s="116">
        <v>1389.5</v>
      </c>
      <c r="O1437" s="116">
        <v>1326.05</v>
      </c>
      <c r="P1437" s="116">
        <v>1338</v>
      </c>
      <c r="Q1437" s="116">
        <v>1385.75</v>
      </c>
      <c r="R1437">
        <v>1916946</v>
      </c>
    </row>
    <row r="1438" spans="1:18" x14ac:dyDescent="0.25">
      <c r="A1438" s="170">
        <v>44337</v>
      </c>
      <c r="B1438" s="116">
        <v>1455.2</v>
      </c>
      <c r="C1438" s="116">
        <v>1454.25</v>
      </c>
      <c r="D1438" s="116">
        <v>1414</v>
      </c>
      <c r="E1438" s="116">
        <v>1414</v>
      </c>
      <c r="F1438" s="116">
        <v>1454.25</v>
      </c>
      <c r="G1438">
        <v>227161</v>
      </c>
      <c r="H1438" s="116"/>
      <c r="I1438" s="116"/>
      <c r="L1438" s="170">
        <v>44337</v>
      </c>
      <c r="M1438" s="116">
        <v>1453.85</v>
      </c>
      <c r="N1438" s="116">
        <v>1455</v>
      </c>
      <c r="O1438" s="116">
        <v>1415.05</v>
      </c>
      <c r="P1438" s="116">
        <v>1444</v>
      </c>
      <c r="Q1438" s="116">
        <v>1453.85</v>
      </c>
      <c r="R1438">
        <v>4156347</v>
      </c>
    </row>
    <row r="1439" spans="1:18" x14ac:dyDescent="0.25">
      <c r="A1439" s="170">
        <v>44340</v>
      </c>
      <c r="B1439" s="116">
        <v>1526.95</v>
      </c>
      <c r="C1439" s="116">
        <v>1526.95</v>
      </c>
      <c r="D1439" s="116">
        <v>1450</v>
      </c>
      <c r="E1439" s="116">
        <v>1462</v>
      </c>
      <c r="F1439" s="116">
        <v>1526.95</v>
      </c>
      <c r="G1439">
        <v>160772</v>
      </c>
      <c r="H1439" s="116"/>
      <c r="I1439" s="116"/>
      <c r="L1439" s="170">
        <v>44340</v>
      </c>
      <c r="M1439" s="116">
        <v>1526.5</v>
      </c>
      <c r="N1439" s="116">
        <v>1526.5</v>
      </c>
      <c r="O1439" s="116">
        <v>1453.95</v>
      </c>
      <c r="P1439" s="116">
        <v>1464</v>
      </c>
      <c r="Q1439" s="116">
        <v>1526.5</v>
      </c>
      <c r="R1439">
        <v>3473556</v>
      </c>
    </row>
    <row r="1440" spans="1:18" x14ac:dyDescent="0.25">
      <c r="A1440" s="170">
        <v>44341</v>
      </c>
      <c r="B1440" s="116">
        <v>1589.3</v>
      </c>
      <c r="C1440" s="116">
        <v>1450.65</v>
      </c>
      <c r="D1440" s="116">
        <v>1450.65</v>
      </c>
      <c r="E1440" s="116">
        <v>1570</v>
      </c>
      <c r="F1440" s="116">
        <v>1450.65</v>
      </c>
      <c r="G1440">
        <v>264894</v>
      </c>
      <c r="H1440" s="116"/>
      <c r="I1440" s="116"/>
      <c r="L1440" s="170">
        <v>44341</v>
      </c>
      <c r="M1440" s="116">
        <v>1450.2</v>
      </c>
      <c r="N1440" s="116">
        <v>1590</v>
      </c>
      <c r="O1440" s="116">
        <v>1450.2</v>
      </c>
      <c r="P1440" s="116">
        <v>1569.9</v>
      </c>
      <c r="Q1440" s="116">
        <v>1450.2</v>
      </c>
      <c r="R1440">
        <v>2005421</v>
      </c>
    </row>
    <row r="1441" spans="1:18" x14ac:dyDescent="0.25">
      <c r="A1441" s="170">
        <v>44342</v>
      </c>
      <c r="B1441" s="116">
        <v>1420</v>
      </c>
      <c r="C1441" s="116">
        <v>1392.3</v>
      </c>
      <c r="D1441" s="116">
        <v>1378.15</v>
      </c>
      <c r="E1441" s="116">
        <v>1419.95</v>
      </c>
      <c r="F1441" s="116">
        <v>1392.3</v>
      </c>
      <c r="G1441">
        <v>180537</v>
      </c>
      <c r="H1441" s="116"/>
      <c r="I1441" s="116"/>
      <c r="L1441" s="170">
        <v>44342</v>
      </c>
      <c r="M1441" s="116">
        <v>1392.55</v>
      </c>
      <c r="N1441" s="116">
        <v>1421.2</v>
      </c>
      <c r="O1441" s="116">
        <v>1377.7</v>
      </c>
      <c r="P1441" s="116">
        <v>1415</v>
      </c>
      <c r="Q1441" s="116">
        <v>1392.55</v>
      </c>
      <c r="R1441">
        <v>2040422</v>
      </c>
    </row>
    <row r="1442" spans="1:18" x14ac:dyDescent="0.25">
      <c r="A1442" s="170">
        <v>44343</v>
      </c>
      <c r="B1442" s="116">
        <v>1461.9</v>
      </c>
      <c r="C1442" s="116">
        <v>1446.65</v>
      </c>
      <c r="D1442" s="116">
        <v>1361.35</v>
      </c>
      <c r="E1442" s="116">
        <v>1422.3</v>
      </c>
      <c r="F1442" s="116">
        <v>1446.65</v>
      </c>
      <c r="G1442">
        <v>210334</v>
      </c>
      <c r="H1442" s="116"/>
      <c r="I1442" s="116"/>
      <c r="L1442" s="170">
        <v>44343</v>
      </c>
      <c r="M1442" s="116">
        <v>1439.8</v>
      </c>
      <c r="N1442" s="116">
        <v>1462.15</v>
      </c>
      <c r="O1442" s="116">
        <v>1360</v>
      </c>
      <c r="P1442" s="116">
        <v>1430</v>
      </c>
      <c r="Q1442" s="116">
        <v>1439.8</v>
      </c>
      <c r="R1442">
        <v>30440408</v>
      </c>
    </row>
    <row r="1443" spans="1:18" x14ac:dyDescent="0.25">
      <c r="A1443" s="170">
        <v>44344</v>
      </c>
      <c r="B1443" s="116">
        <v>1470.75</v>
      </c>
      <c r="C1443" s="116">
        <v>1444.55</v>
      </c>
      <c r="D1443" s="116">
        <v>1412.7</v>
      </c>
      <c r="E1443" s="116">
        <v>1429</v>
      </c>
      <c r="F1443" s="116">
        <v>1444.55</v>
      </c>
      <c r="G1443">
        <v>77086</v>
      </c>
      <c r="H1443" s="116"/>
      <c r="I1443" s="116"/>
      <c r="L1443" s="170">
        <v>44344</v>
      </c>
      <c r="M1443" s="116">
        <v>1444.9</v>
      </c>
      <c r="N1443" s="116">
        <v>1469.95</v>
      </c>
      <c r="O1443" s="116">
        <v>1413.25</v>
      </c>
      <c r="P1443" s="116">
        <v>1421.9</v>
      </c>
      <c r="Q1443" s="116">
        <v>1444.9</v>
      </c>
      <c r="R1443">
        <v>822133</v>
      </c>
    </row>
    <row r="1444" spans="1:18" x14ac:dyDescent="0.25">
      <c r="A1444" s="170">
        <v>44347</v>
      </c>
      <c r="B1444" s="116">
        <v>1492.25</v>
      </c>
      <c r="C1444" s="116">
        <v>1474.55</v>
      </c>
      <c r="D1444" s="116">
        <v>1440.5</v>
      </c>
      <c r="E1444" s="116">
        <v>1459.3</v>
      </c>
      <c r="F1444" s="116">
        <v>1474.55</v>
      </c>
      <c r="G1444">
        <v>35436</v>
      </c>
      <c r="H1444" s="116"/>
      <c r="I1444" s="116"/>
      <c r="L1444" s="170">
        <v>44347</v>
      </c>
      <c r="M1444" s="116">
        <v>1473.6</v>
      </c>
      <c r="N1444" s="116">
        <v>1493</v>
      </c>
      <c r="O1444" s="116">
        <v>1440.4</v>
      </c>
      <c r="P1444" s="116">
        <v>1454</v>
      </c>
      <c r="Q1444" s="116">
        <v>1473.6</v>
      </c>
      <c r="R1444">
        <v>464776</v>
      </c>
    </row>
    <row r="1445" spans="1:18" x14ac:dyDescent="0.25">
      <c r="A1445" s="170">
        <v>44348</v>
      </c>
      <c r="B1445" s="116">
        <v>1520</v>
      </c>
      <c r="C1445" s="116">
        <v>1500.4</v>
      </c>
      <c r="D1445" s="116">
        <v>1461.55</v>
      </c>
      <c r="E1445" s="116">
        <v>1491</v>
      </c>
      <c r="F1445" s="116">
        <v>1500.4</v>
      </c>
      <c r="G1445">
        <v>99488</v>
      </c>
      <c r="H1445" s="116"/>
      <c r="I1445" s="116"/>
      <c r="L1445" s="170">
        <v>44348</v>
      </c>
      <c r="M1445" s="116">
        <v>1499.45</v>
      </c>
      <c r="N1445" s="116">
        <v>1515</v>
      </c>
      <c r="O1445" s="116">
        <v>1475</v>
      </c>
      <c r="P1445" s="116">
        <v>1489.9</v>
      </c>
      <c r="Q1445" s="116">
        <v>1499.45</v>
      </c>
      <c r="R1445">
        <v>1543382</v>
      </c>
    </row>
    <row r="1446" spans="1:18" x14ac:dyDescent="0.25">
      <c r="A1446" s="170">
        <v>44349</v>
      </c>
      <c r="B1446" s="116">
        <v>1573</v>
      </c>
      <c r="C1446" s="116">
        <v>1557.8</v>
      </c>
      <c r="D1446" s="116">
        <v>1499.35</v>
      </c>
      <c r="E1446" s="116">
        <v>1504.7</v>
      </c>
      <c r="F1446" s="116">
        <v>1557.8</v>
      </c>
      <c r="G1446">
        <v>124796</v>
      </c>
      <c r="H1446" s="116"/>
      <c r="I1446" s="116"/>
      <c r="L1446" s="170">
        <v>44349</v>
      </c>
      <c r="M1446" s="116">
        <v>1558.25</v>
      </c>
      <c r="N1446" s="116">
        <v>1574</v>
      </c>
      <c r="O1446" s="116">
        <v>1500.95</v>
      </c>
      <c r="P1446" s="116">
        <v>1501</v>
      </c>
      <c r="Q1446" s="116">
        <v>1558.25</v>
      </c>
      <c r="R1446">
        <v>1602906</v>
      </c>
    </row>
    <row r="1447" spans="1:18" x14ac:dyDescent="0.25">
      <c r="A1447" s="170">
        <v>44350</v>
      </c>
      <c r="B1447" s="116">
        <v>1629.9</v>
      </c>
      <c r="C1447" s="116">
        <v>1579.7</v>
      </c>
      <c r="D1447" s="116">
        <v>1541.25</v>
      </c>
      <c r="E1447" s="116">
        <v>1577.9</v>
      </c>
      <c r="F1447" s="116">
        <v>1579.7</v>
      </c>
      <c r="G1447">
        <v>67088</v>
      </c>
      <c r="H1447" s="116"/>
      <c r="I1447" s="116"/>
      <c r="L1447" s="170">
        <v>44350</v>
      </c>
      <c r="M1447" s="116">
        <v>1577.9</v>
      </c>
      <c r="N1447" s="116">
        <v>1630</v>
      </c>
      <c r="O1447" s="116">
        <v>1540</v>
      </c>
      <c r="P1447" s="116">
        <v>1581.3</v>
      </c>
      <c r="Q1447" s="116">
        <v>1577.9</v>
      </c>
      <c r="R1447">
        <v>1519353</v>
      </c>
    </row>
    <row r="1448" spans="1:18" x14ac:dyDescent="0.25">
      <c r="A1448" s="170">
        <v>44351</v>
      </c>
      <c r="B1448" s="116">
        <v>1622.35</v>
      </c>
      <c r="C1448" s="116">
        <v>1605.55</v>
      </c>
      <c r="D1448" s="116">
        <v>1585</v>
      </c>
      <c r="E1448" s="116">
        <v>1612.35</v>
      </c>
      <c r="F1448" s="116">
        <v>1605.55</v>
      </c>
      <c r="G1448">
        <v>92189</v>
      </c>
      <c r="H1448" s="116"/>
      <c r="I1448" s="116"/>
      <c r="L1448" s="170">
        <v>44351</v>
      </c>
      <c r="M1448" s="116">
        <v>1602.05</v>
      </c>
      <c r="N1448" s="116">
        <v>1625</v>
      </c>
      <c r="O1448" s="116">
        <v>1586.05</v>
      </c>
      <c r="P1448" s="116">
        <v>1624</v>
      </c>
      <c r="Q1448" s="116">
        <v>1602.05</v>
      </c>
      <c r="R1448">
        <v>923526</v>
      </c>
    </row>
    <row r="1449" spans="1:18" x14ac:dyDescent="0.25">
      <c r="A1449" s="170">
        <v>44354</v>
      </c>
      <c r="B1449" s="116">
        <v>1647.7</v>
      </c>
      <c r="C1449" s="116">
        <v>1588.2</v>
      </c>
      <c r="D1449" s="116">
        <v>1557</v>
      </c>
      <c r="E1449" s="116">
        <v>1623.7</v>
      </c>
      <c r="F1449" s="116">
        <v>1588.2</v>
      </c>
      <c r="G1449">
        <v>78371</v>
      </c>
      <c r="H1449" s="116"/>
      <c r="I1449" s="116"/>
      <c r="L1449" s="170">
        <v>44354</v>
      </c>
      <c r="M1449" s="116">
        <v>1589.45</v>
      </c>
      <c r="N1449" s="116">
        <v>1644.95</v>
      </c>
      <c r="O1449" s="116">
        <v>1552.6</v>
      </c>
      <c r="P1449" s="116">
        <v>1616.9</v>
      </c>
      <c r="Q1449" s="116">
        <v>1589.45</v>
      </c>
      <c r="R1449">
        <v>632473</v>
      </c>
    </row>
    <row r="1450" spans="1:18" x14ac:dyDescent="0.25">
      <c r="A1450" s="170">
        <v>44355</v>
      </c>
      <c r="B1450" s="116">
        <v>1610.35</v>
      </c>
      <c r="C1450" s="116">
        <v>1593.8</v>
      </c>
      <c r="D1450" s="116">
        <v>1573.3</v>
      </c>
      <c r="E1450" s="116">
        <v>1610.35</v>
      </c>
      <c r="F1450" s="116">
        <v>1593.8</v>
      </c>
      <c r="G1450">
        <v>29547</v>
      </c>
      <c r="H1450" s="116"/>
      <c r="I1450" s="116"/>
      <c r="L1450" s="170">
        <v>44355</v>
      </c>
      <c r="M1450" s="116">
        <v>1592.6</v>
      </c>
      <c r="N1450" s="116">
        <v>1609</v>
      </c>
      <c r="O1450" s="116">
        <v>1574</v>
      </c>
      <c r="P1450" s="116">
        <v>1595</v>
      </c>
      <c r="Q1450" s="116">
        <v>1592.6</v>
      </c>
      <c r="R1450">
        <v>790597</v>
      </c>
    </row>
    <row r="1451" spans="1:18" x14ac:dyDescent="0.25">
      <c r="A1451" s="170">
        <v>44356</v>
      </c>
      <c r="B1451" s="116">
        <v>1609</v>
      </c>
      <c r="C1451" s="116">
        <v>1567.5</v>
      </c>
      <c r="D1451" s="116">
        <v>1514.15</v>
      </c>
      <c r="E1451" s="116">
        <v>1594</v>
      </c>
      <c r="F1451" s="116">
        <v>1567.5</v>
      </c>
      <c r="G1451">
        <v>43958</v>
      </c>
      <c r="H1451" s="116"/>
      <c r="I1451" s="116"/>
      <c r="L1451" s="170">
        <v>44356</v>
      </c>
      <c r="M1451" s="116">
        <v>1571.5</v>
      </c>
      <c r="N1451" s="116">
        <v>1635</v>
      </c>
      <c r="O1451" s="116">
        <v>1513</v>
      </c>
      <c r="P1451" s="116">
        <v>1585</v>
      </c>
      <c r="Q1451" s="116">
        <v>1571.5</v>
      </c>
      <c r="R1451">
        <v>227588</v>
      </c>
    </row>
    <row r="1452" spans="1:18" x14ac:dyDescent="0.25">
      <c r="A1452" s="170">
        <v>44357</v>
      </c>
      <c r="B1452" s="116">
        <v>1600</v>
      </c>
      <c r="C1452" s="116">
        <v>1586.25</v>
      </c>
      <c r="D1452" s="116">
        <v>1542</v>
      </c>
      <c r="E1452" s="116">
        <v>1600</v>
      </c>
      <c r="F1452" s="116">
        <v>1586.25</v>
      </c>
      <c r="G1452">
        <v>8223</v>
      </c>
      <c r="H1452" s="116"/>
      <c r="I1452" s="116"/>
      <c r="L1452" s="170">
        <v>44357</v>
      </c>
      <c r="M1452" s="116">
        <v>1589.9</v>
      </c>
      <c r="N1452" s="116">
        <v>1609.8</v>
      </c>
      <c r="O1452" s="116">
        <v>1570</v>
      </c>
      <c r="P1452" s="116">
        <v>1597.1</v>
      </c>
      <c r="Q1452" s="116">
        <v>1589.9</v>
      </c>
      <c r="R1452">
        <v>143589</v>
      </c>
    </row>
    <row r="1453" spans="1:18" x14ac:dyDescent="0.25">
      <c r="A1453" s="170">
        <v>44358</v>
      </c>
      <c r="B1453" s="116">
        <v>1615</v>
      </c>
      <c r="C1453" s="116">
        <v>1597.1</v>
      </c>
      <c r="D1453" s="116">
        <v>1506.95</v>
      </c>
      <c r="E1453" s="116">
        <v>1601.5</v>
      </c>
      <c r="F1453" s="116">
        <v>1597.1</v>
      </c>
      <c r="G1453">
        <v>19341</v>
      </c>
      <c r="H1453" s="116"/>
      <c r="I1453" s="116"/>
      <c r="L1453" s="170">
        <v>44358</v>
      </c>
      <c r="M1453" s="116">
        <v>1602.6</v>
      </c>
      <c r="N1453" s="116">
        <v>1640</v>
      </c>
      <c r="O1453" s="116">
        <v>1540</v>
      </c>
      <c r="P1453" s="116">
        <v>1575</v>
      </c>
      <c r="Q1453" s="116">
        <v>1602.6</v>
      </c>
      <c r="R1453">
        <v>184010</v>
      </c>
    </row>
    <row r="1454" spans="1:18" x14ac:dyDescent="0.25">
      <c r="A1454" s="170">
        <v>44361</v>
      </c>
      <c r="B1454" s="116">
        <v>1517.25</v>
      </c>
      <c r="C1454" s="116">
        <v>1517.25</v>
      </c>
      <c r="D1454" s="116">
        <v>1517.25</v>
      </c>
      <c r="E1454" s="116">
        <v>1517.25</v>
      </c>
      <c r="F1454" s="116">
        <v>1517.25</v>
      </c>
      <c r="G1454">
        <v>13215</v>
      </c>
      <c r="H1454" s="116"/>
      <c r="I1454" s="116"/>
      <c r="L1454" s="170">
        <v>44361</v>
      </c>
      <c r="M1454" s="116">
        <v>1522.5</v>
      </c>
      <c r="N1454" s="116">
        <v>1522.5</v>
      </c>
      <c r="O1454" s="116">
        <v>1522.5</v>
      </c>
      <c r="P1454" s="116">
        <v>1522.5</v>
      </c>
      <c r="Q1454" s="116">
        <v>1522.5</v>
      </c>
      <c r="R1454">
        <v>89006</v>
      </c>
    </row>
    <row r="1455" spans="1:18" x14ac:dyDescent="0.25">
      <c r="A1455" s="170">
        <v>44362</v>
      </c>
      <c r="B1455" s="116">
        <v>1486</v>
      </c>
      <c r="C1455" s="116">
        <v>1441.4</v>
      </c>
      <c r="D1455" s="116">
        <v>1441.4</v>
      </c>
      <c r="E1455" s="116">
        <v>1441.4</v>
      </c>
      <c r="F1455" s="116">
        <v>1441.4</v>
      </c>
      <c r="G1455">
        <v>37466</v>
      </c>
      <c r="H1455" s="116"/>
      <c r="I1455" s="116"/>
      <c r="L1455" s="170">
        <v>44362</v>
      </c>
      <c r="M1455" s="116">
        <v>1446.4</v>
      </c>
      <c r="N1455" s="116">
        <v>1466.5</v>
      </c>
      <c r="O1455" s="116">
        <v>1446.4</v>
      </c>
      <c r="P1455" s="116">
        <v>1446.4</v>
      </c>
      <c r="Q1455" s="116">
        <v>1446.4</v>
      </c>
      <c r="R1455">
        <v>179102</v>
      </c>
    </row>
    <row r="1456" spans="1:18" x14ac:dyDescent="0.25">
      <c r="A1456" s="170">
        <v>44363</v>
      </c>
      <c r="B1456" s="116">
        <v>1369.35</v>
      </c>
      <c r="C1456" s="116">
        <v>1369.35</v>
      </c>
      <c r="D1456" s="116">
        <v>1369.35</v>
      </c>
      <c r="E1456" s="116">
        <v>1369.35</v>
      </c>
      <c r="F1456" s="116">
        <v>1369.35</v>
      </c>
      <c r="G1456">
        <v>9083</v>
      </c>
      <c r="H1456" s="116"/>
      <c r="I1456" s="116"/>
      <c r="L1456" s="170">
        <v>44363</v>
      </c>
      <c r="M1456" s="116">
        <v>1374.1</v>
      </c>
      <c r="N1456" s="116">
        <v>1374.1</v>
      </c>
      <c r="O1456" s="116">
        <v>1374.1</v>
      </c>
      <c r="P1456" s="116">
        <v>1374.1</v>
      </c>
      <c r="Q1456" s="116">
        <v>1374.1</v>
      </c>
      <c r="R1456">
        <v>70308</v>
      </c>
    </row>
    <row r="1457" spans="1:18" x14ac:dyDescent="0.25">
      <c r="A1457" s="170">
        <v>44364</v>
      </c>
      <c r="B1457" s="116">
        <v>1300.9000000000001</v>
      </c>
      <c r="C1457" s="116">
        <v>1300.9000000000001</v>
      </c>
      <c r="D1457" s="116">
        <v>1300.9000000000001</v>
      </c>
      <c r="E1457" s="116">
        <v>1300.9000000000001</v>
      </c>
      <c r="F1457" s="116">
        <v>1300.9000000000001</v>
      </c>
      <c r="G1457">
        <v>7000</v>
      </c>
      <c r="H1457" s="116"/>
      <c r="I1457" s="116"/>
      <c r="L1457" s="170">
        <v>44364</v>
      </c>
      <c r="M1457" s="116">
        <v>1305.4000000000001</v>
      </c>
      <c r="N1457" s="116">
        <v>1305.4000000000001</v>
      </c>
      <c r="O1457" s="116">
        <v>1305.4000000000001</v>
      </c>
      <c r="P1457" s="116">
        <v>1305.4000000000001</v>
      </c>
      <c r="Q1457" s="116">
        <v>1305.4000000000001</v>
      </c>
      <c r="R1457">
        <v>34906</v>
      </c>
    </row>
    <row r="1458" spans="1:18" x14ac:dyDescent="0.25">
      <c r="A1458" s="170">
        <v>44365</v>
      </c>
      <c r="B1458" s="116">
        <v>1235.9000000000001</v>
      </c>
      <c r="C1458" s="116">
        <v>1235.9000000000001</v>
      </c>
      <c r="D1458" s="116">
        <v>1235.9000000000001</v>
      </c>
      <c r="E1458" s="116">
        <v>1235.9000000000001</v>
      </c>
      <c r="F1458" s="116">
        <v>1235.9000000000001</v>
      </c>
      <c r="G1458">
        <v>8716</v>
      </c>
      <c r="H1458" s="116"/>
      <c r="I1458" s="116"/>
      <c r="L1458" s="170">
        <v>44365</v>
      </c>
      <c r="M1458" s="116">
        <v>1240.1500000000001</v>
      </c>
      <c r="N1458" s="116">
        <v>1240.1500000000001</v>
      </c>
      <c r="O1458" s="116">
        <v>1240.1500000000001</v>
      </c>
      <c r="P1458" s="116">
        <v>1240.1500000000001</v>
      </c>
      <c r="Q1458" s="116">
        <v>1240.1500000000001</v>
      </c>
      <c r="R1458">
        <v>184482</v>
      </c>
    </row>
    <row r="1459" spans="1:18" x14ac:dyDescent="0.25">
      <c r="A1459" s="170">
        <v>44368</v>
      </c>
      <c r="B1459" s="116">
        <v>1297.6500000000001</v>
      </c>
      <c r="C1459" s="116">
        <v>1297.6500000000001</v>
      </c>
      <c r="D1459" s="116">
        <v>1174.1500000000001</v>
      </c>
      <c r="E1459" s="116">
        <v>1174.1500000000001</v>
      </c>
      <c r="F1459" s="116">
        <v>1297.6500000000001</v>
      </c>
      <c r="G1459">
        <v>59250</v>
      </c>
      <c r="H1459" s="116"/>
      <c r="I1459" s="116"/>
      <c r="L1459" s="170">
        <v>44368</v>
      </c>
      <c r="M1459" s="116">
        <v>1302.1500000000001</v>
      </c>
      <c r="N1459" s="116">
        <v>1302.1500000000001</v>
      </c>
      <c r="O1459" s="116">
        <v>1178.1500000000001</v>
      </c>
      <c r="P1459" s="116">
        <v>1178.1500000000001</v>
      </c>
      <c r="Q1459" s="116">
        <v>1302.1500000000001</v>
      </c>
      <c r="R1459">
        <v>850411</v>
      </c>
    </row>
    <row r="1460" spans="1:18" x14ac:dyDescent="0.25">
      <c r="A1460" s="170">
        <v>44369</v>
      </c>
      <c r="B1460" s="116">
        <v>1362.5</v>
      </c>
      <c r="C1460" s="116">
        <v>1362.5</v>
      </c>
      <c r="D1460" s="116">
        <v>1260</v>
      </c>
      <c r="E1460" s="116">
        <v>1290</v>
      </c>
      <c r="F1460" s="116">
        <v>1362.5</v>
      </c>
      <c r="G1460">
        <v>29067</v>
      </c>
      <c r="H1460" s="116"/>
      <c r="I1460" s="116"/>
      <c r="L1460" s="170">
        <v>44369</v>
      </c>
      <c r="M1460" s="116">
        <v>1367.25</v>
      </c>
      <c r="N1460" s="116">
        <v>1367.25</v>
      </c>
      <c r="O1460" s="116">
        <v>1261</v>
      </c>
      <c r="P1460" s="116">
        <v>1261</v>
      </c>
      <c r="Q1460" s="116">
        <v>1367.25</v>
      </c>
      <c r="R1460">
        <v>307614</v>
      </c>
    </row>
    <row r="1461" spans="1:18" x14ac:dyDescent="0.25">
      <c r="A1461" s="170">
        <v>44370</v>
      </c>
      <c r="B1461" s="116">
        <v>1421.2</v>
      </c>
      <c r="C1461" s="116">
        <v>1313.7</v>
      </c>
      <c r="D1461" s="116">
        <v>1294.4000000000001</v>
      </c>
      <c r="E1461" s="116">
        <v>1405</v>
      </c>
      <c r="F1461" s="116">
        <v>1313.7</v>
      </c>
      <c r="G1461">
        <v>30084</v>
      </c>
      <c r="H1461" s="116"/>
      <c r="I1461" s="116"/>
      <c r="L1461" s="170">
        <v>44370</v>
      </c>
      <c r="M1461" s="116">
        <v>1321.45</v>
      </c>
      <c r="N1461" s="116">
        <v>1409</v>
      </c>
      <c r="O1461" s="116">
        <v>1298.9000000000001</v>
      </c>
      <c r="P1461" s="116">
        <v>1403</v>
      </c>
      <c r="Q1461" s="116">
        <v>1321.45</v>
      </c>
      <c r="R1461">
        <v>343449</v>
      </c>
    </row>
    <row r="1462" spans="1:18" x14ac:dyDescent="0.25">
      <c r="A1462" s="170">
        <v>44371</v>
      </c>
      <c r="B1462" s="116">
        <v>1314.7</v>
      </c>
      <c r="C1462" s="116">
        <v>1256.95</v>
      </c>
      <c r="D1462" s="116">
        <v>1248.5</v>
      </c>
      <c r="E1462" s="116">
        <v>1314</v>
      </c>
      <c r="F1462" s="116">
        <v>1256.95</v>
      </c>
      <c r="G1462">
        <v>20617</v>
      </c>
      <c r="H1462" s="116"/>
      <c r="I1462" s="116"/>
      <c r="L1462" s="170">
        <v>44371</v>
      </c>
      <c r="M1462" s="116">
        <v>1255.6500000000001</v>
      </c>
      <c r="N1462" s="116">
        <v>1295.05</v>
      </c>
      <c r="O1462" s="116">
        <v>1255.4000000000001</v>
      </c>
      <c r="P1462" s="116">
        <v>1291</v>
      </c>
      <c r="Q1462" s="116">
        <v>1255.6500000000001</v>
      </c>
      <c r="R1462">
        <v>304737</v>
      </c>
    </row>
    <row r="1463" spans="1:18" x14ac:dyDescent="0.25">
      <c r="A1463" s="170">
        <v>44372</v>
      </c>
      <c r="B1463" s="116">
        <v>1241</v>
      </c>
      <c r="C1463" s="116">
        <v>1194.1500000000001</v>
      </c>
      <c r="D1463" s="116">
        <v>1194.1500000000001</v>
      </c>
      <c r="E1463" s="116">
        <v>1200.0999999999999</v>
      </c>
      <c r="F1463" s="116">
        <v>1194.1500000000001</v>
      </c>
      <c r="G1463">
        <v>33168</v>
      </c>
      <c r="H1463" s="116"/>
      <c r="I1463" s="116"/>
      <c r="L1463" s="170">
        <v>44372</v>
      </c>
      <c r="M1463" s="116">
        <v>1192.9000000000001</v>
      </c>
      <c r="N1463" s="116">
        <v>1237.9000000000001</v>
      </c>
      <c r="O1463" s="116">
        <v>1192.9000000000001</v>
      </c>
      <c r="P1463" s="116">
        <v>1231.6500000000001</v>
      </c>
      <c r="Q1463" s="116">
        <v>1192.9000000000001</v>
      </c>
      <c r="R1463">
        <v>284591</v>
      </c>
    </row>
    <row r="1464" spans="1:18" x14ac:dyDescent="0.25">
      <c r="A1464" s="170">
        <v>44375</v>
      </c>
      <c r="B1464" s="116">
        <v>1210</v>
      </c>
      <c r="C1464" s="116">
        <v>1164.0999999999999</v>
      </c>
      <c r="D1464" s="116">
        <v>1134.45</v>
      </c>
      <c r="E1464" s="116">
        <v>1189.4000000000001</v>
      </c>
      <c r="F1464" s="116">
        <v>1164.0999999999999</v>
      </c>
      <c r="G1464">
        <v>54262</v>
      </c>
      <c r="H1464" s="116"/>
      <c r="I1464" s="116"/>
      <c r="L1464" s="170">
        <v>44375</v>
      </c>
      <c r="M1464" s="116">
        <v>1159</v>
      </c>
      <c r="N1464" s="116">
        <v>1200</v>
      </c>
      <c r="O1464" s="116">
        <v>1133.3</v>
      </c>
      <c r="P1464" s="116">
        <v>1134</v>
      </c>
      <c r="Q1464" s="116">
        <v>1159</v>
      </c>
      <c r="R1464">
        <v>202876</v>
      </c>
    </row>
    <row r="1465" spans="1:18" x14ac:dyDescent="0.25">
      <c r="A1465" s="170">
        <v>44376</v>
      </c>
      <c r="B1465" s="116">
        <v>1208.8</v>
      </c>
      <c r="C1465" s="116">
        <v>1118.8499999999999</v>
      </c>
      <c r="D1465" s="116">
        <v>1105.9000000000001</v>
      </c>
      <c r="E1465" s="116">
        <v>1175</v>
      </c>
      <c r="F1465" s="116">
        <v>1118.8499999999999</v>
      </c>
      <c r="G1465">
        <v>36392</v>
      </c>
      <c r="H1465" s="116"/>
      <c r="I1465" s="116"/>
      <c r="L1465" s="170">
        <v>44376</v>
      </c>
      <c r="M1465" s="116">
        <v>1115.2</v>
      </c>
      <c r="N1465" s="116">
        <v>1199.8</v>
      </c>
      <c r="O1465" s="116">
        <v>1101.05</v>
      </c>
      <c r="P1465" s="116">
        <v>1164.0999999999999</v>
      </c>
      <c r="Q1465" s="116">
        <v>1115.2</v>
      </c>
      <c r="R1465">
        <v>334173</v>
      </c>
    </row>
    <row r="1466" spans="1:18" x14ac:dyDescent="0.25">
      <c r="A1466" s="170">
        <v>44377</v>
      </c>
      <c r="B1466" s="116">
        <v>1122.8499999999999</v>
      </c>
      <c r="C1466" s="116">
        <v>1062.95</v>
      </c>
      <c r="D1466" s="116">
        <v>1062.95</v>
      </c>
      <c r="E1466" s="116">
        <v>1071</v>
      </c>
      <c r="F1466" s="116">
        <v>1062.95</v>
      </c>
      <c r="G1466">
        <v>29467</v>
      </c>
      <c r="H1466" s="116"/>
      <c r="I1466" s="116"/>
      <c r="L1466" s="170">
        <v>44377</v>
      </c>
      <c r="M1466" s="116">
        <v>1059.45</v>
      </c>
      <c r="N1466" s="116">
        <v>1120</v>
      </c>
      <c r="O1466" s="116">
        <v>1059.45</v>
      </c>
      <c r="P1466" s="116">
        <v>1069</v>
      </c>
      <c r="Q1466" s="116">
        <v>1059.45</v>
      </c>
      <c r="R1466">
        <v>209198</v>
      </c>
    </row>
    <row r="1467" spans="1:18" x14ac:dyDescent="0.25">
      <c r="A1467" s="170">
        <v>44378</v>
      </c>
      <c r="B1467" s="116">
        <v>1009.85</v>
      </c>
      <c r="C1467" s="116">
        <v>1009.85</v>
      </c>
      <c r="D1467" s="116">
        <v>1009.85</v>
      </c>
      <c r="E1467" s="116">
        <v>1009.85</v>
      </c>
      <c r="F1467" s="116">
        <v>1009.85</v>
      </c>
      <c r="G1467">
        <v>7283</v>
      </c>
      <c r="H1467" s="116"/>
      <c r="I1467" s="116"/>
      <c r="L1467" s="170">
        <v>44378</v>
      </c>
      <c r="M1467" s="116">
        <v>1006.5</v>
      </c>
      <c r="N1467" s="116">
        <v>1006.5</v>
      </c>
      <c r="O1467" s="116">
        <v>1006.5</v>
      </c>
      <c r="P1467" s="116">
        <v>1006.5</v>
      </c>
      <c r="Q1467" s="116">
        <v>1006.5</v>
      </c>
      <c r="R1467">
        <v>50565</v>
      </c>
    </row>
    <row r="1468" spans="1:18" x14ac:dyDescent="0.25">
      <c r="A1468" s="170">
        <v>44379</v>
      </c>
      <c r="B1468" s="116">
        <v>959.4</v>
      </c>
      <c r="C1468" s="116">
        <v>959.4</v>
      </c>
      <c r="D1468" s="116">
        <v>959.4</v>
      </c>
      <c r="E1468" s="116">
        <v>959.4</v>
      </c>
      <c r="F1468" s="116">
        <v>959.4</v>
      </c>
      <c r="G1468">
        <v>10046</v>
      </c>
      <c r="H1468" s="116"/>
      <c r="I1468" s="116"/>
      <c r="L1468" s="170">
        <v>44379</v>
      </c>
      <c r="M1468" s="116">
        <v>956.2</v>
      </c>
      <c r="N1468" s="116">
        <v>956.2</v>
      </c>
      <c r="O1468" s="116">
        <v>956.2</v>
      </c>
      <c r="P1468" s="116">
        <v>956.2</v>
      </c>
      <c r="Q1468" s="116">
        <v>956.2</v>
      </c>
      <c r="R1468">
        <v>75189</v>
      </c>
    </row>
    <row r="1469" spans="1:18" x14ac:dyDescent="0.25">
      <c r="A1469" s="170">
        <v>44382</v>
      </c>
      <c r="B1469" s="116">
        <v>911.45</v>
      </c>
      <c r="C1469" s="116">
        <v>911.45</v>
      </c>
      <c r="D1469" s="116">
        <v>911.45</v>
      </c>
      <c r="E1469" s="116">
        <v>911.45</v>
      </c>
      <c r="F1469" s="116">
        <v>911.45</v>
      </c>
      <c r="G1469">
        <v>9247</v>
      </c>
      <c r="H1469" s="116"/>
      <c r="I1469" s="116"/>
      <c r="L1469" s="170">
        <v>44382</v>
      </c>
      <c r="M1469" s="116">
        <v>908.4</v>
      </c>
      <c r="N1469" s="116">
        <v>908.4</v>
      </c>
      <c r="O1469" s="116">
        <v>908.4</v>
      </c>
      <c r="P1469" s="116">
        <v>908.4</v>
      </c>
      <c r="Q1469" s="116">
        <v>908.4</v>
      </c>
      <c r="R1469">
        <v>51017</v>
      </c>
    </row>
    <row r="1470" spans="1:18" x14ac:dyDescent="0.25">
      <c r="A1470" s="170">
        <v>44383</v>
      </c>
      <c r="B1470" s="116">
        <v>957</v>
      </c>
      <c r="C1470" s="116">
        <v>957</v>
      </c>
      <c r="D1470" s="116">
        <v>865.9</v>
      </c>
      <c r="E1470" s="116">
        <v>865.9</v>
      </c>
      <c r="F1470" s="116">
        <v>957</v>
      </c>
      <c r="G1470">
        <v>68788</v>
      </c>
      <c r="H1470" s="116"/>
      <c r="I1470" s="116"/>
      <c r="L1470" s="170">
        <v>44383</v>
      </c>
      <c r="M1470" s="116">
        <v>953.8</v>
      </c>
      <c r="N1470" s="116">
        <v>953.8</v>
      </c>
      <c r="O1470" s="116">
        <v>863</v>
      </c>
      <c r="P1470" s="116">
        <v>863</v>
      </c>
      <c r="Q1470" s="116">
        <v>953.8</v>
      </c>
      <c r="R1470">
        <v>354633</v>
      </c>
    </row>
    <row r="1471" spans="1:18" x14ac:dyDescent="0.25">
      <c r="A1471" s="170">
        <v>44384</v>
      </c>
      <c r="B1471" s="116">
        <v>988.7</v>
      </c>
      <c r="C1471" s="116">
        <v>935.85</v>
      </c>
      <c r="D1471" s="116">
        <v>909.15</v>
      </c>
      <c r="E1471" s="116">
        <v>940</v>
      </c>
      <c r="F1471" s="116">
        <v>935.85</v>
      </c>
      <c r="G1471">
        <v>54771</v>
      </c>
      <c r="H1471" s="116"/>
      <c r="I1471" s="116"/>
      <c r="L1471" s="170">
        <v>44384</v>
      </c>
      <c r="M1471" s="116">
        <v>939.7</v>
      </c>
      <c r="N1471" s="116">
        <v>957</v>
      </c>
      <c r="O1471" s="116">
        <v>906.15</v>
      </c>
      <c r="P1471" s="116">
        <v>940</v>
      </c>
      <c r="Q1471" s="116">
        <v>939.7</v>
      </c>
      <c r="R1471">
        <v>393384</v>
      </c>
    </row>
    <row r="1472" spans="1:18" x14ac:dyDescent="0.25">
      <c r="A1472" s="170">
        <v>44385</v>
      </c>
      <c r="B1472" s="116">
        <v>982.6</v>
      </c>
      <c r="C1472" s="116">
        <v>982.6</v>
      </c>
      <c r="D1472" s="116">
        <v>926</v>
      </c>
      <c r="E1472" s="116">
        <v>926</v>
      </c>
      <c r="F1472" s="116">
        <v>982.6</v>
      </c>
      <c r="G1472">
        <v>21493</v>
      </c>
      <c r="H1472" s="116"/>
      <c r="I1472" s="116"/>
      <c r="L1472" s="170">
        <v>44385</v>
      </c>
      <c r="M1472" s="116">
        <v>986.65</v>
      </c>
      <c r="N1472" s="116">
        <v>986.65</v>
      </c>
      <c r="O1472" s="116">
        <v>925</v>
      </c>
      <c r="P1472" s="116">
        <v>939</v>
      </c>
      <c r="Q1472" s="116">
        <v>986.65</v>
      </c>
      <c r="R1472">
        <v>226664</v>
      </c>
    </row>
    <row r="1473" spans="1:18" x14ac:dyDescent="0.25">
      <c r="A1473" s="170">
        <v>44386</v>
      </c>
      <c r="B1473" s="116">
        <v>1025</v>
      </c>
      <c r="C1473" s="116">
        <v>1003.9</v>
      </c>
      <c r="D1473" s="116">
        <v>990.05</v>
      </c>
      <c r="E1473" s="116">
        <v>1010</v>
      </c>
      <c r="F1473" s="116">
        <v>1003.9</v>
      </c>
      <c r="G1473">
        <v>18916</v>
      </c>
      <c r="H1473" s="116"/>
      <c r="I1473" s="116"/>
      <c r="L1473" s="170">
        <v>44386</v>
      </c>
      <c r="M1473" s="116">
        <v>1000.5</v>
      </c>
      <c r="N1473" s="116">
        <v>1018.7</v>
      </c>
      <c r="O1473" s="116">
        <v>990.4</v>
      </c>
      <c r="P1473" s="116">
        <v>1000</v>
      </c>
      <c r="Q1473" s="116">
        <v>1000.5</v>
      </c>
      <c r="R1473">
        <v>140193</v>
      </c>
    </row>
    <row r="1474" spans="1:18" x14ac:dyDescent="0.25">
      <c r="A1474" s="170">
        <v>44389</v>
      </c>
      <c r="B1474" s="116">
        <v>1015</v>
      </c>
      <c r="C1474" s="116">
        <v>999.9</v>
      </c>
      <c r="D1474" s="116">
        <v>980.1</v>
      </c>
      <c r="E1474" s="116">
        <v>992</v>
      </c>
      <c r="F1474" s="116">
        <v>999.9</v>
      </c>
      <c r="G1474">
        <v>119136</v>
      </c>
      <c r="H1474" s="116"/>
      <c r="I1474" s="116"/>
      <c r="L1474" s="170">
        <v>44389</v>
      </c>
      <c r="M1474" s="116">
        <v>1000.4</v>
      </c>
      <c r="N1474" s="116">
        <v>1018</v>
      </c>
      <c r="O1474" s="116">
        <v>984.2</v>
      </c>
      <c r="P1474" s="116">
        <v>1010</v>
      </c>
      <c r="Q1474" s="116">
        <v>1000.4</v>
      </c>
      <c r="R1474">
        <v>281915</v>
      </c>
    </row>
    <row r="1475" spans="1:18" x14ac:dyDescent="0.25">
      <c r="A1475" s="170">
        <v>44390</v>
      </c>
      <c r="B1475" s="116">
        <v>1008</v>
      </c>
      <c r="C1475" s="116">
        <v>984.05</v>
      </c>
      <c r="D1475" s="116">
        <v>961</v>
      </c>
      <c r="E1475" s="116">
        <v>999.9</v>
      </c>
      <c r="F1475" s="116">
        <v>984.05</v>
      </c>
      <c r="G1475">
        <v>17073</v>
      </c>
      <c r="H1475" s="116"/>
      <c r="I1475" s="116"/>
      <c r="L1475" s="170">
        <v>44390</v>
      </c>
      <c r="M1475" s="116">
        <v>986.9</v>
      </c>
      <c r="N1475" s="116">
        <v>1000</v>
      </c>
      <c r="O1475" s="116">
        <v>951</v>
      </c>
      <c r="P1475" s="116">
        <v>986.15</v>
      </c>
      <c r="Q1475" s="116">
        <v>986.9</v>
      </c>
      <c r="R1475">
        <v>200485</v>
      </c>
    </row>
    <row r="1476" spans="1:18" x14ac:dyDescent="0.25">
      <c r="A1476" s="170">
        <v>44391</v>
      </c>
      <c r="B1476" s="116">
        <v>1005</v>
      </c>
      <c r="C1476" s="116">
        <v>969.85</v>
      </c>
      <c r="D1476" s="116">
        <v>950</v>
      </c>
      <c r="E1476" s="116">
        <v>971.05</v>
      </c>
      <c r="F1476" s="116">
        <v>969.85</v>
      </c>
      <c r="G1476">
        <v>9696</v>
      </c>
      <c r="H1476" s="116"/>
      <c r="I1476" s="116"/>
      <c r="L1476" s="170">
        <v>44391</v>
      </c>
      <c r="M1476" s="116">
        <v>974.15</v>
      </c>
      <c r="N1476" s="116">
        <v>999</v>
      </c>
      <c r="O1476" s="116">
        <v>960</v>
      </c>
      <c r="P1476" s="116">
        <v>986.9</v>
      </c>
      <c r="Q1476" s="116">
        <v>974.15</v>
      </c>
      <c r="R1476">
        <v>348684</v>
      </c>
    </row>
    <row r="1477" spans="1:18" x14ac:dyDescent="0.25">
      <c r="A1477" s="170">
        <v>44392</v>
      </c>
      <c r="B1477" s="116">
        <v>993.95</v>
      </c>
      <c r="C1477" s="116">
        <v>982.3</v>
      </c>
      <c r="D1477" s="116">
        <v>952.05</v>
      </c>
      <c r="E1477" s="116">
        <v>965</v>
      </c>
      <c r="F1477" s="116">
        <v>982.3</v>
      </c>
      <c r="G1477">
        <v>8878</v>
      </c>
      <c r="H1477" s="116"/>
      <c r="I1477" s="116"/>
      <c r="L1477" s="170">
        <v>44392</v>
      </c>
      <c r="M1477" s="116">
        <v>980.2</v>
      </c>
      <c r="N1477" s="116">
        <v>990</v>
      </c>
      <c r="O1477" s="116">
        <v>960</v>
      </c>
      <c r="P1477" s="116">
        <v>989.95</v>
      </c>
      <c r="Q1477" s="116">
        <v>980.2</v>
      </c>
      <c r="R1477">
        <v>173695</v>
      </c>
    </row>
    <row r="1478" spans="1:18" x14ac:dyDescent="0.25">
      <c r="A1478" s="170">
        <v>44393</v>
      </c>
      <c r="B1478" s="116">
        <v>1029</v>
      </c>
      <c r="C1478" s="116">
        <v>1010.15</v>
      </c>
      <c r="D1478" s="116">
        <v>953.05</v>
      </c>
      <c r="E1478" s="116">
        <v>985</v>
      </c>
      <c r="F1478" s="116">
        <v>1010.15</v>
      </c>
      <c r="G1478">
        <v>32762</v>
      </c>
      <c r="H1478" s="116"/>
      <c r="I1478" s="116"/>
      <c r="L1478" s="170">
        <v>44393</v>
      </c>
      <c r="M1478" s="116">
        <v>1016.55</v>
      </c>
      <c r="N1478" s="116">
        <v>1029.2</v>
      </c>
      <c r="O1478" s="116">
        <v>965</v>
      </c>
      <c r="P1478" s="116">
        <v>980</v>
      </c>
      <c r="Q1478" s="116">
        <v>1016.55</v>
      </c>
      <c r="R1478">
        <v>171071</v>
      </c>
    </row>
    <row r="1479" spans="1:18" x14ac:dyDescent="0.25">
      <c r="A1479" s="170">
        <v>44396</v>
      </c>
      <c r="B1479" s="116">
        <v>1025</v>
      </c>
      <c r="C1479" s="116">
        <v>969</v>
      </c>
      <c r="D1479" s="116">
        <v>960</v>
      </c>
      <c r="E1479" s="116">
        <v>1010.15</v>
      </c>
      <c r="F1479" s="116">
        <v>969</v>
      </c>
      <c r="G1479">
        <v>112926</v>
      </c>
      <c r="H1479" s="116"/>
      <c r="I1479" s="116"/>
      <c r="L1479" s="170">
        <v>44396</v>
      </c>
      <c r="M1479" s="116">
        <v>968.05</v>
      </c>
      <c r="N1479" s="116">
        <v>1023.6</v>
      </c>
      <c r="O1479" s="116">
        <v>965.75</v>
      </c>
      <c r="P1479" s="116">
        <v>1008</v>
      </c>
      <c r="Q1479" s="116">
        <v>968.05</v>
      </c>
      <c r="R1479">
        <v>148182</v>
      </c>
    </row>
    <row r="1480" spans="1:18" x14ac:dyDescent="0.25">
      <c r="A1480" s="170">
        <v>44397</v>
      </c>
      <c r="B1480" s="116">
        <v>939.8</v>
      </c>
      <c r="C1480" s="116">
        <v>920.55</v>
      </c>
      <c r="D1480" s="116">
        <v>920.55</v>
      </c>
      <c r="E1480" s="116">
        <v>921</v>
      </c>
      <c r="F1480" s="116">
        <v>920.55</v>
      </c>
      <c r="G1480">
        <v>15641</v>
      </c>
      <c r="H1480" s="116"/>
      <c r="I1480" s="116"/>
      <c r="L1480" s="170">
        <v>44397</v>
      </c>
      <c r="M1480" s="116">
        <v>919.65</v>
      </c>
      <c r="N1480" s="116">
        <v>960</v>
      </c>
      <c r="O1480" s="116">
        <v>919.65</v>
      </c>
      <c r="P1480" s="116">
        <v>919.65</v>
      </c>
      <c r="Q1480" s="116">
        <v>919.65</v>
      </c>
      <c r="R1480">
        <v>60558</v>
      </c>
    </row>
    <row r="1481" spans="1:18" x14ac:dyDescent="0.25">
      <c r="A1481" s="170">
        <v>44399</v>
      </c>
      <c r="B1481" s="116">
        <v>966.55</v>
      </c>
      <c r="C1481" s="116">
        <v>963.15</v>
      </c>
      <c r="D1481" s="116">
        <v>874.55</v>
      </c>
      <c r="E1481" s="116">
        <v>874.55</v>
      </c>
      <c r="F1481" s="116">
        <v>963.15</v>
      </c>
      <c r="G1481">
        <v>44969</v>
      </c>
      <c r="H1481" s="116"/>
      <c r="I1481" s="116"/>
      <c r="L1481" s="170">
        <v>44399</v>
      </c>
      <c r="M1481" s="116">
        <v>964.55</v>
      </c>
      <c r="N1481" s="116">
        <v>965.6</v>
      </c>
      <c r="O1481" s="116">
        <v>873.7</v>
      </c>
      <c r="P1481" s="116">
        <v>875</v>
      </c>
      <c r="Q1481" s="116">
        <v>964.55</v>
      </c>
      <c r="R1481">
        <v>245402</v>
      </c>
    </row>
    <row r="1482" spans="1:18" x14ac:dyDescent="0.25">
      <c r="A1482" s="170">
        <v>44400</v>
      </c>
      <c r="B1482" s="116">
        <v>990</v>
      </c>
      <c r="C1482" s="116">
        <v>961.2</v>
      </c>
      <c r="D1482" s="116">
        <v>921</v>
      </c>
      <c r="E1482" s="116">
        <v>968</v>
      </c>
      <c r="F1482" s="116">
        <v>961.2</v>
      </c>
      <c r="G1482">
        <v>8253</v>
      </c>
      <c r="H1482" s="116"/>
      <c r="I1482" s="116"/>
      <c r="L1482" s="170">
        <v>44400</v>
      </c>
      <c r="M1482" s="116">
        <v>963.6</v>
      </c>
      <c r="N1482" s="116">
        <v>990</v>
      </c>
      <c r="O1482" s="116">
        <v>922.6</v>
      </c>
      <c r="P1482" s="116">
        <v>950</v>
      </c>
      <c r="Q1482" s="116">
        <v>963.6</v>
      </c>
      <c r="R1482">
        <v>82138</v>
      </c>
    </row>
    <row r="1483" spans="1:18" x14ac:dyDescent="0.25">
      <c r="A1483" s="170">
        <v>44403</v>
      </c>
      <c r="B1483" s="116">
        <v>968</v>
      </c>
      <c r="C1483" s="116">
        <v>937.85</v>
      </c>
      <c r="D1483" s="116">
        <v>929</v>
      </c>
      <c r="E1483" s="116">
        <v>961.2</v>
      </c>
      <c r="F1483" s="116">
        <v>937.85</v>
      </c>
      <c r="G1483">
        <v>5946</v>
      </c>
      <c r="H1483" s="116"/>
      <c r="I1483" s="116"/>
      <c r="L1483" s="170">
        <v>44403</v>
      </c>
      <c r="M1483" s="116">
        <v>939.7</v>
      </c>
      <c r="N1483" s="116">
        <v>965</v>
      </c>
      <c r="O1483" s="116">
        <v>930</v>
      </c>
      <c r="P1483" s="116">
        <v>963.6</v>
      </c>
      <c r="Q1483" s="116">
        <v>939.7</v>
      </c>
      <c r="R1483">
        <v>56957</v>
      </c>
    </row>
    <row r="1484" spans="1:18" x14ac:dyDescent="0.25">
      <c r="A1484" s="170">
        <v>44404</v>
      </c>
      <c r="B1484" s="116">
        <v>945</v>
      </c>
      <c r="C1484" s="116">
        <v>902.75</v>
      </c>
      <c r="D1484" s="116">
        <v>891</v>
      </c>
      <c r="E1484" s="116">
        <v>925.65</v>
      </c>
      <c r="F1484" s="116">
        <v>902.75</v>
      </c>
      <c r="G1484">
        <v>10150</v>
      </c>
      <c r="H1484" s="116"/>
      <c r="I1484" s="116"/>
      <c r="L1484" s="170">
        <v>44404</v>
      </c>
      <c r="M1484" s="116">
        <v>901.1</v>
      </c>
      <c r="N1484" s="116">
        <v>945</v>
      </c>
      <c r="O1484" s="116">
        <v>899.9</v>
      </c>
      <c r="P1484" s="116">
        <v>920</v>
      </c>
      <c r="Q1484" s="116">
        <v>901.1</v>
      </c>
      <c r="R1484">
        <v>74722</v>
      </c>
    </row>
    <row r="1485" spans="1:18" x14ac:dyDescent="0.25">
      <c r="A1485" s="170">
        <v>44405</v>
      </c>
      <c r="B1485" s="116">
        <v>945</v>
      </c>
      <c r="C1485" s="116">
        <v>938.5</v>
      </c>
      <c r="D1485" s="116">
        <v>870</v>
      </c>
      <c r="E1485" s="116">
        <v>891.1</v>
      </c>
      <c r="F1485" s="116">
        <v>938.5</v>
      </c>
      <c r="G1485">
        <v>17881</v>
      </c>
      <c r="H1485" s="116"/>
      <c r="I1485" s="116"/>
      <c r="L1485" s="170">
        <v>44405</v>
      </c>
      <c r="M1485" s="116">
        <v>940.75</v>
      </c>
      <c r="N1485" s="116">
        <v>946.15</v>
      </c>
      <c r="O1485" s="116">
        <v>871</v>
      </c>
      <c r="P1485" s="116">
        <v>900.1</v>
      </c>
      <c r="Q1485" s="116">
        <v>940.75</v>
      </c>
      <c r="R1485">
        <v>89316</v>
      </c>
    </row>
    <row r="1486" spans="1:18" x14ac:dyDescent="0.25">
      <c r="A1486" s="170">
        <v>44406</v>
      </c>
      <c r="B1486" s="116">
        <v>968</v>
      </c>
      <c r="C1486" s="116">
        <v>942.8</v>
      </c>
      <c r="D1486" s="116">
        <v>895</v>
      </c>
      <c r="E1486" s="116">
        <v>961</v>
      </c>
      <c r="F1486" s="116">
        <v>942.8</v>
      </c>
      <c r="G1486">
        <v>7733</v>
      </c>
      <c r="H1486" s="116"/>
      <c r="I1486" s="116"/>
      <c r="L1486" s="170">
        <v>44406</v>
      </c>
      <c r="M1486" s="116">
        <v>937.9</v>
      </c>
      <c r="N1486" s="116">
        <v>960</v>
      </c>
      <c r="O1486" s="116">
        <v>894</v>
      </c>
      <c r="P1486" s="116">
        <v>958</v>
      </c>
      <c r="Q1486" s="116">
        <v>937.9</v>
      </c>
      <c r="R1486">
        <v>83398</v>
      </c>
    </row>
    <row r="1487" spans="1:18" x14ac:dyDescent="0.25">
      <c r="A1487" s="170">
        <v>44407</v>
      </c>
      <c r="B1487" s="116">
        <v>942</v>
      </c>
      <c r="C1487" s="116">
        <v>903.75</v>
      </c>
      <c r="D1487" s="116">
        <v>900</v>
      </c>
      <c r="E1487" s="116">
        <v>933.85</v>
      </c>
      <c r="F1487" s="116">
        <v>903.75</v>
      </c>
      <c r="G1487">
        <v>10056</v>
      </c>
      <c r="H1487" s="116"/>
      <c r="I1487" s="116"/>
      <c r="L1487" s="170">
        <v>44407</v>
      </c>
      <c r="M1487" s="116">
        <v>893.45</v>
      </c>
      <c r="N1487" s="116">
        <v>950</v>
      </c>
      <c r="O1487" s="116">
        <v>891.05</v>
      </c>
      <c r="P1487" s="116">
        <v>945</v>
      </c>
      <c r="Q1487" s="116">
        <v>893.45</v>
      </c>
      <c r="R1487">
        <v>166571</v>
      </c>
    </row>
    <row r="1488" spans="1:18" x14ac:dyDescent="0.25">
      <c r="A1488" s="170">
        <v>44410</v>
      </c>
      <c r="B1488" s="116">
        <v>915</v>
      </c>
      <c r="C1488" s="116">
        <v>904.15</v>
      </c>
      <c r="D1488" s="116">
        <v>860.5</v>
      </c>
      <c r="E1488" s="116">
        <v>897.1</v>
      </c>
      <c r="F1488" s="116">
        <v>904.15</v>
      </c>
      <c r="G1488">
        <v>15328</v>
      </c>
      <c r="H1488" s="116"/>
      <c r="I1488" s="116"/>
      <c r="L1488" s="170">
        <v>44410</v>
      </c>
      <c r="M1488" s="116">
        <v>908.8</v>
      </c>
      <c r="N1488" s="116">
        <v>927.65</v>
      </c>
      <c r="O1488" s="116">
        <v>885</v>
      </c>
      <c r="P1488" s="116">
        <v>911.35</v>
      </c>
      <c r="Q1488" s="116">
        <v>908.8</v>
      </c>
      <c r="R1488">
        <v>76338</v>
      </c>
    </row>
    <row r="1489" spans="1:18" x14ac:dyDescent="0.25">
      <c r="A1489" s="170">
        <v>44411</v>
      </c>
      <c r="B1489" s="116">
        <v>925</v>
      </c>
      <c r="C1489" s="116">
        <v>915.75</v>
      </c>
      <c r="D1489" s="116">
        <v>890.55</v>
      </c>
      <c r="E1489" s="116">
        <v>890.55</v>
      </c>
      <c r="F1489" s="116">
        <v>915.75</v>
      </c>
      <c r="G1489">
        <v>4803</v>
      </c>
      <c r="H1489" s="116"/>
      <c r="I1489" s="116"/>
      <c r="L1489" s="170">
        <v>44411</v>
      </c>
      <c r="M1489" s="116">
        <v>911.5</v>
      </c>
      <c r="N1489" s="116">
        <v>925</v>
      </c>
      <c r="O1489" s="116">
        <v>900</v>
      </c>
      <c r="P1489" s="116">
        <v>910</v>
      </c>
      <c r="Q1489" s="116">
        <v>911.5</v>
      </c>
      <c r="R1489">
        <v>163956</v>
      </c>
    </row>
    <row r="1490" spans="1:18" x14ac:dyDescent="0.25">
      <c r="A1490" s="170">
        <v>44412</v>
      </c>
      <c r="B1490" s="116">
        <v>939.1</v>
      </c>
      <c r="C1490" s="116">
        <v>932</v>
      </c>
      <c r="D1490" s="116">
        <v>903.1</v>
      </c>
      <c r="E1490" s="116">
        <v>903.1</v>
      </c>
      <c r="F1490" s="116">
        <v>932</v>
      </c>
      <c r="G1490">
        <v>15511</v>
      </c>
      <c r="H1490" s="116"/>
      <c r="I1490" s="116"/>
      <c r="L1490" s="170">
        <v>44412</v>
      </c>
      <c r="M1490" s="116">
        <v>932.2</v>
      </c>
      <c r="N1490" s="116">
        <v>939</v>
      </c>
      <c r="O1490" s="116">
        <v>894</v>
      </c>
      <c r="P1490" s="116">
        <v>925.5</v>
      </c>
      <c r="Q1490" s="116">
        <v>932.2</v>
      </c>
      <c r="R1490">
        <v>86138</v>
      </c>
    </row>
    <row r="1491" spans="1:18" x14ac:dyDescent="0.25">
      <c r="A1491" s="170">
        <v>44413</v>
      </c>
      <c r="B1491" s="116">
        <v>950</v>
      </c>
      <c r="C1491" s="116">
        <v>936.15</v>
      </c>
      <c r="D1491" s="116">
        <v>903</v>
      </c>
      <c r="E1491" s="116">
        <v>914</v>
      </c>
      <c r="F1491" s="116">
        <v>936.15</v>
      </c>
      <c r="G1491">
        <v>6779</v>
      </c>
      <c r="H1491" s="116"/>
      <c r="I1491" s="116"/>
      <c r="L1491" s="170">
        <v>44413</v>
      </c>
      <c r="M1491" s="116">
        <v>947.05</v>
      </c>
      <c r="N1491" s="116">
        <v>949.8</v>
      </c>
      <c r="O1491" s="116">
        <v>900</v>
      </c>
      <c r="P1491" s="116">
        <v>915.25</v>
      </c>
      <c r="Q1491" s="116">
        <v>947.05</v>
      </c>
      <c r="R1491">
        <v>75534</v>
      </c>
    </row>
    <row r="1492" spans="1:18" x14ac:dyDescent="0.25">
      <c r="A1492" s="170">
        <v>44414</v>
      </c>
      <c r="B1492" s="116">
        <v>975</v>
      </c>
      <c r="C1492" s="116">
        <v>967.75</v>
      </c>
      <c r="D1492" s="116">
        <v>920</v>
      </c>
      <c r="E1492" s="116">
        <v>936.15</v>
      </c>
      <c r="F1492" s="116">
        <v>967.75</v>
      </c>
      <c r="G1492">
        <v>11871</v>
      </c>
      <c r="H1492" s="116"/>
      <c r="I1492" s="116"/>
      <c r="L1492" s="170">
        <v>44414</v>
      </c>
      <c r="M1492" s="116">
        <v>964.35</v>
      </c>
      <c r="N1492" s="116">
        <v>974.95</v>
      </c>
      <c r="O1492" s="116">
        <v>930</v>
      </c>
      <c r="P1492" s="116">
        <v>945</v>
      </c>
      <c r="Q1492" s="116">
        <v>964.35</v>
      </c>
      <c r="R1492">
        <v>124924</v>
      </c>
    </row>
    <row r="1493" spans="1:18" x14ac:dyDescent="0.25">
      <c r="A1493" s="170">
        <v>44417</v>
      </c>
      <c r="B1493" s="116">
        <v>969.7</v>
      </c>
      <c r="C1493" s="116">
        <v>954</v>
      </c>
      <c r="D1493" s="116">
        <v>931.75</v>
      </c>
      <c r="E1493" s="116">
        <v>969.7</v>
      </c>
      <c r="F1493" s="116">
        <v>954</v>
      </c>
      <c r="G1493">
        <v>10040</v>
      </c>
      <c r="H1493" s="116"/>
      <c r="I1493" s="116"/>
      <c r="L1493" s="170">
        <v>44417</v>
      </c>
      <c r="M1493" s="116">
        <v>958.8</v>
      </c>
      <c r="N1493" s="116">
        <v>965</v>
      </c>
      <c r="O1493" s="116">
        <v>940</v>
      </c>
      <c r="P1493" s="116">
        <v>964</v>
      </c>
      <c r="Q1493" s="116">
        <v>958.8</v>
      </c>
      <c r="R1493">
        <v>50534</v>
      </c>
    </row>
    <row r="1494" spans="1:18" x14ac:dyDescent="0.25">
      <c r="A1494" s="170">
        <v>44418</v>
      </c>
      <c r="B1494" s="116">
        <v>969.75</v>
      </c>
      <c r="C1494" s="116">
        <v>946.9</v>
      </c>
      <c r="D1494" s="116">
        <v>917.9</v>
      </c>
      <c r="E1494" s="116">
        <v>948</v>
      </c>
      <c r="F1494" s="116">
        <v>946.9</v>
      </c>
      <c r="G1494">
        <v>5517</v>
      </c>
      <c r="H1494" s="116"/>
      <c r="I1494" s="116"/>
      <c r="L1494" s="170">
        <v>44418</v>
      </c>
      <c r="M1494" s="116">
        <v>948.4</v>
      </c>
      <c r="N1494" s="116">
        <v>964.7</v>
      </c>
      <c r="O1494" s="116">
        <v>925</v>
      </c>
      <c r="P1494" s="116">
        <v>964</v>
      </c>
      <c r="Q1494" s="116">
        <v>948.4</v>
      </c>
      <c r="R1494">
        <v>66947</v>
      </c>
    </row>
    <row r="1495" spans="1:18" x14ac:dyDescent="0.25">
      <c r="A1495" s="170">
        <v>44419</v>
      </c>
      <c r="B1495" s="116">
        <v>949</v>
      </c>
      <c r="C1495" s="116">
        <v>940.9</v>
      </c>
      <c r="D1495" s="116">
        <v>899.6</v>
      </c>
      <c r="E1495" s="116">
        <v>935</v>
      </c>
      <c r="F1495" s="116">
        <v>940.9</v>
      </c>
      <c r="G1495">
        <v>5267</v>
      </c>
      <c r="H1495" s="116"/>
      <c r="I1495" s="116"/>
      <c r="L1495" s="170">
        <v>44419</v>
      </c>
      <c r="M1495" s="116">
        <v>946.7</v>
      </c>
      <c r="N1495" s="116">
        <v>949</v>
      </c>
      <c r="O1495" s="116">
        <v>901</v>
      </c>
      <c r="P1495" s="116">
        <v>919.25</v>
      </c>
      <c r="Q1495" s="116">
        <v>946.7</v>
      </c>
      <c r="R1495">
        <v>119901</v>
      </c>
    </row>
    <row r="1496" spans="1:18" x14ac:dyDescent="0.25">
      <c r="A1496" s="170">
        <v>44420</v>
      </c>
      <c r="B1496" s="116">
        <v>961.25</v>
      </c>
      <c r="C1496" s="116">
        <v>950.1</v>
      </c>
      <c r="D1496" s="116">
        <v>927</v>
      </c>
      <c r="E1496" s="116">
        <v>927</v>
      </c>
      <c r="F1496" s="116">
        <v>950.1</v>
      </c>
      <c r="G1496">
        <v>2507</v>
      </c>
      <c r="H1496" s="116"/>
      <c r="I1496" s="116"/>
      <c r="L1496" s="170">
        <v>44420</v>
      </c>
      <c r="M1496" s="116">
        <v>955.05</v>
      </c>
      <c r="N1496" s="116">
        <v>959</v>
      </c>
      <c r="O1496" s="116">
        <v>918</v>
      </c>
      <c r="P1496" s="116">
        <v>950</v>
      </c>
      <c r="Q1496" s="116">
        <v>955.05</v>
      </c>
      <c r="R1496">
        <v>58601</v>
      </c>
    </row>
    <row r="1497" spans="1:18" x14ac:dyDescent="0.25">
      <c r="A1497" s="170">
        <v>44421</v>
      </c>
      <c r="B1497" s="116">
        <v>975</v>
      </c>
      <c r="C1497" s="116">
        <v>965.3</v>
      </c>
      <c r="D1497" s="116">
        <v>935.95</v>
      </c>
      <c r="E1497" s="116">
        <v>950.1</v>
      </c>
      <c r="F1497" s="116">
        <v>965.3</v>
      </c>
      <c r="G1497">
        <v>4743</v>
      </c>
      <c r="H1497" s="116"/>
      <c r="I1497" s="116"/>
      <c r="L1497" s="170">
        <v>44421</v>
      </c>
      <c r="M1497" s="116">
        <v>971.15</v>
      </c>
      <c r="N1497" s="116">
        <v>977</v>
      </c>
      <c r="O1497" s="116">
        <v>926</v>
      </c>
      <c r="P1497" s="116">
        <v>929</v>
      </c>
      <c r="Q1497" s="116">
        <v>971.15</v>
      </c>
      <c r="R1497">
        <v>84006</v>
      </c>
    </row>
    <row r="1498" spans="1:18" x14ac:dyDescent="0.25">
      <c r="A1498" s="170">
        <v>44424</v>
      </c>
      <c r="B1498" s="116">
        <v>978</v>
      </c>
      <c r="C1498" s="116">
        <v>972.6</v>
      </c>
      <c r="D1498" s="116">
        <v>937</v>
      </c>
      <c r="E1498" s="116">
        <v>951.75</v>
      </c>
      <c r="F1498" s="116">
        <v>972.6</v>
      </c>
      <c r="G1498">
        <v>3898</v>
      </c>
      <c r="H1498" s="116"/>
      <c r="I1498" s="116"/>
      <c r="L1498" s="170">
        <v>44424</v>
      </c>
      <c r="M1498" s="116">
        <v>977.75</v>
      </c>
      <c r="N1498" s="116">
        <v>980</v>
      </c>
      <c r="O1498" s="116">
        <v>925</v>
      </c>
      <c r="P1498" s="116">
        <v>952.5</v>
      </c>
      <c r="Q1498" s="116">
        <v>977.75</v>
      </c>
      <c r="R1498">
        <v>51810</v>
      </c>
    </row>
    <row r="1499" spans="1:18" x14ac:dyDescent="0.25">
      <c r="A1499" s="170">
        <v>44425</v>
      </c>
      <c r="B1499" s="116">
        <v>1021.2</v>
      </c>
      <c r="C1499" s="116">
        <v>1018.65</v>
      </c>
      <c r="D1499" s="116">
        <v>958.2</v>
      </c>
      <c r="E1499" s="116">
        <v>958.2</v>
      </c>
      <c r="F1499" s="116">
        <v>1018.65</v>
      </c>
      <c r="G1499">
        <v>6343</v>
      </c>
      <c r="H1499" s="116"/>
      <c r="I1499" s="116"/>
      <c r="L1499" s="170">
        <v>44425</v>
      </c>
      <c r="M1499" s="116">
        <v>1024</v>
      </c>
      <c r="N1499" s="116">
        <v>1026.5999999999999</v>
      </c>
      <c r="O1499" s="116">
        <v>959</v>
      </c>
      <c r="P1499" s="116">
        <v>959</v>
      </c>
      <c r="Q1499" s="116">
        <v>1024</v>
      </c>
      <c r="R1499">
        <v>151970</v>
      </c>
    </row>
    <row r="1500" spans="1:18" x14ac:dyDescent="0.25">
      <c r="A1500" s="170">
        <v>44426</v>
      </c>
      <c r="B1500" s="116">
        <v>1069.55</v>
      </c>
      <c r="C1500" s="116">
        <v>1069.55</v>
      </c>
      <c r="D1500" s="116">
        <v>1024</v>
      </c>
      <c r="E1500" s="116">
        <v>1041.95</v>
      </c>
      <c r="F1500" s="116">
        <v>1069.55</v>
      </c>
      <c r="G1500">
        <v>3306</v>
      </c>
      <c r="H1500" s="116"/>
      <c r="I1500" s="116"/>
      <c r="L1500" s="170">
        <v>44426</v>
      </c>
      <c r="M1500" s="116">
        <v>1075.2</v>
      </c>
      <c r="N1500" s="116">
        <v>1075.2</v>
      </c>
      <c r="O1500" s="116">
        <v>1010</v>
      </c>
      <c r="P1500" s="116">
        <v>1010</v>
      </c>
      <c r="Q1500" s="116">
        <v>1075.2</v>
      </c>
      <c r="R1500">
        <v>112115</v>
      </c>
    </row>
    <row r="1501" spans="1:18" x14ac:dyDescent="0.25">
      <c r="A1501" s="170">
        <v>44428</v>
      </c>
      <c r="B1501" s="116">
        <v>1123</v>
      </c>
      <c r="C1501" s="116">
        <v>1123</v>
      </c>
      <c r="D1501" s="116">
        <v>1016.1</v>
      </c>
      <c r="E1501" s="116">
        <v>1099</v>
      </c>
      <c r="F1501" s="116">
        <v>1123</v>
      </c>
      <c r="G1501">
        <v>8690</v>
      </c>
      <c r="H1501" s="116"/>
      <c r="I1501" s="116"/>
      <c r="L1501" s="170">
        <v>44428</v>
      </c>
      <c r="M1501" s="116">
        <v>1123.45</v>
      </c>
      <c r="N1501" s="116">
        <v>1128.95</v>
      </c>
      <c r="O1501" s="116">
        <v>1075</v>
      </c>
      <c r="P1501" s="116">
        <v>1099</v>
      </c>
      <c r="Q1501" s="116">
        <v>1123.45</v>
      </c>
      <c r="R1501">
        <v>230830</v>
      </c>
    </row>
    <row r="1502" spans="1:18" x14ac:dyDescent="0.25">
      <c r="A1502" s="170">
        <v>44431</v>
      </c>
      <c r="B1502" s="116">
        <v>1179.1500000000001</v>
      </c>
      <c r="C1502" s="116">
        <v>1179.1500000000001</v>
      </c>
      <c r="D1502" s="116">
        <v>1157</v>
      </c>
      <c r="E1502" s="116">
        <v>1160</v>
      </c>
      <c r="F1502" s="116">
        <v>1179.1500000000001</v>
      </c>
      <c r="G1502">
        <v>6777</v>
      </c>
      <c r="H1502" s="116"/>
      <c r="I1502" s="116"/>
      <c r="L1502" s="170">
        <v>44431</v>
      </c>
      <c r="M1502" s="116">
        <v>1179.5999999999999</v>
      </c>
      <c r="N1502" s="116">
        <v>1179.5999999999999</v>
      </c>
      <c r="O1502" s="116">
        <v>1150</v>
      </c>
      <c r="P1502" s="116">
        <v>1157</v>
      </c>
      <c r="Q1502" s="116">
        <v>1179.5999999999999</v>
      </c>
      <c r="R1502">
        <v>160423</v>
      </c>
    </row>
    <row r="1503" spans="1:18" x14ac:dyDescent="0.25">
      <c r="A1503" s="170">
        <v>44432</v>
      </c>
      <c r="B1503" s="116">
        <v>1238.0999999999999</v>
      </c>
      <c r="C1503" s="116">
        <v>1238.0999999999999</v>
      </c>
      <c r="D1503" s="116">
        <v>1238.0999999999999</v>
      </c>
      <c r="E1503" s="116">
        <v>1238.0999999999999</v>
      </c>
      <c r="F1503" s="116">
        <v>1238.0999999999999</v>
      </c>
      <c r="G1503">
        <v>1490</v>
      </c>
      <c r="H1503" s="116"/>
      <c r="I1503" s="116"/>
      <c r="L1503" s="170">
        <v>44432</v>
      </c>
      <c r="M1503" s="116">
        <v>1238.55</v>
      </c>
      <c r="N1503" s="116">
        <v>1238.55</v>
      </c>
      <c r="O1503" s="116">
        <v>1238.55</v>
      </c>
      <c r="P1503" s="116">
        <v>1238.55</v>
      </c>
      <c r="Q1503" s="116">
        <v>1238.55</v>
      </c>
      <c r="R1503">
        <v>56395</v>
      </c>
    </row>
    <row r="1504" spans="1:18" x14ac:dyDescent="0.25">
      <c r="A1504" s="170">
        <v>44433</v>
      </c>
      <c r="B1504" s="116">
        <v>1300</v>
      </c>
      <c r="C1504" s="116">
        <v>1300</v>
      </c>
      <c r="D1504" s="116">
        <v>1300</v>
      </c>
      <c r="E1504" s="116">
        <v>1300</v>
      </c>
      <c r="F1504" s="116">
        <v>1300</v>
      </c>
      <c r="G1504">
        <v>2207</v>
      </c>
      <c r="H1504" s="116"/>
      <c r="I1504" s="116"/>
      <c r="L1504" s="170">
        <v>44433</v>
      </c>
      <c r="M1504" s="116">
        <v>1300.45</v>
      </c>
      <c r="N1504" s="116">
        <v>1300.45</v>
      </c>
      <c r="O1504" s="116">
        <v>1300.45</v>
      </c>
      <c r="P1504" s="116">
        <v>1300.45</v>
      </c>
      <c r="Q1504" s="116">
        <v>1300.45</v>
      </c>
      <c r="R1504">
        <v>84516</v>
      </c>
    </row>
    <row r="1505" spans="1:18" x14ac:dyDescent="0.25">
      <c r="A1505" s="170">
        <v>44434</v>
      </c>
      <c r="B1505" s="116">
        <v>1365</v>
      </c>
      <c r="C1505" s="116">
        <v>1365</v>
      </c>
      <c r="D1505" s="116">
        <v>1365</v>
      </c>
      <c r="E1505" s="116">
        <v>1365</v>
      </c>
      <c r="F1505" s="116">
        <v>1365</v>
      </c>
      <c r="G1505">
        <v>3794</v>
      </c>
      <c r="H1505" s="116"/>
      <c r="I1505" s="116"/>
      <c r="L1505" s="170">
        <v>44434</v>
      </c>
      <c r="M1505" s="116">
        <v>1365.45</v>
      </c>
      <c r="N1505" s="116">
        <v>1365.45</v>
      </c>
      <c r="O1505" s="116">
        <v>1365.45</v>
      </c>
      <c r="P1505" s="116">
        <v>1365.45</v>
      </c>
      <c r="Q1505" s="116">
        <v>1365.45</v>
      </c>
      <c r="R1505">
        <v>799750</v>
      </c>
    </row>
    <row r="1506" spans="1:18" x14ac:dyDescent="0.25">
      <c r="A1506" s="170">
        <v>44435</v>
      </c>
      <c r="B1506" s="116">
        <v>1433.25</v>
      </c>
      <c r="C1506" s="116">
        <v>1433.25</v>
      </c>
      <c r="D1506" s="116">
        <v>1296.75</v>
      </c>
      <c r="E1506" s="116">
        <v>1433.25</v>
      </c>
      <c r="F1506" s="116">
        <v>1433.25</v>
      </c>
      <c r="G1506">
        <v>34429</v>
      </c>
      <c r="H1506" s="116"/>
      <c r="I1506" s="116"/>
      <c r="L1506" s="170">
        <v>44435</v>
      </c>
      <c r="M1506" s="116">
        <v>1433.7</v>
      </c>
      <c r="N1506" s="116">
        <v>1433.7</v>
      </c>
      <c r="O1506" s="116">
        <v>1297.2</v>
      </c>
      <c r="P1506" s="116">
        <v>1433.7</v>
      </c>
      <c r="Q1506" s="116">
        <v>1433.7</v>
      </c>
      <c r="R1506">
        <v>744032</v>
      </c>
    </row>
    <row r="1507" spans="1:18" x14ac:dyDescent="0.25">
      <c r="A1507" s="170">
        <v>44438</v>
      </c>
      <c r="B1507" s="116">
        <v>1504.9</v>
      </c>
      <c r="C1507" s="116">
        <v>1504.9</v>
      </c>
      <c r="D1507" s="116">
        <v>1440</v>
      </c>
      <c r="E1507" s="116">
        <v>1440</v>
      </c>
      <c r="F1507" s="116">
        <v>1504.9</v>
      </c>
      <c r="G1507">
        <v>9155</v>
      </c>
      <c r="H1507" s="116"/>
      <c r="I1507" s="116"/>
      <c r="L1507" s="170">
        <v>44438</v>
      </c>
      <c r="M1507" s="116">
        <v>1505.35</v>
      </c>
      <c r="N1507" s="116">
        <v>1505.35</v>
      </c>
      <c r="O1507" s="116">
        <v>1450</v>
      </c>
      <c r="P1507" s="116">
        <v>1460.2</v>
      </c>
      <c r="Q1507" s="116">
        <v>1505.35</v>
      </c>
      <c r="R1507">
        <v>401671</v>
      </c>
    </row>
    <row r="1508" spans="1:18" x14ac:dyDescent="0.25">
      <c r="A1508" s="170">
        <v>44439</v>
      </c>
      <c r="B1508" s="116">
        <v>1580.1</v>
      </c>
      <c r="C1508" s="116">
        <v>1580.1</v>
      </c>
      <c r="D1508" s="116">
        <v>1515</v>
      </c>
      <c r="E1508" s="116">
        <v>1524</v>
      </c>
      <c r="F1508" s="116">
        <v>1580.1</v>
      </c>
      <c r="G1508">
        <v>15319</v>
      </c>
      <c r="H1508" s="116"/>
      <c r="I1508" s="116"/>
      <c r="L1508" s="170">
        <v>44439</v>
      </c>
      <c r="M1508" s="116">
        <v>1580.6</v>
      </c>
      <c r="N1508" s="116">
        <v>1580.6</v>
      </c>
      <c r="O1508" s="116">
        <v>1520.3</v>
      </c>
      <c r="P1508" s="116">
        <v>1521</v>
      </c>
      <c r="Q1508" s="116">
        <v>1580.6</v>
      </c>
      <c r="R1508">
        <v>545234</v>
      </c>
    </row>
    <row r="1509" spans="1:18" x14ac:dyDescent="0.25">
      <c r="A1509" s="170">
        <v>44440</v>
      </c>
      <c r="B1509" s="116">
        <v>1659.1</v>
      </c>
      <c r="C1509" s="116">
        <v>1659.1</v>
      </c>
      <c r="D1509" s="116">
        <v>1611.75</v>
      </c>
      <c r="E1509" s="116">
        <v>1659.1</v>
      </c>
      <c r="F1509" s="116">
        <v>1659.1</v>
      </c>
      <c r="G1509">
        <v>13786</v>
      </c>
      <c r="H1509" s="116"/>
      <c r="I1509" s="116"/>
      <c r="L1509" s="170">
        <v>44440</v>
      </c>
      <c r="M1509" s="116">
        <v>1659.6</v>
      </c>
      <c r="N1509" s="116">
        <v>1659.6</v>
      </c>
      <c r="O1509" s="116">
        <v>1659.6</v>
      </c>
      <c r="P1509" s="116">
        <v>1659.6</v>
      </c>
      <c r="Q1509" s="116">
        <v>1659.6</v>
      </c>
      <c r="R1509">
        <v>792279</v>
      </c>
    </row>
    <row r="1510" spans="1:18" x14ac:dyDescent="0.25">
      <c r="A1510" s="170">
        <v>44441</v>
      </c>
      <c r="B1510" s="116">
        <v>1735</v>
      </c>
      <c r="C1510" s="116">
        <v>1665.65</v>
      </c>
      <c r="D1510" s="116">
        <v>1576.15</v>
      </c>
      <c r="E1510" s="116">
        <v>1634</v>
      </c>
      <c r="F1510" s="116">
        <v>1665.65</v>
      </c>
      <c r="G1510">
        <v>21155</v>
      </c>
      <c r="H1510" s="116"/>
      <c r="I1510" s="116"/>
      <c r="L1510" s="170">
        <v>44441</v>
      </c>
      <c r="M1510" s="116">
        <v>1672.15</v>
      </c>
      <c r="N1510" s="116">
        <v>1698.8</v>
      </c>
      <c r="O1510" s="116">
        <v>1576.65</v>
      </c>
      <c r="P1510" s="116">
        <v>1638</v>
      </c>
      <c r="Q1510" s="116">
        <v>1672.15</v>
      </c>
      <c r="R1510">
        <v>690664</v>
      </c>
    </row>
    <row r="1511" spans="1:18" x14ac:dyDescent="0.25">
      <c r="A1511" s="170">
        <v>44442</v>
      </c>
      <c r="B1511" s="116">
        <v>1748.9</v>
      </c>
      <c r="C1511" s="116">
        <v>1746.15</v>
      </c>
      <c r="D1511" s="116">
        <v>1586</v>
      </c>
      <c r="E1511" s="116">
        <v>1684</v>
      </c>
      <c r="F1511" s="116">
        <v>1746.15</v>
      </c>
      <c r="G1511">
        <v>19903</v>
      </c>
      <c r="H1511" s="116"/>
      <c r="I1511" s="116"/>
      <c r="L1511" s="170">
        <v>44442</v>
      </c>
      <c r="M1511" s="116">
        <v>1750.5</v>
      </c>
      <c r="N1511" s="116">
        <v>1755.75</v>
      </c>
      <c r="O1511" s="116">
        <v>1590.3</v>
      </c>
      <c r="P1511" s="116">
        <v>1740</v>
      </c>
      <c r="Q1511" s="116">
        <v>1750.5</v>
      </c>
      <c r="R1511">
        <v>677648</v>
      </c>
    </row>
    <row r="1512" spans="1:18" x14ac:dyDescent="0.25">
      <c r="A1512" s="170">
        <v>44445</v>
      </c>
      <c r="B1512" s="116">
        <v>1798.7</v>
      </c>
      <c r="C1512" s="116">
        <v>1707.65</v>
      </c>
      <c r="D1512" s="116">
        <v>1671.05</v>
      </c>
      <c r="E1512" s="116">
        <v>1791</v>
      </c>
      <c r="F1512" s="116">
        <v>1707.65</v>
      </c>
      <c r="G1512">
        <v>18140</v>
      </c>
      <c r="H1512" s="116"/>
      <c r="I1512" s="116"/>
      <c r="L1512" s="170">
        <v>44445</v>
      </c>
      <c r="M1512" s="116">
        <v>1724.55</v>
      </c>
      <c r="N1512" s="116">
        <v>1789</v>
      </c>
      <c r="O1512" s="116">
        <v>1700</v>
      </c>
      <c r="P1512" s="116">
        <v>1784</v>
      </c>
      <c r="Q1512" s="116">
        <v>1724.55</v>
      </c>
      <c r="R1512">
        <v>499867</v>
      </c>
    </row>
    <row r="1513" spans="1:18" x14ac:dyDescent="0.25">
      <c r="A1513" s="170">
        <v>44446</v>
      </c>
      <c r="B1513" s="116">
        <v>1752.3</v>
      </c>
      <c r="C1513" s="116">
        <v>1665.4</v>
      </c>
      <c r="D1513" s="116">
        <v>1623</v>
      </c>
      <c r="E1513" s="116">
        <v>1750</v>
      </c>
      <c r="F1513" s="116">
        <v>1665.4</v>
      </c>
      <c r="G1513">
        <v>10994</v>
      </c>
      <c r="H1513" s="116"/>
      <c r="I1513" s="116"/>
      <c r="L1513" s="170">
        <v>44446</v>
      </c>
      <c r="M1513" s="116">
        <v>1694.25</v>
      </c>
      <c r="N1513" s="116">
        <v>1750</v>
      </c>
      <c r="O1513" s="116">
        <v>1638.35</v>
      </c>
      <c r="P1513" s="116">
        <v>1750</v>
      </c>
      <c r="Q1513" s="116">
        <v>1694.25</v>
      </c>
      <c r="R1513">
        <v>285003</v>
      </c>
    </row>
    <row r="1514" spans="1:18" x14ac:dyDescent="0.25">
      <c r="A1514" s="170">
        <v>44447</v>
      </c>
      <c r="B1514" s="116">
        <v>1745</v>
      </c>
      <c r="C1514" s="116">
        <v>1724.6</v>
      </c>
      <c r="D1514" s="116">
        <v>1602</v>
      </c>
      <c r="E1514" s="116">
        <v>1661</v>
      </c>
      <c r="F1514" s="116">
        <v>1724.6</v>
      </c>
      <c r="G1514">
        <v>8578</v>
      </c>
      <c r="H1514" s="116"/>
      <c r="I1514" s="116"/>
      <c r="L1514" s="170">
        <v>44447</v>
      </c>
      <c r="M1514" s="116">
        <v>1733.5</v>
      </c>
      <c r="N1514" s="116">
        <v>1748.9</v>
      </c>
      <c r="O1514" s="116">
        <v>1638.95</v>
      </c>
      <c r="P1514" s="116">
        <v>1689</v>
      </c>
      <c r="Q1514" s="116">
        <v>1733.5</v>
      </c>
      <c r="R1514">
        <v>452814</v>
      </c>
    </row>
    <row r="1515" spans="1:18" x14ac:dyDescent="0.25">
      <c r="A1515" s="170">
        <v>44448</v>
      </c>
      <c r="B1515" s="116">
        <v>1810.8</v>
      </c>
      <c r="C1515" s="116">
        <v>1803.3</v>
      </c>
      <c r="D1515" s="116">
        <v>1704.45</v>
      </c>
      <c r="E1515" s="116">
        <v>1738.15</v>
      </c>
      <c r="F1515" s="116">
        <v>1803.3</v>
      </c>
      <c r="G1515">
        <v>10340</v>
      </c>
      <c r="H1515" s="116"/>
      <c r="I1515" s="116"/>
      <c r="L1515" s="170">
        <v>44448</v>
      </c>
      <c r="M1515" s="116">
        <v>1806.75</v>
      </c>
      <c r="N1515" s="116">
        <v>1820.15</v>
      </c>
      <c r="O1515" s="116">
        <v>1710.55</v>
      </c>
      <c r="P1515" s="116">
        <v>1768.15</v>
      </c>
      <c r="Q1515" s="116">
        <v>1806.75</v>
      </c>
      <c r="R1515">
        <v>621789</v>
      </c>
    </row>
    <row r="1516" spans="1:18" x14ac:dyDescent="0.25">
      <c r="A1516" s="170">
        <v>44452</v>
      </c>
      <c r="B1516" s="116">
        <v>1875.7</v>
      </c>
      <c r="C1516" s="116">
        <v>1870.85</v>
      </c>
      <c r="D1516" s="116">
        <v>1773.35</v>
      </c>
      <c r="E1516" s="116">
        <v>1790</v>
      </c>
      <c r="F1516" s="116">
        <v>1870.85</v>
      </c>
      <c r="G1516">
        <v>19578</v>
      </c>
      <c r="H1516" s="116"/>
      <c r="I1516" s="116"/>
      <c r="L1516" s="170">
        <v>44452</v>
      </c>
      <c r="M1516" s="116">
        <v>1871.4</v>
      </c>
      <c r="N1516" s="116">
        <v>1875</v>
      </c>
      <c r="O1516" s="116">
        <v>1773.95</v>
      </c>
      <c r="P1516" s="116">
        <v>1781</v>
      </c>
      <c r="Q1516" s="116">
        <v>1871.4</v>
      </c>
      <c r="R1516">
        <v>1980397</v>
      </c>
    </row>
    <row r="1517" spans="1:18" x14ac:dyDescent="0.25">
      <c r="A1517" s="170">
        <v>44453</v>
      </c>
      <c r="B1517" s="116">
        <v>1960.1</v>
      </c>
      <c r="C1517" s="116">
        <v>1942.4</v>
      </c>
      <c r="D1517" s="116">
        <v>1900</v>
      </c>
      <c r="E1517" s="116">
        <v>1960.1</v>
      </c>
      <c r="F1517" s="116">
        <v>1942.4</v>
      </c>
      <c r="G1517">
        <v>22416</v>
      </c>
      <c r="H1517" s="116"/>
      <c r="I1517" s="116"/>
      <c r="L1517" s="170">
        <v>44453</v>
      </c>
      <c r="M1517" s="116">
        <v>1942.7</v>
      </c>
      <c r="N1517" s="116">
        <v>1954.15</v>
      </c>
      <c r="O1517" s="116">
        <v>1891.45</v>
      </c>
      <c r="P1517" s="116">
        <v>1950</v>
      </c>
      <c r="Q1517" s="116">
        <v>1942.7</v>
      </c>
      <c r="R1517">
        <v>1952043</v>
      </c>
    </row>
    <row r="1518" spans="1:18" x14ac:dyDescent="0.25">
      <c r="A1518" s="170">
        <v>44454</v>
      </c>
      <c r="B1518" s="116">
        <v>1990</v>
      </c>
      <c r="C1518" s="116">
        <v>1942.55</v>
      </c>
      <c r="D1518" s="116">
        <v>1911.85</v>
      </c>
      <c r="E1518" s="116">
        <v>1990</v>
      </c>
      <c r="F1518" s="116">
        <v>1942.55</v>
      </c>
      <c r="G1518">
        <v>12659</v>
      </c>
      <c r="H1518" s="116"/>
      <c r="I1518" s="116"/>
      <c r="L1518" s="170">
        <v>44454</v>
      </c>
      <c r="M1518" s="116">
        <v>1944.05</v>
      </c>
      <c r="N1518" s="116">
        <v>1990</v>
      </c>
      <c r="O1518" s="116">
        <v>1922.9</v>
      </c>
      <c r="P1518" s="116">
        <v>1990</v>
      </c>
      <c r="Q1518" s="116">
        <v>1944.05</v>
      </c>
      <c r="R1518">
        <v>1338240</v>
      </c>
    </row>
    <row r="1519" spans="1:18" x14ac:dyDescent="0.25">
      <c r="A1519" s="170">
        <v>44455</v>
      </c>
      <c r="B1519" s="116">
        <v>1980</v>
      </c>
      <c r="C1519" s="116">
        <v>1913.1</v>
      </c>
      <c r="D1519" s="116">
        <v>1850</v>
      </c>
      <c r="E1519" s="116">
        <v>1943</v>
      </c>
      <c r="F1519" s="116">
        <v>1913.1</v>
      </c>
      <c r="G1519">
        <v>12156</v>
      </c>
      <c r="H1519" s="116"/>
      <c r="I1519" s="116"/>
      <c r="L1519" s="170">
        <v>44455</v>
      </c>
      <c r="M1519" s="116">
        <v>1916.15</v>
      </c>
      <c r="N1519" s="116">
        <v>1981.05</v>
      </c>
      <c r="O1519" s="116">
        <v>1868.9</v>
      </c>
      <c r="P1519" s="116">
        <v>1940</v>
      </c>
      <c r="Q1519" s="116">
        <v>1916.15</v>
      </c>
      <c r="R1519">
        <v>314449</v>
      </c>
    </row>
    <row r="1520" spans="1:18" x14ac:dyDescent="0.25">
      <c r="A1520" s="170">
        <v>44456</v>
      </c>
      <c r="B1520" s="116">
        <v>1817.45</v>
      </c>
      <c r="C1520" s="116">
        <v>1817.45</v>
      </c>
      <c r="D1520" s="116">
        <v>1817.45</v>
      </c>
      <c r="E1520" s="116">
        <v>1817.45</v>
      </c>
      <c r="F1520" s="116">
        <v>1817.45</v>
      </c>
      <c r="G1520">
        <v>385111</v>
      </c>
      <c r="H1520" s="116"/>
      <c r="I1520" s="116"/>
      <c r="L1520" s="170">
        <v>44456</v>
      </c>
      <c r="M1520" s="116">
        <v>1820.35</v>
      </c>
      <c r="N1520" s="116">
        <v>1820.35</v>
      </c>
      <c r="O1520" s="116">
        <v>1820.35</v>
      </c>
      <c r="P1520" s="116">
        <v>1820.35</v>
      </c>
      <c r="Q1520" s="116">
        <v>1820.35</v>
      </c>
      <c r="R1520">
        <v>8091432</v>
      </c>
    </row>
    <row r="1521" spans="1:18" x14ac:dyDescent="0.25">
      <c r="A1521" s="170">
        <v>44459</v>
      </c>
      <c r="B1521" s="116">
        <v>1726.6</v>
      </c>
      <c r="C1521" s="116">
        <v>1726.6</v>
      </c>
      <c r="D1521" s="116">
        <v>1726.6</v>
      </c>
      <c r="E1521" s="116">
        <v>1726.6</v>
      </c>
      <c r="F1521" s="116">
        <v>1726.6</v>
      </c>
      <c r="G1521">
        <v>9745</v>
      </c>
      <c r="H1521" s="116"/>
      <c r="I1521" s="116"/>
      <c r="L1521" s="170">
        <v>44459</v>
      </c>
      <c r="M1521" s="116">
        <v>1729.35</v>
      </c>
      <c r="N1521" s="116">
        <v>1729.35</v>
      </c>
      <c r="O1521" s="116">
        <v>1729.35</v>
      </c>
      <c r="P1521" s="116">
        <v>1729.35</v>
      </c>
      <c r="Q1521" s="116">
        <v>1729.35</v>
      </c>
      <c r="R1521">
        <v>677675</v>
      </c>
    </row>
    <row r="1522" spans="1:18" x14ac:dyDescent="0.25">
      <c r="A1522" s="170">
        <v>44460</v>
      </c>
      <c r="B1522" s="116">
        <v>1640.3</v>
      </c>
      <c r="C1522" s="116">
        <v>1640.3</v>
      </c>
      <c r="D1522" s="116">
        <v>1640.3</v>
      </c>
      <c r="E1522" s="116">
        <v>1640.3</v>
      </c>
      <c r="F1522" s="116">
        <v>1640.3</v>
      </c>
      <c r="G1522">
        <v>5979</v>
      </c>
      <c r="H1522" s="116"/>
      <c r="I1522" s="116"/>
      <c r="L1522" s="170">
        <v>44460</v>
      </c>
      <c r="M1522" s="116">
        <v>1642.9</v>
      </c>
      <c r="N1522" s="116">
        <v>1642.9</v>
      </c>
      <c r="O1522" s="116">
        <v>1642.9</v>
      </c>
      <c r="P1522" s="116">
        <v>1642.9</v>
      </c>
      <c r="Q1522" s="116">
        <v>1642.9</v>
      </c>
      <c r="R1522">
        <v>319006</v>
      </c>
    </row>
    <row r="1523" spans="1:18" x14ac:dyDescent="0.25">
      <c r="A1523" s="170">
        <v>44461</v>
      </c>
      <c r="B1523" s="116">
        <v>1722.3</v>
      </c>
      <c r="C1523" s="116">
        <v>1558.3</v>
      </c>
      <c r="D1523" s="116">
        <v>1558.3</v>
      </c>
      <c r="E1523" s="116">
        <v>1560.75</v>
      </c>
      <c r="F1523" s="116">
        <v>1558.3</v>
      </c>
      <c r="G1523">
        <v>24577</v>
      </c>
      <c r="H1523" s="116"/>
      <c r="I1523" s="116"/>
      <c r="L1523" s="170">
        <v>44461</v>
      </c>
      <c r="M1523" s="116">
        <v>1560.8</v>
      </c>
      <c r="N1523" s="116">
        <v>1725</v>
      </c>
      <c r="O1523" s="116">
        <v>1560.8</v>
      </c>
      <c r="P1523" s="116">
        <v>1560.8</v>
      </c>
      <c r="Q1523" s="116">
        <v>1560.8</v>
      </c>
      <c r="R1523">
        <v>835775</v>
      </c>
    </row>
    <row r="1524" spans="1:18" x14ac:dyDescent="0.25">
      <c r="A1524" s="170">
        <v>44462</v>
      </c>
      <c r="B1524" s="116">
        <v>1602</v>
      </c>
      <c r="C1524" s="116">
        <v>1548.35</v>
      </c>
      <c r="D1524" s="116">
        <v>1480.4</v>
      </c>
      <c r="E1524" s="116">
        <v>1480.4</v>
      </c>
      <c r="F1524" s="116">
        <v>1548.35</v>
      </c>
      <c r="G1524">
        <v>286265</v>
      </c>
      <c r="H1524" s="116"/>
      <c r="I1524" s="116"/>
      <c r="L1524" s="170">
        <v>44462</v>
      </c>
      <c r="M1524" s="116">
        <v>1547.6</v>
      </c>
      <c r="N1524" s="116">
        <v>1599.95</v>
      </c>
      <c r="O1524" s="116">
        <v>1482.8</v>
      </c>
      <c r="P1524" s="116">
        <v>1482.8</v>
      </c>
      <c r="Q1524" s="116">
        <v>1547.6</v>
      </c>
      <c r="R1524">
        <v>725520</v>
      </c>
    </row>
    <row r="1525" spans="1:18" x14ac:dyDescent="0.25">
      <c r="A1525" s="170">
        <v>44463</v>
      </c>
      <c r="B1525" s="116">
        <v>1564.9</v>
      </c>
      <c r="C1525" s="116">
        <v>1537.65</v>
      </c>
      <c r="D1525" s="116">
        <v>1500</v>
      </c>
      <c r="E1525" s="116">
        <v>1502</v>
      </c>
      <c r="F1525" s="116">
        <v>1537.65</v>
      </c>
      <c r="G1525">
        <v>11141</v>
      </c>
      <c r="H1525" s="116"/>
      <c r="I1525" s="116"/>
      <c r="L1525" s="170">
        <v>44463</v>
      </c>
      <c r="M1525" s="116">
        <v>1542.15</v>
      </c>
      <c r="N1525" s="116">
        <v>1550</v>
      </c>
      <c r="O1525" s="116">
        <v>1501.1</v>
      </c>
      <c r="P1525" s="116">
        <v>1520</v>
      </c>
      <c r="Q1525" s="116">
        <v>1542.15</v>
      </c>
      <c r="R1525">
        <v>178331</v>
      </c>
    </row>
    <row r="1526" spans="1:18" x14ac:dyDescent="0.25">
      <c r="A1526" s="170">
        <v>44466</v>
      </c>
      <c r="B1526" s="116">
        <v>1585</v>
      </c>
      <c r="C1526" s="116">
        <v>1577.7</v>
      </c>
      <c r="D1526" s="116">
        <v>1491</v>
      </c>
      <c r="E1526" s="116">
        <v>1518.3</v>
      </c>
      <c r="F1526" s="116">
        <v>1577.7</v>
      </c>
      <c r="G1526">
        <v>5366</v>
      </c>
      <c r="H1526" s="116"/>
      <c r="I1526" s="116"/>
      <c r="L1526" s="170">
        <v>44466</v>
      </c>
      <c r="M1526" s="116">
        <v>1578.4</v>
      </c>
      <c r="N1526" s="116">
        <v>1593</v>
      </c>
      <c r="O1526" s="116">
        <v>1495.05</v>
      </c>
      <c r="P1526" s="116">
        <v>1512</v>
      </c>
      <c r="Q1526" s="116">
        <v>1578.4</v>
      </c>
      <c r="R1526">
        <v>231569</v>
      </c>
    </row>
    <row r="1527" spans="1:18" x14ac:dyDescent="0.25">
      <c r="A1527" s="170">
        <v>44467</v>
      </c>
      <c r="B1527" s="116">
        <v>1599.75</v>
      </c>
      <c r="C1527" s="116">
        <v>1551.55</v>
      </c>
      <c r="D1527" s="116">
        <v>1540</v>
      </c>
      <c r="E1527" s="116">
        <v>1578.5</v>
      </c>
      <c r="F1527" s="116">
        <v>1551.55</v>
      </c>
      <c r="G1527">
        <v>7372</v>
      </c>
      <c r="H1527" s="116"/>
      <c r="I1527" s="116"/>
      <c r="L1527" s="170">
        <v>44467</v>
      </c>
      <c r="M1527" s="116">
        <v>1549.9</v>
      </c>
      <c r="N1527" s="116">
        <v>1590</v>
      </c>
      <c r="O1527" s="116">
        <v>1539.95</v>
      </c>
      <c r="P1527" s="116">
        <v>1590</v>
      </c>
      <c r="Q1527" s="116">
        <v>1549.9</v>
      </c>
      <c r="R1527">
        <v>294035</v>
      </c>
    </row>
    <row r="1528" spans="1:18" x14ac:dyDescent="0.25">
      <c r="A1528" s="170">
        <v>44468</v>
      </c>
      <c r="B1528" s="116">
        <v>1580</v>
      </c>
      <c r="C1528" s="116">
        <v>1534.2</v>
      </c>
      <c r="D1528" s="116">
        <v>1474</v>
      </c>
      <c r="E1528" s="116">
        <v>1570</v>
      </c>
      <c r="F1528" s="116">
        <v>1534.2</v>
      </c>
      <c r="G1528">
        <v>19201</v>
      </c>
      <c r="H1528" s="116"/>
      <c r="I1528" s="116"/>
      <c r="L1528" s="170">
        <v>44468</v>
      </c>
      <c r="M1528" s="116">
        <v>1530.6</v>
      </c>
      <c r="N1528" s="116">
        <v>1588</v>
      </c>
      <c r="O1528" s="116">
        <v>1502.1</v>
      </c>
      <c r="P1528" s="116">
        <v>1543</v>
      </c>
      <c r="Q1528" s="116">
        <v>1530.6</v>
      </c>
      <c r="R1528">
        <v>243398</v>
      </c>
    </row>
    <row r="1529" spans="1:18" x14ac:dyDescent="0.25">
      <c r="A1529" s="170">
        <v>44469</v>
      </c>
      <c r="B1529" s="116">
        <v>1567.95</v>
      </c>
      <c r="C1529" s="116">
        <v>1552.35</v>
      </c>
      <c r="D1529" s="116">
        <v>1500</v>
      </c>
      <c r="E1529" s="116">
        <v>1511</v>
      </c>
      <c r="F1529" s="116">
        <v>1552.35</v>
      </c>
      <c r="G1529">
        <v>7306</v>
      </c>
      <c r="H1529" s="116"/>
      <c r="I1529" s="116"/>
      <c r="L1529" s="170">
        <v>44469</v>
      </c>
      <c r="M1529" s="116">
        <v>1558.5</v>
      </c>
      <c r="N1529" s="116">
        <v>1564</v>
      </c>
      <c r="O1529" s="116">
        <v>1511</v>
      </c>
      <c r="P1529" s="116">
        <v>1540</v>
      </c>
      <c r="Q1529" s="116">
        <v>1558.5</v>
      </c>
      <c r="R1529">
        <v>156084</v>
      </c>
    </row>
    <row r="1530" spans="1:18" x14ac:dyDescent="0.25">
      <c r="A1530" s="170">
        <v>44470</v>
      </c>
      <c r="B1530" s="116">
        <v>1585</v>
      </c>
      <c r="C1530" s="116">
        <v>1574.4</v>
      </c>
      <c r="D1530" s="116">
        <v>1511.4</v>
      </c>
      <c r="E1530" s="116">
        <v>1584</v>
      </c>
      <c r="F1530" s="116">
        <v>1574.4</v>
      </c>
      <c r="G1530">
        <v>4434</v>
      </c>
      <c r="H1530" s="116"/>
      <c r="I1530" s="116"/>
      <c r="L1530" s="170">
        <v>44470</v>
      </c>
      <c r="M1530" s="116">
        <v>1577.85</v>
      </c>
      <c r="N1530" s="116">
        <v>1590.1</v>
      </c>
      <c r="O1530" s="116">
        <v>1525</v>
      </c>
      <c r="P1530" s="116">
        <v>1558.5</v>
      </c>
      <c r="Q1530" s="116">
        <v>1577.85</v>
      </c>
      <c r="R1530">
        <v>115660</v>
      </c>
    </row>
    <row r="1531" spans="1:18" x14ac:dyDescent="0.25">
      <c r="A1531" s="170">
        <v>44473</v>
      </c>
      <c r="B1531" s="116">
        <v>1653.1</v>
      </c>
      <c r="C1531" s="116">
        <v>1632.1</v>
      </c>
      <c r="D1531" s="116">
        <v>1516.35</v>
      </c>
      <c r="E1531" s="116">
        <v>1590</v>
      </c>
      <c r="F1531" s="116">
        <v>1632.1</v>
      </c>
      <c r="G1531">
        <v>12219</v>
      </c>
      <c r="H1531" s="116"/>
      <c r="I1531" s="116"/>
      <c r="L1531" s="170">
        <v>44473</v>
      </c>
      <c r="M1531" s="116">
        <v>1636</v>
      </c>
      <c r="N1531" s="116">
        <v>1656.7</v>
      </c>
      <c r="O1531" s="116">
        <v>1552</v>
      </c>
      <c r="P1531" s="116">
        <v>1577.85</v>
      </c>
      <c r="Q1531" s="116">
        <v>1636</v>
      </c>
      <c r="R1531">
        <v>98132</v>
      </c>
    </row>
    <row r="1532" spans="1:18" x14ac:dyDescent="0.25">
      <c r="A1532" s="170">
        <v>44474</v>
      </c>
      <c r="B1532" s="116">
        <v>1713.7</v>
      </c>
      <c r="C1532" s="116">
        <v>1713.7</v>
      </c>
      <c r="D1532" s="116">
        <v>1650</v>
      </c>
      <c r="E1532" s="116">
        <v>1674.7</v>
      </c>
      <c r="F1532" s="116">
        <v>1713.7</v>
      </c>
      <c r="G1532">
        <v>7632</v>
      </c>
      <c r="H1532" s="116"/>
      <c r="I1532" s="116"/>
      <c r="L1532" s="170">
        <v>44474</v>
      </c>
      <c r="M1532" s="116">
        <v>1717.8</v>
      </c>
      <c r="N1532" s="116">
        <v>1717.8</v>
      </c>
      <c r="O1532" s="116">
        <v>1656.7</v>
      </c>
      <c r="P1532" s="116">
        <v>1674.8</v>
      </c>
      <c r="Q1532" s="116">
        <v>1717.8</v>
      </c>
      <c r="R1532">
        <v>104466</v>
      </c>
    </row>
    <row r="1533" spans="1:18" x14ac:dyDescent="0.25">
      <c r="A1533" s="170">
        <v>44475</v>
      </c>
      <c r="B1533" s="116">
        <v>1799.35</v>
      </c>
      <c r="C1533" s="116">
        <v>1759.35</v>
      </c>
      <c r="D1533" s="116">
        <v>1750</v>
      </c>
      <c r="E1533" s="116">
        <v>1759.8</v>
      </c>
      <c r="F1533" s="116">
        <v>1759.35</v>
      </c>
      <c r="G1533">
        <v>9194</v>
      </c>
      <c r="H1533" s="116"/>
      <c r="I1533" s="116"/>
      <c r="L1533" s="170">
        <v>44475</v>
      </c>
      <c r="M1533" s="116">
        <v>1764.5</v>
      </c>
      <c r="N1533" s="116">
        <v>1797.7</v>
      </c>
      <c r="O1533" s="116">
        <v>1748</v>
      </c>
      <c r="P1533" s="116">
        <v>1749</v>
      </c>
      <c r="Q1533" s="116">
        <v>1764.5</v>
      </c>
      <c r="R1533">
        <v>151949</v>
      </c>
    </row>
    <row r="1534" spans="1:18" x14ac:dyDescent="0.25">
      <c r="A1534" s="170">
        <v>44476</v>
      </c>
      <c r="B1534" s="116">
        <v>1799.35</v>
      </c>
      <c r="C1534" s="116">
        <v>1758.95</v>
      </c>
      <c r="D1534" s="116">
        <v>1671.4</v>
      </c>
      <c r="E1534" s="116">
        <v>1799.35</v>
      </c>
      <c r="F1534" s="116">
        <v>1758.95</v>
      </c>
      <c r="G1534">
        <v>5576</v>
      </c>
      <c r="H1534" s="116"/>
      <c r="I1534" s="116"/>
      <c r="L1534" s="170">
        <v>44476</v>
      </c>
      <c r="M1534" s="116">
        <v>1764.3</v>
      </c>
      <c r="N1534" s="116">
        <v>1799</v>
      </c>
      <c r="O1534" s="116">
        <v>1729.25</v>
      </c>
      <c r="P1534" s="116">
        <v>1797</v>
      </c>
      <c r="Q1534" s="116">
        <v>1764.3</v>
      </c>
      <c r="R1534">
        <v>103320</v>
      </c>
    </row>
    <row r="1535" spans="1:18" x14ac:dyDescent="0.25">
      <c r="A1535" s="170">
        <v>44477</v>
      </c>
      <c r="B1535" s="116">
        <v>1790</v>
      </c>
      <c r="C1535" s="116">
        <v>1678.85</v>
      </c>
      <c r="D1535" s="116">
        <v>1671.05</v>
      </c>
      <c r="E1535" s="116">
        <v>1790</v>
      </c>
      <c r="F1535" s="116">
        <v>1678.85</v>
      </c>
      <c r="G1535">
        <v>8266</v>
      </c>
      <c r="H1535" s="116"/>
      <c r="I1535" s="116"/>
      <c r="L1535" s="170">
        <v>44477</v>
      </c>
      <c r="M1535" s="116">
        <v>1678.7</v>
      </c>
      <c r="N1535" s="116">
        <v>1750</v>
      </c>
      <c r="O1535" s="116">
        <v>1676.1</v>
      </c>
      <c r="P1535" s="116">
        <v>1730.15</v>
      </c>
      <c r="Q1535" s="116">
        <v>1678.7</v>
      </c>
      <c r="R1535">
        <v>119791</v>
      </c>
    </row>
    <row r="1536" spans="1:18" x14ac:dyDescent="0.25">
      <c r="A1536" s="170">
        <v>44480</v>
      </c>
      <c r="B1536" s="116">
        <v>1698</v>
      </c>
      <c r="C1536" s="116">
        <v>1685.9</v>
      </c>
      <c r="D1536" s="116">
        <v>1621</v>
      </c>
      <c r="E1536" s="116">
        <v>1670</v>
      </c>
      <c r="F1536" s="116">
        <v>1685.9</v>
      </c>
      <c r="G1536">
        <v>252442</v>
      </c>
      <c r="H1536" s="116"/>
      <c r="I1536" s="116"/>
      <c r="L1536" s="170">
        <v>44480</v>
      </c>
      <c r="M1536" s="116">
        <v>1696.7</v>
      </c>
      <c r="N1536" s="116">
        <v>1707</v>
      </c>
      <c r="O1536" s="116">
        <v>1635</v>
      </c>
      <c r="P1536" s="116">
        <v>1682</v>
      </c>
      <c r="Q1536" s="116">
        <v>1696.7</v>
      </c>
      <c r="R1536">
        <v>70249</v>
      </c>
    </row>
    <row r="1537" spans="1:18" x14ac:dyDescent="0.25">
      <c r="A1537" s="170">
        <v>44481</v>
      </c>
      <c r="B1537" s="116">
        <v>1714.95</v>
      </c>
      <c r="C1537" s="116">
        <v>1686.85</v>
      </c>
      <c r="D1537" s="116">
        <v>1651.35</v>
      </c>
      <c r="E1537" s="116">
        <v>1695</v>
      </c>
      <c r="F1537" s="116">
        <v>1686.85</v>
      </c>
      <c r="G1537">
        <v>2286</v>
      </c>
      <c r="H1537" s="116"/>
      <c r="I1537" s="116"/>
      <c r="L1537" s="170">
        <v>44481</v>
      </c>
      <c r="M1537" s="116">
        <v>1688.8</v>
      </c>
      <c r="N1537" s="116">
        <v>1715</v>
      </c>
      <c r="O1537" s="116">
        <v>1631.65</v>
      </c>
      <c r="P1537" s="116">
        <v>1696</v>
      </c>
      <c r="Q1537" s="116">
        <v>1688.8</v>
      </c>
      <c r="R1537">
        <v>63319</v>
      </c>
    </row>
    <row r="1538" spans="1:18" x14ac:dyDescent="0.25">
      <c r="A1538" s="170">
        <v>44482</v>
      </c>
      <c r="B1538" s="116">
        <v>1720</v>
      </c>
      <c r="C1538" s="116">
        <v>1683.35</v>
      </c>
      <c r="D1538" s="116">
        <v>1664.5</v>
      </c>
      <c r="E1538" s="116">
        <v>1686.85</v>
      </c>
      <c r="F1538" s="116">
        <v>1683.35</v>
      </c>
      <c r="G1538">
        <v>10118</v>
      </c>
      <c r="H1538" s="116"/>
      <c r="I1538" s="116"/>
      <c r="L1538" s="170">
        <v>44482</v>
      </c>
      <c r="M1538" s="116">
        <v>1702.75</v>
      </c>
      <c r="N1538" s="116">
        <v>1718</v>
      </c>
      <c r="O1538" s="116">
        <v>1662.7</v>
      </c>
      <c r="P1538" s="116">
        <v>1664</v>
      </c>
      <c r="Q1538" s="116">
        <v>1702.75</v>
      </c>
      <c r="R1538">
        <v>225360</v>
      </c>
    </row>
    <row r="1539" spans="1:18" x14ac:dyDescent="0.25">
      <c r="A1539" s="170">
        <v>44483</v>
      </c>
      <c r="B1539" s="116">
        <v>1704.7</v>
      </c>
      <c r="C1539" s="116">
        <v>1684.4</v>
      </c>
      <c r="D1539" s="116">
        <v>1668.7</v>
      </c>
      <c r="E1539" s="116">
        <v>1683.35</v>
      </c>
      <c r="F1539" s="116">
        <v>1684.4</v>
      </c>
      <c r="G1539">
        <v>3246</v>
      </c>
      <c r="H1539" s="116"/>
      <c r="I1539" s="116"/>
      <c r="L1539" s="170">
        <v>44483</v>
      </c>
      <c r="M1539" s="116">
        <v>1687.3</v>
      </c>
      <c r="N1539" s="116">
        <v>1709.8</v>
      </c>
      <c r="O1539" s="116">
        <v>1665</v>
      </c>
      <c r="P1539" s="116">
        <v>1665</v>
      </c>
      <c r="Q1539" s="116">
        <v>1687.3</v>
      </c>
      <c r="R1539">
        <v>79969</v>
      </c>
    </row>
    <row r="1540" spans="1:18" x14ac:dyDescent="0.25">
      <c r="A1540" s="170">
        <v>44487</v>
      </c>
      <c r="B1540" s="116">
        <v>1755</v>
      </c>
      <c r="C1540" s="116">
        <v>1743.3</v>
      </c>
      <c r="D1540" s="116">
        <v>1650</v>
      </c>
      <c r="E1540" s="116">
        <v>1698</v>
      </c>
      <c r="F1540" s="116">
        <v>1743.3</v>
      </c>
      <c r="G1540">
        <v>4062</v>
      </c>
      <c r="H1540" s="116"/>
      <c r="I1540" s="116"/>
      <c r="L1540" s="170">
        <v>44487</v>
      </c>
      <c r="M1540" s="116">
        <v>1748.2</v>
      </c>
      <c r="N1540" s="116">
        <v>1755</v>
      </c>
      <c r="O1540" s="116">
        <v>1690</v>
      </c>
      <c r="P1540" s="116">
        <v>1699</v>
      </c>
      <c r="Q1540" s="116">
        <v>1748.2</v>
      </c>
      <c r="R1540">
        <v>106547</v>
      </c>
    </row>
    <row r="1541" spans="1:18" x14ac:dyDescent="0.25">
      <c r="A1541" s="170">
        <v>44488</v>
      </c>
      <c r="B1541" s="116">
        <v>1795</v>
      </c>
      <c r="C1541" s="116">
        <v>1739.4</v>
      </c>
      <c r="D1541" s="116">
        <v>1720</v>
      </c>
      <c r="E1541" s="116">
        <v>1751</v>
      </c>
      <c r="F1541" s="116">
        <v>1739.4</v>
      </c>
      <c r="G1541">
        <v>4037</v>
      </c>
      <c r="H1541" s="116"/>
      <c r="I1541" s="116"/>
      <c r="L1541" s="170">
        <v>44488</v>
      </c>
      <c r="M1541" s="116">
        <v>1745.05</v>
      </c>
      <c r="N1541" s="116">
        <v>1772</v>
      </c>
      <c r="O1541" s="116">
        <v>1717</v>
      </c>
      <c r="P1541" s="116">
        <v>1760</v>
      </c>
      <c r="Q1541" s="116">
        <v>1745.05</v>
      </c>
      <c r="R1541">
        <v>89220</v>
      </c>
    </row>
    <row r="1542" spans="1:18" x14ac:dyDescent="0.25">
      <c r="A1542" s="170">
        <v>44489</v>
      </c>
      <c r="B1542" s="116">
        <v>1759.8</v>
      </c>
      <c r="C1542" s="116">
        <v>1697.85</v>
      </c>
      <c r="D1542" s="116">
        <v>1662.1</v>
      </c>
      <c r="E1542" s="116">
        <v>1744</v>
      </c>
      <c r="F1542" s="116">
        <v>1697.85</v>
      </c>
      <c r="G1542">
        <v>244431</v>
      </c>
      <c r="H1542" s="116"/>
      <c r="I1542" s="116"/>
      <c r="L1542" s="170">
        <v>44489</v>
      </c>
      <c r="M1542" s="116">
        <v>1710.2</v>
      </c>
      <c r="N1542" s="116">
        <v>1750</v>
      </c>
      <c r="O1542" s="116">
        <v>1680</v>
      </c>
      <c r="P1542" s="116">
        <v>1700</v>
      </c>
      <c r="Q1542" s="116">
        <v>1710.2</v>
      </c>
      <c r="R1542">
        <v>70059</v>
      </c>
    </row>
    <row r="1543" spans="1:18" x14ac:dyDescent="0.25">
      <c r="A1543" s="170">
        <v>44490</v>
      </c>
      <c r="B1543" s="116">
        <v>1782.7</v>
      </c>
      <c r="C1543" s="116">
        <v>1773.4</v>
      </c>
      <c r="D1543" s="116">
        <v>1697.8</v>
      </c>
      <c r="E1543" s="116">
        <v>1697.8</v>
      </c>
      <c r="F1543" s="116">
        <v>1773.4</v>
      </c>
      <c r="G1543">
        <v>5717</v>
      </c>
      <c r="H1543" s="116"/>
      <c r="I1543" s="116"/>
      <c r="L1543" s="170">
        <v>44490</v>
      </c>
      <c r="M1543" s="116">
        <v>1789.6</v>
      </c>
      <c r="N1543" s="116">
        <v>1795.7</v>
      </c>
      <c r="O1543" s="116">
        <v>1624.7</v>
      </c>
      <c r="P1543" s="116">
        <v>1727.3</v>
      </c>
      <c r="Q1543" s="116">
        <v>1789.6</v>
      </c>
      <c r="R1543">
        <v>208668</v>
      </c>
    </row>
    <row r="1544" spans="1:18" x14ac:dyDescent="0.25">
      <c r="A1544" s="170">
        <v>44491</v>
      </c>
      <c r="B1544" s="116">
        <v>1818</v>
      </c>
      <c r="C1544" s="116">
        <v>1797.75</v>
      </c>
      <c r="D1544" s="116">
        <v>1738.05</v>
      </c>
      <c r="E1544" s="116">
        <v>1773.4</v>
      </c>
      <c r="F1544" s="116">
        <v>1797.75</v>
      </c>
      <c r="G1544">
        <v>4795</v>
      </c>
      <c r="H1544" s="116"/>
      <c r="I1544" s="116"/>
      <c r="L1544" s="170">
        <v>44491</v>
      </c>
      <c r="M1544" s="116">
        <v>1809</v>
      </c>
      <c r="N1544" s="116">
        <v>1827</v>
      </c>
      <c r="O1544" s="116">
        <v>1740</v>
      </c>
      <c r="P1544" s="116">
        <v>1774</v>
      </c>
      <c r="Q1544" s="116">
        <v>1809</v>
      </c>
      <c r="R1544">
        <v>141854</v>
      </c>
    </row>
    <row r="1545" spans="1:18" x14ac:dyDescent="0.25">
      <c r="A1545" s="170">
        <v>44494</v>
      </c>
      <c r="B1545" s="116">
        <v>1887.6</v>
      </c>
      <c r="C1545" s="116">
        <v>1858.9</v>
      </c>
      <c r="D1545" s="116">
        <v>1798</v>
      </c>
      <c r="E1545" s="116">
        <v>1830</v>
      </c>
      <c r="F1545" s="116">
        <v>1858.9</v>
      </c>
      <c r="G1545">
        <v>6688</v>
      </c>
      <c r="H1545" s="116"/>
      <c r="I1545" s="116"/>
      <c r="L1545" s="170">
        <v>44494</v>
      </c>
      <c r="M1545" s="116">
        <v>1869.9</v>
      </c>
      <c r="N1545" s="116">
        <v>1890</v>
      </c>
      <c r="O1545" s="116">
        <v>1800</v>
      </c>
      <c r="P1545" s="116">
        <v>1828</v>
      </c>
      <c r="Q1545" s="116">
        <v>1869.9</v>
      </c>
      <c r="R1545">
        <v>170443</v>
      </c>
    </row>
    <row r="1546" spans="1:18" x14ac:dyDescent="0.25">
      <c r="A1546" s="170">
        <v>44495</v>
      </c>
      <c r="B1546" s="116">
        <v>1920</v>
      </c>
      <c r="C1546" s="116">
        <v>1859.75</v>
      </c>
      <c r="D1546" s="116">
        <v>1821</v>
      </c>
      <c r="E1546" s="116">
        <v>1821</v>
      </c>
      <c r="F1546" s="116">
        <v>1859.75</v>
      </c>
      <c r="G1546">
        <v>2992</v>
      </c>
      <c r="H1546" s="116"/>
      <c r="I1546" s="116"/>
      <c r="L1546" s="170">
        <v>44495</v>
      </c>
      <c r="M1546" s="116">
        <v>1854.85</v>
      </c>
      <c r="N1546" s="116">
        <v>1899.95</v>
      </c>
      <c r="O1546" s="116">
        <v>1800</v>
      </c>
      <c r="P1546" s="116">
        <v>1864</v>
      </c>
      <c r="Q1546" s="116">
        <v>1854.85</v>
      </c>
      <c r="R1546">
        <v>62879</v>
      </c>
    </row>
    <row r="1547" spans="1:18" x14ac:dyDescent="0.25">
      <c r="A1547" s="170">
        <v>44496</v>
      </c>
      <c r="B1547" s="116">
        <v>1919.7</v>
      </c>
      <c r="C1547" s="116">
        <v>1859.7</v>
      </c>
      <c r="D1547" s="116">
        <v>1800</v>
      </c>
      <c r="E1547" s="116">
        <v>1919.7</v>
      </c>
      <c r="F1547" s="116">
        <v>1859.7</v>
      </c>
      <c r="G1547">
        <v>7457</v>
      </c>
      <c r="H1547" s="116"/>
      <c r="I1547" s="116"/>
      <c r="L1547" s="170">
        <v>44496</v>
      </c>
      <c r="M1547" s="116">
        <v>1874.25</v>
      </c>
      <c r="N1547" s="116">
        <v>1896</v>
      </c>
      <c r="O1547" s="116">
        <v>1800</v>
      </c>
      <c r="P1547" s="116">
        <v>1832</v>
      </c>
      <c r="Q1547" s="116">
        <v>1874.25</v>
      </c>
      <c r="R1547">
        <v>65583</v>
      </c>
    </row>
    <row r="1548" spans="1:18" x14ac:dyDescent="0.25">
      <c r="A1548" s="170">
        <v>44497</v>
      </c>
      <c r="B1548" s="116">
        <v>1890</v>
      </c>
      <c r="C1548" s="116">
        <v>1783.65</v>
      </c>
      <c r="D1548" s="116">
        <v>1769.15</v>
      </c>
      <c r="E1548" s="116">
        <v>1840</v>
      </c>
      <c r="F1548" s="116">
        <v>1783.65</v>
      </c>
      <c r="G1548">
        <v>2561</v>
      </c>
      <c r="H1548" s="116"/>
      <c r="I1548" s="116"/>
      <c r="L1548" s="170">
        <v>44497</v>
      </c>
      <c r="M1548" s="116">
        <v>1793</v>
      </c>
      <c r="N1548" s="116">
        <v>1874.45</v>
      </c>
      <c r="O1548" s="116">
        <v>1780.55</v>
      </c>
      <c r="P1548" s="116">
        <v>1836.8</v>
      </c>
      <c r="Q1548" s="116">
        <v>1793</v>
      </c>
      <c r="R1548">
        <v>77690</v>
      </c>
    </row>
    <row r="1549" spans="1:18" x14ac:dyDescent="0.25">
      <c r="A1549" s="170">
        <v>44498</v>
      </c>
      <c r="B1549" s="116">
        <v>1828.8</v>
      </c>
      <c r="C1549" s="116">
        <v>1786.85</v>
      </c>
      <c r="D1549" s="116">
        <v>1694.5</v>
      </c>
      <c r="E1549" s="116">
        <v>1770</v>
      </c>
      <c r="F1549" s="116">
        <v>1786.85</v>
      </c>
      <c r="G1549">
        <v>2566</v>
      </c>
      <c r="H1549" s="116"/>
      <c r="I1549" s="116"/>
      <c r="L1549" s="170">
        <v>44498</v>
      </c>
      <c r="M1549" s="116">
        <v>1767.4</v>
      </c>
      <c r="N1549" s="116">
        <v>1828.9</v>
      </c>
      <c r="O1549" s="116">
        <v>1703.35</v>
      </c>
      <c r="P1549" s="116">
        <v>1765</v>
      </c>
      <c r="Q1549" s="116">
        <v>1767.4</v>
      </c>
      <c r="R1549">
        <v>103463</v>
      </c>
    </row>
    <row r="1550" spans="1:18" x14ac:dyDescent="0.25">
      <c r="A1550" s="170">
        <v>44501</v>
      </c>
      <c r="B1550" s="116">
        <v>1799.9</v>
      </c>
      <c r="C1550" s="116">
        <v>1763.65</v>
      </c>
      <c r="D1550" s="116">
        <v>1706</v>
      </c>
      <c r="E1550" s="116">
        <v>1706</v>
      </c>
      <c r="F1550" s="116">
        <v>1763.65</v>
      </c>
      <c r="G1550">
        <v>4352</v>
      </c>
      <c r="H1550" s="116"/>
      <c r="I1550" s="116"/>
      <c r="L1550" s="170">
        <v>44501</v>
      </c>
      <c r="M1550" s="116">
        <v>1760.55</v>
      </c>
      <c r="N1550" s="116">
        <v>1799</v>
      </c>
      <c r="O1550" s="116">
        <v>1705</v>
      </c>
      <c r="P1550" s="116">
        <v>1783.9</v>
      </c>
      <c r="Q1550" s="116">
        <v>1760.55</v>
      </c>
      <c r="R1550">
        <v>87991</v>
      </c>
    </row>
    <row r="1551" spans="1:18" x14ac:dyDescent="0.25">
      <c r="A1551" s="170">
        <v>44502</v>
      </c>
      <c r="B1551" s="116">
        <v>1782</v>
      </c>
      <c r="C1551" s="116">
        <v>1755.45</v>
      </c>
      <c r="D1551" s="116">
        <v>1685</v>
      </c>
      <c r="E1551" s="116">
        <v>1732.1</v>
      </c>
      <c r="F1551" s="116">
        <v>1755.45</v>
      </c>
      <c r="G1551">
        <v>4137</v>
      </c>
      <c r="H1551" s="116"/>
      <c r="I1551" s="116"/>
      <c r="L1551" s="170">
        <v>44502</v>
      </c>
      <c r="M1551" s="116">
        <v>1758.3</v>
      </c>
      <c r="N1551" s="116">
        <v>1790</v>
      </c>
      <c r="O1551" s="116">
        <v>1715</v>
      </c>
      <c r="P1551" s="116">
        <v>1758.9</v>
      </c>
      <c r="Q1551" s="116">
        <v>1758.3</v>
      </c>
      <c r="R1551">
        <v>37465</v>
      </c>
    </row>
    <row r="1552" spans="1:18" x14ac:dyDescent="0.25">
      <c r="A1552" s="170">
        <v>44503</v>
      </c>
      <c r="B1552" s="116">
        <v>1843</v>
      </c>
      <c r="C1552" s="116">
        <v>1831.7</v>
      </c>
      <c r="D1552" s="116">
        <v>1734.7</v>
      </c>
      <c r="E1552" s="116">
        <v>1755.45</v>
      </c>
      <c r="F1552" s="116">
        <v>1831.7</v>
      </c>
      <c r="G1552">
        <v>4412</v>
      </c>
      <c r="H1552" s="116"/>
      <c r="I1552" s="116"/>
      <c r="L1552" s="170">
        <v>44503</v>
      </c>
      <c r="M1552" s="116">
        <v>1843.35</v>
      </c>
      <c r="N1552" s="116">
        <v>1846.2</v>
      </c>
      <c r="O1552" s="116">
        <v>1740</v>
      </c>
      <c r="P1552" s="116">
        <v>1740</v>
      </c>
      <c r="Q1552" s="116">
        <v>1843.35</v>
      </c>
      <c r="R1552">
        <v>128939</v>
      </c>
    </row>
    <row r="1553" spans="1:18" x14ac:dyDescent="0.25">
      <c r="A1553" s="170">
        <v>44504</v>
      </c>
      <c r="B1553" s="116">
        <v>1910</v>
      </c>
      <c r="C1553" s="116">
        <v>1827</v>
      </c>
      <c r="D1553" s="116">
        <v>1806.5</v>
      </c>
      <c r="E1553" s="116">
        <v>1910</v>
      </c>
      <c r="F1553" s="116">
        <v>1827</v>
      </c>
      <c r="G1553">
        <v>1281</v>
      </c>
      <c r="H1553" s="116"/>
      <c r="I1553" s="116"/>
      <c r="L1553" s="170">
        <v>44504</v>
      </c>
      <c r="M1553" s="116">
        <v>1817.5</v>
      </c>
      <c r="N1553" s="116">
        <v>1885</v>
      </c>
      <c r="O1553" s="116">
        <v>1790.35</v>
      </c>
      <c r="P1553" s="116">
        <v>1850</v>
      </c>
      <c r="Q1553" s="116">
        <v>1817.5</v>
      </c>
      <c r="R1553">
        <v>13649</v>
      </c>
    </row>
    <row r="1554" spans="1:18" x14ac:dyDescent="0.25">
      <c r="A1554" s="170">
        <v>44508</v>
      </c>
      <c r="B1554" s="116">
        <v>1865</v>
      </c>
      <c r="C1554" s="116">
        <v>1838.05</v>
      </c>
      <c r="D1554" s="116">
        <v>1760.25</v>
      </c>
      <c r="E1554" s="116">
        <v>1829.7</v>
      </c>
      <c r="F1554" s="116">
        <v>1838.05</v>
      </c>
      <c r="G1554">
        <v>4342</v>
      </c>
      <c r="H1554" s="116"/>
      <c r="I1554" s="116"/>
      <c r="L1554" s="170">
        <v>44508</v>
      </c>
      <c r="M1554" s="116">
        <v>1844.5</v>
      </c>
      <c r="N1554" s="116">
        <v>1875</v>
      </c>
      <c r="O1554" s="116">
        <v>1801</v>
      </c>
      <c r="P1554" s="116">
        <v>1850</v>
      </c>
      <c r="Q1554" s="116">
        <v>1844.5</v>
      </c>
      <c r="R1554">
        <v>148371</v>
      </c>
    </row>
    <row r="1555" spans="1:18" x14ac:dyDescent="0.25">
      <c r="A1555" s="170">
        <v>44509</v>
      </c>
      <c r="B1555" s="116">
        <v>1870</v>
      </c>
      <c r="C1555" s="116">
        <v>1849.4</v>
      </c>
      <c r="D1555" s="116">
        <v>1803</v>
      </c>
      <c r="E1555" s="116">
        <v>1864</v>
      </c>
      <c r="F1555" s="116">
        <v>1849.4</v>
      </c>
      <c r="G1555">
        <v>2193</v>
      </c>
      <c r="H1555" s="116"/>
      <c r="I1555" s="116"/>
      <c r="L1555" s="170">
        <v>44509</v>
      </c>
      <c r="M1555" s="116">
        <v>1859.8</v>
      </c>
      <c r="N1555" s="116">
        <v>1888</v>
      </c>
      <c r="O1555" s="116">
        <v>1809</v>
      </c>
      <c r="P1555" s="116">
        <v>1816</v>
      </c>
      <c r="Q1555" s="116">
        <v>1859.8</v>
      </c>
      <c r="R1555">
        <v>65202</v>
      </c>
    </row>
    <row r="1556" spans="1:18" x14ac:dyDescent="0.25">
      <c r="A1556" s="170">
        <v>44510</v>
      </c>
      <c r="B1556" s="116">
        <v>1875</v>
      </c>
      <c r="C1556" s="116">
        <v>1866.9</v>
      </c>
      <c r="D1556" s="116">
        <v>1820</v>
      </c>
      <c r="E1556" s="116">
        <v>1840</v>
      </c>
      <c r="F1556" s="116">
        <v>1866.9</v>
      </c>
      <c r="G1556">
        <v>2614</v>
      </c>
      <c r="H1556" s="116"/>
      <c r="I1556" s="116"/>
      <c r="L1556" s="170">
        <v>44510</v>
      </c>
      <c r="M1556" s="116">
        <v>1872.85</v>
      </c>
      <c r="N1556" s="116">
        <v>1880</v>
      </c>
      <c r="O1556" s="116">
        <v>1823</v>
      </c>
      <c r="P1556" s="116">
        <v>1830.05</v>
      </c>
      <c r="Q1556" s="116">
        <v>1872.85</v>
      </c>
      <c r="R1556">
        <v>58596</v>
      </c>
    </row>
    <row r="1557" spans="1:18" x14ac:dyDescent="0.25">
      <c r="A1557" s="170">
        <v>44511</v>
      </c>
      <c r="B1557" s="116">
        <v>1941</v>
      </c>
      <c r="C1557" s="116">
        <v>1908.85</v>
      </c>
      <c r="D1557" s="116">
        <v>1840</v>
      </c>
      <c r="E1557" s="116">
        <v>1860</v>
      </c>
      <c r="F1557" s="116">
        <v>1908.85</v>
      </c>
      <c r="G1557">
        <v>6706</v>
      </c>
      <c r="H1557" s="116"/>
      <c r="I1557" s="116"/>
      <c r="L1557" s="170">
        <v>44511</v>
      </c>
      <c r="M1557" s="116">
        <v>1893.7</v>
      </c>
      <c r="N1557" s="116">
        <v>1942</v>
      </c>
      <c r="O1557" s="116">
        <v>1840.05</v>
      </c>
      <c r="P1557" s="116">
        <v>1840.05</v>
      </c>
      <c r="Q1557" s="116">
        <v>1893.7</v>
      </c>
      <c r="R1557">
        <v>109785</v>
      </c>
    </row>
    <row r="1558" spans="1:18" x14ac:dyDescent="0.25">
      <c r="A1558" s="170">
        <v>44512</v>
      </c>
      <c r="B1558" s="116">
        <v>2000</v>
      </c>
      <c r="C1558" s="116">
        <v>1996.15</v>
      </c>
      <c r="D1558" s="116">
        <v>1897</v>
      </c>
      <c r="E1558" s="116">
        <v>1909.7</v>
      </c>
      <c r="F1558" s="116">
        <v>1996.15</v>
      </c>
      <c r="G1558">
        <v>19822</v>
      </c>
      <c r="H1558" s="116"/>
      <c r="I1558" s="116"/>
      <c r="L1558" s="170">
        <v>44512</v>
      </c>
      <c r="M1558" s="116">
        <v>1988.35</v>
      </c>
      <c r="N1558" s="116">
        <v>1988.35</v>
      </c>
      <c r="O1558" s="116">
        <v>1900</v>
      </c>
      <c r="P1558" s="116">
        <v>1929.75</v>
      </c>
      <c r="Q1558" s="116">
        <v>1988.35</v>
      </c>
      <c r="R1558">
        <v>206635</v>
      </c>
    </row>
    <row r="1559" spans="1:18" x14ac:dyDescent="0.25">
      <c r="A1559" s="170">
        <v>44515</v>
      </c>
      <c r="B1559" s="116">
        <v>2025</v>
      </c>
      <c r="C1559" s="116">
        <v>1918.45</v>
      </c>
      <c r="D1559" s="116">
        <v>1896.35</v>
      </c>
      <c r="E1559" s="116">
        <v>2025</v>
      </c>
      <c r="F1559" s="116">
        <v>1918.45</v>
      </c>
      <c r="G1559">
        <v>9623</v>
      </c>
      <c r="H1559" s="116"/>
      <c r="I1559" s="116"/>
      <c r="L1559" s="170">
        <v>44515</v>
      </c>
      <c r="M1559" s="116">
        <v>1935.85</v>
      </c>
      <c r="N1559" s="116">
        <v>2007.7</v>
      </c>
      <c r="O1559" s="116">
        <v>1912</v>
      </c>
      <c r="P1559" s="116">
        <v>1999</v>
      </c>
      <c r="Q1559" s="116">
        <v>1935.85</v>
      </c>
      <c r="R1559">
        <v>62255</v>
      </c>
    </row>
    <row r="1560" spans="1:18" x14ac:dyDescent="0.25">
      <c r="A1560" s="170">
        <v>44516</v>
      </c>
      <c r="B1560" s="116">
        <v>1928</v>
      </c>
      <c r="C1560" s="116">
        <v>1877.5</v>
      </c>
      <c r="D1560" s="116">
        <v>1850.1</v>
      </c>
      <c r="E1560" s="116">
        <v>1918.45</v>
      </c>
      <c r="F1560" s="116">
        <v>1877.5</v>
      </c>
      <c r="G1560">
        <v>2221</v>
      </c>
      <c r="H1560" s="116"/>
      <c r="I1560" s="116"/>
      <c r="L1560" s="170">
        <v>44516</v>
      </c>
      <c r="M1560" s="116">
        <v>1877.9</v>
      </c>
      <c r="N1560" s="116">
        <v>1930</v>
      </c>
      <c r="O1560" s="116">
        <v>1850</v>
      </c>
      <c r="P1560" s="116">
        <v>1919</v>
      </c>
      <c r="Q1560" s="116">
        <v>1877.9</v>
      </c>
      <c r="R1560">
        <v>79160</v>
      </c>
    </row>
    <row r="1561" spans="1:18" x14ac:dyDescent="0.25">
      <c r="A1561" s="170">
        <v>44517</v>
      </c>
      <c r="B1561" s="116">
        <v>1924.7</v>
      </c>
      <c r="C1561" s="116">
        <v>1855.3</v>
      </c>
      <c r="D1561" s="116">
        <v>1839</v>
      </c>
      <c r="E1561" s="116">
        <v>1885</v>
      </c>
      <c r="F1561" s="116">
        <v>1855.3</v>
      </c>
      <c r="G1561">
        <v>1953</v>
      </c>
      <c r="H1561" s="116"/>
      <c r="I1561" s="116"/>
      <c r="L1561" s="170">
        <v>44517</v>
      </c>
      <c r="M1561" s="116">
        <v>1857.5</v>
      </c>
      <c r="N1561" s="116">
        <v>1924.7</v>
      </c>
      <c r="O1561" s="116">
        <v>1830</v>
      </c>
      <c r="P1561" s="116">
        <v>1898</v>
      </c>
      <c r="Q1561" s="116">
        <v>1857.5</v>
      </c>
      <c r="R1561">
        <v>81541</v>
      </c>
    </row>
    <row r="1562" spans="1:18" x14ac:dyDescent="0.25">
      <c r="A1562" s="170">
        <v>44518</v>
      </c>
      <c r="B1562" s="116">
        <v>1935</v>
      </c>
      <c r="C1562" s="116">
        <v>1887.35</v>
      </c>
      <c r="D1562" s="116">
        <v>1800</v>
      </c>
      <c r="E1562" s="116">
        <v>1870</v>
      </c>
      <c r="F1562" s="116">
        <v>1887.35</v>
      </c>
      <c r="G1562">
        <v>3051</v>
      </c>
      <c r="H1562" s="116"/>
      <c r="I1562" s="116"/>
      <c r="L1562" s="170">
        <v>44518</v>
      </c>
      <c r="M1562" s="116">
        <v>1913.3</v>
      </c>
      <c r="N1562" s="116">
        <v>1929.5</v>
      </c>
      <c r="O1562" s="116">
        <v>1789.9</v>
      </c>
      <c r="P1562" s="116">
        <v>1880</v>
      </c>
      <c r="Q1562" s="116">
        <v>1913.3</v>
      </c>
      <c r="R1562">
        <v>79598</v>
      </c>
    </row>
    <row r="1563" spans="1:18" x14ac:dyDescent="0.25">
      <c r="A1563" s="170">
        <v>44522</v>
      </c>
      <c r="B1563" s="116">
        <v>1928.95</v>
      </c>
      <c r="C1563" s="116">
        <v>1895.45</v>
      </c>
      <c r="D1563" s="116">
        <v>1850</v>
      </c>
      <c r="E1563" s="116">
        <v>1920</v>
      </c>
      <c r="F1563" s="116">
        <v>1895.45</v>
      </c>
      <c r="G1563">
        <v>1920</v>
      </c>
      <c r="H1563" s="116"/>
      <c r="I1563" s="116"/>
      <c r="L1563" s="170">
        <v>44522</v>
      </c>
      <c r="M1563" s="116">
        <v>1913.45</v>
      </c>
      <c r="N1563" s="116">
        <v>1935.05</v>
      </c>
      <c r="O1563" s="116">
        <v>1817.65</v>
      </c>
      <c r="P1563" s="116">
        <v>1930</v>
      </c>
      <c r="Q1563" s="116">
        <v>1913.45</v>
      </c>
      <c r="R1563">
        <v>79041</v>
      </c>
    </row>
    <row r="1564" spans="1:18" x14ac:dyDescent="0.25">
      <c r="A1564" s="170">
        <v>44523</v>
      </c>
      <c r="B1564" s="116">
        <v>1968.8</v>
      </c>
      <c r="C1564" s="116">
        <v>1940.95</v>
      </c>
      <c r="D1564" s="116">
        <v>1851</v>
      </c>
      <c r="E1564" s="116">
        <v>1862.1</v>
      </c>
      <c r="F1564" s="116">
        <v>1940.95</v>
      </c>
      <c r="G1564">
        <v>3418</v>
      </c>
      <c r="H1564" s="116"/>
      <c r="I1564" s="116"/>
      <c r="L1564" s="170">
        <v>44523</v>
      </c>
      <c r="M1564" s="116">
        <v>1954.55</v>
      </c>
      <c r="N1564" s="116">
        <v>1965</v>
      </c>
      <c r="O1564" s="116">
        <v>1855</v>
      </c>
      <c r="P1564" s="116">
        <v>1883</v>
      </c>
      <c r="Q1564" s="116">
        <v>1954.55</v>
      </c>
      <c r="R1564">
        <v>73085</v>
      </c>
    </row>
    <row r="1565" spans="1:18" x14ac:dyDescent="0.25">
      <c r="A1565" s="170">
        <v>44524</v>
      </c>
      <c r="B1565" s="116">
        <v>1983.95</v>
      </c>
      <c r="C1565" s="116">
        <v>1924.45</v>
      </c>
      <c r="D1565" s="116">
        <v>1882</v>
      </c>
      <c r="E1565" s="116">
        <v>1890</v>
      </c>
      <c r="F1565" s="116">
        <v>1924.45</v>
      </c>
      <c r="G1565">
        <v>2725</v>
      </c>
      <c r="H1565" s="116"/>
      <c r="I1565" s="116"/>
      <c r="L1565" s="170">
        <v>44524</v>
      </c>
      <c r="M1565" s="116">
        <v>1937</v>
      </c>
      <c r="N1565" s="116">
        <v>1985</v>
      </c>
      <c r="O1565" s="116">
        <v>1904</v>
      </c>
      <c r="P1565" s="116">
        <v>1916.05</v>
      </c>
      <c r="Q1565" s="116">
        <v>1937</v>
      </c>
      <c r="R1565">
        <v>79162</v>
      </c>
    </row>
    <row r="1566" spans="1:18" x14ac:dyDescent="0.25">
      <c r="A1566" s="170">
        <v>44525</v>
      </c>
      <c r="B1566" s="116">
        <v>2020.65</v>
      </c>
      <c r="C1566" s="116">
        <v>2020.45</v>
      </c>
      <c r="D1566" s="116">
        <v>1899</v>
      </c>
      <c r="E1566" s="116">
        <v>1906</v>
      </c>
      <c r="F1566" s="116">
        <v>2020.45</v>
      </c>
      <c r="G1566">
        <v>6451</v>
      </c>
      <c r="H1566" s="116"/>
      <c r="I1566" s="116"/>
      <c r="L1566" s="170">
        <v>44525</v>
      </c>
      <c r="M1566" s="116">
        <v>2029.6</v>
      </c>
      <c r="N1566" s="116">
        <v>2033.85</v>
      </c>
      <c r="O1566" s="116">
        <v>1910.35</v>
      </c>
      <c r="P1566" s="116">
        <v>1949</v>
      </c>
      <c r="Q1566" s="116">
        <v>2029.6</v>
      </c>
      <c r="R1566">
        <v>139622</v>
      </c>
    </row>
    <row r="1567" spans="1:18" x14ac:dyDescent="0.25">
      <c r="A1567" s="170">
        <v>44526</v>
      </c>
      <c r="B1567" s="116">
        <v>2030</v>
      </c>
      <c r="C1567" s="116">
        <v>2003</v>
      </c>
      <c r="D1567" s="116">
        <v>1930</v>
      </c>
      <c r="E1567" s="116">
        <v>1951</v>
      </c>
      <c r="F1567" s="116">
        <v>2003</v>
      </c>
      <c r="G1567">
        <v>3455</v>
      </c>
      <c r="H1567" s="116"/>
      <c r="I1567" s="116"/>
      <c r="L1567" s="170">
        <v>44526</v>
      </c>
      <c r="M1567" s="116">
        <v>1993.85</v>
      </c>
      <c r="N1567" s="116">
        <v>2045</v>
      </c>
      <c r="O1567" s="116">
        <v>1940.5</v>
      </c>
      <c r="P1567" s="116">
        <v>1945</v>
      </c>
      <c r="Q1567" s="116">
        <v>1993.85</v>
      </c>
      <c r="R1567">
        <v>125504</v>
      </c>
    </row>
    <row r="1568" spans="1:18" x14ac:dyDescent="0.25">
      <c r="A1568" s="170">
        <v>44529</v>
      </c>
      <c r="B1568" s="116">
        <v>1951.2</v>
      </c>
      <c r="C1568" s="116">
        <v>1902.85</v>
      </c>
      <c r="D1568" s="116">
        <v>1902.85</v>
      </c>
      <c r="E1568" s="116">
        <v>1951.2</v>
      </c>
      <c r="F1568" s="116">
        <v>1902.85</v>
      </c>
      <c r="G1568">
        <v>5357</v>
      </c>
      <c r="H1568" s="116"/>
      <c r="I1568" s="116"/>
      <c r="L1568" s="170">
        <v>44529</v>
      </c>
      <c r="M1568" s="116">
        <v>1894.2</v>
      </c>
      <c r="N1568" s="116">
        <v>1950</v>
      </c>
      <c r="O1568" s="116">
        <v>1894.2</v>
      </c>
      <c r="P1568" s="116">
        <v>1924.6</v>
      </c>
      <c r="Q1568" s="116">
        <v>1894.2</v>
      </c>
      <c r="R1568">
        <v>110799</v>
      </c>
    </row>
    <row r="1569" spans="1:18" x14ac:dyDescent="0.25">
      <c r="A1569" s="170">
        <v>44530</v>
      </c>
      <c r="B1569" s="116">
        <v>1850</v>
      </c>
      <c r="C1569" s="116">
        <v>1807.75</v>
      </c>
      <c r="D1569" s="116">
        <v>1807.75</v>
      </c>
      <c r="E1569" s="116">
        <v>1810</v>
      </c>
      <c r="F1569" s="116">
        <v>1807.75</v>
      </c>
      <c r="G1569">
        <v>7117</v>
      </c>
      <c r="H1569" s="116"/>
      <c r="I1569" s="116"/>
      <c r="L1569" s="170">
        <v>44530</v>
      </c>
      <c r="M1569" s="116">
        <v>1799.5</v>
      </c>
      <c r="N1569" s="116">
        <v>1865.5</v>
      </c>
      <c r="O1569" s="116">
        <v>1799.5</v>
      </c>
      <c r="P1569" s="116">
        <v>1802</v>
      </c>
      <c r="Q1569" s="116">
        <v>1799.5</v>
      </c>
      <c r="R1569">
        <v>966317</v>
      </c>
    </row>
    <row r="1570" spans="1:18" x14ac:dyDescent="0.25">
      <c r="A1570" s="170">
        <v>44531</v>
      </c>
      <c r="B1570" s="116">
        <v>1888</v>
      </c>
      <c r="C1570" s="116">
        <v>1803.95</v>
      </c>
      <c r="D1570" s="116">
        <v>1717.4</v>
      </c>
      <c r="E1570" s="116">
        <v>1717.4</v>
      </c>
      <c r="F1570" s="116">
        <v>1803.95</v>
      </c>
      <c r="G1570">
        <v>7734</v>
      </c>
      <c r="H1570" s="116"/>
      <c r="I1570" s="116"/>
      <c r="L1570" s="170">
        <v>44531</v>
      </c>
      <c r="M1570" s="116">
        <v>1797.15</v>
      </c>
      <c r="N1570" s="116">
        <v>1875.25</v>
      </c>
      <c r="O1570" s="116">
        <v>1709.55</v>
      </c>
      <c r="P1570" s="116">
        <v>1709.55</v>
      </c>
      <c r="Q1570" s="116">
        <v>1797.15</v>
      </c>
      <c r="R1570">
        <v>233863</v>
      </c>
    </row>
    <row r="1571" spans="1:18" x14ac:dyDescent="0.25">
      <c r="A1571" s="170">
        <v>44532</v>
      </c>
      <c r="B1571" s="116">
        <v>1890</v>
      </c>
      <c r="C1571" s="116">
        <v>1885.1</v>
      </c>
      <c r="D1571" s="116">
        <v>1765</v>
      </c>
      <c r="E1571" s="116">
        <v>1795</v>
      </c>
      <c r="F1571" s="116">
        <v>1885.1</v>
      </c>
      <c r="G1571">
        <v>5741</v>
      </c>
      <c r="H1571" s="116"/>
      <c r="I1571" s="116"/>
      <c r="L1571" s="170">
        <v>44532</v>
      </c>
      <c r="M1571" s="116">
        <v>1885.2</v>
      </c>
      <c r="N1571" s="116">
        <v>1887</v>
      </c>
      <c r="O1571" s="116">
        <v>1760</v>
      </c>
      <c r="P1571" s="116">
        <v>1795.1</v>
      </c>
      <c r="Q1571" s="116">
        <v>1885.2</v>
      </c>
      <c r="R1571">
        <v>162346</v>
      </c>
    </row>
    <row r="1572" spans="1:18" x14ac:dyDescent="0.25">
      <c r="A1572" s="170">
        <v>44533</v>
      </c>
      <c r="B1572" s="116">
        <v>1928.2</v>
      </c>
      <c r="C1572" s="116">
        <v>1862.05</v>
      </c>
      <c r="D1572" s="116">
        <v>1835</v>
      </c>
      <c r="E1572" s="116">
        <v>1835</v>
      </c>
      <c r="F1572" s="116">
        <v>1862.05</v>
      </c>
      <c r="G1572">
        <v>2515</v>
      </c>
      <c r="H1572" s="116"/>
      <c r="I1572" s="116"/>
      <c r="L1572" s="170">
        <v>44533</v>
      </c>
      <c r="M1572" s="116">
        <v>1868.3</v>
      </c>
      <c r="N1572" s="116">
        <v>1900.45</v>
      </c>
      <c r="O1572" s="116">
        <v>1840</v>
      </c>
      <c r="P1572" s="116">
        <v>1875.4</v>
      </c>
      <c r="Q1572" s="116">
        <v>1868.3</v>
      </c>
      <c r="R1572">
        <v>457542</v>
      </c>
    </row>
    <row r="1573" spans="1:18" x14ac:dyDescent="0.25">
      <c r="A1573" s="170">
        <v>44536</v>
      </c>
      <c r="B1573" s="116">
        <v>1900</v>
      </c>
      <c r="C1573" s="116">
        <v>1866.9</v>
      </c>
      <c r="D1573" s="116">
        <v>1801</v>
      </c>
      <c r="E1573" s="116">
        <v>1837</v>
      </c>
      <c r="F1573" s="116">
        <v>1866.9</v>
      </c>
      <c r="G1573">
        <v>4020</v>
      </c>
      <c r="H1573" s="116"/>
      <c r="I1573" s="116"/>
      <c r="L1573" s="170">
        <v>44536</v>
      </c>
      <c r="M1573" s="116">
        <v>1874.15</v>
      </c>
      <c r="N1573" s="116">
        <v>1900</v>
      </c>
      <c r="O1573" s="116">
        <v>1840.1</v>
      </c>
      <c r="P1573" s="116">
        <v>1868.9</v>
      </c>
      <c r="Q1573" s="116">
        <v>1874.15</v>
      </c>
      <c r="R1573">
        <v>104084</v>
      </c>
    </row>
    <row r="1574" spans="1:18" x14ac:dyDescent="0.25">
      <c r="A1574" s="170">
        <v>44537</v>
      </c>
      <c r="B1574" s="116">
        <v>1917.9</v>
      </c>
      <c r="C1574" s="116">
        <v>1898.25</v>
      </c>
      <c r="D1574" s="116">
        <v>1867.55</v>
      </c>
      <c r="E1574" s="116">
        <v>1899</v>
      </c>
      <c r="F1574" s="116">
        <v>1898.25</v>
      </c>
      <c r="G1574">
        <v>38054</v>
      </c>
      <c r="H1574" s="116"/>
      <c r="I1574" s="116"/>
      <c r="L1574" s="170">
        <v>44537</v>
      </c>
      <c r="M1574" s="116">
        <v>1892.45</v>
      </c>
      <c r="N1574" s="116">
        <v>1915</v>
      </c>
      <c r="O1574" s="116">
        <v>1850.35</v>
      </c>
      <c r="P1574" s="116">
        <v>1875</v>
      </c>
      <c r="Q1574" s="116">
        <v>1892.45</v>
      </c>
      <c r="R1574">
        <v>519320</v>
      </c>
    </row>
    <row r="1575" spans="1:18" x14ac:dyDescent="0.25">
      <c r="A1575" s="170">
        <v>44538</v>
      </c>
      <c r="B1575" s="116">
        <v>1923.85</v>
      </c>
      <c r="C1575" s="116">
        <v>1854.15</v>
      </c>
      <c r="D1575" s="116">
        <v>1804.95</v>
      </c>
      <c r="E1575" s="116">
        <v>1880</v>
      </c>
      <c r="F1575" s="116">
        <v>1854.15</v>
      </c>
      <c r="G1575">
        <v>4613</v>
      </c>
      <c r="H1575" s="116"/>
      <c r="I1575" s="116"/>
      <c r="L1575" s="170">
        <v>44538</v>
      </c>
      <c r="M1575" s="116">
        <v>1882.7</v>
      </c>
      <c r="N1575" s="116">
        <v>1913.9</v>
      </c>
      <c r="O1575" s="116">
        <v>1853</v>
      </c>
      <c r="P1575" s="116">
        <v>1855</v>
      </c>
      <c r="Q1575" s="116">
        <v>1882.7</v>
      </c>
      <c r="R1575">
        <v>479596</v>
      </c>
    </row>
    <row r="1576" spans="1:18" x14ac:dyDescent="0.25">
      <c r="A1576" s="170">
        <v>44539</v>
      </c>
      <c r="B1576" s="116">
        <v>1904</v>
      </c>
      <c r="C1576" s="116">
        <v>1887</v>
      </c>
      <c r="D1576" s="116">
        <v>1856</v>
      </c>
      <c r="E1576" s="116">
        <v>1870</v>
      </c>
      <c r="F1576" s="116">
        <v>1887</v>
      </c>
      <c r="G1576">
        <v>1391</v>
      </c>
      <c r="H1576" s="116"/>
      <c r="I1576" s="116"/>
      <c r="L1576" s="170">
        <v>44539</v>
      </c>
      <c r="M1576" s="116">
        <v>1880.55</v>
      </c>
      <c r="N1576" s="116">
        <v>1900</v>
      </c>
      <c r="O1576" s="116">
        <v>1856.3</v>
      </c>
      <c r="P1576" s="116">
        <v>1857.1</v>
      </c>
      <c r="Q1576" s="116">
        <v>1880.55</v>
      </c>
      <c r="R1576">
        <v>56535</v>
      </c>
    </row>
    <row r="1577" spans="1:18" x14ac:dyDescent="0.25">
      <c r="A1577" s="170">
        <v>44540</v>
      </c>
      <c r="B1577" s="116">
        <v>1897</v>
      </c>
      <c r="C1577" s="116">
        <v>1869.5</v>
      </c>
      <c r="D1577" s="116">
        <v>1860</v>
      </c>
      <c r="E1577" s="116">
        <v>1881.9</v>
      </c>
      <c r="F1577" s="116">
        <v>1869.5</v>
      </c>
      <c r="G1577">
        <v>3169</v>
      </c>
      <c r="H1577" s="116"/>
      <c r="I1577" s="116"/>
      <c r="L1577" s="170">
        <v>44540</v>
      </c>
      <c r="M1577" s="116">
        <v>1874.2</v>
      </c>
      <c r="N1577" s="116">
        <v>1900</v>
      </c>
      <c r="O1577" s="116">
        <v>1860</v>
      </c>
      <c r="P1577" s="116">
        <v>1860</v>
      </c>
      <c r="Q1577" s="116">
        <v>1874.2</v>
      </c>
      <c r="R1577">
        <v>393987</v>
      </c>
    </row>
    <row r="1578" spans="1:18" x14ac:dyDescent="0.25">
      <c r="A1578" s="170">
        <v>44543</v>
      </c>
      <c r="B1578" s="116">
        <v>1890.5</v>
      </c>
      <c r="C1578" s="116">
        <v>1835.55</v>
      </c>
      <c r="D1578" s="116">
        <v>1795</v>
      </c>
      <c r="E1578" s="116">
        <v>1870</v>
      </c>
      <c r="F1578" s="116">
        <v>1835.55</v>
      </c>
      <c r="G1578">
        <v>3072</v>
      </c>
      <c r="H1578" s="116"/>
      <c r="I1578" s="116"/>
      <c r="L1578" s="170">
        <v>44543</v>
      </c>
      <c r="M1578" s="116">
        <v>1812.6</v>
      </c>
      <c r="N1578" s="116">
        <v>1887</v>
      </c>
      <c r="O1578" s="116">
        <v>1781</v>
      </c>
      <c r="P1578" s="116">
        <v>1855</v>
      </c>
      <c r="Q1578" s="116">
        <v>1812.6</v>
      </c>
      <c r="R1578">
        <v>402452</v>
      </c>
    </row>
    <row r="1579" spans="1:18" x14ac:dyDescent="0.25">
      <c r="A1579" s="170">
        <v>44544</v>
      </c>
      <c r="B1579" s="116">
        <v>1883.95</v>
      </c>
      <c r="C1579" s="116">
        <v>1869.85</v>
      </c>
      <c r="D1579" s="116">
        <v>1805</v>
      </c>
      <c r="E1579" s="116">
        <v>1824</v>
      </c>
      <c r="F1579" s="116">
        <v>1869.85</v>
      </c>
      <c r="G1579">
        <v>4579</v>
      </c>
      <c r="H1579" s="116"/>
      <c r="I1579" s="116"/>
      <c r="L1579" s="170">
        <v>44544</v>
      </c>
      <c r="M1579" s="116">
        <v>1872.7</v>
      </c>
      <c r="N1579" s="116">
        <v>1885</v>
      </c>
      <c r="O1579" s="116">
        <v>1820</v>
      </c>
      <c r="P1579" s="116">
        <v>1848.8</v>
      </c>
      <c r="Q1579" s="116">
        <v>1872.7</v>
      </c>
      <c r="R1579">
        <v>410771</v>
      </c>
    </row>
    <row r="1580" spans="1:18" x14ac:dyDescent="0.25">
      <c r="A1580" s="170">
        <v>44545</v>
      </c>
      <c r="B1580" s="116">
        <v>1898.95</v>
      </c>
      <c r="C1580" s="116">
        <v>1875.85</v>
      </c>
      <c r="D1580" s="116">
        <v>1852</v>
      </c>
      <c r="E1580" s="116">
        <v>1869.85</v>
      </c>
      <c r="F1580" s="116">
        <v>1875.85</v>
      </c>
      <c r="G1580">
        <v>1218</v>
      </c>
      <c r="H1580" s="116"/>
      <c r="I1580" s="116"/>
      <c r="L1580" s="170">
        <v>44545</v>
      </c>
      <c r="M1580" s="116">
        <v>1859.85</v>
      </c>
      <c r="N1580" s="116">
        <v>1895</v>
      </c>
      <c r="O1580" s="116">
        <v>1842</v>
      </c>
      <c r="P1580" s="116">
        <v>1872.7</v>
      </c>
      <c r="Q1580" s="116">
        <v>1859.85</v>
      </c>
      <c r="R1580">
        <v>331803</v>
      </c>
    </row>
    <row r="1581" spans="1:18" x14ac:dyDescent="0.25">
      <c r="A1581" s="170">
        <v>44546</v>
      </c>
      <c r="B1581" s="116">
        <v>1890</v>
      </c>
      <c r="C1581" s="116">
        <v>1833.8</v>
      </c>
      <c r="D1581" s="116">
        <v>1820</v>
      </c>
      <c r="E1581" s="116">
        <v>1890</v>
      </c>
      <c r="F1581" s="116">
        <v>1833.8</v>
      </c>
      <c r="G1581">
        <v>5078</v>
      </c>
      <c r="H1581" s="116"/>
      <c r="I1581" s="116"/>
      <c r="L1581" s="170">
        <v>44546</v>
      </c>
      <c r="M1581" s="116">
        <v>1839.85</v>
      </c>
      <c r="N1581" s="116">
        <v>1888.8</v>
      </c>
      <c r="O1581" s="116">
        <v>1820</v>
      </c>
      <c r="P1581" s="116">
        <v>1872</v>
      </c>
      <c r="Q1581" s="116">
        <v>1839.85</v>
      </c>
      <c r="R1581">
        <v>376249</v>
      </c>
    </row>
    <row r="1582" spans="1:18" x14ac:dyDescent="0.25">
      <c r="A1582" s="170">
        <v>44547</v>
      </c>
      <c r="B1582" s="116">
        <v>1870</v>
      </c>
      <c r="C1582" s="116">
        <v>1807.8</v>
      </c>
      <c r="D1582" s="116">
        <v>1766.7</v>
      </c>
      <c r="E1582" s="116">
        <v>1809</v>
      </c>
      <c r="F1582" s="116">
        <v>1807.8</v>
      </c>
      <c r="G1582">
        <v>5872</v>
      </c>
      <c r="H1582" s="116"/>
      <c r="I1582" s="116"/>
      <c r="L1582" s="170">
        <v>44547</v>
      </c>
      <c r="M1582" s="116">
        <v>1777.2</v>
      </c>
      <c r="N1582" s="116">
        <v>1872.1</v>
      </c>
      <c r="O1582" s="116">
        <v>1750</v>
      </c>
      <c r="P1582" s="116">
        <v>1803.05</v>
      </c>
      <c r="Q1582" s="116">
        <v>1777.2</v>
      </c>
      <c r="R1582">
        <v>539171</v>
      </c>
    </row>
    <row r="1583" spans="1:18" x14ac:dyDescent="0.25">
      <c r="A1583" s="170">
        <v>44550</v>
      </c>
      <c r="B1583" s="116">
        <v>1718</v>
      </c>
      <c r="C1583" s="116">
        <v>1717.45</v>
      </c>
      <c r="D1583" s="116">
        <v>1717.45</v>
      </c>
      <c r="E1583" s="116">
        <v>1718</v>
      </c>
      <c r="F1583" s="116">
        <v>1717.45</v>
      </c>
      <c r="G1583">
        <v>3948</v>
      </c>
      <c r="H1583" s="116"/>
      <c r="I1583" s="116"/>
      <c r="L1583" s="170">
        <v>44550</v>
      </c>
      <c r="M1583" s="116">
        <v>1695.2</v>
      </c>
      <c r="N1583" s="116">
        <v>1731.65</v>
      </c>
      <c r="O1583" s="116">
        <v>1688.35</v>
      </c>
      <c r="P1583" s="116">
        <v>1688.35</v>
      </c>
      <c r="Q1583" s="116">
        <v>1695.2</v>
      </c>
      <c r="R1583">
        <v>283959</v>
      </c>
    </row>
    <row r="1584" spans="1:18" x14ac:dyDescent="0.25">
      <c r="A1584" s="170">
        <v>44551</v>
      </c>
      <c r="B1584" s="116">
        <v>1803.3</v>
      </c>
      <c r="C1584" s="116">
        <v>1761.3</v>
      </c>
      <c r="D1584" s="116">
        <v>1660</v>
      </c>
      <c r="E1584" s="116">
        <v>1660</v>
      </c>
      <c r="F1584" s="116">
        <v>1761.3</v>
      </c>
      <c r="G1584">
        <v>4803</v>
      </c>
      <c r="H1584" s="116"/>
      <c r="I1584" s="116"/>
      <c r="L1584" s="170">
        <v>44551</v>
      </c>
      <c r="M1584" s="116">
        <v>1769.6</v>
      </c>
      <c r="N1584" s="116">
        <v>1779.95</v>
      </c>
      <c r="O1584" s="116">
        <v>1696</v>
      </c>
      <c r="P1584" s="116">
        <v>1696</v>
      </c>
      <c r="Q1584" s="116">
        <v>1769.6</v>
      </c>
      <c r="R1584">
        <v>33073</v>
      </c>
    </row>
    <row r="1585" spans="1:18" x14ac:dyDescent="0.25">
      <c r="A1585" s="170">
        <v>44552</v>
      </c>
      <c r="B1585" s="116">
        <v>1829</v>
      </c>
      <c r="C1585" s="116">
        <v>1801.6</v>
      </c>
      <c r="D1585" s="116">
        <v>1745.05</v>
      </c>
      <c r="E1585" s="116">
        <v>1782</v>
      </c>
      <c r="F1585" s="116">
        <v>1801.6</v>
      </c>
      <c r="G1585">
        <v>1631</v>
      </c>
      <c r="H1585" s="116"/>
      <c r="I1585" s="116"/>
      <c r="L1585" s="170">
        <v>44552</v>
      </c>
      <c r="M1585" s="116">
        <v>1807.35</v>
      </c>
      <c r="N1585" s="116">
        <v>1839</v>
      </c>
      <c r="O1585" s="116">
        <v>1750.2</v>
      </c>
      <c r="P1585" s="116">
        <v>1825</v>
      </c>
      <c r="Q1585" s="116">
        <v>1807.35</v>
      </c>
      <c r="R1585">
        <v>361249</v>
      </c>
    </row>
    <row r="1586" spans="1:18" x14ac:dyDescent="0.25">
      <c r="A1586" s="170">
        <v>44553</v>
      </c>
      <c r="B1586" s="116">
        <v>1849</v>
      </c>
      <c r="C1586" s="116">
        <v>1817.55</v>
      </c>
      <c r="D1586" s="116">
        <v>1795</v>
      </c>
      <c r="E1586" s="116">
        <v>1849</v>
      </c>
      <c r="F1586" s="116">
        <v>1817.55</v>
      </c>
      <c r="G1586">
        <v>1951</v>
      </c>
      <c r="H1586" s="116"/>
      <c r="I1586" s="116"/>
      <c r="L1586" s="170">
        <v>44553</v>
      </c>
      <c r="M1586" s="116">
        <v>1822.45</v>
      </c>
      <c r="N1586" s="116">
        <v>1835</v>
      </c>
      <c r="O1586" s="116">
        <v>1790</v>
      </c>
      <c r="P1586" s="116">
        <v>1790</v>
      </c>
      <c r="Q1586" s="116">
        <v>1822.45</v>
      </c>
      <c r="R1586">
        <v>256791</v>
      </c>
    </row>
    <row r="1587" spans="1:18" x14ac:dyDescent="0.25">
      <c r="A1587" s="170">
        <v>44554</v>
      </c>
      <c r="B1587" s="116">
        <v>1826</v>
      </c>
      <c r="C1587" s="116">
        <v>1769.65</v>
      </c>
      <c r="D1587" s="116">
        <v>1765</v>
      </c>
      <c r="E1587" s="116">
        <v>1826</v>
      </c>
      <c r="F1587" s="116">
        <v>1769.65</v>
      </c>
      <c r="G1587">
        <v>2005</v>
      </c>
      <c r="H1587" s="116"/>
      <c r="I1587" s="116"/>
      <c r="L1587" s="170">
        <v>44554</v>
      </c>
      <c r="M1587" s="116">
        <v>1768.4</v>
      </c>
      <c r="N1587" s="116">
        <v>1829.9</v>
      </c>
      <c r="O1587" s="116">
        <v>1760.5</v>
      </c>
      <c r="P1587" s="116">
        <v>1792</v>
      </c>
      <c r="Q1587" s="116">
        <v>1768.4</v>
      </c>
      <c r="R1587">
        <v>317175</v>
      </c>
    </row>
    <row r="1588" spans="1:18" x14ac:dyDescent="0.25">
      <c r="A1588" s="170">
        <v>44557</v>
      </c>
      <c r="B1588" s="116">
        <v>1840</v>
      </c>
      <c r="C1588" s="116">
        <v>1754.3</v>
      </c>
      <c r="D1588" s="116">
        <v>1750</v>
      </c>
      <c r="E1588" s="116">
        <v>1799.9</v>
      </c>
      <c r="F1588" s="116">
        <v>1754.3</v>
      </c>
      <c r="G1588">
        <v>5078</v>
      </c>
      <c r="H1588" s="116"/>
      <c r="I1588" s="116"/>
      <c r="L1588" s="170">
        <v>44557</v>
      </c>
      <c r="M1588" s="116">
        <v>1746.55</v>
      </c>
      <c r="N1588" s="116">
        <v>1830</v>
      </c>
      <c r="O1588" s="116">
        <v>1733</v>
      </c>
      <c r="P1588" s="116">
        <v>1827.95</v>
      </c>
      <c r="Q1588" s="116">
        <v>1746.55</v>
      </c>
      <c r="R1588">
        <v>278349</v>
      </c>
    </row>
    <row r="1589" spans="1:18" x14ac:dyDescent="0.25">
      <c r="A1589" s="170">
        <v>44558</v>
      </c>
      <c r="B1589" s="116">
        <v>1797.85</v>
      </c>
      <c r="C1589" s="116">
        <v>1736.9</v>
      </c>
      <c r="D1589" s="116">
        <v>1720</v>
      </c>
      <c r="E1589" s="116">
        <v>1797.85</v>
      </c>
      <c r="F1589" s="116">
        <v>1736.9</v>
      </c>
      <c r="G1589">
        <v>5111</v>
      </c>
      <c r="H1589" s="116"/>
      <c r="I1589" s="116"/>
      <c r="L1589" s="170">
        <v>44558</v>
      </c>
      <c r="M1589" s="116">
        <v>1736.7</v>
      </c>
      <c r="N1589" s="116">
        <v>1790.05</v>
      </c>
      <c r="O1589" s="116">
        <v>1720</v>
      </c>
      <c r="P1589" s="116">
        <v>1785</v>
      </c>
      <c r="Q1589" s="116">
        <v>1736.7</v>
      </c>
      <c r="R1589">
        <v>71843</v>
      </c>
    </row>
    <row r="1590" spans="1:18" x14ac:dyDescent="0.25">
      <c r="A1590" s="170">
        <v>44559</v>
      </c>
      <c r="B1590" s="116">
        <v>1750</v>
      </c>
      <c r="C1590" s="116">
        <v>1725.45</v>
      </c>
      <c r="D1590" s="116">
        <v>1702</v>
      </c>
      <c r="E1590" s="116">
        <v>1739.95</v>
      </c>
      <c r="F1590" s="116">
        <v>1725.45</v>
      </c>
      <c r="G1590">
        <v>2933</v>
      </c>
      <c r="H1590" s="116"/>
      <c r="I1590" s="116"/>
      <c r="L1590" s="170">
        <v>44559</v>
      </c>
      <c r="M1590" s="116">
        <v>1727.8</v>
      </c>
      <c r="N1590" s="116">
        <v>1730</v>
      </c>
      <c r="O1590" s="116">
        <v>1700</v>
      </c>
      <c r="P1590" s="116">
        <v>1730</v>
      </c>
      <c r="Q1590" s="116">
        <v>1727.8</v>
      </c>
      <c r="R1590">
        <v>27706</v>
      </c>
    </row>
    <row r="1591" spans="1:18" x14ac:dyDescent="0.25">
      <c r="A1591" s="170">
        <v>44560</v>
      </c>
      <c r="B1591" s="116">
        <v>1787</v>
      </c>
      <c r="C1591" s="116">
        <v>1682.5</v>
      </c>
      <c r="D1591" s="116">
        <v>1670.1</v>
      </c>
      <c r="E1591" s="116">
        <v>1703.5</v>
      </c>
      <c r="F1591" s="116">
        <v>1682.5</v>
      </c>
      <c r="G1591">
        <v>6813</v>
      </c>
      <c r="H1591" s="116"/>
      <c r="I1591" s="116"/>
      <c r="L1591" s="170">
        <v>44560</v>
      </c>
      <c r="M1591" s="116">
        <v>1683.4</v>
      </c>
      <c r="N1591" s="116">
        <v>1720</v>
      </c>
      <c r="O1591" s="116">
        <v>1650.25</v>
      </c>
      <c r="P1591" s="116">
        <v>1720</v>
      </c>
      <c r="Q1591" s="116">
        <v>1683.4</v>
      </c>
      <c r="R1591">
        <v>72276</v>
      </c>
    </row>
    <row r="1592" spans="1:18" x14ac:dyDescent="0.25">
      <c r="A1592" s="170">
        <v>44561</v>
      </c>
      <c r="B1592" s="116">
        <v>1750</v>
      </c>
      <c r="C1592" s="116">
        <v>1732.85</v>
      </c>
      <c r="D1592" s="116">
        <v>1652</v>
      </c>
      <c r="E1592" s="116">
        <v>1711.9</v>
      </c>
      <c r="F1592" s="116">
        <v>1732.85</v>
      </c>
      <c r="G1592">
        <v>2381</v>
      </c>
      <c r="H1592" s="116"/>
      <c r="I1592" s="116"/>
      <c r="L1592" s="170">
        <v>44561</v>
      </c>
      <c r="M1592" s="116">
        <v>1740.85</v>
      </c>
      <c r="N1592" s="116">
        <v>1750</v>
      </c>
      <c r="O1592" s="116">
        <v>1685</v>
      </c>
      <c r="P1592" s="116">
        <v>1685</v>
      </c>
      <c r="Q1592" s="116">
        <v>1740.85</v>
      </c>
      <c r="R1592">
        <v>55058</v>
      </c>
    </row>
    <row r="1593" spans="1:18" x14ac:dyDescent="0.25">
      <c r="A1593" s="170">
        <v>44564</v>
      </c>
      <c r="B1593" s="116">
        <v>1750</v>
      </c>
      <c r="C1593" s="116">
        <v>1724.85</v>
      </c>
      <c r="D1593" s="116">
        <v>1713</v>
      </c>
      <c r="E1593" s="116">
        <v>1746</v>
      </c>
      <c r="F1593" s="116">
        <v>1724.85</v>
      </c>
      <c r="G1593">
        <v>1949</v>
      </c>
      <c r="H1593" s="116"/>
      <c r="I1593" s="116"/>
      <c r="L1593" s="170">
        <v>44564</v>
      </c>
      <c r="M1593" s="116">
        <v>1731.1</v>
      </c>
      <c r="N1593" s="116">
        <v>1755</v>
      </c>
      <c r="O1593" s="116">
        <v>1710</v>
      </c>
      <c r="P1593" s="116">
        <v>1735</v>
      </c>
      <c r="Q1593" s="116">
        <v>1731.1</v>
      </c>
      <c r="R1593">
        <v>32602</v>
      </c>
    </row>
    <row r="1594" spans="1:18" x14ac:dyDescent="0.25">
      <c r="A1594" s="170">
        <v>44565</v>
      </c>
      <c r="B1594" s="116">
        <v>1810.3</v>
      </c>
      <c r="C1594" s="116">
        <v>1761.2</v>
      </c>
      <c r="D1594" s="116">
        <v>1680.2</v>
      </c>
      <c r="E1594" s="116">
        <v>1680.2</v>
      </c>
      <c r="F1594" s="116">
        <v>1761.2</v>
      </c>
      <c r="G1594">
        <v>2779</v>
      </c>
      <c r="H1594" s="116"/>
      <c r="I1594" s="116"/>
      <c r="L1594" s="170">
        <v>44565</v>
      </c>
      <c r="M1594" s="116">
        <v>1754.95</v>
      </c>
      <c r="N1594" s="116">
        <v>1775</v>
      </c>
      <c r="O1594" s="116">
        <v>1700</v>
      </c>
      <c r="P1594" s="116">
        <v>1731.1</v>
      </c>
      <c r="Q1594" s="116">
        <v>1754.95</v>
      </c>
      <c r="R1594">
        <v>42498</v>
      </c>
    </row>
    <row r="1595" spans="1:18" x14ac:dyDescent="0.25">
      <c r="A1595" s="170">
        <v>44566</v>
      </c>
      <c r="B1595" s="116">
        <v>1767</v>
      </c>
      <c r="C1595" s="116">
        <v>1751.05</v>
      </c>
      <c r="D1595" s="116">
        <v>1715</v>
      </c>
      <c r="E1595" s="116">
        <v>1740</v>
      </c>
      <c r="F1595" s="116">
        <v>1751.05</v>
      </c>
      <c r="G1595">
        <v>4539</v>
      </c>
      <c r="H1595" s="116"/>
      <c r="I1595" s="116"/>
      <c r="L1595" s="170">
        <v>44566</v>
      </c>
      <c r="M1595" s="116">
        <v>1761.05</v>
      </c>
      <c r="N1595" s="116">
        <v>1780.5</v>
      </c>
      <c r="O1595" s="116">
        <v>1706.1</v>
      </c>
      <c r="P1595" s="116">
        <v>1706.1</v>
      </c>
      <c r="Q1595" s="116">
        <v>1761.05</v>
      </c>
      <c r="R1595">
        <v>54105</v>
      </c>
    </row>
    <row r="1596" spans="1:18" x14ac:dyDescent="0.25">
      <c r="A1596" s="170">
        <v>44567</v>
      </c>
      <c r="B1596" s="116">
        <v>1775</v>
      </c>
      <c r="C1596" s="116">
        <v>1750.75</v>
      </c>
      <c r="D1596" s="116">
        <v>1670</v>
      </c>
      <c r="E1596" s="116">
        <v>1763</v>
      </c>
      <c r="F1596" s="116">
        <v>1750.75</v>
      </c>
      <c r="G1596">
        <v>5176</v>
      </c>
      <c r="H1596" s="116"/>
      <c r="I1596" s="116"/>
      <c r="L1596" s="170">
        <v>44567</v>
      </c>
      <c r="M1596" s="116">
        <v>1760.05</v>
      </c>
      <c r="N1596" s="116">
        <v>1770</v>
      </c>
      <c r="O1596" s="116">
        <v>1710</v>
      </c>
      <c r="P1596" s="116">
        <v>1730</v>
      </c>
      <c r="Q1596" s="116">
        <v>1760.05</v>
      </c>
      <c r="R1596">
        <v>51023</v>
      </c>
    </row>
    <row r="1597" spans="1:18" x14ac:dyDescent="0.25">
      <c r="A1597" s="170">
        <v>44568</v>
      </c>
      <c r="B1597" s="116">
        <v>1778.5</v>
      </c>
      <c r="C1597" s="116">
        <v>1768.2</v>
      </c>
      <c r="D1597" s="116">
        <v>1710.1</v>
      </c>
      <c r="E1597" s="116">
        <v>1763</v>
      </c>
      <c r="F1597" s="116">
        <v>1768.2</v>
      </c>
      <c r="G1597">
        <v>1803</v>
      </c>
      <c r="H1597" s="116"/>
      <c r="I1597" s="116"/>
      <c r="L1597" s="170">
        <v>44568</v>
      </c>
      <c r="M1597" s="116">
        <v>1776</v>
      </c>
      <c r="N1597" s="116">
        <v>1780</v>
      </c>
      <c r="O1597" s="116">
        <v>1721.85</v>
      </c>
      <c r="P1597" s="116">
        <v>1740.1</v>
      </c>
      <c r="Q1597" s="116">
        <v>1776</v>
      </c>
      <c r="R1597">
        <v>64894</v>
      </c>
    </row>
    <row r="1598" spans="1:18" x14ac:dyDescent="0.25">
      <c r="A1598" s="170">
        <v>44571</v>
      </c>
      <c r="B1598" s="116">
        <v>1845.9</v>
      </c>
      <c r="C1598" s="116">
        <v>1827.45</v>
      </c>
      <c r="D1598" s="116">
        <v>1726.05</v>
      </c>
      <c r="E1598" s="116">
        <v>1752.1</v>
      </c>
      <c r="F1598" s="116">
        <v>1827.45</v>
      </c>
      <c r="G1598">
        <v>3873</v>
      </c>
      <c r="H1598" s="116"/>
      <c r="I1598" s="116"/>
      <c r="L1598" s="170">
        <v>44571</v>
      </c>
      <c r="M1598" s="116">
        <v>1819.7</v>
      </c>
      <c r="N1598" s="116">
        <v>1834</v>
      </c>
      <c r="O1598" s="116">
        <v>1742.1</v>
      </c>
      <c r="P1598" s="116">
        <v>1742.1</v>
      </c>
      <c r="Q1598" s="116">
        <v>1819.7</v>
      </c>
      <c r="R1598">
        <v>68601</v>
      </c>
    </row>
    <row r="1599" spans="1:18" x14ac:dyDescent="0.25">
      <c r="A1599" s="170">
        <v>44572</v>
      </c>
      <c r="B1599" s="116">
        <v>1881</v>
      </c>
      <c r="C1599" s="116">
        <v>1860.05</v>
      </c>
      <c r="D1599" s="116">
        <v>1741</v>
      </c>
      <c r="E1599" s="116">
        <v>1838</v>
      </c>
      <c r="F1599" s="116">
        <v>1860.05</v>
      </c>
      <c r="G1599">
        <v>9642</v>
      </c>
      <c r="H1599" s="116"/>
      <c r="I1599" s="116"/>
      <c r="L1599" s="170">
        <v>44572</v>
      </c>
      <c r="M1599" s="116">
        <v>1867.45</v>
      </c>
      <c r="N1599" s="116">
        <v>1889</v>
      </c>
      <c r="O1599" s="116">
        <v>1770</v>
      </c>
      <c r="P1599" s="116">
        <v>1839</v>
      </c>
      <c r="Q1599" s="116">
        <v>1867.45</v>
      </c>
      <c r="R1599">
        <v>100209</v>
      </c>
    </row>
    <row r="1600" spans="1:18" x14ac:dyDescent="0.25">
      <c r="A1600" s="170">
        <v>44573</v>
      </c>
      <c r="B1600" s="116">
        <v>1953.05</v>
      </c>
      <c r="C1600" s="116">
        <v>1940.85</v>
      </c>
      <c r="D1600" s="116">
        <v>1836.05</v>
      </c>
      <c r="E1600" s="116">
        <v>1878</v>
      </c>
      <c r="F1600" s="116">
        <v>1940.85</v>
      </c>
      <c r="G1600">
        <v>6570</v>
      </c>
      <c r="H1600" s="116"/>
      <c r="I1600" s="116"/>
      <c r="L1600" s="170">
        <v>44573</v>
      </c>
      <c r="M1600" s="116">
        <v>1928.25</v>
      </c>
      <c r="N1600" s="116">
        <v>1958</v>
      </c>
      <c r="O1600" s="116">
        <v>1822.5</v>
      </c>
      <c r="P1600" s="116">
        <v>1880</v>
      </c>
      <c r="Q1600" s="116">
        <v>1928.25</v>
      </c>
      <c r="R1600">
        <v>108933</v>
      </c>
    </row>
    <row r="1601" spans="1:18" x14ac:dyDescent="0.25">
      <c r="A1601" s="170">
        <v>44574</v>
      </c>
      <c r="B1601" s="116">
        <v>2037.85</v>
      </c>
      <c r="C1601" s="116">
        <v>2017.95</v>
      </c>
      <c r="D1601" s="116">
        <v>1865.25</v>
      </c>
      <c r="E1601" s="116">
        <v>1954</v>
      </c>
      <c r="F1601" s="116">
        <v>2017.95</v>
      </c>
      <c r="G1601">
        <v>14364</v>
      </c>
      <c r="H1601" s="116"/>
      <c r="I1601" s="116"/>
      <c r="L1601" s="170">
        <v>44574</v>
      </c>
      <c r="M1601" s="116">
        <v>2019.7</v>
      </c>
      <c r="N1601" s="116">
        <v>2024.65</v>
      </c>
      <c r="O1601" s="116">
        <v>1906</v>
      </c>
      <c r="P1601" s="116">
        <v>1973.9</v>
      </c>
      <c r="Q1601" s="116">
        <v>2019.7</v>
      </c>
      <c r="R1601">
        <v>143323</v>
      </c>
    </row>
    <row r="1602" spans="1:18" x14ac:dyDescent="0.25">
      <c r="A1602" s="170">
        <v>44575</v>
      </c>
      <c r="B1602" s="116">
        <v>2030</v>
      </c>
      <c r="C1602" s="116">
        <v>2015.35</v>
      </c>
      <c r="D1602" s="116">
        <v>1930.1</v>
      </c>
      <c r="E1602" s="116">
        <v>2016.95</v>
      </c>
      <c r="F1602" s="116">
        <v>2015.35</v>
      </c>
      <c r="G1602">
        <v>3681</v>
      </c>
      <c r="H1602" s="116"/>
      <c r="I1602" s="116"/>
      <c r="L1602" s="170">
        <v>44575</v>
      </c>
      <c r="M1602" s="116">
        <v>2020.6</v>
      </c>
      <c r="N1602" s="116">
        <v>2030</v>
      </c>
      <c r="O1602" s="116">
        <v>1930</v>
      </c>
      <c r="P1602" s="116">
        <v>1998</v>
      </c>
      <c r="Q1602" s="116">
        <v>2020.6</v>
      </c>
      <c r="R1602">
        <v>55454</v>
      </c>
    </row>
    <row r="1603" spans="1:18" x14ac:dyDescent="0.25">
      <c r="A1603" s="170">
        <v>44578</v>
      </c>
      <c r="B1603" s="116">
        <v>2028.8</v>
      </c>
      <c r="C1603" s="116">
        <v>1997.05</v>
      </c>
      <c r="D1603" s="116">
        <v>1952</v>
      </c>
      <c r="E1603" s="116">
        <v>2028.8</v>
      </c>
      <c r="F1603" s="116">
        <v>1997.05</v>
      </c>
      <c r="G1603">
        <v>2251</v>
      </c>
      <c r="H1603" s="116"/>
      <c r="I1603" s="116"/>
      <c r="L1603" s="170">
        <v>44578</v>
      </c>
      <c r="M1603" s="116">
        <v>2002.7</v>
      </c>
      <c r="N1603" s="116">
        <v>2016</v>
      </c>
      <c r="O1603" s="116">
        <v>1970.2</v>
      </c>
      <c r="P1603" s="116">
        <v>1995</v>
      </c>
      <c r="Q1603" s="116">
        <v>2002.7</v>
      </c>
      <c r="R1603">
        <v>78536</v>
      </c>
    </row>
    <row r="1604" spans="1:18" x14ac:dyDescent="0.25">
      <c r="A1604" s="170">
        <v>44579</v>
      </c>
      <c r="B1604" s="116">
        <v>2043</v>
      </c>
      <c r="C1604" s="116">
        <v>2022.75</v>
      </c>
      <c r="D1604" s="116">
        <v>1970</v>
      </c>
      <c r="E1604" s="116">
        <v>2000</v>
      </c>
      <c r="F1604" s="116">
        <v>2022.75</v>
      </c>
      <c r="G1604">
        <v>2821</v>
      </c>
      <c r="H1604" s="116"/>
      <c r="I1604" s="116"/>
      <c r="L1604" s="170">
        <v>44579</v>
      </c>
      <c r="M1604" s="116">
        <v>2026.75</v>
      </c>
      <c r="N1604" s="116">
        <v>2050</v>
      </c>
      <c r="O1604" s="116">
        <v>1981</v>
      </c>
      <c r="P1604" s="116">
        <v>2002.7</v>
      </c>
      <c r="Q1604" s="116">
        <v>2026.75</v>
      </c>
      <c r="R1604">
        <v>81437</v>
      </c>
    </row>
    <row r="1605" spans="1:18" x14ac:dyDescent="0.25">
      <c r="A1605" s="170">
        <v>44580</v>
      </c>
      <c r="B1605" s="116">
        <v>2048</v>
      </c>
      <c r="C1605" s="116">
        <v>2026.6</v>
      </c>
      <c r="D1605" s="116">
        <v>1935</v>
      </c>
      <c r="E1605" s="116">
        <v>1999</v>
      </c>
      <c r="F1605" s="116">
        <v>2026.6</v>
      </c>
      <c r="G1605">
        <v>1887</v>
      </c>
      <c r="H1605" s="116"/>
      <c r="I1605" s="116"/>
      <c r="L1605" s="170">
        <v>44580</v>
      </c>
      <c r="M1605" s="116">
        <v>2043.25</v>
      </c>
      <c r="N1605" s="116">
        <v>2049.4</v>
      </c>
      <c r="O1605" s="116">
        <v>1950</v>
      </c>
      <c r="P1605" s="116">
        <v>2040</v>
      </c>
      <c r="Q1605" s="116">
        <v>2043.25</v>
      </c>
      <c r="R1605">
        <v>47517</v>
      </c>
    </row>
    <row r="1606" spans="1:18" x14ac:dyDescent="0.25">
      <c r="A1606" s="170">
        <v>44581</v>
      </c>
      <c r="B1606" s="116">
        <v>2068</v>
      </c>
      <c r="C1606" s="116">
        <v>2022.5</v>
      </c>
      <c r="D1606" s="116">
        <v>1985.75</v>
      </c>
      <c r="E1606" s="116">
        <v>1990</v>
      </c>
      <c r="F1606" s="116">
        <v>2022.5</v>
      </c>
      <c r="G1606">
        <v>1926</v>
      </c>
      <c r="H1606" s="116"/>
      <c r="I1606" s="116"/>
      <c r="L1606" s="170">
        <v>44581</v>
      </c>
      <c r="M1606" s="116">
        <v>2039.75</v>
      </c>
      <c r="N1606" s="116">
        <v>2049.9</v>
      </c>
      <c r="O1606" s="116">
        <v>1975</v>
      </c>
      <c r="P1606" s="116">
        <v>2002.55</v>
      </c>
      <c r="Q1606" s="116">
        <v>2039.75</v>
      </c>
      <c r="R1606">
        <v>48408</v>
      </c>
    </row>
    <row r="1607" spans="1:18" x14ac:dyDescent="0.25">
      <c r="A1607" s="170">
        <v>44582</v>
      </c>
      <c r="B1607" s="116">
        <v>2123.6</v>
      </c>
      <c r="C1607" s="116">
        <v>2070.15</v>
      </c>
      <c r="D1607" s="116">
        <v>1980</v>
      </c>
      <c r="E1607" s="116">
        <v>2040</v>
      </c>
      <c r="F1607" s="116">
        <v>2070.15</v>
      </c>
      <c r="G1607">
        <v>2563</v>
      </c>
      <c r="H1607" s="116"/>
      <c r="I1607" s="116"/>
      <c r="L1607" s="170">
        <v>44582</v>
      </c>
      <c r="M1607" s="116">
        <v>2066.8000000000002</v>
      </c>
      <c r="N1607" s="116">
        <v>2141</v>
      </c>
      <c r="O1607" s="116">
        <v>1984</v>
      </c>
      <c r="P1607" s="116">
        <v>2037</v>
      </c>
      <c r="Q1607" s="116">
        <v>2066.8000000000002</v>
      </c>
      <c r="R1607">
        <v>82788</v>
      </c>
    </row>
    <row r="1608" spans="1:18" x14ac:dyDescent="0.25">
      <c r="A1608" s="170">
        <v>44585</v>
      </c>
      <c r="B1608" s="116">
        <v>2150</v>
      </c>
      <c r="C1608" s="116">
        <v>2020.85</v>
      </c>
      <c r="D1608" s="116">
        <v>1966.65</v>
      </c>
      <c r="E1608" s="116">
        <v>2067</v>
      </c>
      <c r="F1608" s="116">
        <v>2020.85</v>
      </c>
      <c r="G1608">
        <v>9137</v>
      </c>
      <c r="H1608" s="116"/>
      <c r="I1608" s="116"/>
      <c r="L1608" s="170">
        <v>44585</v>
      </c>
      <c r="M1608" s="116">
        <v>2035.9</v>
      </c>
      <c r="N1608" s="116">
        <v>2125</v>
      </c>
      <c r="O1608" s="116">
        <v>1963.5</v>
      </c>
      <c r="P1608" s="116">
        <v>2097</v>
      </c>
      <c r="Q1608" s="116">
        <v>2035.9</v>
      </c>
      <c r="R1608">
        <v>85918</v>
      </c>
    </row>
    <row r="1609" spans="1:18" x14ac:dyDescent="0.25">
      <c r="A1609" s="170">
        <v>44586</v>
      </c>
      <c r="B1609" s="116">
        <v>2098.6999999999998</v>
      </c>
      <c r="C1609" s="116">
        <v>2022.4</v>
      </c>
      <c r="D1609" s="116">
        <v>1921.55</v>
      </c>
      <c r="E1609" s="116">
        <v>2010</v>
      </c>
      <c r="F1609" s="116">
        <v>2022.4</v>
      </c>
      <c r="G1609">
        <v>2530</v>
      </c>
      <c r="H1609" s="116"/>
      <c r="I1609" s="116"/>
      <c r="L1609" s="170">
        <v>44586</v>
      </c>
      <c r="M1609" s="116">
        <v>1992.45</v>
      </c>
      <c r="N1609" s="116">
        <v>2089</v>
      </c>
      <c r="O1609" s="116">
        <v>1934.15</v>
      </c>
      <c r="P1609" s="116">
        <v>1950</v>
      </c>
      <c r="Q1609" s="116">
        <v>1992.45</v>
      </c>
      <c r="R1609">
        <v>198926</v>
      </c>
    </row>
    <row r="1610" spans="1:18" x14ac:dyDescent="0.25">
      <c r="A1610" s="170">
        <v>44588</v>
      </c>
      <c r="B1610" s="116">
        <v>2044</v>
      </c>
      <c r="C1610" s="116">
        <v>2010.2</v>
      </c>
      <c r="D1610" s="116">
        <v>1970</v>
      </c>
      <c r="E1610" s="116">
        <v>2000</v>
      </c>
      <c r="F1610" s="116">
        <v>2010.2</v>
      </c>
      <c r="G1610">
        <v>3201</v>
      </c>
      <c r="H1610" s="116"/>
      <c r="I1610" s="116"/>
      <c r="L1610" s="170">
        <v>44588</v>
      </c>
      <c r="M1610" s="116">
        <v>2009.3</v>
      </c>
      <c r="N1610" s="116">
        <v>2059.3000000000002</v>
      </c>
      <c r="O1610" s="116">
        <v>1920</v>
      </c>
      <c r="P1610" s="116">
        <v>2005</v>
      </c>
      <c r="Q1610" s="116">
        <v>2009.3</v>
      </c>
      <c r="R1610">
        <v>94304</v>
      </c>
    </row>
    <row r="1611" spans="1:18" x14ac:dyDescent="0.25">
      <c r="A1611" s="170">
        <v>44589</v>
      </c>
      <c r="B1611" s="116">
        <v>2055</v>
      </c>
      <c r="C1611" s="116">
        <v>1975.7</v>
      </c>
      <c r="D1611" s="116">
        <v>1960</v>
      </c>
      <c r="E1611" s="116">
        <v>2026</v>
      </c>
      <c r="F1611" s="116">
        <v>1975.7</v>
      </c>
      <c r="G1611">
        <v>5012</v>
      </c>
      <c r="H1611" s="116"/>
      <c r="I1611" s="116"/>
      <c r="L1611" s="170">
        <v>44589</v>
      </c>
      <c r="M1611" s="116">
        <v>1986.8</v>
      </c>
      <c r="N1611" s="116">
        <v>2075</v>
      </c>
      <c r="O1611" s="116">
        <v>1960</v>
      </c>
      <c r="P1611" s="116">
        <v>2000</v>
      </c>
      <c r="Q1611" s="116">
        <v>1986.8</v>
      </c>
      <c r="R1611">
        <v>231963</v>
      </c>
    </row>
    <row r="1612" spans="1:18" x14ac:dyDescent="0.25">
      <c r="A1612" s="170">
        <v>44592</v>
      </c>
      <c r="B1612" s="116">
        <v>2074.4499999999998</v>
      </c>
      <c r="C1612" s="116">
        <v>1982.9</v>
      </c>
      <c r="D1612" s="116">
        <v>1957</v>
      </c>
      <c r="E1612" s="116">
        <v>2019</v>
      </c>
      <c r="F1612" s="116">
        <v>1982.9</v>
      </c>
      <c r="G1612">
        <v>2112</v>
      </c>
      <c r="H1612" s="116"/>
      <c r="I1612" s="116"/>
      <c r="L1612" s="170">
        <v>44592</v>
      </c>
      <c r="M1612" s="116">
        <v>1970.9</v>
      </c>
      <c r="N1612" s="116">
        <v>2046.3</v>
      </c>
      <c r="O1612" s="116">
        <v>1950</v>
      </c>
      <c r="P1612" s="116">
        <v>2020</v>
      </c>
      <c r="Q1612" s="116">
        <v>1970.9</v>
      </c>
      <c r="R1612">
        <v>153177</v>
      </c>
    </row>
    <row r="1613" spans="1:18" x14ac:dyDescent="0.25">
      <c r="A1613" s="170">
        <v>44593</v>
      </c>
      <c r="B1613" s="116">
        <v>2029</v>
      </c>
      <c r="C1613" s="116">
        <v>2002.95</v>
      </c>
      <c r="D1613" s="116">
        <v>1949</v>
      </c>
      <c r="E1613" s="116">
        <v>1949</v>
      </c>
      <c r="F1613" s="116">
        <v>2002.95</v>
      </c>
      <c r="G1613">
        <v>3049</v>
      </c>
      <c r="H1613" s="116"/>
      <c r="I1613" s="116"/>
      <c r="L1613" s="170">
        <v>44593</v>
      </c>
      <c r="M1613" s="116">
        <v>1986.9</v>
      </c>
      <c r="N1613" s="116">
        <v>2039</v>
      </c>
      <c r="O1613" s="116">
        <v>1930</v>
      </c>
      <c r="P1613" s="116">
        <v>1931.5</v>
      </c>
      <c r="Q1613" s="116">
        <v>1986.9</v>
      </c>
      <c r="R1613">
        <v>437813</v>
      </c>
    </row>
    <row r="1614" spans="1:18" x14ac:dyDescent="0.25">
      <c r="A1614" s="170">
        <v>44594</v>
      </c>
      <c r="B1614" s="116">
        <v>2020</v>
      </c>
      <c r="C1614" s="116">
        <v>2014.7</v>
      </c>
      <c r="D1614" s="116">
        <v>1980</v>
      </c>
      <c r="E1614" s="116">
        <v>2004</v>
      </c>
      <c r="F1614" s="116">
        <v>2014.7</v>
      </c>
      <c r="G1614">
        <v>2290</v>
      </c>
      <c r="H1614" s="116"/>
      <c r="I1614" s="116"/>
      <c r="L1614" s="170">
        <v>44594</v>
      </c>
      <c r="M1614" s="116">
        <v>2016</v>
      </c>
      <c r="N1614" s="116">
        <v>2029</v>
      </c>
      <c r="O1614" s="116">
        <v>1975</v>
      </c>
      <c r="P1614" s="116">
        <v>1975</v>
      </c>
      <c r="Q1614" s="116">
        <v>2016</v>
      </c>
      <c r="R1614">
        <v>364854</v>
      </c>
    </row>
    <row r="1615" spans="1:18" x14ac:dyDescent="0.25">
      <c r="A1615" s="170">
        <v>44595</v>
      </c>
      <c r="B1615" s="116">
        <v>2049</v>
      </c>
      <c r="C1615" s="116">
        <v>2014.15</v>
      </c>
      <c r="D1615" s="116">
        <v>1978.45</v>
      </c>
      <c r="E1615" s="116">
        <v>2020</v>
      </c>
      <c r="F1615" s="116">
        <v>2014.15</v>
      </c>
      <c r="G1615">
        <v>1291</v>
      </c>
      <c r="H1615" s="116"/>
      <c r="I1615" s="116"/>
      <c r="L1615" s="170">
        <v>44595</v>
      </c>
      <c r="M1615" s="116">
        <v>2006.2</v>
      </c>
      <c r="N1615" s="116">
        <v>2040</v>
      </c>
      <c r="O1615" s="116">
        <v>1977</v>
      </c>
      <c r="P1615" s="116">
        <v>2010</v>
      </c>
      <c r="Q1615" s="116">
        <v>2006.2</v>
      </c>
      <c r="R1615">
        <v>325157</v>
      </c>
    </row>
    <row r="1616" spans="1:18" x14ac:dyDescent="0.25">
      <c r="A1616" s="170">
        <v>44596</v>
      </c>
      <c r="B1616" s="116">
        <v>2040</v>
      </c>
      <c r="C1616" s="116">
        <v>2034.9</v>
      </c>
      <c r="D1616" s="116">
        <v>1980</v>
      </c>
      <c r="E1616" s="116">
        <v>1980</v>
      </c>
      <c r="F1616" s="116">
        <v>2034.9</v>
      </c>
      <c r="G1616">
        <v>3691</v>
      </c>
      <c r="H1616" s="116"/>
      <c r="I1616" s="116"/>
      <c r="L1616" s="170">
        <v>44596</v>
      </c>
      <c r="M1616" s="116">
        <v>2033.1</v>
      </c>
      <c r="N1616" s="116">
        <v>2050</v>
      </c>
      <c r="O1616" s="116">
        <v>1987.85</v>
      </c>
      <c r="P1616" s="116">
        <v>2014</v>
      </c>
      <c r="Q1616" s="116">
        <v>2033.1</v>
      </c>
      <c r="R1616">
        <v>328615</v>
      </c>
    </row>
    <row r="1617" spans="1:18" x14ac:dyDescent="0.25">
      <c r="A1617" s="170">
        <v>44599</v>
      </c>
      <c r="B1617" s="116">
        <v>2060</v>
      </c>
      <c r="C1617" s="116">
        <v>2021.2</v>
      </c>
      <c r="D1617" s="116">
        <v>1980</v>
      </c>
      <c r="E1617" s="116">
        <v>2048.9499999999998</v>
      </c>
      <c r="F1617" s="116">
        <v>2021.2</v>
      </c>
      <c r="G1617">
        <v>3283</v>
      </c>
      <c r="H1617" s="116"/>
      <c r="I1617" s="116"/>
      <c r="L1617" s="170">
        <v>44599</v>
      </c>
      <c r="M1617" s="116">
        <v>2028.5</v>
      </c>
      <c r="N1617" s="116">
        <v>2069.5</v>
      </c>
      <c r="O1617" s="116">
        <v>2000</v>
      </c>
      <c r="P1617" s="116">
        <v>2033.1</v>
      </c>
      <c r="Q1617" s="116">
        <v>2028.5</v>
      </c>
      <c r="R1617">
        <v>43314</v>
      </c>
    </row>
    <row r="1618" spans="1:18" x14ac:dyDescent="0.25">
      <c r="A1618" s="170">
        <v>44600</v>
      </c>
      <c r="B1618" s="116">
        <v>2049</v>
      </c>
      <c r="C1618" s="116">
        <v>1963.35</v>
      </c>
      <c r="D1618" s="116">
        <v>1937.65</v>
      </c>
      <c r="E1618" s="116">
        <v>2049</v>
      </c>
      <c r="F1618" s="116">
        <v>1963.35</v>
      </c>
      <c r="G1618">
        <v>1216</v>
      </c>
      <c r="H1618" s="116"/>
      <c r="I1618" s="116"/>
      <c r="L1618" s="170">
        <v>44600</v>
      </c>
      <c r="M1618" s="116">
        <v>1968.3</v>
      </c>
      <c r="N1618" s="116">
        <v>2045</v>
      </c>
      <c r="O1618" s="116">
        <v>1935</v>
      </c>
      <c r="P1618" s="116">
        <v>2044</v>
      </c>
      <c r="Q1618" s="116">
        <v>1968.3</v>
      </c>
      <c r="R1618">
        <v>261310</v>
      </c>
    </row>
    <row r="1619" spans="1:18" x14ac:dyDescent="0.25">
      <c r="A1619" s="170">
        <v>44601</v>
      </c>
      <c r="B1619" s="116">
        <v>2005</v>
      </c>
      <c r="C1619" s="116">
        <v>1969.9</v>
      </c>
      <c r="D1619" s="116">
        <v>1921</v>
      </c>
      <c r="E1619" s="116">
        <v>1921</v>
      </c>
      <c r="F1619" s="116">
        <v>1969.9</v>
      </c>
      <c r="G1619">
        <v>1841</v>
      </c>
      <c r="H1619" s="116"/>
      <c r="I1619" s="116"/>
      <c r="L1619" s="170">
        <v>44601</v>
      </c>
      <c r="M1619" s="116">
        <v>1955.2</v>
      </c>
      <c r="N1619" s="116">
        <v>2018</v>
      </c>
      <c r="O1619" s="116">
        <v>1932.1</v>
      </c>
      <c r="P1619" s="116">
        <v>1969.95</v>
      </c>
      <c r="Q1619" s="116">
        <v>1955.2</v>
      </c>
      <c r="R1619">
        <v>257200</v>
      </c>
    </row>
    <row r="1620" spans="1:18" x14ac:dyDescent="0.25">
      <c r="A1620" s="170">
        <v>44602</v>
      </c>
      <c r="B1620" s="116">
        <v>2050</v>
      </c>
      <c r="C1620" s="116">
        <v>2033.35</v>
      </c>
      <c r="D1620" s="116">
        <v>1931</v>
      </c>
      <c r="E1620" s="116">
        <v>1977</v>
      </c>
      <c r="F1620" s="116">
        <v>2033.35</v>
      </c>
      <c r="G1620">
        <v>4735</v>
      </c>
      <c r="H1620" s="116"/>
      <c r="I1620" s="116"/>
      <c r="L1620" s="170">
        <v>44602</v>
      </c>
      <c r="M1620" s="116">
        <v>2036.4</v>
      </c>
      <c r="N1620" s="116">
        <v>2052.9499999999998</v>
      </c>
      <c r="O1620" s="116">
        <v>1955.3</v>
      </c>
      <c r="P1620" s="116">
        <v>1955.9</v>
      </c>
      <c r="Q1620" s="116">
        <v>2036.4</v>
      </c>
      <c r="R1620">
        <v>301717</v>
      </c>
    </row>
    <row r="1621" spans="1:18" x14ac:dyDescent="0.25">
      <c r="A1621" s="170">
        <v>44603</v>
      </c>
      <c r="B1621" s="116">
        <v>2067.1999999999998</v>
      </c>
      <c r="C1621" s="116">
        <v>2010.5</v>
      </c>
      <c r="D1621" s="116">
        <v>1985.1</v>
      </c>
      <c r="E1621" s="116">
        <v>2030</v>
      </c>
      <c r="F1621" s="116">
        <v>2010.5</v>
      </c>
      <c r="G1621">
        <v>1464</v>
      </c>
      <c r="H1621" s="116"/>
      <c r="I1621" s="116"/>
      <c r="L1621" s="170">
        <v>44603</v>
      </c>
      <c r="M1621" s="116">
        <v>2016.05</v>
      </c>
      <c r="N1621" s="116">
        <v>2050</v>
      </c>
      <c r="O1621" s="116">
        <v>1980</v>
      </c>
      <c r="P1621" s="116">
        <v>2050</v>
      </c>
      <c r="Q1621" s="116">
        <v>2016.05</v>
      </c>
      <c r="R1621">
        <v>247110</v>
      </c>
    </row>
    <row r="1622" spans="1:18" x14ac:dyDescent="0.25">
      <c r="A1622" s="170">
        <v>44606</v>
      </c>
      <c r="B1622" s="116">
        <v>2017</v>
      </c>
      <c r="C1622" s="116">
        <v>1910.35</v>
      </c>
      <c r="D1622" s="116">
        <v>1910</v>
      </c>
      <c r="E1622" s="116">
        <v>1970</v>
      </c>
      <c r="F1622" s="116">
        <v>1910.35</v>
      </c>
      <c r="G1622">
        <v>2680</v>
      </c>
      <c r="H1622" s="116"/>
      <c r="I1622" s="116"/>
      <c r="L1622" s="170">
        <v>44606</v>
      </c>
      <c r="M1622" s="116">
        <v>1915.25</v>
      </c>
      <c r="N1622" s="116">
        <v>2014.5</v>
      </c>
      <c r="O1622" s="116">
        <v>1915.25</v>
      </c>
      <c r="P1622" s="116">
        <v>1960</v>
      </c>
      <c r="Q1622" s="116">
        <v>1915.25</v>
      </c>
      <c r="R1622">
        <v>74858</v>
      </c>
    </row>
    <row r="1623" spans="1:18" x14ac:dyDescent="0.25">
      <c r="A1623" s="170">
        <v>44607</v>
      </c>
      <c r="B1623" s="116">
        <v>1943</v>
      </c>
      <c r="C1623" s="116">
        <v>1923.3</v>
      </c>
      <c r="D1623" s="116">
        <v>1815</v>
      </c>
      <c r="E1623" s="116">
        <v>1943</v>
      </c>
      <c r="F1623" s="116">
        <v>1923.3</v>
      </c>
      <c r="G1623">
        <v>5838</v>
      </c>
      <c r="H1623" s="116"/>
      <c r="I1623" s="116"/>
      <c r="L1623" s="170">
        <v>44607</v>
      </c>
      <c r="M1623" s="116">
        <v>1926.95</v>
      </c>
      <c r="N1623" s="116">
        <v>1938.2</v>
      </c>
      <c r="O1623" s="116">
        <v>1820.1</v>
      </c>
      <c r="P1623" s="116">
        <v>1898</v>
      </c>
      <c r="Q1623" s="116">
        <v>1926.95</v>
      </c>
      <c r="R1623">
        <v>128675</v>
      </c>
    </row>
    <row r="1624" spans="1:18" x14ac:dyDescent="0.25">
      <c r="A1624" s="170">
        <v>44608</v>
      </c>
      <c r="B1624" s="116">
        <v>2012.4</v>
      </c>
      <c r="C1624" s="116">
        <v>1936.65</v>
      </c>
      <c r="D1624" s="116">
        <v>1915.05</v>
      </c>
      <c r="E1624" s="116">
        <v>1932</v>
      </c>
      <c r="F1624" s="116">
        <v>1936.65</v>
      </c>
      <c r="G1624">
        <v>4094</v>
      </c>
      <c r="H1624" s="116"/>
      <c r="I1624" s="116"/>
      <c r="L1624" s="170">
        <v>44608</v>
      </c>
      <c r="M1624" s="116">
        <v>1932.55</v>
      </c>
      <c r="N1624" s="116">
        <v>2010.2</v>
      </c>
      <c r="O1624" s="116">
        <v>1912</v>
      </c>
      <c r="P1624" s="116">
        <v>1940.9</v>
      </c>
      <c r="Q1624" s="116">
        <v>1932.55</v>
      </c>
      <c r="R1624">
        <v>119057</v>
      </c>
    </row>
    <row r="1625" spans="1:18" x14ac:dyDescent="0.25">
      <c r="A1625" s="170">
        <v>44609</v>
      </c>
      <c r="B1625" s="116">
        <v>2029</v>
      </c>
      <c r="C1625" s="116">
        <v>2019.35</v>
      </c>
      <c r="D1625" s="116">
        <v>1951.8</v>
      </c>
      <c r="E1625" s="116">
        <v>1960.05</v>
      </c>
      <c r="F1625" s="116">
        <v>2019.35</v>
      </c>
      <c r="G1625">
        <v>11713</v>
      </c>
      <c r="H1625" s="116"/>
      <c r="I1625" s="116"/>
      <c r="L1625" s="170">
        <v>44609</v>
      </c>
      <c r="M1625" s="116">
        <v>2020.85</v>
      </c>
      <c r="N1625" s="116">
        <v>2027</v>
      </c>
      <c r="O1625" s="116">
        <v>1940.05</v>
      </c>
      <c r="P1625" s="116">
        <v>1970</v>
      </c>
      <c r="Q1625" s="116">
        <v>2020.85</v>
      </c>
      <c r="R1625">
        <v>232186</v>
      </c>
    </row>
    <row r="1626" spans="1:18" x14ac:dyDescent="0.25">
      <c r="A1626" s="170">
        <v>44610</v>
      </c>
      <c r="B1626" s="116">
        <v>2044.35</v>
      </c>
      <c r="C1626" s="116">
        <v>1956.8</v>
      </c>
      <c r="D1626" s="116">
        <v>1939.65</v>
      </c>
      <c r="E1626" s="116">
        <v>2039</v>
      </c>
      <c r="F1626" s="116">
        <v>1956.8</v>
      </c>
      <c r="G1626">
        <v>3880</v>
      </c>
      <c r="H1626" s="116"/>
      <c r="I1626" s="116"/>
      <c r="L1626" s="170">
        <v>44610</v>
      </c>
      <c r="M1626" s="116">
        <v>1958.1</v>
      </c>
      <c r="N1626" s="116">
        <v>2045</v>
      </c>
      <c r="O1626" s="116">
        <v>1940</v>
      </c>
      <c r="P1626" s="116">
        <v>2018</v>
      </c>
      <c r="Q1626" s="116">
        <v>1958.1</v>
      </c>
      <c r="R1626">
        <v>82693</v>
      </c>
    </row>
    <row r="1627" spans="1:18" x14ac:dyDescent="0.25">
      <c r="A1627" s="170">
        <v>44613</v>
      </c>
      <c r="B1627" s="116">
        <v>1981.05</v>
      </c>
      <c r="C1627" s="116">
        <v>1893.95</v>
      </c>
      <c r="D1627" s="116">
        <v>1870.1</v>
      </c>
      <c r="E1627" s="116">
        <v>1961</v>
      </c>
      <c r="F1627" s="116">
        <v>1893.95</v>
      </c>
      <c r="G1627">
        <v>2867</v>
      </c>
      <c r="H1627" s="116"/>
      <c r="I1627" s="116"/>
      <c r="L1627" s="170">
        <v>44613</v>
      </c>
      <c r="M1627" s="116">
        <v>1895.9</v>
      </c>
      <c r="N1627" s="116">
        <v>1980</v>
      </c>
      <c r="O1627" s="116">
        <v>1870</v>
      </c>
      <c r="P1627" s="116">
        <v>1960</v>
      </c>
      <c r="Q1627" s="116">
        <v>1895.9</v>
      </c>
      <c r="R1627">
        <v>62791</v>
      </c>
    </row>
    <row r="1628" spans="1:18" x14ac:dyDescent="0.25">
      <c r="A1628" s="170">
        <v>44614</v>
      </c>
      <c r="B1628" s="116">
        <v>1983.6</v>
      </c>
      <c r="C1628" s="116">
        <v>1971.25</v>
      </c>
      <c r="D1628" s="116">
        <v>1817.65</v>
      </c>
      <c r="E1628" s="116">
        <v>1870</v>
      </c>
      <c r="F1628" s="116">
        <v>1971.25</v>
      </c>
      <c r="G1628">
        <v>7278</v>
      </c>
      <c r="H1628" s="116"/>
      <c r="I1628" s="116"/>
      <c r="L1628" s="170">
        <v>44614</v>
      </c>
      <c r="M1628" s="116">
        <v>1969.1</v>
      </c>
      <c r="N1628" s="116">
        <v>1985</v>
      </c>
      <c r="O1628" s="116">
        <v>1810.1</v>
      </c>
      <c r="P1628" s="116">
        <v>1861</v>
      </c>
      <c r="Q1628" s="116">
        <v>1969.1</v>
      </c>
      <c r="R1628">
        <v>156505</v>
      </c>
    </row>
    <row r="1629" spans="1:18" x14ac:dyDescent="0.25">
      <c r="A1629" s="170">
        <v>44615</v>
      </c>
      <c r="B1629" s="116">
        <v>2069.8000000000002</v>
      </c>
      <c r="C1629" s="116">
        <v>2061</v>
      </c>
      <c r="D1629" s="116">
        <v>1980</v>
      </c>
      <c r="E1629" s="116">
        <v>1980</v>
      </c>
      <c r="F1629" s="116">
        <v>2061</v>
      </c>
      <c r="G1629">
        <v>23679</v>
      </c>
      <c r="H1629" s="116"/>
      <c r="I1629" s="116"/>
      <c r="L1629" s="170">
        <v>44615</v>
      </c>
      <c r="M1629" s="116">
        <v>2060.15</v>
      </c>
      <c r="N1629" s="116">
        <v>2067.5500000000002</v>
      </c>
      <c r="O1629" s="116">
        <v>1990</v>
      </c>
      <c r="P1629" s="116">
        <v>1995</v>
      </c>
      <c r="Q1629" s="116">
        <v>2060.15</v>
      </c>
      <c r="R1629">
        <v>170487</v>
      </c>
    </row>
    <row r="1630" spans="1:18" x14ac:dyDescent="0.25">
      <c r="A1630" s="170">
        <v>44616</v>
      </c>
      <c r="B1630" s="116">
        <v>2050</v>
      </c>
      <c r="C1630" s="116">
        <v>1957.95</v>
      </c>
      <c r="D1630" s="116">
        <v>1957.95</v>
      </c>
      <c r="E1630" s="116">
        <v>1971.05</v>
      </c>
      <c r="F1630" s="116">
        <v>1957.95</v>
      </c>
      <c r="G1630">
        <v>17055</v>
      </c>
      <c r="H1630" s="116"/>
      <c r="I1630" s="116"/>
      <c r="L1630" s="170">
        <v>44616</v>
      </c>
      <c r="M1630" s="116">
        <v>1957.3</v>
      </c>
      <c r="N1630" s="116">
        <v>2053.1</v>
      </c>
      <c r="O1630" s="116">
        <v>1957.15</v>
      </c>
      <c r="P1630" s="116">
        <v>1990</v>
      </c>
      <c r="Q1630" s="116">
        <v>1957.3</v>
      </c>
      <c r="R1630">
        <v>138084</v>
      </c>
    </row>
    <row r="1631" spans="1:18" x14ac:dyDescent="0.25">
      <c r="A1631" s="170">
        <v>44617</v>
      </c>
      <c r="B1631" s="116">
        <v>2052.1999999999998</v>
      </c>
      <c r="C1631" s="116">
        <v>2035.05</v>
      </c>
      <c r="D1631" s="116">
        <v>1980.05</v>
      </c>
      <c r="E1631" s="116">
        <v>1980.05</v>
      </c>
      <c r="F1631" s="116">
        <v>2035.05</v>
      </c>
      <c r="G1631">
        <v>10101</v>
      </c>
      <c r="H1631" s="116"/>
      <c r="I1631" s="116"/>
      <c r="L1631" s="170">
        <v>44617</v>
      </c>
      <c r="M1631" s="116">
        <v>2032.85</v>
      </c>
      <c r="N1631" s="116">
        <v>2052.5</v>
      </c>
      <c r="O1631" s="116">
        <v>1985</v>
      </c>
      <c r="P1631" s="116">
        <v>2005.15</v>
      </c>
      <c r="Q1631" s="116">
        <v>2032.85</v>
      </c>
      <c r="R1631">
        <v>109214</v>
      </c>
    </row>
    <row r="1632" spans="1:18" x14ac:dyDescent="0.25">
      <c r="A1632" s="170">
        <v>44620</v>
      </c>
      <c r="B1632" s="116">
        <v>2136.8000000000002</v>
      </c>
      <c r="C1632" s="116">
        <v>2136.65</v>
      </c>
      <c r="D1632" s="116">
        <v>1989.2</v>
      </c>
      <c r="E1632" s="116">
        <v>2016</v>
      </c>
      <c r="F1632" s="116">
        <v>2136.65</v>
      </c>
      <c r="G1632">
        <v>37631</v>
      </c>
      <c r="H1632" s="116"/>
      <c r="I1632" s="116"/>
      <c r="L1632" s="170">
        <v>44620</v>
      </c>
      <c r="M1632" s="116">
        <v>2134.4</v>
      </c>
      <c r="N1632" s="116">
        <v>2134.4499999999998</v>
      </c>
      <c r="O1632" s="116">
        <v>1990</v>
      </c>
      <c r="P1632" s="116">
        <v>2030</v>
      </c>
      <c r="Q1632" s="116">
        <v>2134.4</v>
      </c>
      <c r="R1632">
        <v>486895</v>
      </c>
    </row>
    <row r="1633" spans="1:18" x14ac:dyDescent="0.25">
      <c r="A1633" s="170">
        <v>44622</v>
      </c>
      <c r="B1633" s="116">
        <v>2243.4499999999998</v>
      </c>
      <c r="C1633" s="116">
        <v>2243.0500000000002</v>
      </c>
      <c r="D1633" s="116">
        <v>2107.25</v>
      </c>
      <c r="E1633" s="116">
        <v>2115.0500000000002</v>
      </c>
      <c r="F1633" s="116">
        <v>2243.0500000000002</v>
      </c>
      <c r="G1633">
        <v>40214</v>
      </c>
      <c r="H1633" s="116"/>
      <c r="I1633" s="116"/>
      <c r="L1633" s="170">
        <v>44622</v>
      </c>
      <c r="M1633" s="116">
        <v>2241.0500000000002</v>
      </c>
      <c r="N1633" s="116">
        <v>2241.1</v>
      </c>
      <c r="O1633" s="116">
        <v>2111</v>
      </c>
      <c r="P1633" s="116">
        <v>2111</v>
      </c>
      <c r="Q1633" s="116">
        <v>2241.0500000000002</v>
      </c>
      <c r="R1633">
        <v>395273</v>
      </c>
    </row>
    <row r="1634" spans="1:18" x14ac:dyDescent="0.25">
      <c r="A1634" s="170">
        <v>44623</v>
      </c>
      <c r="B1634" s="116">
        <v>2355.1999999999998</v>
      </c>
      <c r="C1634" s="116">
        <v>2355.1999999999998</v>
      </c>
      <c r="D1634" s="116">
        <v>2289</v>
      </c>
      <c r="E1634" s="116">
        <v>2289</v>
      </c>
      <c r="F1634" s="116">
        <v>2355.1999999999998</v>
      </c>
      <c r="G1634">
        <v>49816</v>
      </c>
      <c r="H1634" s="116"/>
      <c r="I1634" s="116"/>
      <c r="L1634" s="170">
        <v>44623</v>
      </c>
      <c r="M1634" s="116">
        <v>2353.1</v>
      </c>
      <c r="N1634" s="116">
        <v>2353.1</v>
      </c>
      <c r="O1634" s="116">
        <v>2286.6</v>
      </c>
      <c r="P1634" s="116">
        <v>2300</v>
      </c>
      <c r="Q1634" s="116">
        <v>2353.1</v>
      </c>
      <c r="R1634">
        <v>456031</v>
      </c>
    </row>
    <row r="1635" spans="1:18" x14ac:dyDescent="0.25">
      <c r="A1635" s="170">
        <v>44624</v>
      </c>
      <c r="B1635" s="116">
        <v>2468.8000000000002</v>
      </c>
      <c r="C1635" s="116">
        <v>2320.65</v>
      </c>
      <c r="D1635" s="116">
        <v>2260</v>
      </c>
      <c r="E1635" s="116">
        <v>2360</v>
      </c>
      <c r="F1635" s="116">
        <v>2320.65</v>
      </c>
      <c r="G1635">
        <v>44481</v>
      </c>
      <c r="H1635" s="116"/>
      <c r="I1635" s="116"/>
      <c r="L1635" s="170">
        <v>44624</v>
      </c>
      <c r="M1635" s="116">
        <v>2323.1999999999998</v>
      </c>
      <c r="N1635" s="116">
        <v>2464.3000000000002</v>
      </c>
      <c r="O1635" s="116">
        <v>2256.5500000000002</v>
      </c>
      <c r="P1635" s="116">
        <v>2370</v>
      </c>
      <c r="Q1635" s="116">
        <v>2323.1999999999998</v>
      </c>
      <c r="R1635">
        <v>517693</v>
      </c>
    </row>
    <row r="1636" spans="1:18" x14ac:dyDescent="0.25">
      <c r="A1636" s="170">
        <v>44627</v>
      </c>
      <c r="B1636" s="116">
        <v>2364.3000000000002</v>
      </c>
      <c r="C1636" s="116">
        <v>2205.1999999999998</v>
      </c>
      <c r="D1636" s="116">
        <v>2204.65</v>
      </c>
      <c r="E1636" s="116">
        <v>2321</v>
      </c>
      <c r="F1636" s="116">
        <v>2205.1999999999998</v>
      </c>
      <c r="G1636">
        <v>21969</v>
      </c>
      <c r="H1636" s="116"/>
      <c r="I1636" s="116"/>
      <c r="L1636" s="170">
        <v>44627</v>
      </c>
      <c r="M1636" s="116">
        <v>2207.35</v>
      </c>
      <c r="N1636" s="116">
        <v>2365</v>
      </c>
      <c r="O1636" s="116">
        <v>2207.0500000000002</v>
      </c>
      <c r="P1636" s="116">
        <v>2272.8000000000002</v>
      </c>
      <c r="Q1636" s="116">
        <v>2207.35</v>
      </c>
      <c r="R1636">
        <v>226577</v>
      </c>
    </row>
    <row r="1637" spans="1:18" x14ac:dyDescent="0.25">
      <c r="A1637" s="170">
        <v>44628</v>
      </c>
      <c r="B1637" s="116">
        <v>2307.15</v>
      </c>
      <c r="C1637" s="116">
        <v>2214.6999999999998</v>
      </c>
      <c r="D1637" s="116">
        <v>2111.35</v>
      </c>
      <c r="E1637" s="116">
        <v>2160</v>
      </c>
      <c r="F1637" s="116">
        <v>2214.6999999999998</v>
      </c>
      <c r="G1637">
        <v>18081</v>
      </c>
      <c r="H1637" s="116"/>
      <c r="I1637" s="116"/>
      <c r="L1637" s="170">
        <v>44628</v>
      </c>
      <c r="M1637" s="116">
        <v>2217</v>
      </c>
      <c r="N1637" s="116">
        <v>2306.85</v>
      </c>
      <c r="O1637" s="116">
        <v>2111.1</v>
      </c>
      <c r="P1637" s="116">
        <v>2163.1999999999998</v>
      </c>
      <c r="Q1637" s="116">
        <v>2217</v>
      </c>
      <c r="R1637">
        <v>185989</v>
      </c>
    </row>
    <row r="1638" spans="1:18" x14ac:dyDescent="0.25">
      <c r="A1638" s="170">
        <v>44629</v>
      </c>
      <c r="B1638" s="116">
        <v>2309</v>
      </c>
      <c r="C1638" s="116">
        <v>2166.85</v>
      </c>
      <c r="D1638" s="116">
        <v>2134.85</v>
      </c>
      <c r="E1638" s="116">
        <v>2309</v>
      </c>
      <c r="F1638" s="116">
        <v>2166.85</v>
      </c>
      <c r="G1638">
        <v>10484</v>
      </c>
      <c r="H1638" s="116"/>
      <c r="I1638" s="116"/>
      <c r="L1638" s="170">
        <v>44629</v>
      </c>
      <c r="M1638" s="116">
        <v>2164.65</v>
      </c>
      <c r="N1638" s="116">
        <v>2305.0500000000002</v>
      </c>
      <c r="O1638" s="116">
        <v>2136.9</v>
      </c>
      <c r="P1638" s="116">
        <v>2300.6999999999998</v>
      </c>
      <c r="Q1638" s="116">
        <v>2164.65</v>
      </c>
      <c r="R1638">
        <v>173127</v>
      </c>
    </row>
    <row r="1639" spans="1:18" x14ac:dyDescent="0.25">
      <c r="A1639" s="170">
        <v>44630</v>
      </c>
      <c r="B1639" s="116">
        <v>2275.15</v>
      </c>
      <c r="C1639" s="116">
        <v>2274.9499999999998</v>
      </c>
      <c r="D1639" s="116">
        <v>2164.5</v>
      </c>
      <c r="E1639" s="116">
        <v>2222</v>
      </c>
      <c r="F1639" s="116">
        <v>2274.9499999999998</v>
      </c>
      <c r="G1639">
        <v>53928</v>
      </c>
      <c r="H1639" s="116"/>
      <c r="I1639" s="116"/>
      <c r="L1639" s="170">
        <v>44630</v>
      </c>
      <c r="M1639" s="116">
        <v>2272.75</v>
      </c>
      <c r="N1639" s="116">
        <v>2272.85</v>
      </c>
      <c r="O1639" s="116">
        <v>2180</v>
      </c>
      <c r="P1639" s="116">
        <v>2228</v>
      </c>
      <c r="Q1639" s="116">
        <v>2272.75</v>
      </c>
      <c r="R1639">
        <v>308470</v>
      </c>
    </row>
    <row r="1640" spans="1:18" x14ac:dyDescent="0.25">
      <c r="A1640" s="170">
        <v>44631</v>
      </c>
      <c r="B1640" s="116">
        <v>2322.65</v>
      </c>
      <c r="C1640" s="116">
        <v>2303.4</v>
      </c>
      <c r="D1640" s="116">
        <v>2211.9499999999998</v>
      </c>
      <c r="E1640" s="116">
        <v>2274.9499999999998</v>
      </c>
      <c r="F1640" s="116">
        <v>2303.4</v>
      </c>
      <c r="G1640">
        <v>13241</v>
      </c>
      <c r="H1640" s="116"/>
      <c r="I1640" s="116"/>
      <c r="L1640" s="170">
        <v>44631</v>
      </c>
      <c r="M1640" s="116">
        <v>2307.25</v>
      </c>
      <c r="N1640" s="116">
        <v>2323.6999999999998</v>
      </c>
      <c r="O1640" s="116">
        <v>2211.0500000000002</v>
      </c>
      <c r="P1640" s="116">
        <v>2260</v>
      </c>
      <c r="Q1640" s="116">
        <v>2307.25</v>
      </c>
      <c r="R1640">
        <v>163758</v>
      </c>
    </row>
    <row r="1641" spans="1:18" x14ac:dyDescent="0.25">
      <c r="A1641" s="170">
        <v>44634</v>
      </c>
      <c r="B1641" s="116">
        <v>2335</v>
      </c>
      <c r="C1641" s="116">
        <v>2269.35</v>
      </c>
      <c r="D1641" s="116">
        <v>2252.0500000000002</v>
      </c>
      <c r="E1641" s="116">
        <v>2318</v>
      </c>
      <c r="F1641" s="116">
        <v>2269.35</v>
      </c>
      <c r="G1641">
        <v>6749</v>
      </c>
      <c r="H1641" s="116"/>
      <c r="I1641" s="116"/>
      <c r="L1641" s="170">
        <v>44634</v>
      </c>
      <c r="M1641" s="116">
        <v>2268.3000000000002</v>
      </c>
      <c r="N1641" s="116">
        <v>2333.3000000000002</v>
      </c>
      <c r="O1641" s="116">
        <v>2252.0500000000002</v>
      </c>
      <c r="P1641" s="116">
        <v>2312</v>
      </c>
      <c r="Q1641" s="116">
        <v>2268.3000000000002</v>
      </c>
      <c r="R1641">
        <v>410270</v>
      </c>
    </row>
    <row r="1642" spans="1:18" x14ac:dyDescent="0.25">
      <c r="A1642" s="170">
        <v>44635</v>
      </c>
      <c r="B1642" s="116">
        <v>2287.4</v>
      </c>
      <c r="C1642" s="116">
        <v>2215.4</v>
      </c>
      <c r="D1642" s="116">
        <v>2182.0500000000002</v>
      </c>
      <c r="E1642" s="116">
        <v>2275</v>
      </c>
      <c r="F1642" s="116">
        <v>2215.4</v>
      </c>
      <c r="G1642">
        <v>7211</v>
      </c>
      <c r="H1642" s="116"/>
      <c r="I1642" s="116"/>
      <c r="L1642" s="170">
        <v>44635</v>
      </c>
      <c r="M1642" s="116">
        <v>2217.5500000000002</v>
      </c>
      <c r="N1642" s="116">
        <v>2294.85</v>
      </c>
      <c r="O1642" s="116">
        <v>2200</v>
      </c>
      <c r="P1642" s="116">
        <v>2275</v>
      </c>
      <c r="Q1642" s="116">
        <v>2217.5500000000002</v>
      </c>
      <c r="R1642">
        <v>337239</v>
      </c>
    </row>
    <row r="1643" spans="1:18" x14ac:dyDescent="0.25">
      <c r="A1643" s="170">
        <v>44636</v>
      </c>
      <c r="B1643" s="116">
        <v>2317.9499999999998</v>
      </c>
      <c r="C1643" s="116">
        <v>2300.85</v>
      </c>
      <c r="D1643" s="116">
        <v>2250.3000000000002</v>
      </c>
      <c r="E1643" s="116">
        <v>2260</v>
      </c>
      <c r="F1643" s="116">
        <v>2300.85</v>
      </c>
      <c r="G1643">
        <v>4827</v>
      </c>
      <c r="H1643" s="116"/>
      <c r="I1643" s="116"/>
      <c r="L1643" s="170">
        <v>44636</v>
      </c>
      <c r="M1643" s="116">
        <v>2305.4</v>
      </c>
      <c r="N1643" s="116">
        <v>2314.9</v>
      </c>
      <c r="O1643" s="116">
        <v>2234.9499999999998</v>
      </c>
      <c r="P1643" s="116">
        <v>2235</v>
      </c>
      <c r="Q1643" s="116">
        <v>2305.4</v>
      </c>
      <c r="R1643">
        <v>510274</v>
      </c>
    </row>
    <row r="1644" spans="1:18" x14ac:dyDescent="0.25">
      <c r="A1644" s="170">
        <v>44637</v>
      </c>
      <c r="B1644" s="116">
        <v>2415.85</v>
      </c>
      <c r="C1644" s="116">
        <v>2387.6</v>
      </c>
      <c r="D1644" s="116">
        <v>2320</v>
      </c>
      <c r="E1644" s="116">
        <v>2330</v>
      </c>
      <c r="F1644" s="116">
        <v>2387.6</v>
      </c>
      <c r="G1644">
        <v>14714</v>
      </c>
      <c r="H1644" s="116"/>
      <c r="I1644" s="116"/>
      <c r="L1644" s="170">
        <v>44637</v>
      </c>
      <c r="M1644" s="116">
        <v>2389.8000000000002</v>
      </c>
      <c r="N1644" s="116">
        <v>2420.65</v>
      </c>
      <c r="O1644" s="116">
        <v>2317</v>
      </c>
      <c r="P1644" s="116">
        <v>2319.5</v>
      </c>
      <c r="Q1644" s="116">
        <v>2389.8000000000002</v>
      </c>
      <c r="R1644">
        <v>2006144</v>
      </c>
    </row>
    <row r="1645" spans="1:18" x14ac:dyDescent="0.25">
      <c r="A1645" s="170">
        <v>44641</v>
      </c>
      <c r="B1645" s="116">
        <v>2387.6</v>
      </c>
      <c r="C1645" s="116">
        <v>2287.5500000000002</v>
      </c>
      <c r="D1645" s="116">
        <v>2276</v>
      </c>
      <c r="E1645" s="116">
        <v>2387.6</v>
      </c>
      <c r="F1645" s="116">
        <v>2287.5500000000002</v>
      </c>
      <c r="G1645">
        <v>11977</v>
      </c>
      <c r="H1645" s="116"/>
      <c r="I1645" s="116"/>
      <c r="L1645" s="170">
        <v>44641</v>
      </c>
      <c r="M1645" s="116">
        <v>2289.0500000000002</v>
      </c>
      <c r="N1645" s="116">
        <v>2379.9</v>
      </c>
      <c r="O1645" s="116">
        <v>2275</v>
      </c>
      <c r="P1645" s="116">
        <v>2379.9</v>
      </c>
      <c r="Q1645" s="116">
        <v>2289.0500000000002</v>
      </c>
      <c r="R1645">
        <v>239831</v>
      </c>
    </row>
    <row r="1646" spans="1:18" x14ac:dyDescent="0.25">
      <c r="A1646" s="170">
        <v>44642</v>
      </c>
      <c r="B1646" s="116">
        <v>2385</v>
      </c>
      <c r="C1646" s="116">
        <v>2337.9499999999998</v>
      </c>
      <c r="D1646" s="116">
        <v>2276.35</v>
      </c>
      <c r="E1646" s="116">
        <v>2329.8000000000002</v>
      </c>
      <c r="F1646" s="116">
        <v>2337.9499999999998</v>
      </c>
      <c r="G1646">
        <v>11981</v>
      </c>
      <c r="H1646" s="116"/>
      <c r="I1646" s="116"/>
      <c r="L1646" s="170">
        <v>44642</v>
      </c>
      <c r="M1646" s="116">
        <v>2338.0500000000002</v>
      </c>
      <c r="N1646" s="116">
        <v>2384.75</v>
      </c>
      <c r="O1646" s="116">
        <v>2275</v>
      </c>
      <c r="P1646" s="116">
        <v>2324</v>
      </c>
      <c r="Q1646" s="116">
        <v>2338.0500000000002</v>
      </c>
      <c r="R1646">
        <v>295672</v>
      </c>
    </row>
    <row r="1647" spans="1:18" x14ac:dyDescent="0.25">
      <c r="A1647" s="170">
        <v>44643</v>
      </c>
      <c r="B1647" s="116">
        <v>2441.25</v>
      </c>
      <c r="C1647" s="116">
        <v>2410.75</v>
      </c>
      <c r="D1647" s="116">
        <v>2349.5</v>
      </c>
      <c r="E1647" s="116">
        <v>2372</v>
      </c>
      <c r="F1647" s="116">
        <v>2410.75</v>
      </c>
      <c r="G1647">
        <v>12661</v>
      </c>
      <c r="H1647" s="116"/>
      <c r="I1647" s="116"/>
      <c r="L1647" s="170">
        <v>44643</v>
      </c>
      <c r="M1647" s="116">
        <v>2406.6999999999998</v>
      </c>
      <c r="N1647" s="116">
        <v>2440</v>
      </c>
      <c r="O1647" s="116">
        <v>2347.25</v>
      </c>
      <c r="P1647" s="116">
        <v>2368.3000000000002</v>
      </c>
      <c r="Q1647" s="116">
        <v>2406.6999999999998</v>
      </c>
      <c r="R1647">
        <v>762205</v>
      </c>
    </row>
    <row r="1648" spans="1:18" x14ac:dyDescent="0.25">
      <c r="A1648" s="170">
        <v>44644</v>
      </c>
      <c r="B1648" s="116">
        <v>2433.1</v>
      </c>
      <c r="C1648" s="116">
        <v>2418.9499999999998</v>
      </c>
      <c r="D1648" s="116">
        <v>2375</v>
      </c>
      <c r="E1648" s="116">
        <v>2425</v>
      </c>
      <c r="F1648" s="116">
        <v>2418.9499999999998</v>
      </c>
      <c r="G1648">
        <v>8317</v>
      </c>
      <c r="H1648" s="116"/>
      <c r="I1648" s="116"/>
      <c r="L1648" s="170">
        <v>44644</v>
      </c>
      <c r="M1648" s="116">
        <v>2414.4</v>
      </c>
      <c r="N1648" s="116">
        <v>2434.9499999999998</v>
      </c>
      <c r="O1648" s="116">
        <v>2371.75</v>
      </c>
      <c r="P1648" s="116">
        <v>2415</v>
      </c>
      <c r="Q1648" s="116">
        <v>2414.4</v>
      </c>
      <c r="R1648">
        <v>299163</v>
      </c>
    </row>
    <row r="1649" spans="1:18" x14ac:dyDescent="0.25">
      <c r="A1649" s="170">
        <v>44645</v>
      </c>
      <c r="B1649" s="116">
        <v>2455.15</v>
      </c>
      <c r="C1649" s="116">
        <v>2443.9</v>
      </c>
      <c r="D1649" s="116">
        <v>2406.6</v>
      </c>
      <c r="E1649" s="116">
        <v>2428.9499999999998</v>
      </c>
      <c r="F1649" s="116">
        <v>2443.9</v>
      </c>
      <c r="G1649">
        <v>7646</v>
      </c>
      <c r="H1649" s="116"/>
      <c r="I1649" s="116"/>
      <c r="L1649" s="170">
        <v>44645</v>
      </c>
      <c r="M1649" s="116">
        <v>2448.75</v>
      </c>
      <c r="N1649" s="116">
        <v>2455</v>
      </c>
      <c r="O1649" s="116">
        <v>2406.35</v>
      </c>
      <c r="P1649" s="116">
        <v>2416</v>
      </c>
      <c r="Q1649" s="116">
        <v>2448.75</v>
      </c>
      <c r="R1649">
        <v>121077</v>
      </c>
    </row>
    <row r="1650" spans="1:18" x14ac:dyDescent="0.25">
      <c r="A1650" s="170">
        <v>44648</v>
      </c>
      <c r="B1650" s="116">
        <v>2471.65</v>
      </c>
      <c r="C1650" s="116">
        <v>2439.9499999999998</v>
      </c>
      <c r="D1650" s="116">
        <v>2414.3000000000002</v>
      </c>
      <c r="E1650" s="116">
        <v>2461</v>
      </c>
      <c r="F1650" s="116">
        <v>2439.9499999999998</v>
      </c>
      <c r="G1650">
        <v>4173</v>
      </c>
      <c r="H1650" s="116"/>
      <c r="I1650" s="116"/>
      <c r="L1650" s="170">
        <v>44648</v>
      </c>
      <c r="M1650" s="116">
        <v>2439</v>
      </c>
      <c r="N1650" s="116">
        <v>2475</v>
      </c>
      <c r="O1650" s="116">
        <v>2413</v>
      </c>
      <c r="P1650" s="116">
        <v>2468</v>
      </c>
      <c r="Q1650" s="116">
        <v>2439</v>
      </c>
      <c r="R1650">
        <v>120067</v>
      </c>
    </row>
    <row r="1651" spans="1:18" x14ac:dyDescent="0.25">
      <c r="A1651" s="170">
        <v>44649</v>
      </c>
      <c r="B1651" s="116">
        <v>2495</v>
      </c>
      <c r="C1651" s="116">
        <v>2454.9499999999998</v>
      </c>
      <c r="D1651" s="116">
        <v>2420</v>
      </c>
      <c r="E1651" s="116">
        <v>2451</v>
      </c>
      <c r="F1651" s="116">
        <v>2454.9499999999998</v>
      </c>
      <c r="G1651">
        <v>10792</v>
      </c>
      <c r="H1651" s="116"/>
      <c r="I1651" s="116"/>
      <c r="L1651" s="170">
        <v>44649</v>
      </c>
      <c r="M1651" s="116">
        <v>2461.5500000000002</v>
      </c>
      <c r="N1651" s="116">
        <v>2496.0500000000002</v>
      </c>
      <c r="O1651" s="116">
        <v>2430</v>
      </c>
      <c r="P1651" s="116">
        <v>2472</v>
      </c>
      <c r="Q1651" s="116">
        <v>2461.5500000000002</v>
      </c>
      <c r="R1651">
        <v>154636</v>
      </c>
    </row>
    <row r="1652" spans="1:18" x14ac:dyDescent="0.25">
      <c r="A1652" s="170">
        <v>44650</v>
      </c>
      <c r="B1652" s="116">
        <v>2577.65</v>
      </c>
      <c r="C1652" s="116">
        <v>2380.5500000000002</v>
      </c>
      <c r="D1652" s="116">
        <v>2332.25</v>
      </c>
      <c r="E1652" s="116">
        <v>2509.8000000000002</v>
      </c>
      <c r="F1652" s="116">
        <v>2380.5500000000002</v>
      </c>
      <c r="G1652">
        <v>18368</v>
      </c>
      <c r="H1652" s="116"/>
      <c r="I1652" s="116"/>
      <c r="L1652" s="170">
        <v>44650</v>
      </c>
      <c r="M1652" s="116">
        <v>2377.4</v>
      </c>
      <c r="N1652" s="116">
        <v>2583.9</v>
      </c>
      <c r="O1652" s="116">
        <v>2338.5</v>
      </c>
      <c r="P1652" s="116">
        <v>2495</v>
      </c>
      <c r="Q1652" s="116">
        <v>2377.4</v>
      </c>
      <c r="R1652">
        <v>649362</v>
      </c>
    </row>
    <row r="1653" spans="1:18" x14ac:dyDescent="0.25">
      <c r="A1653" s="170">
        <v>44651</v>
      </c>
      <c r="B1653" s="116">
        <v>2405</v>
      </c>
      <c r="C1653" s="116">
        <v>2372.3000000000002</v>
      </c>
      <c r="D1653" s="116">
        <v>2310</v>
      </c>
      <c r="E1653" s="116">
        <v>2340</v>
      </c>
      <c r="F1653" s="116">
        <v>2372.3000000000002</v>
      </c>
      <c r="G1653">
        <v>18571</v>
      </c>
      <c r="H1653" s="116"/>
      <c r="I1653" s="116"/>
      <c r="L1653" s="170">
        <v>44651</v>
      </c>
      <c r="M1653" s="116">
        <v>2368.15</v>
      </c>
      <c r="N1653" s="116">
        <v>2405</v>
      </c>
      <c r="O1653" s="116">
        <v>2315.1</v>
      </c>
      <c r="P1653" s="116">
        <v>2340</v>
      </c>
      <c r="Q1653" s="116">
        <v>2368.15</v>
      </c>
      <c r="R1653">
        <v>345752</v>
      </c>
    </row>
    <row r="1654" spans="1:18" x14ac:dyDescent="0.25">
      <c r="A1654" s="170">
        <v>44652</v>
      </c>
      <c r="B1654" s="116">
        <v>2450</v>
      </c>
      <c r="C1654" s="116">
        <v>2427.4499999999998</v>
      </c>
      <c r="D1654" s="116">
        <v>2353.9</v>
      </c>
      <c r="E1654" s="116">
        <v>2375</v>
      </c>
      <c r="F1654" s="116">
        <v>2427.4499999999998</v>
      </c>
      <c r="G1654">
        <v>15874</v>
      </c>
      <c r="H1654" s="116"/>
      <c r="I1654" s="116"/>
      <c r="L1654" s="170">
        <v>44652</v>
      </c>
      <c r="M1654" s="116">
        <v>2421.4499999999998</v>
      </c>
      <c r="N1654" s="116">
        <v>2450</v>
      </c>
      <c r="O1654" s="116">
        <v>2355.1</v>
      </c>
      <c r="P1654" s="116">
        <v>2379.9499999999998</v>
      </c>
      <c r="Q1654" s="116">
        <v>2421.4499999999998</v>
      </c>
      <c r="R1654">
        <v>196411</v>
      </c>
    </row>
    <row r="1655" spans="1:18" x14ac:dyDescent="0.25">
      <c r="A1655" s="170">
        <v>44655</v>
      </c>
      <c r="B1655" s="116">
        <v>2475</v>
      </c>
      <c r="C1655" s="116">
        <v>2452.25</v>
      </c>
      <c r="D1655" s="116">
        <v>2403.5500000000002</v>
      </c>
      <c r="E1655" s="116">
        <v>2423</v>
      </c>
      <c r="F1655" s="116">
        <v>2452.25</v>
      </c>
      <c r="G1655">
        <v>29881</v>
      </c>
      <c r="H1655" s="116"/>
      <c r="I1655" s="116"/>
      <c r="L1655" s="170">
        <v>44655</v>
      </c>
      <c r="M1655" s="116">
        <v>2453.5</v>
      </c>
      <c r="N1655" s="116">
        <v>2475</v>
      </c>
      <c r="O1655" s="116">
        <v>2401.9499999999998</v>
      </c>
      <c r="P1655" s="116">
        <v>2419</v>
      </c>
      <c r="Q1655" s="116">
        <v>2453.5</v>
      </c>
      <c r="R1655">
        <v>330330</v>
      </c>
    </row>
    <row r="1656" spans="1:18" x14ac:dyDescent="0.25">
      <c r="A1656" s="170">
        <v>44656</v>
      </c>
      <c r="B1656" s="116">
        <v>2515.5500000000002</v>
      </c>
      <c r="C1656" s="116">
        <v>2453.35</v>
      </c>
      <c r="D1656" s="116">
        <v>2384.15</v>
      </c>
      <c r="E1656" s="116">
        <v>2483</v>
      </c>
      <c r="F1656" s="116">
        <v>2453.35</v>
      </c>
      <c r="G1656">
        <v>16656</v>
      </c>
      <c r="H1656" s="116"/>
      <c r="I1656" s="116"/>
      <c r="L1656" s="170">
        <v>44656</v>
      </c>
      <c r="M1656" s="116">
        <v>2443.85</v>
      </c>
      <c r="N1656" s="116">
        <v>2515</v>
      </c>
      <c r="O1656" s="116">
        <v>2382.1999999999998</v>
      </c>
      <c r="P1656" s="116">
        <v>2457</v>
      </c>
      <c r="Q1656" s="116">
        <v>2443.85</v>
      </c>
      <c r="R1656">
        <v>455120</v>
      </c>
    </row>
    <row r="1657" spans="1:18" x14ac:dyDescent="0.25">
      <c r="A1657" s="170">
        <v>44657</v>
      </c>
      <c r="B1657" s="116">
        <v>2500</v>
      </c>
      <c r="C1657" s="116">
        <v>2484.1999999999998</v>
      </c>
      <c r="D1657" s="116">
        <v>2424.4</v>
      </c>
      <c r="E1657" s="116">
        <v>2449.9</v>
      </c>
      <c r="F1657" s="116">
        <v>2484.1999999999998</v>
      </c>
      <c r="G1657">
        <v>20502</v>
      </c>
      <c r="H1657" s="116"/>
      <c r="I1657" s="116"/>
      <c r="L1657" s="170">
        <v>44657</v>
      </c>
      <c r="M1657" s="116">
        <v>2484.0500000000002</v>
      </c>
      <c r="N1657" s="116">
        <v>2504.35</v>
      </c>
      <c r="O1657" s="116">
        <v>2419.15</v>
      </c>
      <c r="P1657" s="116">
        <v>2443.85</v>
      </c>
      <c r="Q1657" s="116">
        <v>2484.0500000000002</v>
      </c>
      <c r="R1657">
        <v>247889</v>
      </c>
    </row>
    <row r="1658" spans="1:18" x14ac:dyDescent="0.25">
      <c r="A1658" s="170">
        <v>44658</v>
      </c>
      <c r="B1658" s="116">
        <v>2714.4</v>
      </c>
      <c r="C1658" s="116">
        <v>2458.1999999999998</v>
      </c>
      <c r="D1658" s="116">
        <v>2382.35</v>
      </c>
      <c r="E1658" s="116">
        <v>2514.8000000000002</v>
      </c>
      <c r="F1658" s="116">
        <v>2458.1999999999998</v>
      </c>
      <c r="G1658">
        <v>79779</v>
      </c>
      <c r="H1658" s="116"/>
      <c r="I1658" s="116"/>
      <c r="L1658" s="170">
        <v>44658</v>
      </c>
      <c r="M1658" s="116">
        <v>2449.65</v>
      </c>
      <c r="N1658" s="116">
        <v>2721.85</v>
      </c>
      <c r="O1658" s="116">
        <v>2382.3000000000002</v>
      </c>
      <c r="P1658" s="116">
        <v>2510</v>
      </c>
      <c r="Q1658" s="116">
        <v>2449.65</v>
      </c>
      <c r="R1658">
        <v>875734</v>
      </c>
    </row>
    <row r="1659" spans="1:18" x14ac:dyDescent="0.25">
      <c r="A1659" s="170">
        <v>44659</v>
      </c>
      <c r="B1659" s="116">
        <v>2587.8000000000002</v>
      </c>
      <c r="C1659" s="116">
        <v>2542</v>
      </c>
      <c r="D1659" s="116">
        <v>2491.9</v>
      </c>
      <c r="E1659" s="116">
        <v>2508.1999999999998</v>
      </c>
      <c r="F1659" s="116">
        <v>2542</v>
      </c>
      <c r="G1659">
        <v>27989</v>
      </c>
      <c r="H1659" s="116"/>
      <c r="I1659" s="116"/>
      <c r="L1659" s="170">
        <v>44659</v>
      </c>
      <c r="M1659" s="116">
        <v>2540.25</v>
      </c>
      <c r="N1659" s="116">
        <v>2576.75</v>
      </c>
      <c r="O1659" s="116">
        <v>2490</v>
      </c>
      <c r="P1659" s="116">
        <v>2539.9499999999998</v>
      </c>
      <c r="Q1659" s="116">
        <v>2540.25</v>
      </c>
      <c r="R1659">
        <v>346652</v>
      </c>
    </row>
    <row r="1660" spans="1:18" x14ac:dyDescent="0.25">
      <c r="A1660" s="170">
        <v>44662</v>
      </c>
      <c r="B1660" s="116">
        <v>2796.2</v>
      </c>
      <c r="C1660" s="116">
        <v>2755.55</v>
      </c>
      <c r="D1660" s="116">
        <v>2589.5</v>
      </c>
      <c r="E1660" s="116">
        <v>2599.9499999999998</v>
      </c>
      <c r="F1660" s="116">
        <v>2755.55</v>
      </c>
      <c r="G1660">
        <v>55524</v>
      </c>
      <c r="H1660" s="116"/>
      <c r="I1660" s="116"/>
      <c r="L1660" s="170">
        <v>44662</v>
      </c>
      <c r="M1660" s="116">
        <v>2756.5</v>
      </c>
      <c r="N1660" s="116">
        <v>2794.25</v>
      </c>
      <c r="O1660" s="116">
        <v>2580.25</v>
      </c>
      <c r="P1660" s="116">
        <v>2598</v>
      </c>
      <c r="Q1660" s="116">
        <v>2756.5</v>
      </c>
      <c r="R1660">
        <v>585491</v>
      </c>
    </row>
    <row r="1661" spans="1:18" x14ac:dyDescent="0.25">
      <c r="A1661" s="170">
        <v>44663</v>
      </c>
      <c r="B1661" s="116">
        <v>3000</v>
      </c>
      <c r="C1661" s="116">
        <v>2672.9</v>
      </c>
      <c r="D1661" s="116">
        <v>2600</v>
      </c>
      <c r="E1661" s="116">
        <v>2837</v>
      </c>
      <c r="F1661" s="116">
        <v>2672.9</v>
      </c>
      <c r="G1661">
        <v>128942</v>
      </c>
      <c r="H1661" s="116"/>
      <c r="I1661" s="116"/>
      <c r="L1661" s="170">
        <v>44663</v>
      </c>
      <c r="M1661" s="116">
        <v>2680.55</v>
      </c>
      <c r="N1661" s="116">
        <v>3000</v>
      </c>
      <c r="O1661" s="116">
        <v>2600</v>
      </c>
      <c r="P1661" s="116">
        <v>2788</v>
      </c>
      <c r="Q1661" s="116">
        <v>2680.55</v>
      </c>
      <c r="R1661">
        <v>1405621</v>
      </c>
    </row>
    <row r="1662" spans="1:18" x14ac:dyDescent="0.25">
      <c r="A1662" s="170">
        <v>44664</v>
      </c>
      <c r="B1662" s="116">
        <v>2812.2</v>
      </c>
      <c r="C1662" s="116">
        <v>2690.6</v>
      </c>
      <c r="D1662" s="116">
        <v>2660</v>
      </c>
      <c r="E1662" s="116">
        <v>2777</v>
      </c>
      <c r="F1662" s="116">
        <v>2690.6</v>
      </c>
      <c r="G1662">
        <v>42362</v>
      </c>
      <c r="H1662" s="116"/>
      <c r="I1662" s="116"/>
      <c r="L1662" s="170">
        <v>44664</v>
      </c>
      <c r="M1662" s="116">
        <v>2690.75</v>
      </c>
      <c r="N1662" s="116">
        <v>2802.1</v>
      </c>
      <c r="O1662" s="116">
        <v>2660.55</v>
      </c>
      <c r="P1662" s="116">
        <v>2758</v>
      </c>
      <c r="Q1662" s="116">
        <v>2690.75</v>
      </c>
      <c r="R1662">
        <v>628055</v>
      </c>
    </row>
    <row r="1663" spans="1:18" x14ac:dyDescent="0.25">
      <c r="A1663" s="170">
        <v>44669</v>
      </c>
      <c r="B1663" s="116">
        <v>2751.2</v>
      </c>
      <c r="C1663" s="116">
        <v>2725.7</v>
      </c>
      <c r="D1663" s="116">
        <v>2581.0500000000002</v>
      </c>
      <c r="E1663" s="116">
        <v>2704.95</v>
      </c>
      <c r="F1663" s="116">
        <v>2725.7</v>
      </c>
      <c r="G1663">
        <v>39104</v>
      </c>
      <c r="H1663" s="116"/>
      <c r="I1663" s="116"/>
      <c r="L1663" s="170">
        <v>44669</v>
      </c>
      <c r="M1663" s="116">
        <v>2728.3</v>
      </c>
      <c r="N1663" s="116">
        <v>2752</v>
      </c>
      <c r="O1663" s="116">
        <v>2580</v>
      </c>
      <c r="P1663" s="116">
        <v>2689.9</v>
      </c>
      <c r="Q1663" s="116">
        <v>2728.3</v>
      </c>
      <c r="R1663">
        <v>532022</v>
      </c>
    </row>
    <row r="1664" spans="1:18" x14ac:dyDescent="0.25">
      <c r="A1664" s="170">
        <v>44670</v>
      </c>
      <c r="B1664" s="116">
        <v>2809.45</v>
      </c>
      <c r="C1664" s="116">
        <v>2583</v>
      </c>
      <c r="D1664" s="116">
        <v>2462.9499999999998</v>
      </c>
      <c r="E1664" s="116">
        <v>2780</v>
      </c>
      <c r="F1664" s="116">
        <v>2583</v>
      </c>
      <c r="G1664">
        <v>56120</v>
      </c>
      <c r="H1664" s="116"/>
      <c r="I1664" s="116"/>
      <c r="L1664" s="170">
        <v>44670</v>
      </c>
      <c r="M1664" s="116">
        <v>2598.0500000000002</v>
      </c>
      <c r="N1664" s="116">
        <v>2808.75</v>
      </c>
      <c r="O1664" s="116">
        <v>2461.0500000000002</v>
      </c>
      <c r="P1664" s="116">
        <v>2770</v>
      </c>
      <c r="Q1664" s="116">
        <v>2598.0500000000002</v>
      </c>
      <c r="R1664">
        <v>743147</v>
      </c>
    </row>
    <row r="1665" spans="1:18" x14ac:dyDescent="0.25">
      <c r="A1665" s="170">
        <v>44671</v>
      </c>
      <c r="B1665" s="116">
        <v>2748</v>
      </c>
      <c r="C1665" s="116">
        <v>2688.65</v>
      </c>
      <c r="D1665" s="116">
        <v>2652.05</v>
      </c>
      <c r="E1665" s="116">
        <v>2699</v>
      </c>
      <c r="F1665" s="116">
        <v>2688.65</v>
      </c>
      <c r="G1665">
        <v>31166</v>
      </c>
      <c r="H1665" s="116"/>
      <c r="I1665" s="116"/>
      <c r="L1665" s="170">
        <v>44671</v>
      </c>
      <c r="M1665" s="116">
        <v>2687.55</v>
      </c>
      <c r="N1665" s="116">
        <v>2750</v>
      </c>
      <c r="O1665" s="116">
        <v>2650.05</v>
      </c>
      <c r="P1665" s="116">
        <v>2688</v>
      </c>
      <c r="Q1665" s="116">
        <v>2687.55</v>
      </c>
      <c r="R1665">
        <v>719165</v>
      </c>
    </row>
    <row r="1666" spans="1:18" x14ac:dyDescent="0.25">
      <c r="A1666" s="170">
        <v>44672</v>
      </c>
      <c r="B1666" s="116">
        <v>2747.7</v>
      </c>
      <c r="C1666" s="116">
        <v>2700.1</v>
      </c>
      <c r="D1666" s="116">
        <v>2664</v>
      </c>
      <c r="E1666" s="116">
        <v>2745</v>
      </c>
      <c r="F1666" s="116">
        <v>2700.1</v>
      </c>
      <c r="G1666">
        <v>25259</v>
      </c>
      <c r="H1666" s="116"/>
      <c r="I1666" s="116"/>
      <c r="L1666" s="170">
        <v>44672</v>
      </c>
      <c r="M1666" s="116">
        <v>2699.6</v>
      </c>
      <c r="N1666" s="116">
        <v>2747.7</v>
      </c>
      <c r="O1666" s="116">
        <v>2663</v>
      </c>
      <c r="P1666" s="116">
        <v>2744</v>
      </c>
      <c r="Q1666" s="116">
        <v>2699.6</v>
      </c>
      <c r="R1666">
        <v>420973</v>
      </c>
    </row>
    <row r="1667" spans="1:18" x14ac:dyDescent="0.25">
      <c r="A1667" s="170">
        <v>44673</v>
      </c>
      <c r="B1667" s="116">
        <v>2704</v>
      </c>
      <c r="C1667" s="116">
        <v>2653.35</v>
      </c>
      <c r="D1667" s="116">
        <v>2630</v>
      </c>
      <c r="E1667" s="116">
        <v>2704</v>
      </c>
      <c r="F1667" s="116">
        <v>2653.35</v>
      </c>
      <c r="G1667">
        <v>35070</v>
      </c>
      <c r="H1667" s="116"/>
      <c r="I1667" s="116"/>
      <c r="L1667" s="170">
        <v>44673</v>
      </c>
      <c r="M1667" s="116">
        <v>2658.55</v>
      </c>
      <c r="N1667" s="116">
        <v>2706</v>
      </c>
      <c r="O1667" s="116">
        <v>2626.75</v>
      </c>
      <c r="P1667" s="116">
        <v>2694</v>
      </c>
      <c r="Q1667" s="116">
        <v>2658.55</v>
      </c>
      <c r="R1667">
        <v>363276</v>
      </c>
    </row>
    <row r="1668" spans="1:18" x14ac:dyDescent="0.25">
      <c r="A1668" s="170">
        <v>44676</v>
      </c>
      <c r="B1668" s="116">
        <v>2690.35</v>
      </c>
      <c r="C1668" s="116">
        <v>2606.8000000000002</v>
      </c>
      <c r="D1668" s="116">
        <v>2543.1999999999998</v>
      </c>
      <c r="E1668" s="116">
        <v>2660</v>
      </c>
      <c r="F1668" s="116">
        <v>2606.8000000000002</v>
      </c>
      <c r="G1668">
        <v>13012</v>
      </c>
      <c r="H1668" s="116"/>
      <c r="I1668" s="116"/>
      <c r="L1668" s="170">
        <v>44676</v>
      </c>
      <c r="M1668" s="116">
        <v>2615.9</v>
      </c>
      <c r="N1668" s="116">
        <v>2698.55</v>
      </c>
      <c r="O1668" s="116">
        <v>2548.0500000000002</v>
      </c>
      <c r="P1668" s="116">
        <v>2655.5</v>
      </c>
      <c r="Q1668" s="116">
        <v>2615.9</v>
      </c>
      <c r="R1668">
        <v>160308</v>
      </c>
    </row>
    <row r="1669" spans="1:18" x14ac:dyDescent="0.25">
      <c r="A1669" s="170">
        <v>44677</v>
      </c>
      <c r="B1669" s="116">
        <v>2867.45</v>
      </c>
      <c r="C1669" s="116">
        <v>2828.45</v>
      </c>
      <c r="D1669" s="116">
        <v>2638</v>
      </c>
      <c r="E1669" s="116">
        <v>2638</v>
      </c>
      <c r="F1669" s="116">
        <v>2828.45</v>
      </c>
      <c r="G1669">
        <v>49764</v>
      </c>
      <c r="H1669" s="116"/>
      <c r="I1669" s="116"/>
      <c r="L1669" s="170">
        <v>44677</v>
      </c>
      <c r="M1669" s="116">
        <v>2812.55</v>
      </c>
      <c r="N1669" s="116">
        <v>2869.4</v>
      </c>
      <c r="O1669" s="116">
        <v>2655.05</v>
      </c>
      <c r="P1669" s="116">
        <v>2668</v>
      </c>
      <c r="Q1669" s="116">
        <v>2812.55</v>
      </c>
      <c r="R1669">
        <v>834855</v>
      </c>
    </row>
    <row r="1670" spans="1:18" x14ac:dyDescent="0.25">
      <c r="A1670" s="170">
        <v>44678</v>
      </c>
      <c r="B1670" s="116">
        <v>2879</v>
      </c>
      <c r="C1670" s="116">
        <v>2714.25</v>
      </c>
      <c r="D1670" s="116">
        <v>2691</v>
      </c>
      <c r="E1670" s="116">
        <v>2854</v>
      </c>
      <c r="F1670" s="116">
        <v>2714.25</v>
      </c>
      <c r="G1670">
        <v>73509</v>
      </c>
      <c r="H1670" s="116"/>
      <c r="I1670" s="116"/>
      <c r="L1670" s="170">
        <v>44678</v>
      </c>
      <c r="M1670" s="116">
        <v>2712.2</v>
      </c>
      <c r="N1670" s="116">
        <v>2870</v>
      </c>
      <c r="O1670" s="116">
        <v>2694.35</v>
      </c>
      <c r="P1670" s="116">
        <v>2849.7</v>
      </c>
      <c r="Q1670" s="116">
        <v>2712.2</v>
      </c>
      <c r="R1670">
        <v>603568</v>
      </c>
    </row>
    <row r="1671" spans="1:18" x14ac:dyDescent="0.25">
      <c r="A1671" s="170">
        <v>44679</v>
      </c>
      <c r="B1671" s="116">
        <v>2833</v>
      </c>
      <c r="C1671" s="116">
        <v>2801.9</v>
      </c>
      <c r="D1671" s="116">
        <v>2720</v>
      </c>
      <c r="E1671" s="116">
        <v>2778.8</v>
      </c>
      <c r="F1671" s="116">
        <v>2801.9</v>
      </c>
      <c r="G1671">
        <v>51094</v>
      </c>
      <c r="H1671" s="116"/>
      <c r="I1671" s="116"/>
      <c r="L1671" s="170">
        <v>44679</v>
      </c>
      <c r="M1671" s="116">
        <v>2796.65</v>
      </c>
      <c r="N1671" s="116">
        <v>2834.8</v>
      </c>
      <c r="O1671" s="116">
        <v>2720.6</v>
      </c>
      <c r="P1671" s="116">
        <v>2761.1</v>
      </c>
      <c r="Q1671" s="116">
        <v>2796.65</v>
      </c>
      <c r="R1671">
        <v>476132</v>
      </c>
    </row>
    <row r="1672" spans="1:18" x14ac:dyDescent="0.25">
      <c r="A1672" s="170">
        <v>44680</v>
      </c>
      <c r="B1672" s="116">
        <v>2899</v>
      </c>
      <c r="C1672" s="116">
        <v>2805.1</v>
      </c>
      <c r="D1672" s="116">
        <v>2708.15</v>
      </c>
      <c r="E1672" s="116">
        <v>2820</v>
      </c>
      <c r="F1672" s="116">
        <v>2805.1</v>
      </c>
      <c r="G1672">
        <v>67892</v>
      </c>
      <c r="H1672" s="116"/>
      <c r="I1672" s="116"/>
      <c r="L1672" s="170">
        <v>44680</v>
      </c>
      <c r="M1672" s="116">
        <v>2789.5</v>
      </c>
      <c r="N1672" s="116">
        <v>2900</v>
      </c>
      <c r="O1672" s="116">
        <v>2702</v>
      </c>
      <c r="P1672" s="116">
        <v>2837.8</v>
      </c>
      <c r="Q1672" s="116">
        <v>2789.5</v>
      </c>
      <c r="R1672">
        <v>617737</v>
      </c>
    </row>
    <row r="1673" spans="1:18" x14ac:dyDescent="0.25">
      <c r="A1673" s="170">
        <v>44683</v>
      </c>
      <c r="B1673" s="116">
        <v>2835</v>
      </c>
      <c r="C1673" s="116">
        <v>2804.95</v>
      </c>
      <c r="D1673" s="116">
        <v>2696</v>
      </c>
      <c r="E1673" s="116">
        <v>2781</v>
      </c>
      <c r="F1673" s="116">
        <v>2804.95</v>
      </c>
      <c r="G1673">
        <v>33175</v>
      </c>
      <c r="H1673" s="116"/>
      <c r="I1673" s="116"/>
      <c r="L1673" s="170">
        <v>44683</v>
      </c>
      <c r="M1673" s="116">
        <v>2804.45</v>
      </c>
      <c r="N1673" s="116">
        <v>2838</v>
      </c>
      <c r="O1673" s="116">
        <v>2695</v>
      </c>
      <c r="P1673" s="116">
        <v>2774</v>
      </c>
      <c r="Q1673" s="116">
        <v>2804.45</v>
      </c>
      <c r="R1673">
        <v>315168</v>
      </c>
    </row>
    <row r="1674" spans="1:18" x14ac:dyDescent="0.25">
      <c r="A1674" s="170">
        <v>44685</v>
      </c>
      <c r="B1674" s="116">
        <v>2832</v>
      </c>
      <c r="C1674" s="116">
        <v>2783.55</v>
      </c>
      <c r="D1674" s="116">
        <v>2740.65</v>
      </c>
      <c r="E1674" s="116">
        <v>2832</v>
      </c>
      <c r="F1674" s="116">
        <v>2783.55</v>
      </c>
      <c r="G1674">
        <v>310880</v>
      </c>
      <c r="H1674" s="116"/>
      <c r="I1674" s="116"/>
      <c r="L1674" s="170">
        <v>44685</v>
      </c>
      <c r="M1674" s="116">
        <v>2783.3</v>
      </c>
      <c r="N1674" s="116">
        <v>2820</v>
      </c>
      <c r="O1674" s="116">
        <v>2741.75</v>
      </c>
      <c r="P1674" s="116">
        <v>2818.85</v>
      </c>
      <c r="Q1674" s="116">
        <v>2783.3</v>
      </c>
      <c r="R1674">
        <v>300718</v>
      </c>
    </row>
    <row r="1675" spans="1:18" x14ac:dyDescent="0.25">
      <c r="A1675" s="170">
        <v>44686</v>
      </c>
      <c r="B1675" s="116">
        <v>2829.95</v>
      </c>
      <c r="C1675" s="116">
        <v>2802.35</v>
      </c>
      <c r="D1675" s="116">
        <v>2729.05</v>
      </c>
      <c r="E1675" s="116">
        <v>2807</v>
      </c>
      <c r="F1675" s="116">
        <v>2802.35</v>
      </c>
      <c r="G1675">
        <v>25356</v>
      </c>
      <c r="H1675" s="116"/>
      <c r="I1675" s="116"/>
      <c r="L1675" s="170">
        <v>44686</v>
      </c>
      <c r="M1675" s="116">
        <v>2801.65</v>
      </c>
      <c r="N1675" s="116">
        <v>2824.95</v>
      </c>
      <c r="O1675" s="116">
        <v>2730.15</v>
      </c>
      <c r="P1675" s="116">
        <v>2820.1</v>
      </c>
      <c r="Q1675" s="116">
        <v>2801.65</v>
      </c>
      <c r="R1675">
        <v>235806</v>
      </c>
    </row>
    <row r="1676" spans="1:18" x14ac:dyDescent="0.25">
      <c r="A1676" s="170">
        <v>44687</v>
      </c>
      <c r="B1676" s="116">
        <v>2870</v>
      </c>
      <c r="C1676" s="116">
        <v>2819.65</v>
      </c>
      <c r="D1676" s="116">
        <v>2682.3</v>
      </c>
      <c r="E1676" s="116">
        <v>2730.2</v>
      </c>
      <c r="F1676" s="116">
        <v>2819.65</v>
      </c>
      <c r="G1676">
        <v>23666</v>
      </c>
      <c r="H1676" s="116"/>
      <c r="I1676" s="116"/>
      <c r="L1676" s="170">
        <v>44687</v>
      </c>
      <c r="M1676" s="116">
        <v>2816.5</v>
      </c>
      <c r="N1676" s="116">
        <v>2871.25</v>
      </c>
      <c r="O1676" s="116">
        <v>2690.15</v>
      </c>
      <c r="P1676" s="116">
        <v>2700</v>
      </c>
      <c r="Q1676" s="116">
        <v>2816.5</v>
      </c>
      <c r="R1676">
        <v>345791</v>
      </c>
    </row>
    <row r="1677" spans="1:18" x14ac:dyDescent="0.25">
      <c r="A1677" s="170">
        <v>44690</v>
      </c>
      <c r="B1677" s="116">
        <v>2807.2</v>
      </c>
      <c r="C1677" s="116">
        <v>2694.55</v>
      </c>
      <c r="D1677" s="116">
        <v>2601.9</v>
      </c>
      <c r="E1677" s="116">
        <v>2782</v>
      </c>
      <c r="F1677" s="116">
        <v>2694.55</v>
      </c>
      <c r="G1677">
        <v>26642</v>
      </c>
      <c r="H1677" s="116"/>
      <c r="I1677" s="116"/>
      <c r="L1677" s="170">
        <v>44690</v>
      </c>
      <c r="M1677" s="116">
        <v>2703.45</v>
      </c>
      <c r="N1677" s="116">
        <v>2805.3</v>
      </c>
      <c r="O1677" s="116">
        <v>2612</v>
      </c>
      <c r="P1677" s="116">
        <v>2792.5</v>
      </c>
      <c r="Q1677" s="116">
        <v>2703.45</v>
      </c>
      <c r="R1677">
        <v>218125</v>
      </c>
    </row>
    <row r="1678" spans="1:18" x14ac:dyDescent="0.25">
      <c r="A1678" s="170">
        <v>44691</v>
      </c>
      <c r="B1678" s="116">
        <v>2780</v>
      </c>
      <c r="C1678" s="116">
        <v>2475.1</v>
      </c>
      <c r="D1678" s="116">
        <v>2431.65</v>
      </c>
      <c r="E1678" s="116">
        <v>2700</v>
      </c>
      <c r="F1678" s="116">
        <v>2475.1</v>
      </c>
      <c r="G1678">
        <v>29126</v>
      </c>
      <c r="H1678" s="116"/>
      <c r="I1678" s="116"/>
      <c r="L1678" s="170">
        <v>44691</v>
      </c>
      <c r="M1678" s="116">
        <v>2482.5500000000002</v>
      </c>
      <c r="N1678" s="116">
        <v>2788.9</v>
      </c>
      <c r="O1678" s="116">
        <v>2444</v>
      </c>
      <c r="P1678" s="116">
        <v>2703</v>
      </c>
      <c r="Q1678" s="116">
        <v>2482.5500000000002</v>
      </c>
      <c r="R1678">
        <v>538084</v>
      </c>
    </row>
    <row r="1679" spans="1:18" x14ac:dyDescent="0.25">
      <c r="A1679" s="170">
        <v>44692</v>
      </c>
      <c r="B1679" s="116">
        <v>2647.55</v>
      </c>
      <c r="C1679" s="116">
        <v>2296.1</v>
      </c>
      <c r="D1679" s="116">
        <v>2251</v>
      </c>
      <c r="E1679" s="116">
        <v>2411</v>
      </c>
      <c r="F1679" s="116">
        <v>2296.1</v>
      </c>
      <c r="G1679">
        <v>48782</v>
      </c>
      <c r="H1679" s="116"/>
      <c r="I1679" s="116"/>
      <c r="L1679" s="170">
        <v>44692</v>
      </c>
      <c r="M1679" s="116">
        <v>2296</v>
      </c>
      <c r="N1679" s="116">
        <v>2649.9</v>
      </c>
      <c r="O1679" s="116">
        <v>2250</v>
      </c>
      <c r="P1679" s="116">
        <v>2446</v>
      </c>
      <c r="Q1679" s="116">
        <v>2296</v>
      </c>
      <c r="R1679">
        <v>825849</v>
      </c>
    </row>
    <row r="1680" spans="1:18" x14ac:dyDescent="0.25">
      <c r="A1680" s="170">
        <v>44693</v>
      </c>
      <c r="B1680" s="116">
        <v>2416</v>
      </c>
      <c r="C1680" s="116">
        <v>2187.85</v>
      </c>
      <c r="D1680" s="116">
        <v>2145</v>
      </c>
      <c r="E1680" s="116">
        <v>2323.9499999999998</v>
      </c>
      <c r="F1680" s="116">
        <v>2187.85</v>
      </c>
      <c r="G1680">
        <v>79332</v>
      </c>
      <c r="H1680" s="116"/>
      <c r="I1680" s="116"/>
      <c r="L1680" s="170">
        <v>44693</v>
      </c>
      <c r="M1680" s="116">
        <v>2187.0500000000002</v>
      </c>
      <c r="N1680" s="116">
        <v>2413.9</v>
      </c>
      <c r="O1680" s="116">
        <v>2142.0500000000002</v>
      </c>
      <c r="P1680" s="116">
        <v>2300</v>
      </c>
      <c r="Q1680" s="116">
        <v>2187.0500000000002</v>
      </c>
      <c r="R1680">
        <v>702311</v>
      </c>
    </row>
    <row r="1681" spans="1:18" x14ac:dyDescent="0.25">
      <c r="A1681" s="170">
        <v>44694</v>
      </c>
      <c r="B1681" s="116">
        <v>2297.1999999999998</v>
      </c>
      <c r="C1681" s="116">
        <v>2215.75</v>
      </c>
      <c r="D1681" s="116">
        <v>2116</v>
      </c>
      <c r="E1681" s="116">
        <v>2224</v>
      </c>
      <c r="F1681" s="116">
        <v>2215.75</v>
      </c>
      <c r="G1681">
        <v>44191</v>
      </c>
      <c r="H1681" s="116"/>
      <c r="I1681" s="116"/>
      <c r="L1681" s="170">
        <v>44694</v>
      </c>
      <c r="M1681" s="116">
        <v>2190.6</v>
      </c>
      <c r="N1681" s="116">
        <v>2296.4</v>
      </c>
      <c r="O1681" s="116">
        <v>2111.3000000000002</v>
      </c>
      <c r="P1681" s="116">
        <v>2231</v>
      </c>
      <c r="Q1681" s="116">
        <v>2190.6</v>
      </c>
      <c r="R1681">
        <v>394360</v>
      </c>
    </row>
    <row r="1682" spans="1:18" x14ac:dyDescent="0.25">
      <c r="A1682" s="170">
        <v>44697</v>
      </c>
      <c r="B1682" s="116">
        <v>2272.85</v>
      </c>
      <c r="C1682" s="116">
        <v>2249.1999999999998</v>
      </c>
      <c r="D1682" s="116">
        <v>2121.65</v>
      </c>
      <c r="E1682" s="116">
        <v>2174</v>
      </c>
      <c r="F1682" s="116">
        <v>2249.1999999999998</v>
      </c>
      <c r="G1682">
        <v>34842</v>
      </c>
      <c r="H1682" s="116"/>
      <c r="I1682" s="116"/>
      <c r="L1682" s="170">
        <v>44697</v>
      </c>
      <c r="M1682" s="116">
        <v>2249.9</v>
      </c>
      <c r="N1682" s="116">
        <v>2273.9499999999998</v>
      </c>
      <c r="O1682" s="116">
        <v>2116.25</v>
      </c>
      <c r="P1682" s="116">
        <v>2180</v>
      </c>
      <c r="Q1682" s="116">
        <v>2249.9</v>
      </c>
      <c r="R1682">
        <v>317043</v>
      </c>
    </row>
    <row r="1683" spans="1:18" x14ac:dyDescent="0.25">
      <c r="A1683" s="170">
        <v>44698</v>
      </c>
      <c r="B1683" s="116">
        <v>2354.9499999999998</v>
      </c>
      <c r="C1683" s="116">
        <v>2328.15</v>
      </c>
      <c r="D1683" s="116">
        <v>2232.1</v>
      </c>
      <c r="E1683" s="116">
        <v>2263</v>
      </c>
      <c r="F1683" s="116">
        <v>2328.15</v>
      </c>
      <c r="G1683">
        <v>9597</v>
      </c>
      <c r="H1683" s="116"/>
      <c r="I1683" s="116"/>
      <c r="L1683" s="170">
        <v>44698</v>
      </c>
      <c r="M1683" s="116">
        <v>2333.4</v>
      </c>
      <c r="N1683" s="116">
        <v>2355</v>
      </c>
      <c r="O1683" s="116">
        <v>2232</v>
      </c>
      <c r="P1683" s="116">
        <v>2274</v>
      </c>
      <c r="Q1683" s="116">
        <v>2333.4</v>
      </c>
      <c r="R1683">
        <v>233157</v>
      </c>
    </row>
    <row r="1684" spans="1:18" x14ac:dyDescent="0.25">
      <c r="A1684" s="170">
        <v>44699</v>
      </c>
      <c r="B1684" s="116">
        <v>2444.5500000000002</v>
      </c>
      <c r="C1684" s="116">
        <v>2322.6999999999998</v>
      </c>
      <c r="D1684" s="116">
        <v>2291.65</v>
      </c>
      <c r="E1684" s="116">
        <v>2389.9499999999998</v>
      </c>
      <c r="F1684" s="116">
        <v>2322.6999999999998</v>
      </c>
      <c r="G1684">
        <v>26653</v>
      </c>
      <c r="H1684" s="116"/>
      <c r="I1684" s="116"/>
      <c r="L1684" s="170">
        <v>44699</v>
      </c>
      <c r="M1684" s="116">
        <v>2316</v>
      </c>
      <c r="N1684" s="116">
        <v>2450</v>
      </c>
      <c r="O1684" s="116">
        <v>2292</v>
      </c>
      <c r="P1684" s="116">
        <v>2361.4</v>
      </c>
      <c r="Q1684" s="116">
        <v>2316</v>
      </c>
      <c r="R1684">
        <v>384413</v>
      </c>
    </row>
    <row r="1685" spans="1:18" x14ac:dyDescent="0.25">
      <c r="A1685" s="170">
        <v>44700</v>
      </c>
      <c r="B1685" s="116">
        <v>2309</v>
      </c>
      <c r="C1685" s="116">
        <v>2267.25</v>
      </c>
      <c r="D1685" s="116">
        <v>2250.0500000000002</v>
      </c>
      <c r="E1685" s="116">
        <v>2250.0500000000002</v>
      </c>
      <c r="F1685" s="116">
        <v>2267.25</v>
      </c>
      <c r="G1685">
        <v>14037</v>
      </c>
      <c r="H1685" s="116"/>
      <c r="I1685" s="116"/>
      <c r="L1685" s="170">
        <v>44700</v>
      </c>
      <c r="M1685" s="116">
        <v>2265</v>
      </c>
      <c r="N1685" s="116">
        <v>2309.9</v>
      </c>
      <c r="O1685" s="116">
        <v>2249.5500000000002</v>
      </c>
      <c r="P1685" s="116">
        <v>2268.3000000000002</v>
      </c>
      <c r="Q1685" s="116">
        <v>2265</v>
      </c>
      <c r="R1685">
        <v>158207</v>
      </c>
    </row>
    <row r="1686" spans="1:18" x14ac:dyDescent="0.25">
      <c r="A1686" s="170">
        <v>44701</v>
      </c>
      <c r="B1686" s="116">
        <v>2349</v>
      </c>
      <c r="C1686" s="116">
        <v>2311.6999999999998</v>
      </c>
      <c r="D1686" s="116">
        <v>2275.0500000000002</v>
      </c>
      <c r="E1686" s="116">
        <v>2338</v>
      </c>
      <c r="F1686" s="116">
        <v>2311.6999999999998</v>
      </c>
      <c r="G1686">
        <v>16896</v>
      </c>
      <c r="H1686" s="116"/>
      <c r="I1686" s="116"/>
      <c r="L1686" s="170">
        <v>44701</v>
      </c>
      <c r="M1686" s="116">
        <v>2310.9499999999998</v>
      </c>
      <c r="N1686" s="116">
        <v>2348.9499999999998</v>
      </c>
      <c r="O1686" s="116">
        <v>2275.5</v>
      </c>
      <c r="P1686" s="116">
        <v>2340</v>
      </c>
      <c r="Q1686" s="116">
        <v>2310.9499999999998</v>
      </c>
      <c r="R1686">
        <v>212364</v>
      </c>
    </row>
    <row r="1687" spans="1:18" x14ac:dyDescent="0.25">
      <c r="A1687" s="170">
        <v>44704</v>
      </c>
      <c r="B1687" s="116">
        <v>2315</v>
      </c>
      <c r="C1687" s="116">
        <v>2202.85</v>
      </c>
      <c r="D1687" s="116">
        <v>2196.15</v>
      </c>
      <c r="E1687" s="116">
        <v>2284.1999999999998</v>
      </c>
      <c r="F1687" s="116">
        <v>2202.85</v>
      </c>
      <c r="G1687">
        <v>15524</v>
      </c>
      <c r="H1687" s="116"/>
      <c r="I1687" s="116"/>
      <c r="L1687" s="170">
        <v>44704</v>
      </c>
      <c r="M1687" s="116">
        <v>2199.1999999999998</v>
      </c>
      <c r="N1687" s="116">
        <v>2319.9</v>
      </c>
      <c r="O1687" s="116">
        <v>2195.4499999999998</v>
      </c>
      <c r="P1687" s="116">
        <v>2313</v>
      </c>
      <c r="Q1687" s="116">
        <v>2199.1999999999998</v>
      </c>
      <c r="R1687">
        <v>225607</v>
      </c>
    </row>
    <row r="1688" spans="1:18" x14ac:dyDescent="0.25">
      <c r="A1688" s="170">
        <v>44705</v>
      </c>
      <c r="B1688" s="116">
        <v>2234</v>
      </c>
      <c r="C1688" s="116">
        <v>2197.65</v>
      </c>
      <c r="D1688" s="116">
        <v>2119.6</v>
      </c>
      <c r="E1688" s="116">
        <v>2234</v>
      </c>
      <c r="F1688" s="116">
        <v>2197.65</v>
      </c>
      <c r="G1688">
        <v>17284</v>
      </c>
      <c r="H1688" s="116"/>
      <c r="I1688" s="116"/>
      <c r="L1688" s="170">
        <v>44705</v>
      </c>
      <c r="M1688" s="116">
        <v>2196.5</v>
      </c>
      <c r="N1688" s="116">
        <v>2229.4499999999998</v>
      </c>
      <c r="O1688" s="116">
        <v>2122.1</v>
      </c>
      <c r="P1688" s="116">
        <v>2220</v>
      </c>
      <c r="Q1688" s="116">
        <v>2196.5</v>
      </c>
      <c r="R1688">
        <v>195577</v>
      </c>
    </row>
    <row r="1689" spans="1:18" x14ac:dyDescent="0.25">
      <c r="A1689" s="170">
        <v>44706</v>
      </c>
      <c r="B1689" s="116">
        <v>2202.0500000000002</v>
      </c>
      <c r="C1689" s="116">
        <v>2089.4499999999998</v>
      </c>
      <c r="D1689" s="116">
        <v>2087.8000000000002</v>
      </c>
      <c r="E1689" s="116">
        <v>2202</v>
      </c>
      <c r="F1689" s="116">
        <v>2089.4499999999998</v>
      </c>
      <c r="G1689">
        <v>11385</v>
      </c>
      <c r="H1689" s="116"/>
      <c r="I1689" s="116"/>
      <c r="L1689" s="170">
        <v>44706</v>
      </c>
      <c r="M1689" s="116">
        <v>2087.9499999999998</v>
      </c>
      <c r="N1689" s="116">
        <v>2206</v>
      </c>
      <c r="O1689" s="116">
        <v>2086.6999999999998</v>
      </c>
      <c r="P1689" s="116">
        <v>2206</v>
      </c>
      <c r="Q1689" s="116">
        <v>2087.9499999999998</v>
      </c>
      <c r="R1689">
        <v>152652</v>
      </c>
    </row>
    <row r="1690" spans="1:18" x14ac:dyDescent="0.25">
      <c r="A1690" s="170">
        <v>44707</v>
      </c>
      <c r="B1690" s="116">
        <v>2193.9</v>
      </c>
      <c r="C1690" s="116">
        <v>2139.8000000000002</v>
      </c>
      <c r="D1690" s="116">
        <v>1985</v>
      </c>
      <c r="E1690" s="116">
        <v>2099.5</v>
      </c>
      <c r="F1690" s="116">
        <v>2139.8000000000002</v>
      </c>
      <c r="G1690">
        <v>34221</v>
      </c>
      <c r="H1690" s="116"/>
      <c r="I1690" s="116"/>
      <c r="L1690" s="170">
        <v>44707</v>
      </c>
      <c r="M1690" s="116">
        <v>2148.1</v>
      </c>
      <c r="N1690" s="116">
        <v>2192.3000000000002</v>
      </c>
      <c r="O1690" s="116">
        <v>1983.6</v>
      </c>
      <c r="P1690" s="116">
        <v>2100</v>
      </c>
      <c r="Q1690" s="116">
        <v>2148.1</v>
      </c>
      <c r="R1690">
        <v>332786</v>
      </c>
    </row>
    <row r="1691" spans="1:18" x14ac:dyDescent="0.25">
      <c r="A1691" s="170">
        <v>44708</v>
      </c>
      <c r="B1691" s="116">
        <v>2239.9499999999998</v>
      </c>
      <c r="C1691" s="116">
        <v>2186.4499999999998</v>
      </c>
      <c r="D1691" s="116">
        <v>2095.1999999999998</v>
      </c>
      <c r="E1691" s="116">
        <v>2239.9499999999998</v>
      </c>
      <c r="F1691" s="116">
        <v>2186.4499999999998</v>
      </c>
      <c r="G1691">
        <v>22350</v>
      </c>
      <c r="H1691" s="116"/>
      <c r="I1691" s="116"/>
      <c r="L1691" s="170">
        <v>44708</v>
      </c>
      <c r="M1691" s="116">
        <v>2186.25</v>
      </c>
      <c r="N1691" s="116">
        <v>2220</v>
      </c>
      <c r="O1691" s="116">
        <v>2093.0500000000002</v>
      </c>
      <c r="P1691" s="116">
        <v>2210</v>
      </c>
      <c r="Q1691" s="116">
        <v>2186.25</v>
      </c>
      <c r="R1691">
        <v>179723</v>
      </c>
    </row>
    <row r="1692" spans="1:18" x14ac:dyDescent="0.25">
      <c r="A1692" s="170">
        <v>44711</v>
      </c>
      <c r="B1692" s="116">
        <v>2235</v>
      </c>
      <c r="C1692" s="116">
        <v>2155.5</v>
      </c>
      <c r="D1692" s="116">
        <v>2140</v>
      </c>
      <c r="E1692" s="116">
        <v>2190</v>
      </c>
      <c r="F1692" s="116">
        <v>2155.5</v>
      </c>
      <c r="G1692">
        <v>15659</v>
      </c>
      <c r="H1692" s="116"/>
      <c r="I1692" s="116"/>
      <c r="L1692" s="170">
        <v>44711</v>
      </c>
      <c r="M1692" s="116">
        <v>2162</v>
      </c>
      <c r="N1692" s="116">
        <v>2237.9499999999998</v>
      </c>
      <c r="O1692" s="116">
        <v>2140.1999999999998</v>
      </c>
      <c r="P1692" s="116">
        <v>2199</v>
      </c>
      <c r="Q1692" s="116">
        <v>2162</v>
      </c>
      <c r="R1692">
        <v>288673</v>
      </c>
    </row>
    <row r="1693" spans="1:18" x14ac:dyDescent="0.25">
      <c r="A1693" s="170">
        <v>44712</v>
      </c>
      <c r="B1693" s="116">
        <v>2167.9</v>
      </c>
      <c r="C1693" s="116">
        <v>2049.85</v>
      </c>
      <c r="D1693" s="116">
        <v>2047.75</v>
      </c>
      <c r="E1693" s="116">
        <v>2167.9</v>
      </c>
      <c r="F1693" s="116">
        <v>2049.85</v>
      </c>
      <c r="G1693">
        <v>62779</v>
      </c>
      <c r="H1693" s="116"/>
      <c r="I1693" s="116"/>
      <c r="L1693" s="170">
        <v>44712</v>
      </c>
      <c r="M1693" s="116">
        <v>2055</v>
      </c>
      <c r="N1693" s="116">
        <v>2150</v>
      </c>
      <c r="O1693" s="116">
        <v>2053.9</v>
      </c>
      <c r="P1693" s="116">
        <v>2150</v>
      </c>
      <c r="Q1693" s="116">
        <v>2055</v>
      </c>
      <c r="R1693">
        <v>1190728</v>
      </c>
    </row>
    <row r="1694" spans="1:18" x14ac:dyDescent="0.25">
      <c r="A1694" s="170">
        <v>44713</v>
      </c>
      <c r="B1694" s="116">
        <v>2012</v>
      </c>
      <c r="C1694" s="116">
        <v>1958.1</v>
      </c>
      <c r="D1694" s="116">
        <v>1950</v>
      </c>
      <c r="E1694" s="116">
        <v>2012</v>
      </c>
      <c r="F1694" s="116">
        <v>1958.1</v>
      </c>
      <c r="G1694">
        <v>19848</v>
      </c>
      <c r="H1694" s="116"/>
      <c r="I1694" s="116"/>
      <c r="L1694" s="170">
        <v>44713</v>
      </c>
      <c r="M1694" s="116">
        <v>1957.9</v>
      </c>
      <c r="N1694" s="116">
        <v>2002</v>
      </c>
      <c r="O1694" s="116">
        <v>1952.25</v>
      </c>
      <c r="P1694" s="116">
        <v>2002</v>
      </c>
      <c r="Q1694" s="116">
        <v>1957.9</v>
      </c>
      <c r="R1694">
        <v>678831</v>
      </c>
    </row>
    <row r="1695" spans="1:18" x14ac:dyDescent="0.25">
      <c r="A1695" s="170">
        <v>44714</v>
      </c>
      <c r="B1695" s="116">
        <v>2042.9</v>
      </c>
      <c r="C1695" s="116">
        <v>2026.8</v>
      </c>
      <c r="D1695" s="116">
        <v>1900</v>
      </c>
      <c r="E1695" s="116">
        <v>1960</v>
      </c>
      <c r="F1695" s="116">
        <v>2026.8</v>
      </c>
      <c r="G1695">
        <v>43034</v>
      </c>
      <c r="H1695" s="116"/>
      <c r="I1695" s="116"/>
      <c r="L1695" s="170">
        <v>44714</v>
      </c>
      <c r="M1695" s="116">
        <v>2025.7</v>
      </c>
      <c r="N1695" s="116">
        <v>2043</v>
      </c>
      <c r="O1695" s="116">
        <v>1870.55</v>
      </c>
      <c r="P1695" s="116">
        <v>1955.05</v>
      </c>
      <c r="Q1695" s="116">
        <v>2025.7</v>
      </c>
      <c r="R1695">
        <v>518074</v>
      </c>
    </row>
    <row r="1696" spans="1:18" x14ac:dyDescent="0.25">
      <c r="A1696" s="170">
        <v>44715</v>
      </c>
      <c r="B1696" s="116">
        <v>2070.75</v>
      </c>
      <c r="C1696" s="116">
        <v>1953</v>
      </c>
      <c r="D1696" s="116">
        <v>1936.1</v>
      </c>
      <c r="E1696" s="116">
        <v>2040</v>
      </c>
      <c r="F1696" s="116">
        <v>1953</v>
      </c>
      <c r="G1696">
        <v>23967</v>
      </c>
      <c r="H1696" s="116"/>
      <c r="I1696" s="116"/>
      <c r="L1696" s="170">
        <v>44715</v>
      </c>
      <c r="M1696" s="116">
        <v>1956.05</v>
      </c>
      <c r="N1696" s="116">
        <v>2067.8000000000002</v>
      </c>
      <c r="O1696" s="116">
        <v>1934</v>
      </c>
      <c r="P1696" s="116">
        <v>2048</v>
      </c>
      <c r="Q1696" s="116">
        <v>1956.05</v>
      </c>
      <c r="R1696">
        <v>325093</v>
      </c>
    </row>
    <row r="1697" spans="1:18" x14ac:dyDescent="0.25">
      <c r="A1697" s="170">
        <v>44718</v>
      </c>
      <c r="B1697" s="116">
        <v>2029.65</v>
      </c>
      <c r="C1697" s="116">
        <v>2006.85</v>
      </c>
      <c r="D1697" s="116">
        <v>1925</v>
      </c>
      <c r="E1697" s="116">
        <v>2015.05</v>
      </c>
      <c r="F1697" s="116">
        <v>2006.85</v>
      </c>
      <c r="G1697">
        <v>23467</v>
      </c>
      <c r="H1697" s="116"/>
      <c r="I1697" s="116"/>
      <c r="L1697" s="170">
        <v>44718</v>
      </c>
      <c r="M1697" s="116">
        <v>2017.1</v>
      </c>
      <c r="N1697" s="116">
        <v>2031</v>
      </c>
      <c r="O1697" s="116">
        <v>1925.1</v>
      </c>
      <c r="P1697" s="116">
        <v>2016.95</v>
      </c>
      <c r="Q1697" s="116">
        <v>2017.1</v>
      </c>
      <c r="R1697">
        <v>588718</v>
      </c>
    </row>
    <row r="1698" spans="1:18" x14ac:dyDescent="0.25">
      <c r="A1698" s="170">
        <v>44719</v>
      </c>
      <c r="B1698" s="116">
        <v>2079</v>
      </c>
      <c r="C1698" s="116">
        <v>2049.85</v>
      </c>
      <c r="D1698" s="116">
        <v>1975</v>
      </c>
      <c r="E1698" s="116">
        <v>2015.05</v>
      </c>
      <c r="F1698" s="116">
        <v>2049.85</v>
      </c>
      <c r="G1698">
        <v>15467</v>
      </c>
      <c r="H1698" s="116"/>
      <c r="I1698" s="116"/>
      <c r="L1698" s="170">
        <v>44719</v>
      </c>
      <c r="M1698" s="116">
        <v>2046</v>
      </c>
      <c r="N1698" s="116">
        <v>2079</v>
      </c>
      <c r="O1698" s="116">
        <v>1971.1</v>
      </c>
      <c r="P1698" s="116">
        <v>2023.15</v>
      </c>
      <c r="Q1698" s="116">
        <v>2046</v>
      </c>
      <c r="R1698">
        <v>750281</v>
      </c>
    </row>
    <row r="1699" spans="1:18" x14ac:dyDescent="0.25">
      <c r="A1699" s="170">
        <v>44720</v>
      </c>
      <c r="B1699" s="116">
        <v>2108</v>
      </c>
      <c r="C1699" s="116">
        <v>2089.15</v>
      </c>
      <c r="D1699" s="116">
        <v>2021.65</v>
      </c>
      <c r="E1699" s="116">
        <v>2051</v>
      </c>
      <c r="F1699" s="116">
        <v>2089.15</v>
      </c>
      <c r="G1699">
        <v>22545</v>
      </c>
      <c r="H1699" s="116"/>
      <c r="I1699" s="116"/>
      <c r="L1699" s="170">
        <v>44720</v>
      </c>
      <c r="M1699" s="116">
        <v>2091.9</v>
      </c>
      <c r="N1699" s="116">
        <v>2108</v>
      </c>
      <c r="O1699" s="116">
        <v>2022.25</v>
      </c>
      <c r="P1699" s="116">
        <v>2060</v>
      </c>
      <c r="Q1699" s="116">
        <v>2091.9</v>
      </c>
      <c r="R1699">
        <v>226173</v>
      </c>
    </row>
    <row r="1700" spans="1:18" x14ac:dyDescent="0.25">
      <c r="A1700" s="170">
        <v>44721</v>
      </c>
      <c r="B1700" s="116">
        <v>2130</v>
      </c>
      <c r="C1700" s="116">
        <v>2113.9499999999998</v>
      </c>
      <c r="D1700" s="116">
        <v>2055.5500000000002</v>
      </c>
      <c r="E1700" s="116">
        <v>2089</v>
      </c>
      <c r="F1700" s="116">
        <v>2113.9499999999998</v>
      </c>
      <c r="G1700">
        <v>5867</v>
      </c>
      <c r="H1700" s="116"/>
      <c r="I1700" s="116"/>
      <c r="L1700" s="170">
        <v>44721</v>
      </c>
      <c r="M1700" s="116">
        <v>2116.5</v>
      </c>
      <c r="N1700" s="116">
        <v>2130</v>
      </c>
      <c r="O1700" s="116">
        <v>2050</v>
      </c>
      <c r="P1700" s="116">
        <v>2091</v>
      </c>
      <c r="Q1700" s="116">
        <v>2116.5</v>
      </c>
      <c r="R1700">
        <v>481043</v>
      </c>
    </row>
    <row r="1701" spans="1:18" x14ac:dyDescent="0.25">
      <c r="A1701" s="170">
        <v>44722</v>
      </c>
      <c r="B1701" s="116">
        <v>2111.35</v>
      </c>
      <c r="C1701" s="116">
        <v>2041.75</v>
      </c>
      <c r="D1701" s="116">
        <v>2007</v>
      </c>
      <c r="E1701" s="116">
        <v>2100</v>
      </c>
      <c r="F1701" s="116">
        <v>2041.75</v>
      </c>
      <c r="G1701">
        <v>9740</v>
      </c>
      <c r="H1701" s="116"/>
      <c r="I1701" s="116"/>
      <c r="L1701" s="170">
        <v>44722</v>
      </c>
      <c r="M1701" s="116">
        <v>2051.9</v>
      </c>
      <c r="N1701" s="116">
        <v>2112.9499999999998</v>
      </c>
      <c r="O1701" s="116">
        <v>2005</v>
      </c>
      <c r="P1701" s="116">
        <v>2069.9</v>
      </c>
      <c r="Q1701" s="116">
        <v>2051.9</v>
      </c>
      <c r="R1701">
        <v>641867</v>
      </c>
    </row>
    <row r="1702" spans="1:18" x14ac:dyDescent="0.25">
      <c r="A1702" s="170">
        <v>44725</v>
      </c>
      <c r="B1702" s="116">
        <v>2124.1</v>
      </c>
      <c r="C1702" s="116">
        <v>2057.15</v>
      </c>
      <c r="D1702" s="116">
        <v>1984.15</v>
      </c>
      <c r="E1702" s="116">
        <v>1984.15</v>
      </c>
      <c r="F1702" s="116">
        <v>2057.15</v>
      </c>
      <c r="G1702">
        <v>11481</v>
      </c>
      <c r="H1702" s="116"/>
      <c r="I1702" s="116"/>
      <c r="L1702" s="170">
        <v>44725</v>
      </c>
      <c r="M1702" s="116">
        <v>2051.9</v>
      </c>
      <c r="N1702" s="116">
        <v>2124.85</v>
      </c>
      <c r="O1702" s="116">
        <v>2002.05</v>
      </c>
      <c r="P1702" s="116">
        <v>2012.75</v>
      </c>
      <c r="Q1702" s="116">
        <v>2051.9</v>
      </c>
      <c r="R1702">
        <v>592801</v>
      </c>
    </row>
    <row r="1703" spans="1:18" x14ac:dyDescent="0.25">
      <c r="A1703" s="170">
        <v>44726</v>
      </c>
      <c r="B1703" s="116">
        <v>2117.1999999999998</v>
      </c>
      <c r="C1703" s="116">
        <v>2057</v>
      </c>
      <c r="D1703" s="116">
        <v>2045.3</v>
      </c>
      <c r="E1703" s="116">
        <v>2060</v>
      </c>
      <c r="F1703" s="116">
        <v>2057</v>
      </c>
      <c r="G1703">
        <v>15350</v>
      </c>
      <c r="H1703" s="116"/>
      <c r="I1703" s="116"/>
      <c r="L1703" s="170">
        <v>44726</v>
      </c>
      <c r="M1703" s="116">
        <v>2057.5</v>
      </c>
      <c r="N1703" s="116">
        <v>2119</v>
      </c>
      <c r="O1703" s="116">
        <v>2040.5</v>
      </c>
      <c r="P1703" s="116">
        <v>2041.6</v>
      </c>
      <c r="Q1703" s="116">
        <v>2057.5</v>
      </c>
      <c r="R1703">
        <v>353481</v>
      </c>
    </row>
    <row r="1704" spans="1:18" x14ac:dyDescent="0.25">
      <c r="A1704" s="170">
        <v>44727</v>
      </c>
      <c r="B1704" s="116">
        <v>2119.9499999999998</v>
      </c>
      <c r="C1704" s="116">
        <v>2051.85</v>
      </c>
      <c r="D1704" s="116">
        <v>2029.75</v>
      </c>
      <c r="E1704" s="116">
        <v>2080.0500000000002</v>
      </c>
      <c r="F1704" s="116">
        <v>2051.85</v>
      </c>
      <c r="G1704">
        <v>8896</v>
      </c>
      <c r="H1704" s="116"/>
      <c r="I1704" s="116"/>
      <c r="L1704" s="170">
        <v>44727</v>
      </c>
      <c r="M1704" s="116">
        <v>2057.3000000000002</v>
      </c>
      <c r="N1704" s="116">
        <v>2120</v>
      </c>
      <c r="O1704" s="116">
        <v>2038.3</v>
      </c>
      <c r="P1704" s="116">
        <v>2086</v>
      </c>
      <c r="Q1704" s="116">
        <v>2057.3000000000002</v>
      </c>
      <c r="R1704">
        <v>396775</v>
      </c>
    </row>
    <row r="1705" spans="1:18" x14ac:dyDescent="0.25">
      <c r="A1705" s="170">
        <v>44728</v>
      </c>
      <c r="B1705" s="116">
        <v>2174.8000000000002</v>
      </c>
      <c r="C1705" s="116">
        <v>2127.1</v>
      </c>
      <c r="D1705" s="116">
        <v>2060</v>
      </c>
      <c r="E1705" s="116">
        <v>2090</v>
      </c>
      <c r="F1705" s="116">
        <v>2127.1</v>
      </c>
      <c r="G1705">
        <v>20981</v>
      </c>
      <c r="H1705" s="116"/>
      <c r="I1705" s="116"/>
      <c r="L1705" s="170">
        <v>44728</v>
      </c>
      <c r="M1705" s="116">
        <v>2124.65</v>
      </c>
      <c r="N1705" s="116">
        <v>2150</v>
      </c>
      <c r="O1705" s="116">
        <v>2059.0500000000002</v>
      </c>
      <c r="P1705" s="116">
        <v>2104</v>
      </c>
      <c r="Q1705" s="116">
        <v>2124.65</v>
      </c>
      <c r="R1705">
        <v>596230</v>
      </c>
    </row>
    <row r="1706" spans="1:18" x14ac:dyDescent="0.25">
      <c r="A1706" s="170">
        <v>44729</v>
      </c>
      <c r="B1706" s="116">
        <v>2121</v>
      </c>
      <c r="C1706" s="116">
        <v>2027.2</v>
      </c>
      <c r="D1706" s="116">
        <v>2001.8</v>
      </c>
      <c r="E1706" s="116">
        <v>2121</v>
      </c>
      <c r="F1706" s="116">
        <v>2027.2</v>
      </c>
      <c r="G1706">
        <v>24602</v>
      </c>
      <c r="H1706" s="116"/>
      <c r="I1706" s="116"/>
      <c r="L1706" s="170">
        <v>44729</v>
      </c>
      <c r="M1706" s="116">
        <v>2032.6</v>
      </c>
      <c r="N1706" s="116">
        <v>2136</v>
      </c>
      <c r="O1706" s="116">
        <v>2005</v>
      </c>
      <c r="P1706" s="116">
        <v>2124</v>
      </c>
      <c r="Q1706" s="116">
        <v>2032.6</v>
      </c>
      <c r="R1706">
        <v>542578</v>
      </c>
    </row>
    <row r="1707" spans="1:18" x14ac:dyDescent="0.25">
      <c r="A1707" s="170">
        <v>44732</v>
      </c>
      <c r="B1707" s="116">
        <v>2089.5500000000002</v>
      </c>
      <c r="C1707" s="116">
        <v>2057.9499999999998</v>
      </c>
      <c r="D1707" s="116">
        <v>2015</v>
      </c>
      <c r="E1707" s="116">
        <v>2060</v>
      </c>
      <c r="F1707" s="116">
        <v>2057.9499999999998</v>
      </c>
      <c r="G1707">
        <v>8480</v>
      </c>
      <c r="H1707" s="116"/>
      <c r="I1707" s="116"/>
      <c r="L1707" s="170">
        <v>44732</v>
      </c>
      <c r="M1707" s="116">
        <v>2060.25</v>
      </c>
      <c r="N1707" s="116">
        <v>2088</v>
      </c>
      <c r="O1707" s="116">
        <v>2013</v>
      </c>
      <c r="P1707" s="116">
        <v>2034.95</v>
      </c>
      <c r="Q1707" s="116">
        <v>2060.25</v>
      </c>
      <c r="R1707">
        <v>366365</v>
      </c>
    </row>
    <row r="1708" spans="1:18" x14ac:dyDescent="0.25">
      <c r="A1708" s="170">
        <v>44733</v>
      </c>
      <c r="B1708" s="116">
        <v>2260</v>
      </c>
      <c r="C1708" s="116">
        <v>2206.5</v>
      </c>
      <c r="D1708" s="116">
        <v>2063.1999999999998</v>
      </c>
      <c r="E1708" s="116">
        <v>2088</v>
      </c>
      <c r="F1708" s="116">
        <v>2206.5</v>
      </c>
      <c r="G1708">
        <v>12280</v>
      </c>
      <c r="H1708" s="116"/>
      <c r="I1708" s="116"/>
      <c r="L1708" s="170">
        <v>44733</v>
      </c>
      <c r="M1708" s="116">
        <v>2215.0500000000002</v>
      </c>
      <c r="N1708" s="116">
        <v>2260</v>
      </c>
      <c r="O1708" s="116">
        <v>2060.25</v>
      </c>
      <c r="P1708" s="116">
        <v>2068</v>
      </c>
      <c r="Q1708" s="116">
        <v>2215.0500000000002</v>
      </c>
      <c r="R1708">
        <v>286782</v>
      </c>
    </row>
    <row r="1709" spans="1:18" x14ac:dyDescent="0.25">
      <c r="A1709" s="170">
        <v>44734</v>
      </c>
      <c r="B1709" s="116">
        <v>2219.9</v>
      </c>
      <c r="C1709" s="116">
        <v>2121.65</v>
      </c>
      <c r="D1709" s="116">
        <v>2083.4</v>
      </c>
      <c r="E1709" s="116">
        <v>2175.6</v>
      </c>
      <c r="F1709" s="116">
        <v>2121.65</v>
      </c>
      <c r="G1709">
        <v>14099</v>
      </c>
      <c r="H1709" s="116"/>
      <c r="I1709" s="116"/>
      <c r="L1709" s="170">
        <v>44734</v>
      </c>
      <c r="M1709" s="116">
        <v>2122.35</v>
      </c>
      <c r="N1709" s="116">
        <v>2220</v>
      </c>
      <c r="O1709" s="116">
        <v>2082.65</v>
      </c>
      <c r="P1709" s="116">
        <v>2180</v>
      </c>
      <c r="Q1709" s="116">
        <v>2122.35</v>
      </c>
      <c r="R1709">
        <v>591300</v>
      </c>
    </row>
    <row r="1710" spans="1:18" x14ac:dyDescent="0.25">
      <c r="A1710" s="170">
        <v>44735</v>
      </c>
      <c r="B1710" s="116">
        <v>2169.0500000000002</v>
      </c>
      <c r="C1710" s="116">
        <v>2098.35</v>
      </c>
      <c r="D1710" s="116">
        <v>2066.3000000000002</v>
      </c>
      <c r="E1710" s="116">
        <v>2158</v>
      </c>
      <c r="F1710" s="116">
        <v>2098.35</v>
      </c>
      <c r="G1710">
        <v>18315</v>
      </c>
      <c r="H1710" s="116"/>
      <c r="I1710" s="116"/>
      <c r="L1710" s="170">
        <v>44735</v>
      </c>
      <c r="M1710" s="116">
        <v>2105</v>
      </c>
      <c r="N1710" s="116">
        <v>2168</v>
      </c>
      <c r="O1710" s="116">
        <v>2081</v>
      </c>
      <c r="P1710" s="116">
        <v>2148</v>
      </c>
      <c r="Q1710" s="116">
        <v>2105</v>
      </c>
      <c r="R1710">
        <v>463028</v>
      </c>
    </row>
    <row r="1711" spans="1:18" x14ac:dyDescent="0.25">
      <c r="A1711" s="170">
        <v>44736</v>
      </c>
      <c r="B1711" s="116">
        <v>2167</v>
      </c>
      <c r="C1711" s="116">
        <v>2152.9</v>
      </c>
      <c r="D1711" s="116">
        <v>2098.35</v>
      </c>
      <c r="E1711" s="116">
        <v>2118</v>
      </c>
      <c r="F1711" s="116">
        <v>2152.9</v>
      </c>
      <c r="G1711">
        <v>5879</v>
      </c>
      <c r="H1711" s="116"/>
      <c r="I1711" s="116"/>
      <c r="L1711" s="170">
        <v>44736</v>
      </c>
      <c r="M1711" s="116">
        <v>2152.1</v>
      </c>
      <c r="N1711" s="116">
        <v>2168.9499999999998</v>
      </c>
      <c r="O1711" s="116">
        <v>2095.0500000000002</v>
      </c>
      <c r="P1711" s="116">
        <v>2120</v>
      </c>
      <c r="Q1711" s="116">
        <v>2152.1</v>
      </c>
      <c r="R1711">
        <v>395909</v>
      </c>
    </row>
    <row r="1712" spans="1:18" x14ac:dyDescent="0.25">
      <c r="A1712" s="170">
        <v>44739</v>
      </c>
      <c r="B1712" s="116">
        <v>2184</v>
      </c>
      <c r="C1712" s="116">
        <v>2142.0500000000002</v>
      </c>
      <c r="D1712" s="116">
        <v>2122.0500000000002</v>
      </c>
      <c r="E1712" s="116">
        <v>2184</v>
      </c>
      <c r="F1712" s="116">
        <v>2142.0500000000002</v>
      </c>
      <c r="G1712">
        <v>13648</v>
      </c>
      <c r="H1712" s="116"/>
      <c r="I1712" s="116"/>
      <c r="L1712" s="170">
        <v>44739</v>
      </c>
      <c r="M1712" s="116">
        <v>2140.5500000000002</v>
      </c>
      <c r="N1712" s="116">
        <v>2179.9499999999998</v>
      </c>
      <c r="O1712" s="116">
        <v>2118.0500000000002</v>
      </c>
      <c r="P1712" s="116">
        <v>2162.5500000000002</v>
      </c>
      <c r="Q1712" s="116">
        <v>2140.5500000000002</v>
      </c>
      <c r="R1712">
        <v>170984</v>
      </c>
    </row>
    <row r="1713" spans="1:18" x14ac:dyDescent="0.25">
      <c r="A1713" s="170">
        <v>44740</v>
      </c>
      <c r="B1713" s="116">
        <v>2175</v>
      </c>
      <c r="C1713" s="116">
        <v>2162.3000000000002</v>
      </c>
      <c r="D1713" s="116">
        <v>2115.6999999999998</v>
      </c>
      <c r="E1713" s="116">
        <v>2160</v>
      </c>
      <c r="F1713" s="116">
        <v>2162.3000000000002</v>
      </c>
      <c r="G1713">
        <v>15953</v>
      </c>
      <c r="H1713" s="116"/>
      <c r="I1713" s="116"/>
      <c r="L1713" s="170">
        <v>44740</v>
      </c>
      <c r="M1713" s="116">
        <v>2163.4</v>
      </c>
      <c r="N1713" s="116">
        <v>2176.15</v>
      </c>
      <c r="O1713" s="116">
        <v>2102</v>
      </c>
      <c r="P1713" s="116">
        <v>2150</v>
      </c>
      <c r="Q1713" s="116">
        <v>2163.4</v>
      </c>
      <c r="R1713">
        <v>153729</v>
      </c>
    </row>
    <row r="1714" spans="1:18" x14ac:dyDescent="0.25">
      <c r="A1714" s="170">
        <v>44741</v>
      </c>
      <c r="B1714" s="116">
        <v>2364</v>
      </c>
      <c r="C1714" s="116">
        <v>2348.6</v>
      </c>
      <c r="D1714" s="116">
        <v>2133</v>
      </c>
      <c r="E1714" s="116">
        <v>2148</v>
      </c>
      <c r="F1714" s="116">
        <v>2348.6</v>
      </c>
      <c r="G1714">
        <v>41184</v>
      </c>
      <c r="H1714" s="116"/>
      <c r="I1714" s="116"/>
      <c r="L1714" s="170">
        <v>44741</v>
      </c>
      <c r="M1714" s="116">
        <v>2347.9</v>
      </c>
      <c r="N1714" s="116">
        <v>2365</v>
      </c>
      <c r="O1714" s="116">
        <v>2130</v>
      </c>
      <c r="P1714" s="116">
        <v>2130</v>
      </c>
      <c r="Q1714" s="116">
        <v>2347.9</v>
      </c>
      <c r="R1714">
        <v>1042073</v>
      </c>
    </row>
    <row r="1715" spans="1:18" x14ac:dyDescent="0.25">
      <c r="A1715" s="170">
        <v>44742</v>
      </c>
      <c r="B1715" s="116">
        <v>2499</v>
      </c>
      <c r="C1715" s="116">
        <v>2473.75</v>
      </c>
      <c r="D1715" s="116">
        <v>2350</v>
      </c>
      <c r="E1715" s="116">
        <v>2350</v>
      </c>
      <c r="F1715" s="116">
        <v>2473.75</v>
      </c>
      <c r="G1715">
        <v>67053</v>
      </c>
      <c r="H1715" s="116"/>
      <c r="I1715" s="116"/>
      <c r="L1715" s="170">
        <v>44742</v>
      </c>
      <c r="M1715" s="116">
        <v>2473.65</v>
      </c>
      <c r="N1715" s="116">
        <v>2499.9</v>
      </c>
      <c r="O1715" s="116">
        <v>2355.9499999999998</v>
      </c>
      <c r="P1715" s="116">
        <v>2355.9499999999998</v>
      </c>
      <c r="Q1715" s="116">
        <v>2473.65</v>
      </c>
      <c r="R1715">
        <v>1018752</v>
      </c>
    </row>
    <row r="1716" spans="1:18" x14ac:dyDescent="0.25">
      <c r="A1716" s="170">
        <v>44743</v>
      </c>
      <c r="B1716" s="116">
        <v>2580</v>
      </c>
      <c r="C1716" s="116">
        <v>2402.6999999999998</v>
      </c>
      <c r="D1716" s="116">
        <v>2226.4</v>
      </c>
      <c r="E1716" s="116">
        <v>2500</v>
      </c>
      <c r="F1716" s="116">
        <v>2402.6999999999998</v>
      </c>
      <c r="G1716">
        <v>61653</v>
      </c>
      <c r="H1716" s="116"/>
      <c r="I1716" s="116"/>
      <c r="L1716" s="170">
        <v>44743</v>
      </c>
      <c r="M1716" s="116">
        <v>2400.65</v>
      </c>
      <c r="N1716" s="116">
        <v>2583.6999999999998</v>
      </c>
      <c r="O1716" s="116">
        <v>2226.3000000000002</v>
      </c>
      <c r="P1716" s="116">
        <v>2500</v>
      </c>
      <c r="Q1716" s="116">
        <v>2400.65</v>
      </c>
      <c r="R1716">
        <v>741152</v>
      </c>
    </row>
    <row r="1717" spans="1:18" x14ac:dyDescent="0.25">
      <c r="A1717" s="170">
        <v>44746</v>
      </c>
      <c r="B1717" s="116">
        <v>2519.35</v>
      </c>
      <c r="C1717" s="116">
        <v>2415.3000000000002</v>
      </c>
      <c r="D1717" s="116">
        <v>2390.9</v>
      </c>
      <c r="E1717" s="116">
        <v>2460</v>
      </c>
      <c r="F1717" s="116">
        <v>2415.3000000000002</v>
      </c>
      <c r="G1717">
        <v>38606</v>
      </c>
      <c r="H1717" s="116"/>
      <c r="I1717" s="116"/>
      <c r="L1717" s="170">
        <v>44746</v>
      </c>
      <c r="M1717" s="116">
        <v>2423.1</v>
      </c>
      <c r="N1717" s="116">
        <v>2521.75</v>
      </c>
      <c r="O1717" s="116">
        <v>2395</v>
      </c>
      <c r="P1717" s="116">
        <v>2448.6999999999998</v>
      </c>
      <c r="Q1717" s="116">
        <v>2423.1</v>
      </c>
      <c r="R1717">
        <v>293299</v>
      </c>
    </row>
    <row r="1718" spans="1:18" x14ac:dyDescent="0.25">
      <c r="A1718" s="170">
        <v>44747</v>
      </c>
      <c r="B1718" s="116">
        <v>2517.6</v>
      </c>
      <c r="C1718" s="116">
        <v>2464.9</v>
      </c>
      <c r="D1718" s="116">
        <v>2428.65</v>
      </c>
      <c r="E1718" s="116">
        <v>2469.9</v>
      </c>
      <c r="F1718" s="116">
        <v>2464.9</v>
      </c>
      <c r="G1718">
        <v>14065</v>
      </c>
      <c r="H1718" s="116"/>
      <c r="I1718" s="116"/>
      <c r="L1718" s="170">
        <v>44747</v>
      </c>
      <c r="M1718" s="116">
        <v>2476.3000000000002</v>
      </c>
      <c r="N1718" s="116">
        <v>2508</v>
      </c>
      <c r="O1718" s="116">
        <v>2427.9499999999998</v>
      </c>
      <c r="P1718" s="116">
        <v>2465</v>
      </c>
      <c r="Q1718" s="116">
        <v>2476.3000000000002</v>
      </c>
      <c r="R1718">
        <v>222016</v>
      </c>
    </row>
    <row r="1719" spans="1:18" x14ac:dyDescent="0.25">
      <c r="A1719" s="170">
        <v>44748</v>
      </c>
      <c r="B1719" s="116">
        <v>2520.5500000000002</v>
      </c>
      <c r="C1719" s="116">
        <v>2509.4</v>
      </c>
      <c r="D1719" s="116">
        <v>2476</v>
      </c>
      <c r="E1719" s="116">
        <v>2500</v>
      </c>
      <c r="F1719" s="116">
        <v>2509.4</v>
      </c>
      <c r="G1719">
        <v>7357</v>
      </c>
      <c r="H1719" s="116"/>
      <c r="I1719" s="116"/>
      <c r="L1719" s="170">
        <v>44748</v>
      </c>
      <c r="M1719" s="116">
        <v>2511.65</v>
      </c>
      <c r="N1719" s="116">
        <v>2523</v>
      </c>
      <c r="O1719" s="116">
        <v>2475</v>
      </c>
      <c r="P1719" s="116">
        <v>2492</v>
      </c>
      <c r="Q1719" s="116">
        <v>2511.65</v>
      </c>
      <c r="R1719">
        <v>203550</v>
      </c>
    </row>
    <row r="1720" spans="1:18" x14ac:dyDescent="0.25">
      <c r="A1720" s="170">
        <v>44749</v>
      </c>
      <c r="B1720" s="116">
        <v>2537.3000000000002</v>
      </c>
      <c r="C1720" s="116">
        <v>2466.8000000000002</v>
      </c>
      <c r="D1720" s="116">
        <v>2448</v>
      </c>
      <c r="E1720" s="116">
        <v>2510</v>
      </c>
      <c r="F1720" s="116">
        <v>2466.8000000000002</v>
      </c>
      <c r="G1720">
        <v>9991</v>
      </c>
      <c r="H1720" s="116"/>
      <c r="I1720" s="116"/>
      <c r="L1720" s="170">
        <v>44749</v>
      </c>
      <c r="M1720" s="116">
        <v>2466.1</v>
      </c>
      <c r="N1720" s="116">
        <v>2531.25</v>
      </c>
      <c r="O1720" s="116">
        <v>2445</v>
      </c>
      <c r="P1720" s="116">
        <v>2524.9</v>
      </c>
      <c r="Q1720" s="116">
        <v>2466.1</v>
      </c>
      <c r="R1720">
        <v>206862</v>
      </c>
    </row>
    <row r="1721" spans="1:18" x14ac:dyDescent="0.25">
      <c r="A1721" s="170">
        <v>44750</v>
      </c>
      <c r="B1721" s="116">
        <v>2575</v>
      </c>
      <c r="C1721" s="116">
        <v>2546.25</v>
      </c>
      <c r="D1721" s="116">
        <v>2467</v>
      </c>
      <c r="E1721" s="116">
        <v>2500</v>
      </c>
      <c r="F1721" s="116">
        <v>2546.25</v>
      </c>
      <c r="G1721">
        <v>22488</v>
      </c>
      <c r="H1721" s="116"/>
      <c r="I1721" s="116"/>
      <c r="L1721" s="170">
        <v>44750</v>
      </c>
      <c r="M1721" s="116">
        <v>2545.9</v>
      </c>
      <c r="N1721" s="116">
        <v>2574</v>
      </c>
      <c r="O1721" s="116">
        <v>2468</v>
      </c>
      <c r="P1721" s="116">
        <v>2490</v>
      </c>
      <c r="Q1721" s="116">
        <v>2545.9</v>
      </c>
      <c r="R1721">
        <v>238893</v>
      </c>
    </row>
    <row r="1722" spans="1:18" x14ac:dyDescent="0.25">
      <c r="A1722" s="170">
        <v>44753</v>
      </c>
      <c r="B1722" s="116">
        <v>2750</v>
      </c>
      <c r="C1722" s="116">
        <v>2697.4</v>
      </c>
      <c r="D1722" s="116">
        <v>2535.0500000000002</v>
      </c>
      <c r="E1722" s="116">
        <v>2550</v>
      </c>
      <c r="F1722" s="116">
        <v>2697.4</v>
      </c>
      <c r="G1722">
        <v>68855</v>
      </c>
      <c r="H1722" s="116"/>
      <c r="I1722" s="116"/>
      <c r="L1722" s="170">
        <v>44753</v>
      </c>
      <c r="M1722" s="116">
        <v>2690.95</v>
      </c>
      <c r="N1722" s="116">
        <v>2753.15</v>
      </c>
      <c r="O1722" s="116">
        <v>2531.3000000000002</v>
      </c>
      <c r="P1722" s="116">
        <v>2545</v>
      </c>
      <c r="Q1722" s="116">
        <v>2690.95</v>
      </c>
      <c r="R1722">
        <v>753806</v>
      </c>
    </row>
    <row r="1723" spans="1:18" x14ac:dyDescent="0.25">
      <c r="A1723" s="170">
        <v>44754</v>
      </c>
      <c r="B1723" s="116">
        <v>2809.95</v>
      </c>
      <c r="C1723" s="116">
        <v>2748.8</v>
      </c>
      <c r="D1723" s="116">
        <v>2638.65</v>
      </c>
      <c r="E1723" s="116">
        <v>2672</v>
      </c>
      <c r="F1723" s="116">
        <v>2748.8</v>
      </c>
      <c r="G1723">
        <v>54052</v>
      </c>
      <c r="H1723" s="116"/>
      <c r="I1723" s="116"/>
      <c r="L1723" s="170">
        <v>44754</v>
      </c>
      <c r="M1723" s="116">
        <v>2749.8</v>
      </c>
      <c r="N1723" s="116">
        <v>2812</v>
      </c>
      <c r="O1723" s="116">
        <v>2640</v>
      </c>
      <c r="P1723" s="116">
        <v>2667</v>
      </c>
      <c r="Q1723" s="116">
        <v>2749.8</v>
      </c>
      <c r="R1723">
        <v>629867</v>
      </c>
    </row>
    <row r="1724" spans="1:18" x14ac:dyDescent="0.25">
      <c r="A1724" s="170">
        <v>44755</v>
      </c>
      <c r="B1724" s="116">
        <v>2800</v>
      </c>
      <c r="C1724" s="116">
        <v>2730.85</v>
      </c>
      <c r="D1724" s="116">
        <v>2620.5500000000002</v>
      </c>
      <c r="E1724" s="116">
        <v>2770</v>
      </c>
      <c r="F1724" s="116">
        <v>2730.85</v>
      </c>
      <c r="G1724">
        <v>26355</v>
      </c>
      <c r="H1724" s="116"/>
      <c r="I1724" s="116"/>
      <c r="L1724" s="170">
        <v>44755</v>
      </c>
      <c r="M1724" s="116">
        <v>2730.8</v>
      </c>
      <c r="N1724" s="116">
        <v>2801.1</v>
      </c>
      <c r="O1724" s="116">
        <v>2620.5500000000002</v>
      </c>
      <c r="P1724" s="116">
        <v>2773</v>
      </c>
      <c r="Q1724" s="116">
        <v>2730.8</v>
      </c>
      <c r="R1724">
        <v>417422</v>
      </c>
    </row>
    <row r="1725" spans="1:18" x14ac:dyDescent="0.25">
      <c r="A1725" s="170">
        <v>44756</v>
      </c>
      <c r="B1725" s="116">
        <v>2963.9</v>
      </c>
      <c r="C1725" s="116">
        <v>2884.25</v>
      </c>
      <c r="D1725" s="116">
        <v>2710.45</v>
      </c>
      <c r="E1725" s="116">
        <v>2764.95</v>
      </c>
      <c r="F1725" s="116">
        <v>2884.25</v>
      </c>
      <c r="G1725">
        <v>72802</v>
      </c>
      <c r="H1725" s="116"/>
      <c r="I1725" s="116"/>
      <c r="L1725" s="170">
        <v>44756</v>
      </c>
      <c r="M1725" s="116">
        <v>2889.15</v>
      </c>
      <c r="N1725" s="116">
        <v>2965</v>
      </c>
      <c r="O1725" s="116">
        <v>2711.2</v>
      </c>
      <c r="P1725" s="116">
        <v>2752</v>
      </c>
      <c r="Q1725" s="116">
        <v>2889.15</v>
      </c>
      <c r="R1725">
        <v>685704</v>
      </c>
    </row>
    <row r="1726" spans="1:18" x14ac:dyDescent="0.25">
      <c r="A1726" s="170">
        <v>44757</v>
      </c>
      <c r="B1726" s="116">
        <v>3100</v>
      </c>
      <c r="C1726" s="116">
        <v>2890.4</v>
      </c>
      <c r="D1726" s="116">
        <v>2834.75</v>
      </c>
      <c r="E1726" s="116">
        <v>3100</v>
      </c>
      <c r="F1726" s="116">
        <v>2890.4</v>
      </c>
      <c r="G1726">
        <v>41727</v>
      </c>
      <c r="H1726" s="116"/>
      <c r="I1726" s="116"/>
      <c r="L1726" s="170">
        <v>44757</v>
      </c>
      <c r="M1726" s="116">
        <v>2889.35</v>
      </c>
      <c r="N1726" s="116">
        <v>3015</v>
      </c>
      <c r="O1726" s="116">
        <v>2841.1</v>
      </c>
      <c r="P1726" s="116">
        <v>2970.4</v>
      </c>
      <c r="Q1726" s="116">
        <v>2889.35</v>
      </c>
      <c r="R1726">
        <v>752850</v>
      </c>
    </row>
    <row r="1727" spans="1:18" x14ac:dyDescent="0.25">
      <c r="A1727" s="170">
        <v>44760</v>
      </c>
      <c r="B1727" s="116">
        <v>3020</v>
      </c>
      <c r="C1727" s="116">
        <v>2988.45</v>
      </c>
      <c r="D1727" s="116">
        <v>2912</v>
      </c>
      <c r="E1727" s="116">
        <v>2949</v>
      </c>
      <c r="F1727" s="116">
        <v>2988.45</v>
      </c>
      <c r="G1727">
        <v>380040</v>
      </c>
      <c r="H1727" s="116"/>
      <c r="I1727" s="116"/>
      <c r="L1727" s="170">
        <v>44760</v>
      </c>
      <c r="M1727" s="116">
        <v>2980.5</v>
      </c>
      <c r="N1727" s="116">
        <v>3020</v>
      </c>
      <c r="O1727" s="116">
        <v>2911.3</v>
      </c>
      <c r="P1727" s="116">
        <v>2922</v>
      </c>
      <c r="Q1727" s="116">
        <v>2980.5</v>
      </c>
      <c r="R1727">
        <v>1042670</v>
      </c>
    </row>
    <row r="1728" spans="1:18" x14ac:dyDescent="0.25">
      <c r="A1728" s="170">
        <v>44761</v>
      </c>
      <c r="B1728" s="116">
        <v>3042</v>
      </c>
      <c r="C1728" s="116">
        <v>3028.55</v>
      </c>
      <c r="D1728" s="116">
        <v>2930</v>
      </c>
      <c r="E1728" s="116">
        <v>2975</v>
      </c>
      <c r="F1728" s="116">
        <v>3028.55</v>
      </c>
      <c r="G1728">
        <v>40882</v>
      </c>
      <c r="H1728" s="116"/>
      <c r="I1728" s="116"/>
      <c r="L1728" s="170">
        <v>44761</v>
      </c>
      <c r="M1728" s="116">
        <v>3029.75</v>
      </c>
      <c r="N1728" s="116">
        <v>3043</v>
      </c>
      <c r="O1728" s="116">
        <v>2930</v>
      </c>
      <c r="P1728" s="116">
        <v>2965</v>
      </c>
      <c r="Q1728" s="116">
        <v>3029.75</v>
      </c>
      <c r="R1728">
        <v>600437</v>
      </c>
    </row>
    <row r="1729" spans="1:18" x14ac:dyDescent="0.25">
      <c r="A1729" s="170">
        <v>44762</v>
      </c>
      <c r="B1729" s="116">
        <v>3068.95</v>
      </c>
      <c r="C1729" s="116">
        <v>3014.05</v>
      </c>
      <c r="D1729" s="116">
        <v>2980</v>
      </c>
      <c r="E1729" s="116">
        <v>3045</v>
      </c>
      <c r="F1729" s="116">
        <v>3014.05</v>
      </c>
      <c r="G1729">
        <v>16716</v>
      </c>
      <c r="H1729" s="116"/>
      <c r="I1729" s="116"/>
      <c r="L1729" s="170">
        <v>44762</v>
      </c>
      <c r="M1729" s="116">
        <v>3018.75</v>
      </c>
      <c r="N1729" s="116">
        <v>3069</v>
      </c>
      <c r="O1729" s="116">
        <v>2977.25</v>
      </c>
      <c r="P1729" s="116">
        <v>3042</v>
      </c>
      <c r="Q1729" s="116">
        <v>3018.75</v>
      </c>
      <c r="R1729">
        <v>395496</v>
      </c>
    </row>
    <row r="1730" spans="1:18" x14ac:dyDescent="0.25">
      <c r="A1730" s="170">
        <v>44763</v>
      </c>
      <c r="B1730" s="116">
        <v>3054.65</v>
      </c>
      <c r="C1730" s="116">
        <v>3045.4</v>
      </c>
      <c r="D1730" s="116">
        <v>2998.05</v>
      </c>
      <c r="E1730" s="116">
        <v>3008</v>
      </c>
      <c r="F1730" s="116">
        <v>3045.4</v>
      </c>
      <c r="G1730">
        <v>10105</v>
      </c>
      <c r="H1730" s="116"/>
      <c r="I1730" s="116"/>
      <c r="L1730" s="170">
        <v>44763</v>
      </c>
      <c r="M1730" s="116">
        <v>3043.75</v>
      </c>
      <c r="N1730" s="116">
        <v>3055</v>
      </c>
      <c r="O1730" s="116">
        <v>2993.3</v>
      </c>
      <c r="P1730" s="116">
        <v>3004</v>
      </c>
      <c r="Q1730" s="116">
        <v>3043.75</v>
      </c>
      <c r="R1730">
        <v>470889</v>
      </c>
    </row>
    <row r="1731" spans="1:18" x14ac:dyDescent="0.25">
      <c r="A1731" s="170">
        <v>44764</v>
      </c>
      <c r="B1731" s="116">
        <v>3062.4</v>
      </c>
      <c r="C1731" s="116">
        <v>2975.95</v>
      </c>
      <c r="D1731" s="116">
        <v>2928</v>
      </c>
      <c r="E1731" s="116">
        <v>3040</v>
      </c>
      <c r="F1731" s="116">
        <v>2975.95</v>
      </c>
      <c r="G1731">
        <v>30877</v>
      </c>
      <c r="H1731" s="116"/>
      <c r="I1731" s="116"/>
      <c r="L1731" s="170">
        <v>44764</v>
      </c>
      <c r="M1731" s="116">
        <v>2977.45</v>
      </c>
      <c r="N1731" s="116">
        <v>3059.3</v>
      </c>
      <c r="O1731" s="116">
        <v>2928.65</v>
      </c>
      <c r="P1731" s="116">
        <v>3047</v>
      </c>
      <c r="Q1731" s="116">
        <v>2977.45</v>
      </c>
      <c r="R1731">
        <v>450566</v>
      </c>
    </row>
    <row r="1732" spans="1:18" x14ac:dyDescent="0.25">
      <c r="A1732" s="170">
        <v>44767</v>
      </c>
      <c r="B1732" s="116">
        <v>3020.05</v>
      </c>
      <c r="C1732" s="116">
        <v>2967.6</v>
      </c>
      <c r="D1732" s="116">
        <v>2958.05</v>
      </c>
      <c r="E1732" s="116">
        <v>2976</v>
      </c>
      <c r="F1732" s="116">
        <v>2967.6</v>
      </c>
      <c r="G1732">
        <v>9952</v>
      </c>
      <c r="H1732" s="116"/>
      <c r="I1732" s="116"/>
      <c r="L1732" s="170">
        <v>44767</v>
      </c>
      <c r="M1732" s="116">
        <v>2969.75</v>
      </c>
      <c r="N1732" s="116">
        <v>3024</v>
      </c>
      <c r="O1732" s="116">
        <v>2960</v>
      </c>
      <c r="P1732" s="116">
        <v>2989.8</v>
      </c>
      <c r="Q1732" s="116">
        <v>2969.75</v>
      </c>
      <c r="R1732">
        <v>294966</v>
      </c>
    </row>
    <row r="1733" spans="1:18" x14ac:dyDescent="0.25">
      <c r="A1733" s="170">
        <v>44768</v>
      </c>
      <c r="B1733" s="116">
        <v>3001.5</v>
      </c>
      <c r="C1733" s="116">
        <v>2991.25</v>
      </c>
      <c r="D1733" s="116">
        <v>2966.3</v>
      </c>
      <c r="E1733" s="116">
        <v>2970</v>
      </c>
      <c r="F1733" s="116">
        <v>2991.25</v>
      </c>
      <c r="G1733">
        <v>4939</v>
      </c>
      <c r="H1733" s="116"/>
      <c r="I1733" s="116"/>
      <c r="L1733" s="170">
        <v>44768</v>
      </c>
      <c r="M1733" s="116">
        <v>2993.75</v>
      </c>
      <c r="N1733" s="116">
        <v>3000</v>
      </c>
      <c r="O1733" s="116">
        <v>2966</v>
      </c>
      <c r="P1733" s="116">
        <v>2984.6</v>
      </c>
      <c r="Q1733" s="116">
        <v>2993.75</v>
      </c>
      <c r="R1733">
        <v>293918</v>
      </c>
    </row>
    <row r="1734" spans="1:18" x14ac:dyDescent="0.25">
      <c r="A1734" s="170">
        <v>44769</v>
      </c>
      <c r="B1734" s="116">
        <v>3020.55</v>
      </c>
      <c r="C1734" s="116">
        <v>2995.4</v>
      </c>
      <c r="D1734" s="116">
        <v>2961.25</v>
      </c>
      <c r="E1734" s="116">
        <v>2997.8</v>
      </c>
      <c r="F1734" s="116">
        <v>2995.4</v>
      </c>
      <c r="G1734">
        <v>8161</v>
      </c>
      <c r="H1734" s="116"/>
      <c r="I1734" s="116"/>
      <c r="L1734" s="170">
        <v>44769</v>
      </c>
      <c r="M1734" s="116">
        <v>2996.1</v>
      </c>
      <c r="N1734" s="116">
        <v>3020</v>
      </c>
      <c r="O1734" s="116">
        <v>2958.7</v>
      </c>
      <c r="P1734" s="116">
        <v>2993.75</v>
      </c>
      <c r="Q1734" s="116">
        <v>2996.1</v>
      </c>
      <c r="R1734">
        <v>321156</v>
      </c>
    </row>
    <row r="1735" spans="1:18" x14ac:dyDescent="0.25">
      <c r="A1735" s="170">
        <v>44770</v>
      </c>
      <c r="B1735" s="116">
        <v>3019.95</v>
      </c>
      <c r="C1735" s="116">
        <v>3007.65</v>
      </c>
      <c r="D1735" s="116">
        <v>2965</v>
      </c>
      <c r="E1735" s="116">
        <v>3010</v>
      </c>
      <c r="F1735" s="116">
        <v>3007.65</v>
      </c>
      <c r="G1735">
        <v>8138</v>
      </c>
      <c r="H1735" s="116"/>
      <c r="I1735" s="116"/>
      <c r="L1735" s="170">
        <v>44770</v>
      </c>
      <c r="M1735" s="116">
        <v>3012.65</v>
      </c>
      <c r="N1735" s="116">
        <v>3020</v>
      </c>
      <c r="O1735" s="116">
        <v>2965</v>
      </c>
      <c r="P1735" s="116">
        <v>3014</v>
      </c>
      <c r="Q1735" s="116">
        <v>3012.65</v>
      </c>
      <c r="R1735">
        <v>364311</v>
      </c>
    </row>
    <row r="1736" spans="1:18" x14ac:dyDescent="0.25">
      <c r="A1736" s="170">
        <v>44771</v>
      </c>
      <c r="B1736" s="116">
        <v>3141.8</v>
      </c>
      <c r="C1736" s="116">
        <v>3110.1</v>
      </c>
      <c r="D1736" s="116">
        <v>3015.35</v>
      </c>
      <c r="E1736" s="116">
        <v>3044.95</v>
      </c>
      <c r="F1736" s="116">
        <v>3110.1</v>
      </c>
      <c r="G1736">
        <v>12757</v>
      </c>
      <c r="H1736" s="116"/>
      <c r="I1736" s="116"/>
      <c r="L1736" s="170">
        <v>44771</v>
      </c>
      <c r="M1736" s="116">
        <v>3109.6</v>
      </c>
      <c r="N1736" s="116">
        <v>3137.95</v>
      </c>
      <c r="O1736" s="116">
        <v>3014.15</v>
      </c>
      <c r="P1736" s="116">
        <v>3027.75</v>
      </c>
      <c r="Q1736" s="116">
        <v>3109.6</v>
      </c>
      <c r="R1736">
        <v>356048</v>
      </c>
    </row>
    <row r="1737" spans="1:18" x14ac:dyDescent="0.25">
      <c r="A1737" s="170">
        <v>44774</v>
      </c>
      <c r="B1737" s="116">
        <v>3288.05</v>
      </c>
      <c r="C1737" s="116">
        <v>3267.6</v>
      </c>
      <c r="D1737" s="116">
        <v>3100.85</v>
      </c>
      <c r="E1737" s="116">
        <v>3129.9</v>
      </c>
      <c r="F1737" s="116">
        <v>3267.6</v>
      </c>
      <c r="G1737">
        <v>353720</v>
      </c>
      <c r="H1737" s="116"/>
      <c r="I1737" s="116"/>
      <c r="L1737" s="170">
        <v>44774</v>
      </c>
      <c r="M1737" s="116">
        <v>3261.75</v>
      </c>
      <c r="N1737" s="116">
        <v>3284.4</v>
      </c>
      <c r="O1737" s="116">
        <v>3100.8</v>
      </c>
      <c r="P1737" s="116">
        <v>3129.9</v>
      </c>
      <c r="Q1737" s="116">
        <v>3261.75</v>
      </c>
      <c r="R1737">
        <v>546289</v>
      </c>
    </row>
    <row r="1738" spans="1:18" x14ac:dyDescent="0.25">
      <c r="A1738" s="170">
        <v>44775</v>
      </c>
      <c r="B1738" s="116">
        <v>3441.95</v>
      </c>
      <c r="C1738" s="116">
        <v>3421.55</v>
      </c>
      <c r="D1738" s="116">
        <v>3255.05</v>
      </c>
      <c r="E1738" s="116">
        <v>3286.7</v>
      </c>
      <c r="F1738" s="116">
        <v>3421.55</v>
      </c>
      <c r="G1738">
        <v>51216</v>
      </c>
      <c r="H1738" s="116"/>
      <c r="I1738" s="116"/>
      <c r="L1738" s="170">
        <v>44775</v>
      </c>
      <c r="M1738" s="116">
        <v>3421.45</v>
      </c>
      <c r="N1738" s="116">
        <v>3442</v>
      </c>
      <c r="O1738" s="116">
        <v>3256.05</v>
      </c>
      <c r="P1738" s="116">
        <v>3275.4</v>
      </c>
      <c r="Q1738" s="116">
        <v>3421.45</v>
      </c>
      <c r="R1738">
        <v>629139</v>
      </c>
    </row>
    <row r="1739" spans="1:18" x14ac:dyDescent="0.25">
      <c r="A1739" s="170">
        <v>44776</v>
      </c>
      <c r="B1739" s="116">
        <v>3538</v>
      </c>
      <c r="C1739" s="116">
        <v>3504.6</v>
      </c>
      <c r="D1739" s="116">
        <v>3425</v>
      </c>
      <c r="E1739" s="116">
        <v>3440</v>
      </c>
      <c r="F1739" s="116">
        <v>3504.6</v>
      </c>
      <c r="G1739">
        <v>38898</v>
      </c>
      <c r="H1739" s="116"/>
      <c r="I1739" s="116"/>
      <c r="L1739" s="170">
        <v>44776</v>
      </c>
      <c r="M1739" s="116">
        <v>3505.35</v>
      </c>
      <c r="N1739" s="116">
        <v>3538</v>
      </c>
      <c r="O1739" s="116">
        <v>3420.55</v>
      </c>
      <c r="P1739" s="116">
        <v>3435.05</v>
      </c>
      <c r="Q1739" s="116">
        <v>3505.35</v>
      </c>
      <c r="R1739">
        <v>522007</v>
      </c>
    </row>
    <row r="1740" spans="1:18" x14ac:dyDescent="0.25">
      <c r="A1740" s="170">
        <v>44777</v>
      </c>
      <c r="B1740" s="116">
        <v>3548.75</v>
      </c>
      <c r="C1740" s="116">
        <v>3524.95</v>
      </c>
      <c r="D1740" s="116">
        <v>3412.25</v>
      </c>
      <c r="E1740" s="116">
        <v>3520</v>
      </c>
      <c r="F1740" s="116">
        <v>3524.95</v>
      </c>
      <c r="G1740">
        <v>22193</v>
      </c>
      <c r="H1740" s="116"/>
      <c r="I1740" s="116"/>
      <c r="L1740" s="170">
        <v>44777</v>
      </c>
      <c r="M1740" s="116">
        <v>3530.45</v>
      </c>
      <c r="N1740" s="116">
        <v>3548</v>
      </c>
      <c r="O1740" s="116">
        <v>3422.55</v>
      </c>
      <c r="P1740" s="116">
        <v>3505</v>
      </c>
      <c r="Q1740" s="116">
        <v>3530.45</v>
      </c>
      <c r="R1740">
        <v>523759</v>
      </c>
    </row>
    <row r="1741" spans="1:18" x14ac:dyDescent="0.25">
      <c r="A1741" s="170">
        <v>44778</v>
      </c>
      <c r="B1741" s="116">
        <v>3550</v>
      </c>
      <c r="C1741" s="116">
        <v>3299.9</v>
      </c>
      <c r="D1741" s="116">
        <v>3185</v>
      </c>
      <c r="E1741" s="116">
        <v>3529.3</v>
      </c>
      <c r="F1741" s="116">
        <v>3299.9</v>
      </c>
      <c r="G1741">
        <v>27562</v>
      </c>
      <c r="H1741" s="116"/>
      <c r="I1741" s="116"/>
      <c r="L1741" s="170">
        <v>44778</v>
      </c>
      <c r="M1741" s="116">
        <v>3313.55</v>
      </c>
      <c r="N1741" s="116">
        <v>3549</v>
      </c>
      <c r="O1741" s="116">
        <v>3182.8</v>
      </c>
      <c r="P1741" s="116">
        <v>3539.8</v>
      </c>
      <c r="Q1741" s="116">
        <v>3313.55</v>
      </c>
      <c r="R1741">
        <v>695816</v>
      </c>
    </row>
    <row r="1742" spans="1:18" x14ac:dyDescent="0.25">
      <c r="A1742" s="170">
        <v>44781</v>
      </c>
      <c r="B1742" s="116">
        <v>3472.5</v>
      </c>
      <c r="C1742" s="116">
        <v>3444.75</v>
      </c>
      <c r="D1742" s="116">
        <v>3261.5</v>
      </c>
      <c r="E1742" s="116">
        <v>3314.65</v>
      </c>
      <c r="F1742" s="116">
        <v>3444.75</v>
      </c>
      <c r="G1742">
        <v>28403</v>
      </c>
      <c r="H1742" s="116"/>
      <c r="I1742" s="116"/>
      <c r="L1742" s="170">
        <v>44781</v>
      </c>
      <c r="M1742" s="116">
        <v>3447.35</v>
      </c>
      <c r="N1742" s="116">
        <v>3474</v>
      </c>
      <c r="O1742" s="116">
        <v>3261</v>
      </c>
      <c r="P1742" s="116">
        <v>3314</v>
      </c>
      <c r="Q1742" s="116">
        <v>3447.35</v>
      </c>
      <c r="R1742">
        <v>458387</v>
      </c>
    </row>
    <row r="1743" spans="1:18" x14ac:dyDescent="0.25">
      <c r="A1743" s="170">
        <v>44783</v>
      </c>
      <c r="B1743" s="116">
        <v>3499</v>
      </c>
      <c r="C1743" s="116">
        <v>3434.55</v>
      </c>
      <c r="D1743" s="116">
        <v>3369.8</v>
      </c>
      <c r="E1743" s="116">
        <v>3499</v>
      </c>
      <c r="F1743" s="116">
        <v>3434.55</v>
      </c>
      <c r="G1743">
        <v>13089</v>
      </c>
      <c r="H1743" s="116"/>
      <c r="I1743" s="116"/>
      <c r="L1743" s="170">
        <v>44783</v>
      </c>
      <c r="M1743" s="116">
        <v>3436.15</v>
      </c>
      <c r="N1743" s="116">
        <v>3475</v>
      </c>
      <c r="O1743" s="116">
        <v>3371.3</v>
      </c>
      <c r="P1743" s="116">
        <v>3475</v>
      </c>
      <c r="Q1743" s="116">
        <v>3436.15</v>
      </c>
      <c r="R1743">
        <v>339003</v>
      </c>
    </row>
    <row r="1744" spans="1:18" x14ac:dyDescent="0.25">
      <c r="A1744" s="170">
        <v>44784</v>
      </c>
      <c r="B1744" s="116">
        <v>3518.4</v>
      </c>
      <c r="C1744" s="116">
        <v>3489.6</v>
      </c>
      <c r="D1744" s="116">
        <v>3409.05</v>
      </c>
      <c r="E1744" s="116">
        <v>3435.1</v>
      </c>
      <c r="F1744" s="116">
        <v>3489.6</v>
      </c>
      <c r="G1744">
        <v>11555</v>
      </c>
      <c r="H1744" s="116"/>
      <c r="I1744" s="116"/>
      <c r="L1744" s="170">
        <v>44784</v>
      </c>
      <c r="M1744" s="116">
        <v>3493.95</v>
      </c>
      <c r="N1744" s="116">
        <v>3520</v>
      </c>
      <c r="O1744" s="116">
        <v>3404.75</v>
      </c>
      <c r="P1744" s="116">
        <v>3453.35</v>
      </c>
      <c r="Q1744" s="116">
        <v>3493.95</v>
      </c>
      <c r="R1744">
        <v>341798</v>
      </c>
    </row>
    <row r="1745" spans="1:18" x14ac:dyDescent="0.25">
      <c r="A1745" s="170">
        <v>44785</v>
      </c>
      <c r="B1745" s="116">
        <v>3555</v>
      </c>
      <c r="C1745" s="116">
        <v>3535.45</v>
      </c>
      <c r="D1745" s="116">
        <v>3465.85</v>
      </c>
      <c r="E1745" s="116">
        <v>3475</v>
      </c>
      <c r="F1745" s="116">
        <v>3535.45</v>
      </c>
      <c r="G1745">
        <v>10112</v>
      </c>
      <c r="H1745" s="116"/>
      <c r="I1745" s="116"/>
      <c r="L1745" s="170">
        <v>44785</v>
      </c>
      <c r="M1745" s="116">
        <v>3535.6</v>
      </c>
      <c r="N1745" s="116">
        <v>3553</v>
      </c>
      <c r="O1745" s="116">
        <v>3462.6</v>
      </c>
      <c r="P1745" s="116">
        <v>3490.95</v>
      </c>
      <c r="Q1745" s="116">
        <v>3535.6</v>
      </c>
      <c r="R1745">
        <v>279712</v>
      </c>
    </row>
    <row r="1746" spans="1:18" x14ac:dyDescent="0.25">
      <c r="A1746" s="170">
        <v>44789</v>
      </c>
      <c r="B1746" s="116">
        <v>3593.95</v>
      </c>
      <c r="C1746" s="116">
        <v>3581.55</v>
      </c>
      <c r="D1746" s="116">
        <v>3540</v>
      </c>
      <c r="E1746" s="116">
        <v>3550</v>
      </c>
      <c r="F1746" s="116">
        <v>3581.55</v>
      </c>
      <c r="G1746">
        <v>9002</v>
      </c>
      <c r="H1746" s="116"/>
      <c r="I1746" s="116"/>
      <c r="L1746" s="170">
        <v>44789</v>
      </c>
      <c r="M1746" s="116">
        <v>3581.6</v>
      </c>
      <c r="N1746" s="116">
        <v>3588.9</v>
      </c>
      <c r="O1746" s="116">
        <v>3537</v>
      </c>
      <c r="P1746" s="116">
        <v>3553.3</v>
      </c>
      <c r="Q1746" s="116">
        <v>3581.6</v>
      </c>
      <c r="R1746">
        <v>289711</v>
      </c>
    </row>
    <row r="1747" spans="1:18" x14ac:dyDescent="0.25">
      <c r="A1747" s="170">
        <v>44790</v>
      </c>
      <c r="B1747" s="116">
        <v>3625</v>
      </c>
      <c r="C1747" s="116">
        <v>3598.9</v>
      </c>
      <c r="D1747" s="116">
        <v>3567.7</v>
      </c>
      <c r="E1747" s="116">
        <v>3608.95</v>
      </c>
      <c r="F1747" s="116">
        <v>3598.9</v>
      </c>
      <c r="G1747">
        <v>10098</v>
      </c>
      <c r="H1747" s="116"/>
      <c r="I1747" s="116"/>
      <c r="L1747" s="170">
        <v>44790</v>
      </c>
      <c r="M1747" s="116">
        <v>3597.65</v>
      </c>
      <c r="N1747" s="116">
        <v>3625</v>
      </c>
      <c r="O1747" s="116">
        <v>3565</v>
      </c>
      <c r="P1747" s="116">
        <v>3589</v>
      </c>
      <c r="Q1747" s="116">
        <v>3597.65</v>
      </c>
      <c r="R1747">
        <v>387697</v>
      </c>
    </row>
    <row r="1748" spans="1:18" x14ac:dyDescent="0.25">
      <c r="A1748" s="170">
        <v>44791</v>
      </c>
      <c r="B1748" s="116">
        <v>3625</v>
      </c>
      <c r="C1748" s="116">
        <v>3599</v>
      </c>
      <c r="D1748" s="116">
        <v>3551.9</v>
      </c>
      <c r="E1748" s="116">
        <v>3592</v>
      </c>
      <c r="F1748" s="116">
        <v>3599</v>
      </c>
      <c r="G1748">
        <v>26021</v>
      </c>
      <c r="H1748" s="116"/>
      <c r="I1748" s="116"/>
      <c r="L1748" s="170">
        <v>44791</v>
      </c>
      <c r="M1748" s="116">
        <v>3599.55</v>
      </c>
      <c r="N1748" s="116">
        <v>3628.4</v>
      </c>
      <c r="O1748" s="116">
        <v>3555.95</v>
      </c>
      <c r="P1748" s="116">
        <v>3591.35</v>
      </c>
      <c r="Q1748" s="116">
        <v>3599.55</v>
      </c>
      <c r="R1748">
        <v>238819</v>
      </c>
    </row>
    <row r="1749" spans="1:18" x14ac:dyDescent="0.25">
      <c r="A1749" s="170">
        <v>44792</v>
      </c>
      <c r="B1749" s="116">
        <v>3694.4</v>
      </c>
      <c r="C1749" s="116">
        <v>3641.25</v>
      </c>
      <c r="D1749" s="116">
        <v>3586</v>
      </c>
      <c r="E1749" s="116">
        <v>3586</v>
      </c>
      <c r="F1749" s="116">
        <v>3641.25</v>
      </c>
      <c r="G1749">
        <v>19199</v>
      </c>
      <c r="H1749" s="116"/>
      <c r="I1749" s="116"/>
      <c r="L1749" s="170">
        <v>44792</v>
      </c>
      <c r="M1749" s="116">
        <v>3635.25</v>
      </c>
      <c r="N1749" s="116">
        <v>3694</v>
      </c>
      <c r="O1749" s="116">
        <v>3590</v>
      </c>
      <c r="P1749" s="116">
        <v>3600</v>
      </c>
      <c r="Q1749" s="116">
        <v>3635.25</v>
      </c>
      <c r="R1749">
        <v>408096</v>
      </c>
    </row>
    <row r="1750" spans="1:18" x14ac:dyDescent="0.25">
      <c r="A1750" s="170">
        <v>44795</v>
      </c>
      <c r="B1750" s="116">
        <v>3659.95</v>
      </c>
      <c r="C1750" s="116">
        <v>3477.8</v>
      </c>
      <c r="D1750" s="116">
        <v>3416.2</v>
      </c>
      <c r="E1750" s="116">
        <v>3619</v>
      </c>
      <c r="F1750" s="116">
        <v>3477.8</v>
      </c>
      <c r="G1750">
        <v>25196</v>
      </c>
      <c r="H1750" s="116"/>
      <c r="I1750" s="116"/>
      <c r="L1750" s="170">
        <v>44795</v>
      </c>
      <c r="M1750" s="116">
        <v>3486.4</v>
      </c>
      <c r="N1750" s="116">
        <v>3658</v>
      </c>
      <c r="O1750" s="116">
        <v>3436.45</v>
      </c>
      <c r="P1750" s="116">
        <v>3633</v>
      </c>
      <c r="Q1750" s="116">
        <v>3486.4</v>
      </c>
      <c r="R1750">
        <v>356510</v>
      </c>
    </row>
    <row r="1751" spans="1:18" x14ac:dyDescent="0.25">
      <c r="A1751" s="170">
        <v>44796</v>
      </c>
      <c r="B1751" s="116">
        <v>3697</v>
      </c>
      <c r="C1751" s="116">
        <v>3590.15</v>
      </c>
      <c r="D1751" s="116">
        <v>3319</v>
      </c>
      <c r="E1751" s="116">
        <v>3425</v>
      </c>
      <c r="F1751" s="116">
        <v>3590.15</v>
      </c>
      <c r="G1751">
        <v>22740</v>
      </c>
      <c r="H1751" s="116"/>
      <c r="I1751" s="116"/>
      <c r="L1751" s="170">
        <v>44796</v>
      </c>
      <c r="M1751" s="116">
        <v>3601.9</v>
      </c>
      <c r="N1751" s="116">
        <v>3699.9</v>
      </c>
      <c r="O1751" s="116">
        <v>3317.65</v>
      </c>
      <c r="P1751" s="116">
        <v>3415</v>
      </c>
      <c r="Q1751" s="116">
        <v>3601.9</v>
      </c>
      <c r="R1751">
        <v>570977</v>
      </c>
    </row>
    <row r="1752" spans="1:18" x14ac:dyDescent="0.25">
      <c r="A1752" s="170">
        <v>44797</v>
      </c>
      <c r="B1752" s="116">
        <v>3769.4</v>
      </c>
      <c r="C1752" s="116">
        <v>3696.95</v>
      </c>
      <c r="D1752" s="116">
        <v>3477</v>
      </c>
      <c r="E1752" s="116">
        <v>3590</v>
      </c>
      <c r="F1752" s="116">
        <v>3696.95</v>
      </c>
      <c r="G1752">
        <v>36742</v>
      </c>
      <c r="H1752" s="116"/>
      <c r="I1752" s="116"/>
      <c r="L1752" s="170">
        <v>44797</v>
      </c>
      <c r="M1752" s="116">
        <v>3700.4</v>
      </c>
      <c r="N1752" s="116">
        <v>3770</v>
      </c>
      <c r="O1752" s="116">
        <v>3476.1</v>
      </c>
      <c r="P1752" s="116">
        <v>3600</v>
      </c>
      <c r="Q1752" s="116">
        <v>3700.4</v>
      </c>
      <c r="R1752">
        <v>1230027</v>
      </c>
    </row>
    <row r="1753" spans="1:18" x14ac:dyDescent="0.25">
      <c r="A1753" s="170">
        <v>44798</v>
      </c>
      <c r="B1753" s="116">
        <v>3784</v>
      </c>
      <c r="C1753" s="116">
        <v>3715.2</v>
      </c>
      <c r="D1753" s="116">
        <v>3664.95</v>
      </c>
      <c r="E1753" s="116">
        <v>3669</v>
      </c>
      <c r="F1753" s="116">
        <v>3715.2</v>
      </c>
      <c r="G1753">
        <v>28011</v>
      </c>
      <c r="H1753" s="116"/>
      <c r="I1753" s="116"/>
      <c r="L1753" s="170">
        <v>44798</v>
      </c>
      <c r="M1753" s="116">
        <v>3715.8</v>
      </c>
      <c r="N1753" s="116">
        <v>3784.9</v>
      </c>
      <c r="O1753" s="116">
        <v>3669</v>
      </c>
      <c r="P1753" s="116">
        <v>3669</v>
      </c>
      <c r="Q1753" s="116">
        <v>3715.8</v>
      </c>
      <c r="R1753">
        <v>501051</v>
      </c>
    </row>
    <row r="1754" spans="1:18" x14ac:dyDescent="0.25">
      <c r="A1754" s="170">
        <v>44799</v>
      </c>
      <c r="B1754" s="116">
        <v>3782.45</v>
      </c>
      <c r="C1754" s="116">
        <v>3750.35</v>
      </c>
      <c r="D1754" s="116">
        <v>3715</v>
      </c>
      <c r="E1754" s="116">
        <v>3715</v>
      </c>
      <c r="F1754" s="116">
        <v>3750.35</v>
      </c>
      <c r="G1754">
        <v>10433</v>
      </c>
      <c r="H1754" s="116"/>
      <c r="I1754" s="116"/>
      <c r="L1754" s="170">
        <v>44799</v>
      </c>
      <c r="M1754" s="116">
        <v>3751.2</v>
      </c>
      <c r="N1754" s="116">
        <v>3785</v>
      </c>
      <c r="O1754" s="116">
        <v>3720.1</v>
      </c>
      <c r="P1754" s="116">
        <v>3734.4</v>
      </c>
      <c r="Q1754" s="116">
        <v>3751.2</v>
      </c>
      <c r="R1754">
        <v>287276</v>
      </c>
    </row>
    <row r="1755" spans="1:18" x14ac:dyDescent="0.25">
      <c r="A1755" s="170">
        <v>44802</v>
      </c>
      <c r="B1755" s="116">
        <v>3916.05</v>
      </c>
      <c r="C1755" s="116">
        <v>3854.1</v>
      </c>
      <c r="D1755" s="116">
        <v>3564.2</v>
      </c>
      <c r="E1755" s="116">
        <v>3600</v>
      </c>
      <c r="F1755" s="116">
        <v>3854.1</v>
      </c>
      <c r="G1755">
        <v>34293</v>
      </c>
      <c r="H1755" s="116"/>
      <c r="I1755" s="116"/>
      <c r="L1755" s="170">
        <v>44802</v>
      </c>
      <c r="M1755" s="116">
        <v>3855.55</v>
      </c>
      <c r="N1755" s="116">
        <v>3917</v>
      </c>
      <c r="O1755" s="116">
        <v>3522</v>
      </c>
      <c r="P1755" s="116">
        <v>3522</v>
      </c>
      <c r="Q1755" s="116">
        <v>3855.55</v>
      </c>
      <c r="R1755">
        <v>980009</v>
      </c>
    </row>
    <row r="1756" spans="1:18" x14ac:dyDescent="0.25">
      <c r="A1756" s="170">
        <v>44803</v>
      </c>
      <c r="B1756" s="116">
        <v>4041.9</v>
      </c>
      <c r="C1756" s="116">
        <v>3971.65</v>
      </c>
      <c r="D1756" s="116">
        <v>3900</v>
      </c>
      <c r="E1756" s="116">
        <v>3900</v>
      </c>
      <c r="F1756" s="116">
        <v>3971.65</v>
      </c>
      <c r="G1756">
        <v>24197</v>
      </c>
      <c r="H1756" s="116"/>
      <c r="I1756" s="116"/>
      <c r="L1756" s="170">
        <v>44803</v>
      </c>
      <c r="M1756" s="116">
        <v>3960.7</v>
      </c>
      <c r="N1756" s="116">
        <v>4048</v>
      </c>
      <c r="O1756" s="116">
        <v>3880</v>
      </c>
      <c r="P1756" s="116">
        <v>3910</v>
      </c>
      <c r="Q1756" s="116">
        <v>3960.7</v>
      </c>
      <c r="R1756">
        <v>1581530</v>
      </c>
    </row>
    <row r="1757" spans="1:18" x14ac:dyDescent="0.25">
      <c r="A1757" s="170">
        <v>44805</v>
      </c>
      <c r="B1757" s="116">
        <v>3991.5</v>
      </c>
      <c r="C1757" s="116">
        <v>3876.65</v>
      </c>
      <c r="D1757" s="116">
        <v>3822.45</v>
      </c>
      <c r="E1757" s="116">
        <v>3972</v>
      </c>
      <c r="F1757" s="116">
        <v>3876.65</v>
      </c>
      <c r="G1757">
        <v>35022</v>
      </c>
      <c r="H1757" s="116"/>
      <c r="I1757" s="116"/>
      <c r="L1757" s="170">
        <v>44805</v>
      </c>
      <c r="M1757" s="116">
        <v>3880.45</v>
      </c>
      <c r="N1757" s="116">
        <v>3984.8</v>
      </c>
      <c r="O1757" s="116">
        <v>3825.05</v>
      </c>
      <c r="P1757" s="116">
        <v>3982</v>
      </c>
      <c r="Q1757" s="116">
        <v>3880.45</v>
      </c>
      <c r="R1757">
        <v>595048</v>
      </c>
    </row>
    <row r="1758" spans="1:18" x14ac:dyDescent="0.25">
      <c r="A1758" s="170">
        <v>44806</v>
      </c>
      <c r="B1758" s="116">
        <v>3973.15</v>
      </c>
      <c r="C1758" s="116">
        <v>3862.35</v>
      </c>
      <c r="D1758" s="116">
        <v>3832.55</v>
      </c>
      <c r="E1758" s="116">
        <v>3920.5</v>
      </c>
      <c r="F1758" s="116">
        <v>3862.35</v>
      </c>
      <c r="G1758">
        <v>13853</v>
      </c>
      <c r="H1758" s="116"/>
      <c r="I1758" s="116"/>
      <c r="L1758" s="170">
        <v>44806</v>
      </c>
      <c r="M1758" s="116">
        <v>3866.55</v>
      </c>
      <c r="N1758" s="116">
        <v>3971.85</v>
      </c>
      <c r="O1758" s="116">
        <v>3832.2</v>
      </c>
      <c r="P1758" s="116">
        <v>3940.5</v>
      </c>
      <c r="Q1758" s="116">
        <v>3866.55</v>
      </c>
      <c r="R1758">
        <v>416381</v>
      </c>
    </row>
    <row r="1759" spans="1:18" x14ac:dyDescent="0.25">
      <c r="A1759" s="170">
        <v>44809</v>
      </c>
      <c r="B1759" s="116">
        <v>3919</v>
      </c>
      <c r="C1759" s="116">
        <v>3876.15</v>
      </c>
      <c r="D1759" s="116">
        <v>3813</v>
      </c>
      <c r="E1759" s="116">
        <v>3856.6</v>
      </c>
      <c r="F1759" s="116">
        <v>3876.15</v>
      </c>
      <c r="G1759">
        <v>12882</v>
      </c>
      <c r="H1759" s="116"/>
      <c r="I1759" s="116"/>
      <c r="L1759" s="170">
        <v>44809</v>
      </c>
      <c r="M1759" s="116">
        <v>3881.25</v>
      </c>
      <c r="N1759" s="116">
        <v>3920</v>
      </c>
      <c r="O1759" s="116">
        <v>3811</v>
      </c>
      <c r="P1759" s="116">
        <v>3862.8</v>
      </c>
      <c r="Q1759" s="116">
        <v>3881.25</v>
      </c>
      <c r="R1759">
        <v>388311</v>
      </c>
    </row>
    <row r="1760" spans="1:18" x14ac:dyDescent="0.25">
      <c r="A1760" s="170">
        <v>44810</v>
      </c>
      <c r="B1760" s="116">
        <v>3980.2</v>
      </c>
      <c r="C1760" s="116">
        <v>3962.05</v>
      </c>
      <c r="D1760" s="116">
        <v>3852.65</v>
      </c>
      <c r="E1760" s="116">
        <v>3852.65</v>
      </c>
      <c r="F1760" s="116">
        <v>3962.05</v>
      </c>
      <c r="G1760">
        <v>21094</v>
      </c>
      <c r="H1760" s="116"/>
      <c r="I1760" s="116"/>
      <c r="L1760" s="170">
        <v>44810</v>
      </c>
      <c r="M1760" s="116">
        <v>3964.05</v>
      </c>
      <c r="N1760" s="116">
        <v>3979.9</v>
      </c>
      <c r="O1760" s="116">
        <v>3890</v>
      </c>
      <c r="P1760" s="116">
        <v>3895</v>
      </c>
      <c r="Q1760" s="116">
        <v>3964.05</v>
      </c>
      <c r="R1760">
        <v>607394</v>
      </c>
    </row>
    <row r="1761" spans="1:18" x14ac:dyDescent="0.25">
      <c r="A1761" s="170">
        <v>44811</v>
      </c>
      <c r="B1761" s="116">
        <v>3962.05</v>
      </c>
      <c r="C1761" s="116">
        <v>3889.45</v>
      </c>
      <c r="D1761" s="116">
        <v>3854.2</v>
      </c>
      <c r="E1761" s="116">
        <v>3962.05</v>
      </c>
      <c r="F1761" s="116">
        <v>3889.45</v>
      </c>
      <c r="G1761">
        <v>15036</v>
      </c>
      <c r="H1761" s="116"/>
      <c r="I1761" s="116"/>
      <c r="L1761" s="170">
        <v>44811</v>
      </c>
      <c r="M1761" s="116">
        <v>3893.1</v>
      </c>
      <c r="N1761" s="116">
        <v>3950</v>
      </c>
      <c r="O1761" s="116">
        <v>3856.85</v>
      </c>
      <c r="P1761" s="116">
        <v>3949.75</v>
      </c>
      <c r="Q1761" s="116">
        <v>3893.1</v>
      </c>
      <c r="R1761">
        <v>455358</v>
      </c>
    </row>
    <row r="1762" spans="1:18" x14ac:dyDescent="0.25">
      <c r="A1762" s="170">
        <v>44812</v>
      </c>
      <c r="B1762" s="116">
        <v>3946.6</v>
      </c>
      <c r="C1762" s="116">
        <v>3924.45</v>
      </c>
      <c r="D1762" s="116">
        <v>3905</v>
      </c>
      <c r="E1762" s="116">
        <v>3940</v>
      </c>
      <c r="F1762" s="116">
        <v>3924.45</v>
      </c>
      <c r="G1762">
        <v>6565</v>
      </c>
      <c r="H1762" s="116"/>
      <c r="I1762" s="116"/>
      <c r="L1762" s="170">
        <v>44812</v>
      </c>
      <c r="M1762" s="116">
        <v>3925.95</v>
      </c>
      <c r="N1762" s="116">
        <v>3945</v>
      </c>
      <c r="O1762" s="116">
        <v>3881.3</v>
      </c>
      <c r="P1762" s="116">
        <v>3933</v>
      </c>
      <c r="Q1762" s="116">
        <v>3925.95</v>
      </c>
      <c r="R1762">
        <v>303146</v>
      </c>
    </row>
    <row r="1763" spans="1:18" x14ac:dyDescent="0.25">
      <c r="A1763" s="170">
        <v>44813</v>
      </c>
      <c r="B1763" s="116">
        <v>3958</v>
      </c>
      <c r="C1763" s="116">
        <v>3931.65</v>
      </c>
      <c r="D1763" s="116">
        <v>3905</v>
      </c>
      <c r="E1763" s="116">
        <v>3920.05</v>
      </c>
      <c r="F1763" s="116">
        <v>3931.65</v>
      </c>
      <c r="G1763">
        <v>6067</v>
      </c>
      <c r="H1763" s="116"/>
      <c r="I1763" s="116"/>
      <c r="L1763" s="170">
        <v>44813</v>
      </c>
      <c r="M1763" s="116">
        <v>3931.1</v>
      </c>
      <c r="N1763" s="116">
        <v>3960</v>
      </c>
      <c r="O1763" s="116">
        <v>3905</v>
      </c>
      <c r="P1763" s="116">
        <v>3945.95</v>
      </c>
      <c r="Q1763" s="116">
        <v>3931.1</v>
      </c>
      <c r="R1763">
        <v>414999</v>
      </c>
    </row>
    <row r="1764" spans="1:18" x14ac:dyDescent="0.25">
      <c r="A1764" s="170">
        <v>44816</v>
      </c>
      <c r="B1764" s="116">
        <v>4047.95</v>
      </c>
      <c r="C1764" s="116">
        <v>4005.85</v>
      </c>
      <c r="D1764" s="116">
        <v>3891.4</v>
      </c>
      <c r="E1764" s="116">
        <v>3910</v>
      </c>
      <c r="F1764" s="116">
        <v>4005.85</v>
      </c>
      <c r="G1764">
        <v>35462</v>
      </c>
      <c r="H1764" s="116"/>
      <c r="I1764" s="116"/>
      <c r="L1764" s="170">
        <v>44816</v>
      </c>
      <c r="M1764" s="116">
        <v>4006</v>
      </c>
      <c r="N1764" s="116">
        <v>4044.4</v>
      </c>
      <c r="O1764" s="116">
        <v>3891.15</v>
      </c>
      <c r="P1764" s="116">
        <v>3914</v>
      </c>
      <c r="Q1764" s="116">
        <v>4006</v>
      </c>
      <c r="R1764">
        <v>425256</v>
      </c>
    </row>
    <row r="1765" spans="1:18" x14ac:dyDescent="0.25">
      <c r="A1765" s="170">
        <v>44817</v>
      </c>
      <c r="B1765" s="116">
        <v>4074</v>
      </c>
      <c r="C1765" s="116">
        <v>4035.15</v>
      </c>
      <c r="D1765" s="116">
        <v>3973</v>
      </c>
      <c r="E1765" s="116">
        <v>4006</v>
      </c>
      <c r="F1765" s="116">
        <v>4035.15</v>
      </c>
      <c r="G1765">
        <v>17702</v>
      </c>
      <c r="H1765" s="116"/>
      <c r="I1765" s="116"/>
      <c r="L1765" s="170">
        <v>44817</v>
      </c>
      <c r="M1765" s="116">
        <v>4037.05</v>
      </c>
      <c r="N1765" s="116">
        <v>4075</v>
      </c>
      <c r="O1765" s="116">
        <v>3970.25</v>
      </c>
      <c r="P1765" s="116">
        <v>4010</v>
      </c>
      <c r="Q1765" s="116">
        <v>4037.05</v>
      </c>
      <c r="R1765">
        <v>341353</v>
      </c>
    </row>
    <row r="1766" spans="1:18" x14ac:dyDescent="0.25">
      <c r="A1766" s="170">
        <v>44818</v>
      </c>
      <c r="B1766" s="116">
        <v>4061.4</v>
      </c>
      <c r="C1766" s="116">
        <v>3975.7</v>
      </c>
      <c r="D1766" s="116">
        <v>3900.05</v>
      </c>
      <c r="E1766" s="116">
        <v>3929.65</v>
      </c>
      <c r="F1766" s="116">
        <v>3975.7</v>
      </c>
      <c r="G1766">
        <v>9790</v>
      </c>
      <c r="H1766" s="116"/>
      <c r="I1766" s="116"/>
      <c r="L1766" s="170">
        <v>44818</v>
      </c>
      <c r="M1766" s="116">
        <v>3978.15</v>
      </c>
      <c r="N1766" s="116">
        <v>4060.1</v>
      </c>
      <c r="O1766" s="116">
        <v>3883.15</v>
      </c>
      <c r="P1766" s="116">
        <v>3900</v>
      </c>
      <c r="Q1766" s="116">
        <v>3978.15</v>
      </c>
      <c r="R1766">
        <v>248319</v>
      </c>
    </row>
    <row r="1767" spans="1:18" x14ac:dyDescent="0.25">
      <c r="A1767" s="170">
        <v>44819</v>
      </c>
      <c r="B1767" s="116">
        <v>4198.95</v>
      </c>
      <c r="C1767" s="116">
        <v>4105.55</v>
      </c>
      <c r="D1767" s="116">
        <v>3990</v>
      </c>
      <c r="E1767" s="116">
        <v>3990</v>
      </c>
      <c r="F1767" s="116">
        <v>4105.55</v>
      </c>
      <c r="G1767">
        <v>41671</v>
      </c>
      <c r="H1767" s="116"/>
      <c r="I1767" s="116"/>
      <c r="L1767" s="170">
        <v>44819</v>
      </c>
      <c r="M1767" s="116">
        <v>4105.3999999999996</v>
      </c>
      <c r="N1767" s="116">
        <v>4190</v>
      </c>
      <c r="O1767" s="116">
        <v>3990.1</v>
      </c>
      <c r="P1767" s="116">
        <v>4003.25</v>
      </c>
      <c r="Q1767" s="116">
        <v>4105.3999999999996</v>
      </c>
      <c r="R1767">
        <v>778257</v>
      </c>
    </row>
    <row r="1768" spans="1:18" x14ac:dyDescent="0.25">
      <c r="A1768" s="170">
        <v>44820</v>
      </c>
      <c r="B1768" s="116">
        <v>4238.55</v>
      </c>
      <c r="C1768" s="116">
        <v>4090.5</v>
      </c>
      <c r="D1768" s="116">
        <v>3890.05</v>
      </c>
      <c r="E1768" s="116">
        <v>4106</v>
      </c>
      <c r="F1768" s="116">
        <v>4090.5</v>
      </c>
      <c r="G1768">
        <v>68824</v>
      </c>
      <c r="H1768" s="116"/>
      <c r="I1768" s="116"/>
      <c r="L1768" s="170">
        <v>44820</v>
      </c>
      <c r="M1768" s="116">
        <v>4094.75</v>
      </c>
      <c r="N1768" s="116">
        <v>4236.75</v>
      </c>
      <c r="O1768" s="116">
        <v>3890</v>
      </c>
      <c r="P1768" s="116">
        <v>4106</v>
      </c>
      <c r="Q1768" s="116">
        <v>4094.75</v>
      </c>
      <c r="R1768">
        <v>997641</v>
      </c>
    </row>
    <row r="1769" spans="1:18" x14ac:dyDescent="0.25">
      <c r="A1769" s="170">
        <v>44823</v>
      </c>
      <c r="B1769" s="116">
        <v>4210</v>
      </c>
      <c r="C1769" s="116">
        <v>4023.7</v>
      </c>
      <c r="D1769" s="116">
        <v>3993</v>
      </c>
      <c r="E1769" s="116">
        <v>4153.05</v>
      </c>
      <c r="F1769" s="116">
        <v>4023.7</v>
      </c>
      <c r="G1769">
        <v>445375</v>
      </c>
      <c r="H1769" s="116"/>
      <c r="I1769" s="116"/>
      <c r="L1769" s="170">
        <v>44823</v>
      </c>
      <c r="M1769" s="116">
        <v>4029.4</v>
      </c>
      <c r="N1769" s="116">
        <v>4217.45</v>
      </c>
      <c r="O1769" s="116">
        <v>3991.1</v>
      </c>
      <c r="P1769" s="116">
        <v>4165</v>
      </c>
      <c r="Q1769" s="116">
        <v>4029.4</v>
      </c>
      <c r="R1769">
        <v>508773</v>
      </c>
    </row>
    <row r="1770" spans="1:18" x14ac:dyDescent="0.25">
      <c r="A1770" s="170">
        <v>44824</v>
      </c>
      <c r="B1770" s="116">
        <v>4120</v>
      </c>
      <c r="C1770" s="116">
        <v>4015.3</v>
      </c>
      <c r="D1770" s="116">
        <v>3985</v>
      </c>
      <c r="E1770" s="116">
        <v>4100</v>
      </c>
      <c r="F1770" s="116">
        <v>4015.3</v>
      </c>
      <c r="G1770">
        <v>10585</v>
      </c>
      <c r="H1770" s="116"/>
      <c r="I1770" s="116"/>
      <c r="L1770" s="170">
        <v>44824</v>
      </c>
      <c r="M1770" s="116">
        <v>4021.55</v>
      </c>
      <c r="N1770" s="116">
        <v>4114</v>
      </c>
      <c r="O1770" s="116">
        <v>3986</v>
      </c>
      <c r="P1770" s="116">
        <v>4114</v>
      </c>
      <c r="Q1770" s="116">
        <v>4021.55</v>
      </c>
      <c r="R1770">
        <v>408642</v>
      </c>
    </row>
    <row r="1771" spans="1:18" x14ac:dyDescent="0.25">
      <c r="A1771" s="170">
        <v>44825</v>
      </c>
      <c r="B1771" s="116">
        <v>4058.95</v>
      </c>
      <c r="C1771" s="116">
        <v>3865.25</v>
      </c>
      <c r="D1771" s="116">
        <v>3841.1</v>
      </c>
      <c r="E1771" s="116">
        <v>4015</v>
      </c>
      <c r="F1771" s="116">
        <v>3865.25</v>
      </c>
      <c r="G1771">
        <v>20079</v>
      </c>
      <c r="H1771" s="116"/>
      <c r="I1771" s="116"/>
      <c r="L1771" s="170">
        <v>44825</v>
      </c>
      <c r="M1771" s="116">
        <v>3865.75</v>
      </c>
      <c r="N1771" s="116">
        <v>4060</v>
      </c>
      <c r="O1771" s="116">
        <v>3840.3</v>
      </c>
      <c r="P1771" s="116">
        <v>4030</v>
      </c>
      <c r="Q1771" s="116">
        <v>3865.75</v>
      </c>
      <c r="R1771">
        <v>474339</v>
      </c>
    </row>
    <row r="1772" spans="1:18" x14ac:dyDescent="0.25">
      <c r="A1772" s="170">
        <v>44826</v>
      </c>
      <c r="B1772" s="116">
        <v>4043.15</v>
      </c>
      <c r="C1772" s="116">
        <v>4001.05</v>
      </c>
      <c r="D1772" s="116">
        <v>3819.35</v>
      </c>
      <c r="E1772" s="116">
        <v>3861.8</v>
      </c>
      <c r="F1772" s="116">
        <v>4001.05</v>
      </c>
      <c r="G1772">
        <v>27458</v>
      </c>
      <c r="H1772" s="116"/>
      <c r="I1772" s="116"/>
      <c r="L1772" s="170">
        <v>44826</v>
      </c>
      <c r="M1772" s="116">
        <v>3997.9</v>
      </c>
      <c r="N1772" s="116">
        <v>4039.75</v>
      </c>
      <c r="O1772" s="116">
        <v>3821.1</v>
      </c>
      <c r="P1772" s="116">
        <v>3877.95</v>
      </c>
      <c r="Q1772" s="116">
        <v>3997.9</v>
      </c>
      <c r="R1772">
        <v>629474</v>
      </c>
    </row>
    <row r="1773" spans="1:18" x14ac:dyDescent="0.25">
      <c r="A1773" s="170">
        <v>44827</v>
      </c>
      <c r="B1773" s="116">
        <v>4035</v>
      </c>
      <c r="C1773" s="116">
        <v>3869.7</v>
      </c>
      <c r="D1773" s="116">
        <v>3840</v>
      </c>
      <c r="E1773" s="116">
        <v>4012</v>
      </c>
      <c r="F1773" s="116">
        <v>3869.7</v>
      </c>
      <c r="G1773">
        <v>32832</v>
      </c>
      <c r="H1773" s="116"/>
      <c r="I1773" s="116"/>
      <c r="L1773" s="170">
        <v>44827</v>
      </c>
      <c r="M1773" s="116">
        <v>3872.55</v>
      </c>
      <c r="N1773" s="116">
        <v>4033.9</v>
      </c>
      <c r="O1773" s="116">
        <v>3840</v>
      </c>
      <c r="P1773" s="116">
        <v>4017</v>
      </c>
      <c r="Q1773" s="116">
        <v>3872.55</v>
      </c>
      <c r="R1773">
        <v>367210</v>
      </c>
    </row>
    <row r="1774" spans="1:18" x14ac:dyDescent="0.25">
      <c r="A1774" s="170">
        <v>44830</v>
      </c>
      <c r="B1774" s="116">
        <v>3865</v>
      </c>
      <c r="C1774" s="116">
        <v>3708.6</v>
      </c>
      <c r="D1774" s="116">
        <v>3651</v>
      </c>
      <c r="E1774" s="116">
        <v>3865</v>
      </c>
      <c r="F1774" s="116">
        <v>3708.6</v>
      </c>
      <c r="G1774">
        <v>17540</v>
      </c>
      <c r="H1774" s="116"/>
      <c r="I1774" s="116"/>
      <c r="L1774" s="170">
        <v>44830</v>
      </c>
      <c r="M1774" s="116">
        <v>3713</v>
      </c>
      <c r="N1774" s="116">
        <v>3854</v>
      </c>
      <c r="O1774" s="116">
        <v>3650</v>
      </c>
      <c r="P1774" s="116">
        <v>3854</v>
      </c>
      <c r="Q1774" s="116">
        <v>3713</v>
      </c>
      <c r="R1774">
        <v>364080</v>
      </c>
    </row>
    <row r="1775" spans="1:18" x14ac:dyDescent="0.25">
      <c r="A1775" s="170">
        <v>44831</v>
      </c>
      <c r="B1775" s="116">
        <v>3798.85</v>
      </c>
      <c r="C1775" s="116">
        <v>3607.7</v>
      </c>
      <c r="D1775" s="116">
        <v>3585</v>
      </c>
      <c r="E1775" s="116">
        <v>3728</v>
      </c>
      <c r="F1775" s="116">
        <v>3607.7</v>
      </c>
      <c r="G1775">
        <v>15893</v>
      </c>
      <c r="H1775" s="116"/>
      <c r="I1775" s="116"/>
      <c r="L1775" s="170">
        <v>44831</v>
      </c>
      <c r="M1775" s="116">
        <v>3606.5</v>
      </c>
      <c r="N1775" s="116">
        <v>3795.05</v>
      </c>
      <c r="O1775" s="116">
        <v>3582</v>
      </c>
      <c r="P1775" s="116">
        <v>3731</v>
      </c>
      <c r="Q1775" s="116">
        <v>3606.5</v>
      </c>
      <c r="R1775">
        <v>400150</v>
      </c>
    </row>
    <row r="1776" spans="1:18" x14ac:dyDescent="0.25">
      <c r="A1776" s="170">
        <v>44832</v>
      </c>
      <c r="B1776" s="116">
        <v>3658.95</v>
      </c>
      <c r="C1776" s="116">
        <v>3602.65</v>
      </c>
      <c r="D1776" s="116">
        <v>3527.6</v>
      </c>
      <c r="E1776" s="116">
        <v>3565.05</v>
      </c>
      <c r="F1776" s="116">
        <v>3602.65</v>
      </c>
      <c r="G1776">
        <v>19612</v>
      </c>
      <c r="H1776" s="116"/>
      <c r="I1776" s="116"/>
      <c r="L1776" s="170">
        <v>44832</v>
      </c>
      <c r="M1776" s="116">
        <v>3602.1</v>
      </c>
      <c r="N1776" s="116">
        <v>3657.5</v>
      </c>
      <c r="O1776" s="116">
        <v>3540.5</v>
      </c>
      <c r="P1776" s="116">
        <v>3589</v>
      </c>
      <c r="Q1776" s="116">
        <v>3602.1</v>
      </c>
      <c r="R1776">
        <v>364006</v>
      </c>
    </row>
    <row r="1777" spans="1:18" x14ac:dyDescent="0.25">
      <c r="A1777" s="170">
        <v>44833</v>
      </c>
      <c r="B1777" s="116">
        <v>3755.25</v>
      </c>
      <c r="C1777" s="116">
        <v>3413.6</v>
      </c>
      <c r="D1777" s="116">
        <v>3351.05</v>
      </c>
      <c r="E1777" s="116">
        <v>3622.6</v>
      </c>
      <c r="F1777" s="116">
        <v>3413.6</v>
      </c>
      <c r="G1777">
        <v>36439</v>
      </c>
      <c r="H1777" s="116"/>
      <c r="I1777" s="116"/>
      <c r="L1777" s="170">
        <v>44833</v>
      </c>
      <c r="M1777" s="116">
        <v>3406.4</v>
      </c>
      <c r="N1777" s="116">
        <v>3775.8</v>
      </c>
      <c r="O1777" s="116">
        <v>3350.7</v>
      </c>
      <c r="P1777" s="116">
        <v>3647</v>
      </c>
      <c r="Q1777" s="116">
        <v>3406.4</v>
      </c>
      <c r="R1777">
        <v>887218</v>
      </c>
    </row>
    <row r="1778" spans="1:18" x14ac:dyDescent="0.25">
      <c r="A1778" s="170">
        <v>44834</v>
      </c>
      <c r="B1778" s="116">
        <v>3413.6</v>
      </c>
      <c r="C1778" s="116">
        <v>3290.7</v>
      </c>
      <c r="D1778" s="116">
        <v>3210.8</v>
      </c>
      <c r="E1778" s="116">
        <v>3351.4</v>
      </c>
      <c r="F1778" s="116">
        <v>3290.7</v>
      </c>
      <c r="G1778">
        <v>85571</v>
      </c>
      <c r="H1778" s="116"/>
      <c r="I1778" s="116"/>
      <c r="L1778" s="170">
        <v>44834</v>
      </c>
      <c r="M1778" s="116">
        <v>3289.8</v>
      </c>
      <c r="N1778" s="116">
        <v>3417.45</v>
      </c>
      <c r="O1778" s="116">
        <v>3232</v>
      </c>
      <c r="P1778" s="116">
        <v>3350</v>
      </c>
      <c r="Q1778" s="116">
        <v>3289.8</v>
      </c>
      <c r="R1778">
        <v>1128419</v>
      </c>
    </row>
    <row r="1779" spans="1:18" x14ac:dyDescent="0.25">
      <c r="A1779" s="170">
        <v>44837</v>
      </c>
      <c r="B1779" s="116">
        <v>3420.25</v>
      </c>
      <c r="C1779" s="116">
        <v>3120.65</v>
      </c>
      <c r="D1779" s="116">
        <v>3000</v>
      </c>
      <c r="E1779" s="116">
        <v>3304.65</v>
      </c>
      <c r="F1779" s="116">
        <v>3120.65</v>
      </c>
      <c r="G1779">
        <v>106283</v>
      </c>
      <c r="H1779" s="116"/>
      <c r="I1779" s="116"/>
      <c r="L1779" s="170">
        <v>44837</v>
      </c>
      <c r="M1779" s="116">
        <v>3123.65</v>
      </c>
      <c r="N1779" s="116">
        <v>3420</v>
      </c>
      <c r="O1779" s="116">
        <v>3000</v>
      </c>
      <c r="P1779" s="116">
        <v>3328.9</v>
      </c>
      <c r="Q1779" s="116">
        <v>3123.65</v>
      </c>
      <c r="R1779">
        <v>1223636</v>
      </c>
    </row>
    <row r="1780" spans="1:18" x14ac:dyDescent="0.25">
      <c r="A1780" s="170">
        <v>44838</v>
      </c>
      <c r="B1780" s="116">
        <v>3350</v>
      </c>
      <c r="C1780" s="116">
        <v>3314.7</v>
      </c>
      <c r="D1780" s="116">
        <v>3135</v>
      </c>
      <c r="E1780" s="116">
        <v>3248.8</v>
      </c>
      <c r="F1780" s="116">
        <v>3314.7</v>
      </c>
      <c r="G1780">
        <v>66227</v>
      </c>
      <c r="H1780" s="116"/>
      <c r="I1780" s="116"/>
      <c r="L1780" s="170">
        <v>44838</v>
      </c>
      <c r="M1780" s="116">
        <v>3318.6</v>
      </c>
      <c r="N1780" s="116">
        <v>3350</v>
      </c>
      <c r="O1780" s="116">
        <v>3135</v>
      </c>
      <c r="P1780" s="116">
        <v>3244</v>
      </c>
      <c r="Q1780" s="116">
        <v>3318.6</v>
      </c>
      <c r="R1780">
        <v>1426522</v>
      </c>
    </row>
    <row r="1781" spans="1:18" x14ac:dyDescent="0.25">
      <c r="A1781" s="170">
        <v>44840</v>
      </c>
      <c r="B1781" s="116">
        <v>3405.55</v>
      </c>
      <c r="C1781" s="116">
        <v>3357.05</v>
      </c>
      <c r="D1781" s="116">
        <v>3308.55</v>
      </c>
      <c r="E1781" s="116">
        <v>3370</v>
      </c>
      <c r="F1781" s="116">
        <v>3357.05</v>
      </c>
      <c r="G1781">
        <v>22439</v>
      </c>
      <c r="H1781" s="116"/>
      <c r="I1781" s="116"/>
      <c r="L1781" s="170">
        <v>44840</v>
      </c>
      <c r="M1781" s="116">
        <v>3358.75</v>
      </c>
      <c r="N1781" s="116">
        <v>3415.75</v>
      </c>
      <c r="O1781" s="116">
        <v>3306</v>
      </c>
      <c r="P1781" s="116">
        <v>3363.85</v>
      </c>
      <c r="Q1781" s="116">
        <v>3358.75</v>
      </c>
      <c r="R1781">
        <v>755486</v>
      </c>
    </row>
    <row r="1782" spans="1:18" x14ac:dyDescent="0.25">
      <c r="A1782" s="170">
        <v>44841</v>
      </c>
      <c r="B1782" s="116">
        <v>3346.15</v>
      </c>
      <c r="C1782" s="116">
        <v>3278.9</v>
      </c>
      <c r="D1782" s="116">
        <v>3252</v>
      </c>
      <c r="E1782" s="116">
        <v>3341.95</v>
      </c>
      <c r="F1782" s="116">
        <v>3278.9</v>
      </c>
      <c r="G1782">
        <v>15351</v>
      </c>
      <c r="H1782" s="116"/>
      <c r="I1782" s="116"/>
      <c r="L1782" s="170">
        <v>44841</v>
      </c>
      <c r="M1782" s="116">
        <v>3278.6</v>
      </c>
      <c r="N1782" s="116">
        <v>3349</v>
      </c>
      <c r="O1782" s="116">
        <v>3251</v>
      </c>
      <c r="P1782" s="116">
        <v>3333</v>
      </c>
      <c r="Q1782" s="116">
        <v>3278.6</v>
      </c>
      <c r="R1782">
        <v>445396</v>
      </c>
    </row>
    <row r="1783" spans="1:18" x14ac:dyDescent="0.25">
      <c r="A1783" s="170">
        <v>44844</v>
      </c>
      <c r="B1783" s="116">
        <v>3249.55</v>
      </c>
      <c r="C1783" s="116">
        <v>3191.5</v>
      </c>
      <c r="D1783" s="116">
        <v>3180</v>
      </c>
      <c r="E1783" s="116">
        <v>3200.55</v>
      </c>
      <c r="F1783" s="116">
        <v>3191.5</v>
      </c>
      <c r="G1783">
        <v>19635</v>
      </c>
      <c r="H1783" s="116"/>
      <c r="I1783" s="116"/>
      <c r="L1783" s="170">
        <v>44844</v>
      </c>
      <c r="M1783" s="116">
        <v>3191.45</v>
      </c>
      <c r="N1783" s="116">
        <v>3250</v>
      </c>
      <c r="O1783" s="116">
        <v>3180</v>
      </c>
      <c r="P1783" s="116">
        <v>3220</v>
      </c>
      <c r="Q1783" s="116">
        <v>3191.45</v>
      </c>
      <c r="R1783">
        <v>262753</v>
      </c>
    </row>
    <row r="1784" spans="1:18" x14ac:dyDescent="0.25">
      <c r="A1784" s="170">
        <v>44845</v>
      </c>
      <c r="B1784" s="116">
        <v>3240.75</v>
      </c>
      <c r="C1784" s="116">
        <v>3152.95</v>
      </c>
      <c r="D1784" s="116">
        <v>3129.65</v>
      </c>
      <c r="E1784" s="116">
        <v>3240</v>
      </c>
      <c r="F1784" s="116">
        <v>3152.95</v>
      </c>
      <c r="G1784">
        <v>20111</v>
      </c>
      <c r="H1784" s="116"/>
      <c r="I1784" s="116"/>
      <c r="L1784" s="170">
        <v>44845</v>
      </c>
      <c r="M1784" s="116">
        <v>3154.35</v>
      </c>
      <c r="N1784" s="116">
        <v>3248.7</v>
      </c>
      <c r="O1784" s="116">
        <v>3130</v>
      </c>
      <c r="P1784" s="116">
        <v>3248.7</v>
      </c>
      <c r="Q1784" s="116">
        <v>3154.35</v>
      </c>
      <c r="R1784">
        <v>362412</v>
      </c>
    </row>
    <row r="1785" spans="1:18" x14ac:dyDescent="0.25">
      <c r="A1785" s="170">
        <v>44846</v>
      </c>
      <c r="B1785" s="116">
        <v>3243.05</v>
      </c>
      <c r="C1785" s="116">
        <v>3184.15</v>
      </c>
      <c r="D1785" s="116">
        <v>3093.55</v>
      </c>
      <c r="E1785" s="116">
        <v>3163</v>
      </c>
      <c r="F1785" s="116">
        <v>3184.15</v>
      </c>
      <c r="G1785">
        <v>19135</v>
      </c>
      <c r="H1785" s="116"/>
      <c r="I1785" s="116"/>
      <c r="L1785" s="170">
        <v>44846</v>
      </c>
      <c r="M1785" s="116">
        <v>3187.95</v>
      </c>
      <c r="N1785" s="116">
        <v>3239.95</v>
      </c>
      <c r="O1785" s="116">
        <v>3092.55</v>
      </c>
      <c r="P1785" s="116">
        <v>3170.15</v>
      </c>
      <c r="Q1785" s="116">
        <v>3187.95</v>
      </c>
      <c r="R1785">
        <v>333287</v>
      </c>
    </row>
    <row r="1786" spans="1:18" x14ac:dyDescent="0.25">
      <c r="A1786" s="170">
        <v>44847</v>
      </c>
      <c r="B1786" s="116">
        <v>3212.35</v>
      </c>
      <c r="C1786" s="116">
        <v>3123.1</v>
      </c>
      <c r="D1786" s="116">
        <v>3101</v>
      </c>
      <c r="E1786" s="116">
        <v>3190</v>
      </c>
      <c r="F1786" s="116">
        <v>3123.1</v>
      </c>
      <c r="G1786">
        <v>8790</v>
      </c>
      <c r="H1786" s="116"/>
      <c r="I1786" s="116"/>
      <c r="L1786" s="170">
        <v>44847</v>
      </c>
      <c r="M1786" s="116">
        <v>3121.1</v>
      </c>
      <c r="N1786" s="116">
        <v>3211.85</v>
      </c>
      <c r="O1786" s="116">
        <v>3102</v>
      </c>
      <c r="P1786" s="116">
        <v>3188</v>
      </c>
      <c r="Q1786" s="116">
        <v>3121.1</v>
      </c>
      <c r="R1786">
        <v>271143</v>
      </c>
    </row>
    <row r="1787" spans="1:18" x14ac:dyDescent="0.25">
      <c r="A1787" s="170">
        <v>44848</v>
      </c>
      <c r="B1787" s="116">
        <v>3208.95</v>
      </c>
      <c r="C1787" s="116">
        <v>3036.4</v>
      </c>
      <c r="D1787" s="116">
        <v>3009.15</v>
      </c>
      <c r="E1787" s="116">
        <v>3208.95</v>
      </c>
      <c r="F1787" s="116">
        <v>3036.4</v>
      </c>
      <c r="G1787">
        <v>26450</v>
      </c>
      <c r="H1787" s="116"/>
      <c r="I1787" s="116"/>
      <c r="L1787" s="170">
        <v>44848</v>
      </c>
      <c r="M1787" s="116">
        <v>3035.3</v>
      </c>
      <c r="N1787" s="116">
        <v>3205.95</v>
      </c>
      <c r="O1787" s="116">
        <v>3005.25</v>
      </c>
      <c r="P1787" s="116">
        <v>3204</v>
      </c>
      <c r="Q1787" s="116">
        <v>3035.3</v>
      </c>
      <c r="R1787">
        <v>491098</v>
      </c>
    </row>
    <row r="1788" spans="1:18" x14ac:dyDescent="0.25">
      <c r="A1788" s="170">
        <v>44851</v>
      </c>
      <c r="B1788" s="116">
        <v>3098</v>
      </c>
      <c r="C1788" s="116">
        <v>3075.65</v>
      </c>
      <c r="D1788" s="116">
        <v>2970.5</v>
      </c>
      <c r="E1788" s="116">
        <v>3040</v>
      </c>
      <c r="F1788" s="116">
        <v>3075.65</v>
      </c>
      <c r="G1788">
        <v>373723</v>
      </c>
      <c r="H1788" s="116"/>
      <c r="I1788" s="116"/>
      <c r="L1788" s="170">
        <v>44851</v>
      </c>
      <c r="M1788" s="116">
        <v>3074.35</v>
      </c>
      <c r="N1788" s="116">
        <v>3096.7</v>
      </c>
      <c r="O1788" s="116">
        <v>2972.35</v>
      </c>
      <c r="P1788" s="116">
        <v>3045</v>
      </c>
      <c r="Q1788" s="116">
        <v>3074.35</v>
      </c>
      <c r="R1788">
        <v>369563</v>
      </c>
    </row>
    <row r="1789" spans="1:18" x14ac:dyDescent="0.25">
      <c r="A1789" s="170">
        <v>44852</v>
      </c>
      <c r="B1789" s="116">
        <v>3296</v>
      </c>
      <c r="C1789" s="116">
        <v>3246.95</v>
      </c>
      <c r="D1789" s="116">
        <v>3100.9</v>
      </c>
      <c r="E1789" s="116">
        <v>3100.9</v>
      </c>
      <c r="F1789" s="116">
        <v>3246.95</v>
      </c>
      <c r="G1789">
        <v>43890</v>
      </c>
      <c r="H1789" s="116"/>
      <c r="I1789" s="116"/>
      <c r="L1789" s="170">
        <v>44852</v>
      </c>
      <c r="M1789" s="116">
        <v>3243</v>
      </c>
      <c r="N1789" s="116">
        <v>3300</v>
      </c>
      <c r="O1789" s="116">
        <v>3112.05</v>
      </c>
      <c r="P1789" s="116">
        <v>3119</v>
      </c>
      <c r="Q1789" s="116">
        <v>3243</v>
      </c>
      <c r="R1789">
        <v>637598</v>
      </c>
    </row>
    <row r="1790" spans="1:18" x14ac:dyDescent="0.25">
      <c r="A1790" s="170">
        <v>44853</v>
      </c>
      <c r="B1790" s="116">
        <v>3338.35</v>
      </c>
      <c r="C1790" s="116">
        <v>3140.2</v>
      </c>
      <c r="D1790" s="116">
        <v>3104.1</v>
      </c>
      <c r="E1790" s="116">
        <v>3255.1</v>
      </c>
      <c r="F1790" s="116">
        <v>3140.2</v>
      </c>
      <c r="G1790">
        <v>49742</v>
      </c>
      <c r="H1790" s="116"/>
      <c r="I1790" s="116"/>
      <c r="L1790" s="170">
        <v>44853</v>
      </c>
      <c r="M1790" s="116">
        <v>3141.7</v>
      </c>
      <c r="N1790" s="116">
        <v>3340</v>
      </c>
      <c r="O1790" s="116">
        <v>3103</v>
      </c>
      <c r="P1790" s="116">
        <v>3261</v>
      </c>
      <c r="Q1790" s="116">
        <v>3141.7</v>
      </c>
      <c r="R1790">
        <v>806069</v>
      </c>
    </row>
    <row r="1791" spans="1:18" x14ac:dyDescent="0.25">
      <c r="A1791" s="170">
        <v>44854</v>
      </c>
      <c r="B1791" s="116">
        <v>3300</v>
      </c>
      <c r="C1791" s="116">
        <v>3266.8</v>
      </c>
      <c r="D1791" s="116">
        <v>3104.9</v>
      </c>
      <c r="E1791" s="116">
        <v>3140.6</v>
      </c>
      <c r="F1791" s="116">
        <v>3266.8</v>
      </c>
      <c r="G1791">
        <v>38671</v>
      </c>
      <c r="H1791" s="116"/>
      <c r="I1791" s="116"/>
      <c r="L1791" s="170">
        <v>44854</v>
      </c>
      <c r="M1791" s="116">
        <v>3270.05</v>
      </c>
      <c r="N1791" s="116">
        <v>3300</v>
      </c>
      <c r="O1791" s="116">
        <v>3112.9</v>
      </c>
      <c r="P1791" s="116">
        <v>3150</v>
      </c>
      <c r="Q1791" s="116">
        <v>3270.05</v>
      </c>
      <c r="R1791">
        <v>842167</v>
      </c>
    </row>
    <row r="1792" spans="1:18" x14ac:dyDescent="0.25">
      <c r="A1792" s="170">
        <v>44855</v>
      </c>
      <c r="B1792" s="116">
        <v>3364.95</v>
      </c>
      <c r="C1792" s="116">
        <v>3278.55</v>
      </c>
      <c r="D1792" s="116">
        <v>3200.1</v>
      </c>
      <c r="E1792" s="116">
        <v>3292</v>
      </c>
      <c r="F1792" s="116">
        <v>3278.55</v>
      </c>
      <c r="G1792">
        <v>36241</v>
      </c>
      <c r="H1792" s="116"/>
      <c r="I1792" s="116"/>
      <c r="L1792" s="170">
        <v>44855</v>
      </c>
      <c r="M1792" s="116">
        <v>3273.7</v>
      </c>
      <c r="N1792" s="116">
        <v>3319.9</v>
      </c>
      <c r="O1792" s="116">
        <v>3200.45</v>
      </c>
      <c r="P1792" s="116">
        <v>3299</v>
      </c>
      <c r="Q1792" s="116">
        <v>3273.7</v>
      </c>
      <c r="R1792">
        <v>764057</v>
      </c>
    </row>
    <row r="1793" spans="1:18" x14ac:dyDescent="0.25">
      <c r="A1793" s="170">
        <v>44858</v>
      </c>
      <c r="B1793" s="116">
        <v>3325</v>
      </c>
      <c r="C1793" s="116">
        <v>3285.45</v>
      </c>
      <c r="D1793" s="116">
        <v>3258</v>
      </c>
      <c r="E1793" s="116">
        <v>3300</v>
      </c>
      <c r="F1793" s="116">
        <v>3285.45</v>
      </c>
      <c r="G1793">
        <v>7424</v>
      </c>
      <c r="H1793" s="116"/>
      <c r="I1793" s="116"/>
      <c r="L1793" s="170">
        <v>44858</v>
      </c>
      <c r="M1793" s="116">
        <v>3283.95</v>
      </c>
      <c r="N1793" s="116">
        <v>3332.6</v>
      </c>
      <c r="O1793" s="116">
        <v>3254.95</v>
      </c>
      <c r="P1793" s="116">
        <v>3300</v>
      </c>
      <c r="Q1793" s="116">
        <v>3283.95</v>
      </c>
      <c r="R1793">
        <v>82855</v>
      </c>
    </row>
    <row r="1794" spans="1:18" x14ac:dyDescent="0.25">
      <c r="A1794" s="170">
        <v>44859</v>
      </c>
      <c r="B1794" s="116">
        <v>3320.6</v>
      </c>
      <c r="C1794" s="116">
        <v>3183.8</v>
      </c>
      <c r="D1794" s="116">
        <v>3152.95</v>
      </c>
      <c r="E1794" s="116">
        <v>3306</v>
      </c>
      <c r="F1794" s="116">
        <v>3183.8</v>
      </c>
      <c r="G1794">
        <v>19884</v>
      </c>
      <c r="H1794" s="116"/>
      <c r="I1794" s="116"/>
      <c r="L1794" s="170">
        <v>44859</v>
      </c>
      <c r="M1794" s="116">
        <v>3188.45</v>
      </c>
      <c r="N1794" s="116">
        <v>3324.95</v>
      </c>
      <c r="O1794" s="116">
        <v>3150</v>
      </c>
      <c r="P1794" s="116">
        <v>3320</v>
      </c>
      <c r="Q1794" s="116">
        <v>3188.45</v>
      </c>
      <c r="R1794">
        <v>541744</v>
      </c>
    </row>
    <row r="1795" spans="1:18" x14ac:dyDescent="0.25">
      <c r="A1795" s="170">
        <v>44861</v>
      </c>
      <c r="B1795" s="116">
        <v>3300</v>
      </c>
      <c r="C1795" s="116">
        <v>3282.75</v>
      </c>
      <c r="D1795" s="116">
        <v>3195.65</v>
      </c>
      <c r="E1795" s="116">
        <v>3211.5</v>
      </c>
      <c r="F1795" s="116">
        <v>3282.75</v>
      </c>
      <c r="G1795">
        <v>13809</v>
      </c>
      <c r="H1795" s="116"/>
      <c r="I1795" s="116"/>
      <c r="L1795" s="170">
        <v>44861</v>
      </c>
      <c r="M1795" s="116">
        <v>3282.45</v>
      </c>
      <c r="N1795" s="116">
        <v>3300</v>
      </c>
      <c r="O1795" s="116">
        <v>3192.25</v>
      </c>
      <c r="P1795" s="116">
        <v>3219.5</v>
      </c>
      <c r="Q1795" s="116">
        <v>3282.45</v>
      </c>
      <c r="R1795">
        <v>596955</v>
      </c>
    </row>
    <row r="1796" spans="1:18" x14ac:dyDescent="0.25">
      <c r="A1796" s="170">
        <v>44862</v>
      </c>
      <c r="B1796" s="116">
        <v>3295.8</v>
      </c>
      <c r="C1796" s="116">
        <v>3278.5</v>
      </c>
      <c r="D1796" s="116">
        <v>3220.35</v>
      </c>
      <c r="E1796" s="116">
        <v>3282.75</v>
      </c>
      <c r="F1796" s="116">
        <v>3278.5</v>
      </c>
      <c r="G1796">
        <v>17977</v>
      </c>
      <c r="H1796" s="116"/>
      <c r="I1796" s="116"/>
      <c r="L1796" s="170">
        <v>44862</v>
      </c>
      <c r="M1796" s="116">
        <v>3277.95</v>
      </c>
      <c r="N1796" s="116">
        <v>3298.9</v>
      </c>
      <c r="O1796" s="116">
        <v>3220.25</v>
      </c>
      <c r="P1796" s="116">
        <v>3298.9</v>
      </c>
      <c r="Q1796" s="116">
        <v>3277.95</v>
      </c>
      <c r="R1796">
        <v>515385</v>
      </c>
    </row>
    <row r="1797" spans="1:18" x14ac:dyDescent="0.25">
      <c r="A1797" s="170">
        <v>44865</v>
      </c>
      <c r="B1797" s="116">
        <v>3375.8</v>
      </c>
      <c r="C1797" s="116">
        <v>3346.95</v>
      </c>
      <c r="D1797" s="116">
        <v>3258.6</v>
      </c>
      <c r="E1797" s="116">
        <v>3279.4</v>
      </c>
      <c r="F1797" s="116">
        <v>3346.95</v>
      </c>
      <c r="G1797">
        <v>26419</v>
      </c>
      <c r="H1797" s="116"/>
      <c r="I1797" s="116"/>
      <c r="L1797" s="170">
        <v>44865</v>
      </c>
      <c r="M1797" s="116">
        <v>3348.7</v>
      </c>
      <c r="N1797" s="116">
        <v>3375</v>
      </c>
      <c r="O1797" s="116">
        <v>3259.45</v>
      </c>
      <c r="P1797" s="116">
        <v>3294.35</v>
      </c>
      <c r="Q1797" s="116">
        <v>3348.7</v>
      </c>
      <c r="R1797">
        <v>541936</v>
      </c>
    </row>
    <row r="1798" spans="1:18" x14ac:dyDescent="0.25">
      <c r="A1798" s="170">
        <v>44866</v>
      </c>
      <c r="B1798" s="116">
        <v>3385.3</v>
      </c>
      <c r="C1798" s="116">
        <v>3337.45</v>
      </c>
      <c r="D1798" s="116">
        <v>3293.2</v>
      </c>
      <c r="E1798" s="116">
        <v>3345.05</v>
      </c>
      <c r="F1798" s="116">
        <v>3337.45</v>
      </c>
      <c r="G1798">
        <v>19020</v>
      </c>
      <c r="H1798" s="116"/>
      <c r="I1798" s="116"/>
      <c r="L1798" s="170">
        <v>44866</v>
      </c>
      <c r="M1798" s="116">
        <v>3342.45</v>
      </c>
      <c r="N1798" s="116">
        <v>3364.95</v>
      </c>
      <c r="O1798" s="116">
        <v>3292.1</v>
      </c>
      <c r="P1798" s="116">
        <v>3358.1</v>
      </c>
      <c r="Q1798" s="116">
        <v>3342.45</v>
      </c>
      <c r="R1798">
        <v>721760</v>
      </c>
    </row>
    <row r="1799" spans="1:18" x14ac:dyDescent="0.25">
      <c r="A1799" s="170">
        <v>44867</v>
      </c>
      <c r="B1799" s="116">
        <v>3350.6</v>
      </c>
      <c r="C1799" s="116">
        <v>3308.45</v>
      </c>
      <c r="D1799" s="116">
        <v>3283.8</v>
      </c>
      <c r="E1799" s="116">
        <v>3320.9</v>
      </c>
      <c r="F1799" s="116">
        <v>3308.45</v>
      </c>
      <c r="G1799">
        <v>11838</v>
      </c>
      <c r="H1799" s="116"/>
      <c r="I1799" s="116"/>
      <c r="L1799" s="170">
        <v>44867</v>
      </c>
      <c r="M1799" s="116">
        <v>3308.6</v>
      </c>
      <c r="N1799" s="116">
        <v>3355</v>
      </c>
      <c r="O1799" s="116">
        <v>3282</v>
      </c>
      <c r="P1799" s="116">
        <v>3350</v>
      </c>
      <c r="Q1799" s="116">
        <v>3308.6</v>
      </c>
      <c r="R1799">
        <v>595988</v>
      </c>
    </row>
    <row r="1800" spans="1:18" x14ac:dyDescent="0.25">
      <c r="A1800" s="170">
        <v>44868</v>
      </c>
      <c r="B1800" s="116">
        <v>3325.5</v>
      </c>
      <c r="C1800" s="116">
        <v>3293.9</v>
      </c>
      <c r="D1800" s="116">
        <v>3221.2</v>
      </c>
      <c r="E1800" s="116">
        <v>3221.2</v>
      </c>
      <c r="F1800" s="116">
        <v>3293.9</v>
      </c>
      <c r="G1800">
        <v>14196</v>
      </c>
      <c r="H1800" s="116"/>
      <c r="I1800" s="116"/>
      <c r="L1800" s="170">
        <v>44868</v>
      </c>
      <c r="M1800" s="116">
        <v>3292.15</v>
      </c>
      <c r="N1800" s="116">
        <v>3324.3</v>
      </c>
      <c r="O1800" s="116">
        <v>3228</v>
      </c>
      <c r="P1800" s="116">
        <v>3228</v>
      </c>
      <c r="Q1800" s="116">
        <v>3292.15</v>
      </c>
      <c r="R1800">
        <v>535050</v>
      </c>
    </row>
    <row r="1801" spans="1:18" x14ac:dyDescent="0.25">
      <c r="A1801" s="170">
        <v>44869</v>
      </c>
      <c r="B1801" s="116">
        <v>3333</v>
      </c>
      <c r="C1801" s="116">
        <v>3321.95</v>
      </c>
      <c r="D1801" s="116">
        <v>3233.95</v>
      </c>
      <c r="E1801" s="116">
        <v>3290</v>
      </c>
      <c r="F1801" s="116">
        <v>3321.95</v>
      </c>
      <c r="G1801">
        <v>14156</v>
      </c>
      <c r="H1801" s="116"/>
      <c r="I1801" s="116"/>
      <c r="L1801" s="170">
        <v>44869</v>
      </c>
      <c r="M1801" s="116">
        <v>3319.45</v>
      </c>
      <c r="N1801" s="116">
        <v>3335</v>
      </c>
      <c r="O1801" s="116">
        <v>3235</v>
      </c>
      <c r="P1801" s="116">
        <v>3300</v>
      </c>
      <c r="Q1801" s="116">
        <v>3319.45</v>
      </c>
      <c r="R1801">
        <v>460864</v>
      </c>
    </row>
    <row r="1802" spans="1:18" x14ac:dyDescent="0.25">
      <c r="A1802" s="170">
        <v>44872</v>
      </c>
      <c r="B1802" s="116">
        <v>3385</v>
      </c>
      <c r="C1802" s="116">
        <v>3331.9</v>
      </c>
      <c r="D1802" s="116">
        <v>3290.05</v>
      </c>
      <c r="E1802" s="116">
        <v>3342</v>
      </c>
      <c r="F1802" s="116">
        <v>3331.9</v>
      </c>
      <c r="G1802">
        <v>29061</v>
      </c>
      <c r="H1802" s="116"/>
      <c r="I1802" s="116"/>
      <c r="L1802" s="170">
        <v>44872</v>
      </c>
      <c r="M1802" s="116">
        <v>3332.45</v>
      </c>
      <c r="N1802" s="116">
        <v>3385</v>
      </c>
      <c r="O1802" s="116">
        <v>3291.05</v>
      </c>
      <c r="P1802" s="116">
        <v>3349</v>
      </c>
      <c r="Q1802" s="116">
        <v>3332.45</v>
      </c>
      <c r="R1802">
        <v>629372</v>
      </c>
    </row>
    <row r="1803" spans="1:18" x14ac:dyDescent="0.25">
      <c r="A1803" s="170">
        <v>44874</v>
      </c>
      <c r="B1803" s="116">
        <v>3382.85</v>
      </c>
      <c r="C1803" s="116">
        <v>3277.35</v>
      </c>
      <c r="D1803" s="116">
        <v>3244.9</v>
      </c>
      <c r="E1803" s="116">
        <v>3327</v>
      </c>
      <c r="F1803" s="116">
        <v>3277.35</v>
      </c>
      <c r="G1803">
        <v>30528</v>
      </c>
      <c r="H1803" s="116"/>
      <c r="I1803" s="116"/>
      <c r="L1803" s="170">
        <v>44874</v>
      </c>
      <c r="M1803" s="116">
        <v>3290</v>
      </c>
      <c r="N1803" s="116">
        <v>3385</v>
      </c>
      <c r="O1803" s="116">
        <v>3255.55</v>
      </c>
      <c r="P1803" s="116">
        <v>3346.1</v>
      </c>
      <c r="Q1803" s="116">
        <v>3290</v>
      </c>
      <c r="R1803">
        <v>755739</v>
      </c>
    </row>
    <row r="1804" spans="1:18" x14ac:dyDescent="0.25">
      <c r="A1804" s="170">
        <v>44875</v>
      </c>
      <c r="B1804" s="116">
        <v>3328.5</v>
      </c>
      <c r="C1804" s="116">
        <v>3293.55</v>
      </c>
      <c r="D1804" s="116">
        <v>3242.05</v>
      </c>
      <c r="E1804" s="116">
        <v>3260.05</v>
      </c>
      <c r="F1804" s="116">
        <v>3293.55</v>
      </c>
      <c r="G1804">
        <v>11601</v>
      </c>
      <c r="H1804" s="116"/>
      <c r="I1804" s="116"/>
      <c r="L1804" s="170">
        <v>44875</v>
      </c>
      <c r="M1804" s="116">
        <v>3295.15</v>
      </c>
      <c r="N1804" s="116">
        <v>3330</v>
      </c>
      <c r="O1804" s="116">
        <v>3243.4</v>
      </c>
      <c r="P1804" s="116">
        <v>3273.15</v>
      </c>
      <c r="Q1804" s="116">
        <v>3295.15</v>
      </c>
      <c r="R1804">
        <v>980044</v>
      </c>
    </row>
    <row r="1805" spans="1:18" x14ac:dyDescent="0.25">
      <c r="A1805" s="170">
        <v>44876</v>
      </c>
      <c r="B1805" s="116">
        <v>3326.95</v>
      </c>
      <c r="C1805" s="116">
        <v>3287.55</v>
      </c>
      <c r="D1805" s="116">
        <v>3270</v>
      </c>
      <c r="E1805" s="116">
        <v>3316.05</v>
      </c>
      <c r="F1805" s="116">
        <v>3287.55</v>
      </c>
      <c r="G1805">
        <v>11918</v>
      </c>
      <c r="H1805" s="116"/>
      <c r="I1805" s="116"/>
      <c r="L1805" s="170">
        <v>44876</v>
      </c>
      <c r="M1805" s="116">
        <v>3292.05</v>
      </c>
      <c r="N1805" s="116">
        <v>3327.95</v>
      </c>
      <c r="O1805" s="116">
        <v>3266.05</v>
      </c>
      <c r="P1805" s="116">
        <v>3324.85</v>
      </c>
      <c r="Q1805" s="116">
        <v>3292.05</v>
      </c>
      <c r="R1805">
        <v>859154</v>
      </c>
    </row>
    <row r="1806" spans="1:18" x14ac:dyDescent="0.25">
      <c r="A1806" s="170">
        <v>44879</v>
      </c>
      <c r="B1806" s="116">
        <v>3300.6</v>
      </c>
      <c r="C1806" s="116">
        <v>3286.95</v>
      </c>
      <c r="D1806" s="116">
        <v>3260.45</v>
      </c>
      <c r="E1806" s="116">
        <v>3271.05</v>
      </c>
      <c r="F1806" s="116">
        <v>3286.95</v>
      </c>
      <c r="G1806">
        <v>7762</v>
      </c>
      <c r="H1806" s="116"/>
      <c r="I1806" s="116"/>
      <c r="L1806" s="170">
        <v>44879</v>
      </c>
      <c r="M1806" s="116">
        <v>3287.65</v>
      </c>
      <c r="N1806" s="116">
        <v>3300.35</v>
      </c>
      <c r="O1806" s="116">
        <v>3262.7</v>
      </c>
      <c r="P1806" s="116">
        <v>3292.05</v>
      </c>
      <c r="Q1806" s="116">
        <v>3287.65</v>
      </c>
      <c r="R1806">
        <v>932226</v>
      </c>
    </row>
    <row r="1807" spans="1:18" x14ac:dyDescent="0.25">
      <c r="A1807" s="170">
        <v>44880</v>
      </c>
      <c r="B1807" s="116">
        <v>3304.75</v>
      </c>
      <c r="C1807" s="116">
        <v>3289.35</v>
      </c>
      <c r="D1807" s="116">
        <v>3251.25</v>
      </c>
      <c r="E1807" s="116">
        <v>3251.25</v>
      </c>
      <c r="F1807" s="116">
        <v>3289.35</v>
      </c>
      <c r="G1807">
        <v>28993</v>
      </c>
      <c r="H1807" s="116"/>
      <c r="I1807" s="116"/>
      <c r="L1807" s="170">
        <v>44880</v>
      </c>
      <c r="M1807" s="116">
        <v>3290.3</v>
      </c>
      <c r="N1807" s="116">
        <v>3305.45</v>
      </c>
      <c r="O1807" s="116">
        <v>3257.65</v>
      </c>
      <c r="P1807" s="116">
        <v>3287.65</v>
      </c>
      <c r="Q1807" s="116">
        <v>3290.3</v>
      </c>
      <c r="R1807">
        <v>939040</v>
      </c>
    </row>
    <row r="1808" spans="1:18" x14ac:dyDescent="0.25">
      <c r="A1808" s="170">
        <v>44881</v>
      </c>
      <c r="B1808" s="116">
        <v>3296.7</v>
      </c>
      <c r="C1808" s="116">
        <v>3270</v>
      </c>
      <c r="D1808" s="116">
        <v>3241</v>
      </c>
      <c r="E1808" s="116">
        <v>3275.05</v>
      </c>
      <c r="F1808" s="116">
        <v>3270</v>
      </c>
      <c r="G1808">
        <v>9076</v>
      </c>
      <c r="H1808" s="116"/>
      <c r="I1808" s="116"/>
      <c r="L1808" s="170">
        <v>44881</v>
      </c>
      <c r="M1808" s="116">
        <v>3271.15</v>
      </c>
      <c r="N1808" s="116">
        <v>3295</v>
      </c>
      <c r="O1808" s="116">
        <v>3241.05</v>
      </c>
      <c r="P1808" s="116">
        <v>3295</v>
      </c>
      <c r="Q1808" s="116">
        <v>3271.15</v>
      </c>
      <c r="R1808">
        <v>969817</v>
      </c>
    </row>
    <row r="1809" spans="1:18" x14ac:dyDescent="0.25">
      <c r="A1809" s="170">
        <v>44882</v>
      </c>
      <c r="B1809" s="116">
        <v>3283.3</v>
      </c>
      <c r="C1809" s="116">
        <v>3114.35</v>
      </c>
      <c r="D1809" s="116">
        <v>3063.7</v>
      </c>
      <c r="E1809" s="116">
        <v>3261.05</v>
      </c>
      <c r="F1809" s="116">
        <v>3114.35</v>
      </c>
      <c r="G1809">
        <v>18639</v>
      </c>
      <c r="H1809" s="116"/>
      <c r="I1809" s="116"/>
      <c r="L1809" s="170">
        <v>44882</v>
      </c>
      <c r="M1809" s="116">
        <v>3117.55</v>
      </c>
      <c r="N1809" s="116">
        <v>3285</v>
      </c>
      <c r="O1809" s="116">
        <v>3065</v>
      </c>
      <c r="P1809" s="116">
        <v>3270</v>
      </c>
      <c r="Q1809" s="116">
        <v>3117.55</v>
      </c>
      <c r="R1809">
        <v>712438</v>
      </c>
    </row>
    <row r="1810" spans="1:18" x14ac:dyDescent="0.25">
      <c r="A1810" s="170">
        <v>44883</v>
      </c>
      <c r="B1810" s="116">
        <v>3160</v>
      </c>
      <c r="C1810" s="116">
        <v>3116.35</v>
      </c>
      <c r="D1810" s="116">
        <v>3070.15</v>
      </c>
      <c r="E1810" s="116">
        <v>3115.05</v>
      </c>
      <c r="F1810" s="116">
        <v>3116.35</v>
      </c>
      <c r="G1810">
        <v>17020</v>
      </c>
      <c r="H1810" s="116"/>
      <c r="I1810" s="116"/>
      <c r="L1810" s="170">
        <v>44883</v>
      </c>
      <c r="M1810" s="116">
        <v>3116.25</v>
      </c>
      <c r="N1810" s="116">
        <v>3158</v>
      </c>
      <c r="O1810" s="116">
        <v>3066.5</v>
      </c>
      <c r="P1810" s="116">
        <v>3125</v>
      </c>
      <c r="Q1810" s="116">
        <v>3116.25</v>
      </c>
      <c r="R1810">
        <v>853311</v>
      </c>
    </row>
    <row r="1811" spans="1:18" x14ac:dyDescent="0.25">
      <c r="A1811" s="170">
        <v>44886</v>
      </c>
      <c r="B1811" s="116">
        <v>3124.95</v>
      </c>
      <c r="C1811" s="116">
        <v>3019.15</v>
      </c>
      <c r="D1811" s="116">
        <v>3000.05</v>
      </c>
      <c r="E1811" s="116">
        <v>3053.95</v>
      </c>
      <c r="F1811" s="116">
        <v>3019.15</v>
      </c>
      <c r="G1811">
        <v>27442</v>
      </c>
      <c r="H1811" s="116"/>
      <c r="I1811" s="116"/>
      <c r="L1811" s="170">
        <v>44886</v>
      </c>
      <c r="M1811" s="116">
        <v>3018.7</v>
      </c>
      <c r="N1811" s="116">
        <v>3109.95</v>
      </c>
      <c r="O1811" s="116">
        <v>3001.65</v>
      </c>
      <c r="P1811" s="116">
        <v>3075</v>
      </c>
      <c r="Q1811" s="116">
        <v>3018.7</v>
      </c>
      <c r="R1811">
        <v>976477</v>
      </c>
    </row>
    <row r="1812" spans="1:18" x14ac:dyDescent="0.25">
      <c r="A1812" s="170">
        <v>44887</v>
      </c>
      <c r="B1812" s="116">
        <v>3037.35</v>
      </c>
      <c r="C1812" s="116">
        <v>2873.35</v>
      </c>
      <c r="D1812" s="116">
        <v>2855</v>
      </c>
      <c r="E1812" s="116">
        <v>3037.35</v>
      </c>
      <c r="F1812" s="116">
        <v>2873.35</v>
      </c>
      <c r="G1812">
        <v>40080</v>
      </c>
      <c r="H1812" s="116"/>
      <c r="I1812" s="116"/>
      <c r="L1812" s="170">
        <v>44887</v>
      </c>
      <c r="M1812" s="116">
        <v>2875.15</v>
      </c>
      <c r="N1812" s="116">
        <v>3031.95</v>
      </c>
      <c r="O1812" s="116">
        <v>2851.25</v>
      </c>
      <c r="P1812" s="116">
        <v>3018.1</v>
      </c>
      <c r="Q1812" s="116">
        <v>2875.15</v>
      </c>
      <c r="R1812">
        <v>608750</v>
      </c>
    </row>
    <row r="1813" spans="1:18" x14ac:dyDescent="0.25">
      <c r="A1813" s="170">
        <v>44888</v>
      </c>
      <c r="B1813" s="116">
        <v>2953.8</v>
      </c>
      <c r="C1813" s="116">
        <v>2853.2</v>
      </c>
      <c r="D1813" s="116">
        <v>2818.1</v>
      </c>
      <c r="E1813" s="116">
        <v>2885</v>
      </c>
      <c r="F1813" s="116">
        <v>2853.2</v>
      </c>
      <c r="G1813">
        <v>30510</v>
      </c>
      <c r="H1813" s="116"/>
      <c r="I1813" s="116"/>
      <c r="L1813" s="170">
        <v>44888</v>
      </c>
      <c r="M1813" s="116">
        <v>2856.85</v>
      </c>
      <c r="N1813" s="116">
        <v>2958</v>
      </c>
      <c r="O1813" s="116">
        <v>2820</v>
      </c>
      <c r="P1813" s="116">
        <v>2890</v>
      </c>
      <c r="Q1813" s="116">
        <v>2856.85</v>
      </c>
      <c r="R1813">
        <v>894768</v>
      </c>
    </row>
    <row r="1814" spans="1:18" x14ac:dyDescent="0.25">
      <c r="A1814" s="170">
        <v>44889</v>
      </c>
      <c r="B1814" s="116">
        <v>2897.35</v>
      </c>
      <c r="C1814" s="116">
        <v>2790.35</v>
      </c>
      <c r="D1814" s="116">
        <v>2768</v>
      </c>
      <c r="E1814" s="116">
        <v>2853.3</v>
      </c>
      <c r="F1814" s="116">
        <v>2790.35</v>
      </c>
      <c r="G1814">
        <v>14491</v>
      </c>
      <c r="H1814" s="116"/>
      <c r="I1814" s="116"/>
      <c r="L1814" s="170">
        <v>44889</v>
      </c>
      <c r="M1814" s="116">
        <v>2790.85</v>
      </c>
      <c r="N1814" s="116">
        <v>2878.45</v>
      </c>
      <c r="O1814" s="116">
        <v>2768.85</v>
      </c>
      <c r="P1814" s="116">
        <v>2870</v>
      </c>
      <c r="Q1814" s="116">
        <v>2790.85</v>
      </c>
      <c r="R1814">
        <v>400184</v>
      </c>
    </row>
    <row r="1815" spans="1:18" x14ac:dyDescent="0.25">
      <c r="A1815" s="170">
        <v>44890</v>
      </c>
      <c r="B1815" s="116">
        <v>2787</v>
      </c>
      <c r="C1815" s="116">
        <v>2739.55</v>
      </c>
      <c r="D1815" s="116">
        <v>2726.9</v>
      </c>
      <c r="E1815" s="116">
        <v>2779.5</v>
      </c>
      <c r="F1815" s="116">
        <v>2739.55</v>
      </c>
      <c r="G1815">
        <v>13067</v>
      </c>
      <c r="H1815" s="116"/>
      <c r="I1815" s="116"/>
      <c r="L1815" s="170">
        <v>44890</v>
      </c>
      <c r="M1815" s="116">
        <v>2739.6</v>
      </c>
      <c r="N1815" s="116">
        <v>2795</v>
      </c>
      <c r="O1815" s="116">
        <v>2725</v>
      </c>
      <c r="P1815" s="116">
        <v>2790.85</v>
      </c>
      <c r="Q1815" s="116">
        <v>2739.6</v>
      </c>
      <c r="R1815">
        <v>562296</v>
      </c>
    </row>
    <row r="1816" spans="1:18" x14ac:dyDescent="0.25">
      <c r="A1816" s="170">
        <v>44893</v>
      </c>
      <c r="B1816" s="116">
        <v>2770</v>
      </c>
      <c r="C1816" s="116">
        <v>2715.55</v>
      </c>
      <c r="D1816" s="116">
        <v>2704.05</v>
      </c>
      <c r="E1816" s="116">
        <v>2720</v>
      </c>
      <c r="F1816" s="116">
        <v>2715.55</v>
      </c>
      <c r="G1816">
        <v>14613</v>
      </c>
      <c r="H1816" s="116"/>
      <c r="I1816" s="116"/>
      <c r="L1816" s="170">
        <v>44893</v>
      </c>
      <c r="M1816" s="116">
        <v>2716.15</v>
      </c>
      <c r="N1816" s="116">
        <v>2771.95</v>
      </c>
      <c r="O1816" s="116">
        <v>2704</v>
      </c>
      <c r="P1816" s="116">
        <v>2741</v>
      </c>
      <c r="Q1816" s="116">
        <v>2716.15</v>
      </c>
      <c r="R1816">
        <v>718413</v>
      </c>
    </row>
    <row r="1817" spans="1:18" x14ac:dyDescent="0.25">
      <c r="A1817" s="170">
        <v>44894</v>
      </c>
      <c r="B1817" s="116">
        <v>2817.1</v>
      </c>
      <c r="C1817" s="116">
        <v>2783.7</v>
      </c>
      <c r="D1817" s="116">
        <v>2709</v>
      </c>
      <c r="E1817" s="116">
        <v>2709.05</v>
      </c>
      <c r="F1817" s="116">
        <v>2783.7</v>
      </c>
      <c r="G1817">
        <v>20823</v>
      </c>
      <c r="H1817" s="116"/>
      <c r="I1817" s="116"/>
      <c r="L1817" s="170">
        <v>44894</v>
      </c>
      <c r="M1817" s="116">
        <v>2782.7</v>
      </c>
      <c r="N1817" s="116">
        <v>2816.65</v>
      </c>
      <c r="O1817" s="116">
        <v>2708.05</v>
      </c>
      <c r="P1817" s="116">
        <v>2716</v>
      </c>
      <c r="Q1817" s="116">
        <v>2782.7</v>
      </c>
      <c r="R1817">
        <v>733984</v>
      </c>
    </row>
    <row r="1818" spans="1:18" x14ac:dyDescent="0.25">
      <c r="A1818" s="170">
        <v>44895</v>
      </c>
      <c r="B1818" s="116">
        <v>2998.85</v>
      </c>
      <c r="C1818" s="116">
        <v>2925.2</v>
      </c>
      <c r="D1818" s="116">
        <v>2789.65</v>
      </c>
      <c r="E1818" s="116">
        <v>2819.95</v>
      </c>
      <c r="F1818" s="116">
        <v>2925.2</v>
      </c>
      <c r="G1818">
        <v>57292</v>
      </c>
      <c r="H1818" s="116"/>
      <c r="I1818" s="116"/>
      <c r="L1818" s="170">
        <v>44895</v>
      </c>
      <c r="M1818" s="116">
        <v>2908.5</v>
      </c>
      <c r="N1818" s="116">
        <v>2999.9</v>
      </c>
      <c r="O1818" s="116">
        <v>2789.65</v>
      </c>
      <c r="P1818" s="116">
        <v>2819.2</v>
      </c>
      <c r="Q1818" s="116">
        <v>2908.5</v>
      </c>
      <c r="R1818">
        <v>1531228</v>
      </c>
    </row>
    <row r="1819" spans="1:18" x14ac:dyDescent="0.25">
      <c r="A1819" s="170">
        <v>44896</v>
      </c>
      <c r="B1819" s="116">
        <v>3000</v>
      </c>
      <c r="C1819" s="116">
        <v>2832.45</v>
      </c>
      <c r="D1819" s="116">
        <v>2801</v>
      </c>
      <c r="E1819" s="116">
        <v>2966.2</v>
      </c>
      <c r="F1819" s="116">
        <v>2832.45</v>
      </c>
      <c r="G1819">
        <v>43912</v>
      </c>
      <c r="H1819" s="116"/>
      <c r="I1819" s="116"/>
      <c r="L1819" s="170">
        <v>44896</v>
      </c>
      <c r="M1819" s="116">
        <v>2834.25</v>
      </c>
      <c r="N1819" s="116">
        <v>2995</v>
      </c>
      <c r="O1819" s="116">
        <v>2800</v>
      </c>
      <c r="P1819" s="116">
        <v>2971.6</v>
      </c>
      <c r="Q1819" s="116">
        <v>2834.25</v>
      </c>
      <c r="R1819">
        <v>904665</v>
      </c>
    </row>
    <row r="1820" spans="1:18" x14ac:dyDescent="0.25">
      <c r="A1820" s="170">
        <v>44897</v>
      </c>
      <c r="B1820" s="116">
        <v>2842.35</v>
      </c>
      <c r="C1820" s="116">
        <v>2744.7</v>
      </c>
      <c r="D1820" s="116">
        <v>2725</v>
      </c>
      <c r="E1820" s="116">
        <v>2834</v>
      </c>
      <c r="F1820" s="116">
        <v>2744.7</v>
      </c>
      <c r="G1820">
        <v>23191</v>
      </c>
      <c r="H1820" s="116"/>
      <c r="I1820" s="116"/>
      <c r="L1820" s="170">
        <v>44897</v>
      </c>
      <c r="M1820" s="116">
        <v>2745.7</v>
      </c>
      <c r="N1820" s="116">
        <v>2849.95</v>
      </c>
      <c r="O1820" s="116">
        <v>2725</v>
      </c>
      <c r="P1820" s="116">
        <v>2849.95</v>
      </c>
      <c r="Q1820" s="116">
        <v>2745.7</v>
      </c>
      <c r="R1820">
        <v>880661</v>
      </c>
    </row>
    <row r="1821" spans="1:18" x14ac:dyDescent="0.25">
      <c r="A1821" s="170">
        <v>44900</v>
      </c>
      <c r="B1821" s="116">
        <v>2771.85</v>
      </c>
      <c r="C1821" s="116">
        <v>2714.05</v>
      </c>
      <c r="D1821" s="116">
        <v>2700</v>
      </c>
      <c r="E1821" s="116">
        <v>2750.15</v>
      </c>
      <c r="F1821" s="116">
        <v>2714.05</v>
      </c>
      <c r="G1821">
        <v>14148</v>
      </c>
      <c r="H1821" s="116"/>
      <c r="I1821" s="116"/>
      <c r="L1821" s="170">
        <v>44900</v>
      </c>
      <c r="M1821" s="116">
        <v>2716.15</v>
      </c>
      <c r="N1821" s="116">
        <v>2780.3</v>
      </c>
      <c r="O1821" s="116">
        <v>2700</v>
      </c>
      <c r="P1821" s="116">
        <v>2760</v>
      </c>
      <c r="Q1821" s="116">
        <v>2716.15</v>
      </c>
      <c r="R1821">
        <v>413008</v>
      </c>
    </row>
    <row r="1822" spans="1:18" x14ac:dyDescent="0.25">
      <c r="A1822" s="170">
        <v>44901</v>
      </c>
      <c r="B1822" s="116">
        <v>2784</v>
      </c>
      <c r="C1822" s="116">
        <v>2771.95</v>
      </c>
      <c r="D1822" s="116">
        <v>2717.95</v>
      </c>
      <c r="E1822" s="116">
        <v>2739.9</v>
      </c>
      <c r="F1822" s="116">
        <v>2771.95</v>
      </c>
      <c r="G1822">
        <v>17822</v>
      </c>
      <c r="H1822" s="116"/>
      <c r="I1822" s="116"/>
      <c r="L1822" s="170">
        <v>44901</v>
      </c>
      <c r="M1822" s="116">
        <v>2773</v>
      </c>
      <c r="N1822" s="116">
        <v>2785</v>
      </c>
      <c r="O1822" s="116">
        <v>2718.05</v>
      </c>
      <c r="P1822" s="116">
        <v>2725</v>
      </c>
      <c r="Q1822" s="116">
        <v>2773</v>
      </c>
      <c r="R1822">
        <v>569457</v>
      </c>
    </row>
    <row r="1823" spans="1:18" x14ac:dyDescent="0.25">
      <c r="A1823" s="170">
        <v>44902</v>
      </c>
      <c r="B1823" s="116">
        <v>2809.2</v>
      </c>
      <c r="C1823" s="116">
        <v>2735.65</v>
      </c>
      <c r="D1823" s="116">
        <v>2720.55</v>
      </c>
      <c r="E1823" s="116">
        <v>2773.05</v>
      </c>
      <c r="F1823" s="116">
        <v>2735.65</v>
      </c>
      <c r="G1823">
        <v>14255</v>
      </c>
      <c r="H1823" s="116"/>
      <c r="I1823" s="116"/>
      <c r="L1823" s="170">
        <v>44902</v>
      </c>
      <c r="M1823" s="116">
        <v>2741.55</v>
      </c>
      <c r="N1823" s="116">
        <v>2807.95</v>
      </c>
      <c r="O1823" s="116">
        <v>2720</v>
      </c>
      <c r="P1823" s="116">
        <v>2782</v>
      </c>
      <c r="Q1823" s="116">
        <v>2741.55</v>
      </c>
      <c r="R1823">
        <v>344577</v>
      </c>
    </row>
    <row r="1824" spans="1:18" x14ac:dyDescent="0.25">
      <c r="A1824" s="170">
        <v>44903</v>
      </c>
      <c r="B1824" s="116">
        <v>2768.75</v>
      </c>
      <c r="C1824" s="116">
        <v>2691.35</v>
      </c>
      <c r="D1824" s="116">
        <v>2674.45</v>
      </c>
      <c r="E1824" s="116">
        <v>2768.75</v>
      </c>
      <c r="F1824" s="116">
        <v>2691.35</v>
      </c>
      <c r="G1824">
        <v>16501</v>
      </c>
      <c r="H1824" s="116"/>
      <c r="I1824" s="116"/>
      <c r="L1824" s="170">
        <v>44903</v>
      </c>
      <c r="M1824" s="116">
        <v>2691.4</v>
      </c>
      <c r="N1824" s="116">
        <v>2767.45</v>
      </c>
      <c r="O1824" s="116">
        <v>2671.05</v>
      </c>
      <c r="P1824" s="116">
        <v>2755.3</v>
      </c>
      <c r="Q1824" s="116">
        <v>2691.4</v>
      </c>
      <c r="R1824">
        <v>362799</v>
      </c>
    </row>
    <row r="1825" spans="1:18" x14ac:dyDescent="0.25">
      <c r="A1825" s="170">
        <v>44904</v>
      </c>
      <c r="B1825" s="116">
        <v>2717.75</v>
      </c>
      <c r="C1825" s="116">
        <v>2647.85</v>
      </c>
      <c r="D1825" s="116">
        <v>2631.2</v>
      </c>
      <c r="E1825" s="116">
        <v>2685</v>
      </c>
      <c r="F1825" s="116">
        <v>2647.85</v>
      </c>
      <c r="G1825">
        <v>10350</v>
      </c>
      <c r="H1825" s="116"/>
      <c r="I1825" s="116"/>
      <c r="L1825" s="170">
        <v>44904</v>
      </c>
      <c r="M1825" s="116">
        <v>2646.4</v>
      </c>
      <c r="N1825" s="116">
        <v>2716.6</v>
      </c>
      <c r="O1825" s="116">
        <v>2630</v>
      </c>
      <c r="P1825" s="116">
        <v>2704.9</v>
      </c>
      <c r="Q1825" s="116">
        <v>2646.4</v>
      </c>
      <c r="R1825">
        <v>363668</v>
      </c>
    </row>
    <row r="1826" spans="1:18" x14ac:dyDescent="0.25">
      <c r="A1826" s="170">
        <v>44907</v>
      </c>
      <c r="B1826" s="116">
        <v>2705</v>
      </c>
      <c r="C1826" s="116">
        <v>2691</v>
      </c>
      <c r="D1826" s="116">
        <v>2616.0500000000002</v>
      </c>
      <c r="E1826" s="116">
        <v>2636.15</v>
      </c>
      <c r="F1826" s="116">
        <v>2691</v>
      </c>
      <c r="G1826">
        <v>23083</v>
      </c>
      <c r="H1826" s="116"/>
      <c r="I1826" s="116"/>
      <c r="L1826" s="170">
        <v>44907</v>
      </c>
      <c r="M1826" s="116">
        <v>2687.85</v>
      </c>
      <c r="N1826" s="116">
        <v>2705.8</v>
      </c>
      <c r="O1826" s="116">
        <v>2614.0500000000002</v>
      </c>
      <c r="P1826" s="116">
        <v>2646</v>
      </c>
      <c r="Q1826" s="116">
        <v>2687.85</v>
      </c>
      <c r="R1826">
        <v>717849</v>
      </c>
    </row>
    <row r="1827" spans="1:18" x14ac:dyDescent="0.25">
      <c r="A1827" s="170">
        <v>44908</v>
      </c>
      <c r="B1827" s="116">
        <v>2704.3</v>
      </c>
      <c r="C1827" s="116">
        <v>2649.4</v>
      </c>
      <c r="D1827" s="116">
        <v>2631.5</v>
      </c>
      <c r="E1827" s="116">
        <v>2686.2</v>
      </c>
      <c r="F1827" s="116">
        <v>2649.4</v>
      </c>
      <c r="G1827">
        <v>22407</v>
      </c>
      <c r="H1827" s="116"/>
      <c r="I1827" s="116"/>
      <c r="L1827" s="170">
        <v>44908</v>
      </c>
      <c r="M1827" s="116">
        <v>2652.8</v>
      </c>
      <c r="N1827" s="116">
        <v>2704.85</v>
      </c>
      <c r="O1827" s="116">
        <v>2631.1</v>
      </c>
      <c r="P1827" s="116">
        <v>2697.85</v>
      </c>
      <c r="Q1827" s="116">
        <v>2652.8</v>
      </c>
      <c r="R1827">
        <v>277895</v>
      </c>
    </row>
    <row r="1828" spans="1:18" x14ac:dyDescent="0.25">
      <c r="A1828" s="170">
        <v>44909</v>
      </c>
      <c r="B1828" s="116">
        <v>2704.55</v>
      </c>
      <c r="C1828" s="116">
        <v>2671</v>
      </c>
      <c r="D1828" s="116">
        <v>2640.4</v>
      </c>
      <c r="E1828" s="116">
        <v>2658</v>
      </c>
      <c r="F1828" s="116">
        <v>2671</v>
      </c>
      <c r="G1828">
        <v>11834</v>
      </c>
      <c r="H1828" s="116"/>
      <c r="I1828" s="116"/>
      <c r="L1828" s="170">
        <v>44909</v>
      </c>
      <c r="M1828" s="116">
        <v>2672.45</v>
      </c>
      <c r="N1828" s="116">
        <v>2704</v>
      </c>
      <c r="O1828" s="116">
        <v>2640.05</v>
      </c>
      <c r="P1828" s="116">
        <v>2658</v>
      </c>
      <c r="Q1828" s="116">
        <v>2672.45</v>
      </c>
      <c r="R1828">
        <v>322503</v>
      </c>
    </row>
    <row r="1829" spans="1:18" x14ac:dyDescent="0.25">
      <c r="A1829" s="170">
        <v>44910</v>
      </c>
      <c r="B1829" s="116">
        <v>2675.35</v>
      </c>
      <c r="C1829" s="116">
        <v>2658.5</v>
      </c>
      <c r="D1829" s="116">
        <v>2633.8</v>
      </c>
      <c r="E1829" s="116">
        <v>2660.05</v>
      </c>
      <c r="F1829" s="116">
        <v>2658.5</v>
      </c>
      <c r="G1829">
        <v>5990</v>
      </c>
      <c r="H1829" s="116"/>
      <c r="I1829" s="116"/>
      <c r="L1829" s="170">
        <v>44910</v>
      </c>
      <c r="M1829" s="116">
        <v>2657</v>
      </c>
      <c r="N1829" s="116">
        <v>2674</v>
      </c>
      <c r="O1829" s="116">
        <v>2632</v>
      </c>
      <c r="P1829" s="116">
        <v>2666</v>
      </c>
      <c r="Q1829" s="116">
        <v>2657</v>
      </c>
      <c r="R1829">
        <v>227563</v>
      </c>
    </row>
    <row r="1830" spans="1:18" x14ac:dyDescent="0.25">
      <c r="A1830" s="170">
        <v>44911</v>
      </c>
      <c r="B1830" s="116">
        <v>2682.4</v>
      </c>
      <c r="C1830" s="116">
        <v>2647.3</v>
      </c>
      <c r="D1830" s="116">
        <v>2570.5500000000002</v>
      </c>
      <c r="E1830" s="116">
        <v>2634</v>
      </c>
      <c r="F1830" s="116">
        <v>2647.3</v>
      </c>
      <c r="G1830">
        <v>25579</v>
      </c>
      <c r="H1830" s="116"/>
      <c r="I1830" s="116"/>
      <c r="L1830" s="170">
        <v>44911</v>
      </c>
      <c r="M1830" s="116">
        <v>2643.5</v>
      </c>
      <c r="N1830" s="116">
        <v>2684.95</v>
      </c>
      <c r="O1830" s="116">
        <v>2568.9499999999998</v>
      </c>
      <c r="P1830" s="116">
        <v>2650.5</v>
      </c>
      <c r="Q1830" s="116">
        <v>2643.5</v>
      </c>
      <c r="R1830">
        <v>441252</v>
      </c>
    </row>
    <row r="1831" spans="1:18" x14ac:dyDescent="0.25">
      <c r="A1831" s="170">
        <v>44914</v>
      </c>
      <c r="B1831" s="116">
        <v>2699</v>
      </c>
      <c r="C1831" s="116">
        <v>2680.2</v>
      </c>
      <c r="D1831" s="116">
        <v>2630</v>
      </c>
      <c r="E1831" s="116">
        <v>2644.85</v>
      </c>
      <c r="F1831" s="116">
        <v>2680.2</v>
      </c>
      <c r="G1831">
        <v>15321</v>
      </c>
      <c r="H1831" s="116"/>
      <c r="I1831" s="116"/>
      <c r="L1831" s="170">
        <v>44914</v>
      </c>
      <c r="M1831" s="116">
        <v>2679.3</v>
      </c>
      <c r="N1831" s="116">
        <v>2700</v>
      </c>
      <c r="O1831" s="116">
        <v>2627</v>
      </c>
      <c r="P1831" s="116">
        <v>2656.75</v>
      </c>
      <c r="Q1831" s="116">
        <v>2679.3</v>
      </c>
      <c r="R1831">
        <v>160278</v>
      </c>
    </row>
    <row r="1832" spans="1:18" x14ac:dyDescent="0.25">
      <c r="A1832" s="170">
        <v>44915</v>
      </c>
      <c r="B1832" s="116">
        <v>2700</v>
      </c>
      <c r="C1832" s="116">
        <v>2689.15</v>
      </c>
      <c r="D1832" s="116">
        <v>2642.55</v>
      </c>
      <c r="E1832" s="116">
        <v>2670.6</v>
      </c>
      <c r="F1832" s="116">
        <v>2689.15</v>
      </c>
      <c r="G1832">
        <v>14101</v>
      </c>
      <c r="H1832" s="116"/>
      <c r="I1832" s="116"/>
      <c r="L1832" s="170">
        <v>44915</v>
      </c>
      <c r="M1832" s="116">
        <v>2688.35</v>
      </c>
      <c r="N1832" s="116">
        <v>2700</v>
      </c>
      <c r="O1832" s="116">
        <v>2641.25</v>
      </c>
      <c r="P1832" s="116">
        <v>2686</v>
      </c>
      <c r="Q1832" s="116">
        <v>2688.35</v>
      </c>
      <c r="R1832">
        <v>208608</v>
      </c>
    </row>
    <row r="1833" spans="1:18" x14ac:dyDescent="0.25">
      <c r="A1833" s="170">
        <v>44916</v>
      </c>
      <c r="B1833" s="116">
        <v>2741.5</v>
      </c>
      <c r="C1833" s="116">
        <v>2614</v>
      </c>
      <c r="D1833" s="116">
        <v>2600</v>
      </c>
      <c r="E1833" s="116">
        <v>2674.65</v>
      </c>
      <c r="F1833" s="116">
        <v>2614</v>
      </c>
      <c r="G1833">
        <v>32705</v>
      </c>
      <c r="H1833" s="116"/>
      <c r="I1833" s="116"/>
      <c r="L1833" s="170">
        <v>44916</v>
      </c>
      <c r="M1833" s="116">
        <v>2615.75</v>
      </c>
      <c r="N1833" s="116">
        <v>2740.85</v>
      </c>
      <c r="O1833" s="116">
        <v>2600</v>
      </c>
      <c r="P1833" s="116">
        <v>2688.45</v>
      </c>
      <c r="Q1833" s="116">
        <v>2615.75</v>
      </c>
      <c r="R1833">
        <v>393405</v>
      </c>
    </row>
    <row r="1834" spans="1:18" x14ac:dyDescent="0.25">
      <c r="A1834" s="170">
        <v>44917</v>
      </c>
      <c r="B1834" s="116">
        <v>2645.95</v>
      </c>
      <c r="C1834" s="116">
        <v>2516.75</v>
      </c>
      <c r="D1834" s="116">
        <v>2490.9</v>
      </c>
      <c r="E1834" s="116">
        <v>2615</v>
      </c>
      <c r="F1834" s="116">
        <v>2516.75</v>
      </c>
      <c r="G1834">
        <v>16061</v>
      </c>
      <c r="H1834" s="116"/>
      <c r="I1834" s="116"/>
      <c r="L1834" s="170">
        <v>44917</v>
      </c>
      <c r="M1834" s="116">
        <v>2518</v>
      </c>
      <c r="N1834" s="116">
        <v>2645.95</v>
      </c>
      <c r="O1834" s="116">
        <v>2487.0500000000002</v>
      </c>
      <c r="P1834" s="116">
        <v>2620</v>
      </c>
      <c r="Q1834" s="116">
        <v>2518</v>
      </c>
      <c r="R1834">
        <v>375524</v>
      </c>
    </row>
    <row r="1835" spans="1:18" x14ac:dyDescent="0.25">
      <c r="A1835" s="170">
        <v>44918</v>
      </c>
      <c r="B1835" s="116">
        <v>2492.5500000000002</v>
      </c>
      <c r="C1835" s="116">
        <v>2272.3000000000002</v>
      </c>
      <c r="D1835" s="116">
        <v>2247.25</v>
      </c>
      <c r="E1835" s="116">
        <v>2481.5500000000002</v>
      </c>
      <c r="F1835" s="116">
        <v>2272.3000000000002</v>
      </c>
      <c r="G1835">
        <v>29720</v>
      </c>
      <c r="H1835" s="116"/>
      <c r="I1835" s="116"/>
      <c r="L1835" s="170">
        <v>44918</v>
      </c>
      <c r="M1835" s="116">
        <v>2270.1999999999998</v>
      </c>
      <c r="N1835" s="116">
        <v>2499</v>
      </c>
      <c r="O1835" s="116">
        <v>2240.85</v>
      </c>
      <c r="P1835" s="116">
        <v>2496</v>
      </c>
      <c r="Q1835" s="116">
        <v>2270.1999999999998</v>
      </c>
      <c r="R1835">
        <v>693487</v>
      </c>
    </row>
    <row r="1836" spans="1:18" x14ac:dyDescent="0.25">
      <c r="A1836" s="170">
        <v>44921</v>
      </c>
      <c r="B1836" s="116">
        <v>2490</v>
      </c>
      <c r="C1836" s="116">
        <v>2468.4499999999998</v>
      </c>
      <c r="D1836" s="116">
        <v>2179.85</v>
      </c>
      <c r="E1836" s="116">
        <v>2250.85</v>
      </c>
      <c r="F1836" s="116">
        <v>2468.4499999999998</v>
      </c>
      <c r="G1836">
        <v>73674</v>
      </c>
      <c r="H1836" s="116"/>
      <c r="I1836" s="116"/>
      <c r="L1836" s="170">
        <v>44921</v>
      </c>
      <c r="M1836" s="116">
        <v>2466.15</v>
      </c>
      <c r="N1836" s="116">
        <v>2493.0500000000002</v>
      </c>
      <c r="O1836" s="116">
        <v>2181.5</v>
      </c>
      <c r="P1836" s="116">
        <v>2279.9499999999998</v>
      </c>
      <c r="Q1836" s="116">
        <v>2466.15</v>
      </c>
      <c r="R1836">
        <v>1209774</v>
      </c>
    </row>
    <row r="1837" spans="1:18" x14ac:dyDescent="0.25">
      <c r="A1837" s="170">
        <v>44922</v>
      </c>
      <c r="B1837" s="116">
        <v>2583</v>
      </c>
      <c r="C1837" s="116">
        <v>2501.1</v>
      </c>
      <c r="D1837" s="116">
        <v>2460</v>
      </c>
      <c r="E1837" s="116">
        <v>2494</v>
      </c>
      <c r="F1837" s="116">
        <v>2501.1</v>
      </c>
      <c r="G1837">
        <v>78482</v>
      </c>
      <c r="H1837" s="116"/>
      <c r="I1837" s="116"/>
      <c r="L1837" s="170">
        <v>44922</v>
      </c>
      <c r="M1837" s="116">
        <v>2501.8000000000002</v>
      </c>
      <c r="N1837" s="116">
        <v>2583.25</v>
      </c>
      <c r="O1837" s="116">
        <v>2460</v>
      </c>
      <c r="P1837" s="116">
        <v>2490.8000000000002</v>
      </c>
      <c r="Q1837" s="116">
        <v>2501.8000000000002</v>
      </c>
      <c r="R1837">
        <v>1177178</v>
      </c>
    </row>
    <row r="1838" spans="1:18" x14ac:dyDescent="0.25">
      <c r="A1838" s="170">
        <v>44923</v>
      </c>
      <c r="B1838" s="116">
        <v>2582.1</v>
      </c>
      <c r="C1838" s="116">
        <v>2562.4499999999998</v>
      </c>
      <c r="D1838" s="116">
        <v>2460</v>
      </c>
      <c r="E1838" s="116">
        <v>2499</v>
      </c>
      <c r="F1838" s="116">
        <v>2562.4499999999998</v>
      </c>
      <c r="G1838">
        <v>31836</v>
      </c>
      <c r="H1838" s="116"/>
      <c r="I1838" s="116"/>
      <c r="L1838" s="170">
        <v>44923</v>
      </c>
      <c r="M1838" s="116">
        <v>2564.4499999999998</v>
      </c>
      <c r="N1838" s="116">
        <v>2577.6999999999998</v>
      </c>
      <c r="O1838" s="116">
        <v>2458.1</v>
      </c>
      <c r="P1838" s="116">
        <v>2498.1999999999998</v>
      </c>
      <c r="Q1838" s="116">
        <v>2564.4499999999998</v>
      </c>
      <c r="R1838">
        <v>980502</v>
      </c>
    </row>
    <row r="1839" spans="1:18" x14ac:dyDescent="0.25">
      <c r="A1839" s="170">
        <v>44924</v>
      </c>
      <c r="B1839" s="116">
        <v>2759</v>
      </c>
      <c r="C1839" s="116">
        <v>2667.75</v>
      </c>
      <c r="D1839" s="116">
        <v>2485</v>
      </c>
      <c r="E1839" s="116">
        <v>2534</v>
      </c>
      <c r="F1839" s="116">
        <v>2667.75</v>
      </c>
      <c r="G1839">
        <v>25686</v>
      </c>
      <c r="H1839" s="116"/>
      <c r="I1839" s="116"/>
      <c r="L1839" s="170">
        <v>44924</v>
      </c>
      <c r="M1839" s="116">
        <v>2669.5</v>
      </c>
      <c r="N1839" s="116">
        <v>2760</v>
      </c>
      <c r="O1839" s="116">
        <v>2482.65</v>
      </c>
      <c r="P1839" s="116">
        <v>2530</v>
      </c>
      <c r="Q1839" s="116">
        <v>2669.5</v>
      </c>
      <c r="R1839">
        <v>1008521</v>
      </c>
    </row>
    <row r="1840" spans="1:18" x14ac:dyDescent="0.25">
      <c r="A1840" s="170">
        <v>44925</v>
      </c>
      <c r="B1840" s="116">
        <v>2759</v>
      </c>
      <c r="C1840" s="116">
        <v>2591.5500000000002</v>
      </c>
      <c r="D1840" s="116">
        <v>2523.4499999999998</v>
      </c>
      <c r="E1840" s="116">
        <v>2700.05</v>
      </c>
      <c r="F1840" s="116">
        <v>2591.5500000000002</v>
      </c>
      <c r="G1840">
        <v>39883</v>
      </c>
      <c r="H1840" s="116"/>
      <c r="I1840" s="116"/>
      <c r="L1840" s="170">
        <v>44925</v>
      </c>
      <c r="M1840" s="116">
        <v>2589.25</v>
      </c>
      <c r="N1840" s="116">
        <v>2761.6</v>
      </c>
      <c r="O1840" s="116">
        <v>2555</v>
      </c>
      <c r="P1840" s="116">
        <v>2715</v>
      </c>
      <c r="Q1840" s="116">
        <v>2589.25</v>
      </c>
      <c r="R1840">
        <v>1142650</v>
      </c>
    </row>
    <row r="1841" spans="1:18" x14ac:dyDescent="0.25">
      <c r="A1841" s="170">
        <v>44928</v>
      </c>
      <c r="B1841" s="116">
        <v>2648.85</v>
      </c>
      <c r="C1841" s="116">
        <v>2549.85</v>
      </c>
      <c r="D1841" s="116">
        <v>2530.9</v>
      </c>
      <c r="E1841" s="116">
        <v>2610</v>
      </c>
      <c r="F1841" s="116">
        <v>2549.85</v>
      </c>
      <c r="G1841">
        <v>44077</v>
      </c>
      <c r="H1841" s="116"/>
      <c r="I1841" s="116"/>
      <c r="L1841" s="170">
        <v>44928</v>
      </c>
      <c r="M1841" s="116">
        <v>2549.5</v>
      </c>
      <c r="N1841" s="116">
        <v>2647.95</v>
      </c>
      <c r="O1841" s="116">
        <v>2530</v>
      </c>
      <c r="P1841" s="116">
        <v>2609.6</v>
      </c>
      <c r="Q1841" s="116">
        <v>2549.5</v>
      </c>
      <c r="R1841">
        <v>682492</v>
      </c>
    </row>
    <row r="1842" spans="1:18" x14ac:dyDescent="0.25">
      <c r="A1842" s="170">
        <v>44929</v>
      </c>
      <c r="B1842" s="116">
        <v>2609.75</v>
      </c>
      <c r="C1842" s="116">
        <v>2575.65</v>
      </c>
      <c r="D1842" s="116">
        <v>2520.1</v>
      </c>
      <c r="E1842" s="116">
        <v>2555</v>
      </c>
      <c r="F1842" s="116">
        <v>2575.65</v>
      </c>
      <c r="G1842">
        <v>26536</v>
      </c>
      <c r="H1842" s="116"/>
      <c r="I1842" s="116"/>
      <c r="L1842" s="170">
        <v>44929</v>
      </c>
      <c r="M1842" s="116">
        <v>2576.5500000000002</v>
      </c>
      <c r="N1842" s="116">
        <v>2609.75</v>
      </c>
      <c r="O1842" s="116">
        <v>2521.1</v>
      </c>
      <c r="P1842" s="116">
        <v>2562.25</v>
      </c>
      <c r="Q1842" s="116">
        <v>2576.5500000000002</v>
      </c>
      <c r="R1842">
        <v>441200</v>
      </c>
    </row>
    <row r="1843" spans="1:18" x14ac:dyDescent="0.25">
      <c r="A1843" s="170">
        <v>44930</v>
      </c>
      <c r="B1843" s="116">
        <v>2573.5</v>
      </c>
      <c r="C1843" s="116">
        <v>2512.65</v>
      </c>
      <c r="D1843" s="116">
        <v>2480.5500000000002</v>
      </c>
      <c r="E1843" s="116">
        <v>2560.0500000000002</v>
      </c>
      <c r="F1843" s="116">
        <v>2512.65</v>
      </c>
      <c r="G1843">
        <v>20918</v>
      </c>
      <c r="H1843" s="116"/>
      <c r="I1843" s="116"/>
      <c r="L1843" s="170">
        <v>44930</v>
      </c>
      <c r="M1843" s="116">
        <v>2512.6999999999998</v>
      </c>
      <c r="N1843" s="116">
        <v>2576.5500000000002</v>
      </c>
      <c r="O1843" s="116">
        <v>2500</v>
      </c>
      <c r="P1843" s="116">
        <v>2575</v>
      </c>
      <c r="Q1843" s="116">
        <v>2512.6999999999998</v>
      </c>
      <c r="R1843">
        <v>350134</v>
      </c>
    </row>
    <row r="1844" spans="1:18" x14ac:dyDescent="0.25">
      <c r="A1844" s="170">
        <v>44931</v>
      </c>
      <c r="B1844" s="116">
        <v>2591.35</v>
      </c>
      <c r="C1844" s="116">
        <v>2552.4</v>
      </c>
      <c r="D1844" s="116">
        <v>2440</v>
      </c>
      <c r="E1844" s="116">
        <v>2513.0500000000002</v>
      </c>
      <c r="F1844" s="116">
        <v>2552.4</v>
      </c>
      <c r="G1844">
        <v>26957</v>
      </c>
      <c r="H1844" s="116"/>
      <c r="I1844" s="116"/>
      <c r="L1844" s="170">
        <v>44931</v>
      </c>
      <c r="M1844" s="116">
        <v>2554.15</v>
      </c>
      <c r="N1844" s="116">
        <v>2580</v>
      </c>
      <c r="O1844" s="116">
        <v>2437.8000000000002</v>
      </c>
      <c r="P1844" s="116">
        <v>2525.3000000000002</v>
      </c>
      <c r="Q1844" s="116">
        <v>2554.15</v>
      </c>
      <c r="R1844">
        <v>567439</v>
      </c>
    </row>
    <row r="1845" spans="1:18" x14ac:dyDescent="0.25">
      <c r="A1845" s="170">
        <v>44932</v>
      </c>
      <c r="B1845" s="116">
        <v>2556</v>
      </c>
      <c r="C1845" s="116">
        <v>2516.3000000000002</v>
      </c>
      <c r="D1845" s="116">
        <v>2497.1</v>
      </c>
      <c r="E1845" s="116">
        <v>2542</v>
      </c>
      <c r="F1845" s="116">
        <v>2516.3000000000002</v>
      </c>
      <c r="G1845">
        <v>15925</v>
      </c>
      <c r="H1845" s="116"/>
      <c r="I1845" s="116"/>
      <c r="L1845" s="170">
        <v>44932</v>
      </c>
      <c r="M1845" s="116">
        <v>2523.35</v>
      </c>
      <c r="N1845" s="116">
        <v>2561.4499999999998</v>
      </c>
      <c r="O1845" s="116">
        <v>2497.25</v>
      </c>
      <c r="P1845" s="116">
        <v>2540</v>
      </c>
      <c r="Q1845" s="116">
        <v>2523.35</v>
      </c>
      <c r="R1845">
        <v>398510</v>
      </c>
    </row>
    <row r="1846" spans="1:18" x14ac:dyDescent="0.25">
      <c r="A1846" s="170">
        <v>44935</v>
      </c>
      <c r="B1846" s="116">
        <v>2635.25</v>
      </c>
      <c r="C1846" s="116">
        <v>2611.25</v>
      </c>
      <c r="D1846" s="116">
        <v>2523.35</v>
      </c>
      <c r="E1846" s="116">
        <v>2523.35</v>
      </c>
      <c r="F1846" s="116">
        <v>2611.25</v>
      </c>
      <c r="G1846">
        <v>19093</v>
      </c>
      <c r="H1846" s="116"/>
      <c r="I1846" s="116"/>
      <c r="L1846" s="170">
        <v>44935</v>
      </c>
      <c r="M1846" s="116">
        <v>2614.5</v>
      </c>
      <c r="N1846" s="116">
        <v>2635</v>
      </c>
      <c r="O1846" s="116">
        <v>2532</v>
      </c>
      <c r="P1846" s="116">
        <v>2535.9499999999998</v>
      </c>
      <c r="Q1846" s="116">
        <v>2614.5</v>
      </c>
      <c r="R1846">
        <v>375283</v>
      </c>
    </row>
    <row r="1847" spans="1:18" x14ac:dyDescent="0.25">
      <c r="A1847" s="170">
        <v>44936</v>
      </c>
      <c r="B1847" s="116">
        <v>2678.85</v>
      </c>
      <c r="C1847" s="116">
        <v>2646.05</v>
      </c>
      <c r="D1847" s="116">
        <v>2547.9499999999998</v>
      </c>
      <c r="E1847" s="116">
        <v>2612.0500000000002</v>
      </c>
      <c r="F1847" s="116">
        <v>2646.05</v>
      </c>
      <c r="G1847">
        <v>20504</v>
      </c>
      <c r="H1847" s="116"/>
      <c r="I1847" s="116"/>
      <c r="L1847" s="170">
        <v>44936</v>
      </c>
      <c r="M1847" s="116">
        <v>2652</v>
      </c>
      <c r="N1847" s="116">
        <v>2680</v>
      </c>
      <c r="O1847" s="116">
        <v>2545.1999999999998</v>
      </c>
      <c r="P1847" s="116">
        <v>2615</v>
      </c>
      <c r="Q1847" s="116">
        <v>2652</v>
      </c>
      <c r="R1847">
        <v>550065</v>
      </c>
    </row>
    <row r="1848" spans="1:18" x14ac:dyDescent="0.25">
      <c r="A1848" s="170">
        <v>44937</v>
      </c>
      <c r="B1848" s="116">
        <v>2650</v>
      </c>
      <c r="C1848" s="116">
        <v>2582.3000000000002</v>
      </c>
      <c r="D1848" s="116">
        <v>2557</v>
      </c>
      <c r="E1848" s="116">
        <v>2637.05</v>
      </c>
      <c r="F1848" s="116">
        <v>2582.3000000000002</v>
      </c>
      <c r="G1848">
        <v>21084</v>
      </c>
      <c r="H1848" s="116"/>
      <c r="I1848" s="116"/>
      <c r="L1848" s="170">
        <v>44937</v>
      </c>
      <c r="M1848" s="116">
        <v>2585.35</v>
      </c>
      <c r="N1848" s="116">
        <v>2652</v>
      </c>
      <c r="O1848" s="116">
        <v>2552.0500000000002</v>
      </c>
      <c r="P1848" s="116">
        <v>2652</v>
      </c>
      <c r="Q1848" s="116">
        <v>2585.35</v>
      </c>
      <c r="R1848">
        <v>637446</v>
      </c>
    </row>
    <row r="1849" spans="1:18" x14ac:dyDescent="0.25">
      <c r="A1849" s="170">
        <v>44938</v>
      </c>
      <c r="B1849" s="116">
        <v>2650</v>
      </c>
      <c r="C1849" s="116">
        <v>2628.4</v>
      </c>
      <c r="D1849" s="116">
        <v>2555.0500000000002</v>
      </c>
      <c r="E1849" s="116">
        <v>2575</v>
      </c>
      <c r="F1849" s="116">
        <v>2628.4</v>
      </c>
      <c r="G1849">
        <v>25109</v>
      </c>
      <c r="H1849" s="116"/>
      <c r="I1849" s="116"/>
      <c r="L1849" s="170">
        <v>44938</v>
      </c>
      <c r="M1849" s="116">
        <v>2624</v>
      </c>
      <c r="N1849" s="116">
        <v>2646</v>
      </c>
      <c r="O1849" s="116">
        <v>2560.35</v>
      </c>
      <c r="P1849" s="116">
        <v>2584</v>
      </c>
      <c r="Q1849" s="116">
        <v>2624</v>
      </c>
      <c r="R1849">
        <v>637850</v>
      </c>
    </row>
    <row r="1850" spans="1:18" x14ac:dyDescent="0.25">
      <c r="A1850" s="170">
        <v>44939</v>
      </c>
      <c r="B1850" s="116">
        <v>2705</v>
      </c>
      <c r="C1850" s="116">
        <v>2686.15</v>
      </c>
      <c r="D1850" s="116">
        <v>2591.35</v>
      </c>
      <c r="E1850" s="116">
        <v>2624</v>
      </c>
      <c r="F1850" s="116">
        <v>2686.15</v>
      </c>
      <c r="G1850">
        <v>30653</v>
      </c>
      <c r="H1850" s="116"/>
      <c r="I1850" s="116"/>
      <c r="L1850" s="170">
        <v>44939</v>
      </c>
      <c r="M1850" s="116">
        <v>2689.05</v>
      </c>
      <c r="N1850" s="116">
        <v>2705</v>
      </c>
      <c r="O1850" s="116">
        <v>2591.6</v>
      </c>
      <c r="P1850" s="116">
        <v>2628</v>
      </c>
      <c r="Q1850" s="116">
        <v>2689.05</v>
      </c>
      <c r="R1850">
        <v>461162</v>
      </c>
    </row>
    <row r="1851" spans="1:18" x14ac:dyDescent="0.25">
      <c r="A1851" s="170">
        <v>44942</v>
      </c>
      <c r="B1851" s="116">
        <v>2725.8</v>
      </c>
      <c r="C1851" s="116">
        <v>2702</v>
      </c>
      <c r="D1851" s="116">
        <v>2641.05</v>
      </c>
      <c r="E1851" s="116">
        <v>2680</v>
      </c>
      <c r="F1851" s="116">
        <v>2702</v>
      </c>
      <c r="G1851">
        <v>21756</v>
      </c>
      <c r="H1851" s="116"/>
      <c r="I1851" s="116"/>
      <c r="L1851" s="170">
        <v>44942</v>
      </c>
      <c r="M1851" s="116">
        <v>2703.1</v>
      </c>
      <c r="N1851" s="116">
        <v>2724.8</v>
      </c>
      <c r="O1851" s="116">
        <v>2641.1</v>
      </c>
      <c r="P1851" s="116">
        <v>2684.8</v>
      </c>
      <c r="Q1851" s="116">
        <v>2703.1</v>
      </c>
      <c r="R1851">
        <v>463560</v>
      </c>
    </row>
    <row r="1852" spans="1:18" x14ac:dyDescent="0.25">
      <c r="A1852" s="170">
        <v>44943</v>
      </c>
      <c r="B1852" s="116">
        <v>2778.8</v>
      </c>
      <c r="C1852" s="116">
        <v>2723.65</v>
      </c>
      <c r="D1852" s="116">
        <v>2680</v>
      </c>
      <c r="E1852" s="116">
        <v>2690.05</v>
      </c>
      <c r="F1852" s="116">
        <v>2723.65</v>
      </c>
      <c r="G1852">
        <v>29039</v>
      </c>
      <c r="H1852" s="116"/>
      <c r="I1852" s="116"/>
      <c r="L1852" s="170">
        <v>44943</v>
      </c>
      <c r="M1852" s="116">
        <v>2725.05</v>
      </c>
      <c r="N1852" s="116">
        <v>2779</v>
      </c>
      <c r="O1852" s="116">
        <v>2676.4</v>
      </c>
      <c r="P1852" s="116">
        <v>2694.75</v>
      </c>
      <c r="Q1852" s="116">
        <v>2725.05</v>
      </c>
      <c r="R1852">
        <v>806251</v>
      </c>
    </row>
    <row r="1853" spans="1:18" x14ac:dyDescent="0.25">
      <c r="A1853" s="170">
        <v>44944</v>
      </c>
      <c r="B1853" s="116">
        <v>2738.95</v>
      </c>
      <c r="C1853" s="116">
        <v>2704.1</v>
      </c>
      <c r="D1853" s="116">
        <v>2680.6</v>
      </c>
      <c r="E1853" s="116">
        <v>2713.05</v>
      </c>
      <c r="F1853" s="116">
        <v>2704.1</v>
      </c>
      <c r="G1853">
        <v>10408</v>
      </c>
      <c r="H1853" s="116"/>
      <c r="I1853" s="116"/>
      <c r="L1853" s="170">
        <v>44944</v>
      </c>
      <c r="M1853" s="116">
        <v>2710.75</v>
      </c>
      <c r="N1853" s="116">
        <v>2738.95</v>
      </c>
      <c r="O1853" s="116">
        <v>2682.35</v>
      </c>
      <c r="P1853" s="116">
        <v>2719.25</v>
      </c>
      <c r="Q1853" s="116">
        <v>2710.75</v>
      </c>
      <c r="R1853">
        <v>409175</v>
      </c>
    </row>
    <row r="1854" spans="1:18" x14ac:dyDescent="0.25">
      <c r="A1854" s="170">
        <v>44945</v>
      </c>
      <c r="B1854" s="116">
        <v>2751.75</v>
      </c>
      <c r="C1854" s="116">
        <v>2735.3</v>
      </c>
      <c r="D1854" s="116">
        <v>2643.25</v>
      </c>
      <c r="E1854" s="116">
        <v>2689.95</v>
      </c>
      <c r="F1854" s="116">
        <v>2735.3</v>
      </c>
      <c r="G1854">
        <v>12720</v>
      </c>
      <c r="H1854" s="116"/>
      <c r="I1854" s="116"/>
      <c r="L1854" s="170">
        <v>44945</v>
      </c>
      <c r="M1854" s="116">
        <v>2734.1</v>
      </c>
      <c r="N1854" s="116">
        <v>2753.85</v>
      </c>
      <c r="O1854" s="116">
        <v>2640</v>
      </c>
      <c r="P1854" s="116">
        <v>2679.05</v>
      </c>
      <c r="Q1854" s="116">
        <v>2734.1</v>
      </c>
      <c r="R1854">
        <v>391025</v>
      </c>
    </row>
    <row r="1855" spans="1:18" x14ac:dyDescent="0.25">
      <c r="A1855" s="170">
        <v>44946</v>
      </c>
      <c r="B1855" s="116">
        <v>2753.8</v>
      </c>
      <c r="C1855" s="116">
        <v>2738.7</v>
      </c>
      <c r="D1855" s="116">
        <v>2693.3</v>
      </c>
      <c r="E1855" s="116">
        <v>2702</v>
      </c>
      <c r="F1855" s="116">
        <v>2738.7</v>
      </c>
      <c r="G1855">
        <v>20350</v>
      </c>
      <c r="H1855" s="116"/>
      <c r="I1855" s="116"/>
      <c r="L1855" s="170">
        <v>44946</v>
      </c>
      <c r="M1855" s="116">
        <v>2737.95</v>
      </c>
      <c r="N1855" s="116">
        <v>2755</v>
      </c>
      <c r="O1855" s="116">
        <v>2693.55</v>
      </c>
      <c r="P1855" s="116">
        <v>2711.5</v>
      </c>
      <c r="Q1855" s="116">
        <v>2737.95</v>
      </c>
      <c r="R1855">
        <v>459208</v>
      </c>
    </row>
    <row r="1856" spans="1:18" x14ac:dyDescent="0.25">
      <c r="A1856" s="170">
        <v>44949</v>
      </c>
      <c r="B1856" s="116">
        <v>2798.6</v>
      </c>
      <c r="C1856" s="116">
        <v>2782.35</v>
      </c>
      <c r="D1856" s="116">
        <v>2734.3</v>
      </c>
      <c r="E1856" s="116">
        <v>2738.7</v>
      </c>
      <c r="F1856" s="116">
        <v>2782.35</v>
      </c>
      <c r="G1856">
        <v>28611</v>
      </c>
      <c r="H1856" s="116"/>
      <c r="I1856" s="116"/>
      <c r="L1856" s="170">
        <v>44949</v>
      </c>
      <c r="M1856" s="116">
        <v>2784.1</v>
      </c>
      <c r="N1856" s="116">
        <v>2799</v>
      </c>
      <c r="O1856" s="116">
        <v>2735</v>
      </c>
      <c r="P1856" s="116">
        <v>2744.95</v>
      </c>
      <c r="Q1856" s="116">
        <v>2784.1</v>
      </c>
      <c r="R1856">
        <v>446563</v>
      </c>
    </row>
    <row r="1857" spans="1:18" x14ac:dyDescent="0.25">
      <c r="A1857" s="170">
        <v>44950</v>
      </c>
      <c r="B1857" s="116">
        <v>2798.45</v>
      </c>
      <c r="C1857" s="116">
        <v>2756.15</v>
      </c>
      <c r="D1857" s="116">
        <v>2728.45</v>
      </c>
      <c r="E1857" s="116">
        <v>2784.1</v>
      </c>
      <c r="F1857" s="116">
        <v>2756.15</v>
      </c>
      <c r="G1857">
        <v>7823</v>
      </c>
      <c r="H1857" s="116"/>
      <c r="I1857" s="116"/>
      <c r="L1857" s="170">
        <v>44950</v>
      </c>
      <c r="M1857" s="116">
        <v>2762.15</v>
      </c>
      <c r="N1857" s="116">
        <v>2799.95</v>
      </c>
      <c r="O1857" s="116">
        <v>2727.1</v>
      </c>
      <c r="P1857" s="116">
        <v>2790</v>
      </c>
      <c r="Q1857" s="116">
        <v>2762.15</v>
      </c>
      <c r="R1857">
        <v>351797</v>
      </c>
    </row>
    <row r="1858" spans="1:18" x14ac:dyDescent="0.25">
      <c r="A1858" s="170">
        <v>44951</v>
      </c>
      <c r="B1858" s="116">
        <v>2749.95</v>
      </c>
      <c r="C1858" s="116">
        <v>2511.75</v>
      </c>
      <c r="D1858" s="116">
        <v>2412</v>
      </c>
      <c r="E1858" s="116">
        <v>2749.95</v>
      </c>
      <c r="F1858" s="116">
        <v>2511.75</v>
      </c>
      <c r="G1858">
        <v>31348</v>
      </c>
      <c r="H1858" s="116"/>
      <c r="I1858" s="116"/>
      <c r="L1858" s="170">
        <v>44951</v>
      </c>
      <c r="M1858" s="116">
        <v>2517.75</v>
      </c>
      <c r="N1858" s="116">
        <v>2737.75</v>
      </c>
      <c r="O1858" s="116">
        <v>2433.9</v>
      </c>
      <c r="P1858" s="116">
        <v>2720</v>
      </c>
      <c r="Q1858" s="116">
        <v>2517.75</v>
      </c>
      <c r="R1858">
        <v>664314</v>
      </c>
    </row>
    <row r="1859" spans="1:18" x14ac:dyDescent="0.25">
      <c r="A1859" s="170">
        <v>44953</v>
      </c>
      <c r="B1859" s="116">
        <v>2440.1999999999998</v>
      </c>
      <c r="C1859" s="116">
        <v>2009.7</v>
      </c>
      <c r="D1859" s="116">
        <v>2009.4</v>
      </c>
      <c r="E1859" s="116">
        <v>2409.9499999999998</v>
      </c>
      <c r="F1859" s="116">
        <v>2009.7</v>
      </c>
      <c r="G1859">
        <v>121301</v>
      </c>
      <c r="H1859" s="116"/>
      <c r="I1859" s="116"/>
      <c r="L1859" s="170">
        <v>44953</v>
      </c>
      <c r="M1859" s="116">
        <v>2014.2</v>
      </c>
      <c r="N1859" s="116">
        <v>2448</v>
      </c>
      <c r="O1859" s="116">
        <v>2014.2</v>
      </c>
      <c r="P1859" s="116">
        <v>2406.0500000000002</v>
      </c>
      <c r="Q1859" s="116">
        <v>2014.2</v>
      </c>
      <c r="R1859">
        <v>2529574</v>
      </c>
    </row>
    <row r="1860" spans="1:18" x14ac:dyDescent="0.25">
      <c r="A1860" s="170">
        <v>44956</v>
      </c>
      <c r="B1860" s="116">
        <v>1904.4</v>
      </c>
      <c r="C1860" s="116">
        <v>1710.1</v>
      </c>
      <c r="D1860" s="116">
        <v>1607.8</v>
      </c>
      <c r="E1860" s="116">
        <v>1670.05</v>
      </c>
      <c r="F1860" s="116">
        <v>1710.1</v>
      </c>
      <c r="G1860">
        <v>345799</v>
      </c>
      <c r="H1860" s="116"/>
      <c r="I1860" s="116"/>
      <c r="L1860" s="170">
        <v>44956</v>
      </c>
      <c r="M1860" s="116">
        <v>1708.2</v>
      </c>
      <c r="N1860" s="116">
        <v>1860</v>
      </c>
      <c r="O1860" s="116">
        <v>1611.4</v>
      </c>
      <c r="P1860" s="116">
        <v>1775</v>
      </c>
      <c r="Q1860" s="116">
        <v>1708.2</v>
      </c>
      <c r="R1860">
        <v>5208061</v>
      </c>
    </row>
    <row r="1861" spans="1:18" x14ac:dyDescent="0.25">
      <c r="A1861" s="170">
        <v>44957</v>
      </c>
      <c r="B1861" s="116">
        <v>1836.2</v>
      </c>
      <c r="C1861" s="116">
        <v>1773.95</v>
      </c>
      <c r="D1861" s="116">
        <v>1562.55</v>
      </c>
      <c r="E1861" s="116">
        <v>1693.15</v>
      </c>
      <c r="F1861" s="116">
        <v>1773.95</v>
      </c>
      <c r="G1861">
        <v>237842</v>
      </c>
      <c r="H1861" s="116"/>
      <c r="I1861" s="116"/>
      <c r="L1861" s="170">
        <v>44957</v>
      </c>
      <c r="M1861" s="116">
        <v>1774</v>
      </c>
      <c r="N1861" s="116">
        <v>1835</v>
      </c>
      <c r="O1861" s="116">
        <v>1557.05</v>
      </c>
      <c r="P1861" s="116">
        <v>1700</v>
      </c>
      <c r="Q1861" s="116">
        <v>1774</v>
      </c>
      <c r="R1861">
        <v>3693584</v>
      </c>
    </row>
    <row r="1862" spans="1:18" x14ac:dyDescent="0.25">
      <c r="A1862" s="170">
        <v>44958</v>
      </c>
      <c r="B1862" s="116">
        <v>1825.95</v>
      </c>
      <c r="C1862" s="116">
        <v>1730.25</v>
      </c>
      <c r="D1862" s="116">
        <v>1596.6</v>
      </c>
      <c r="E1862" s="116">
        <v>1818.9</v>
      </c>
      <c r="F1862" s="116">
        <v>1730.25</v>
      </c>
      <c r="G1862">
        <v>69434</v>
      </c>
      <c r="H1862" s="116"/>
      <c r="I1862" s="116"/>
      <c r="L1862" s="170">
        <v>44958</v>
      </c>
      <c r="M1862" s="116">
        <v>1723.5</v>
      </c>
      <c r="N1862" s="116">
        <v>1825</v>
      </c>
      <c r="O1862" s="116">
        <v>1596.6</v>
      </c>
      <c r="P1862" s="116">
        <v>1809.5</v>
      </c>
      <c r="Q1862" s="116">
        <v>1723.5</v>
      </c>
      <c r="R1862">
        <v>2147989</v>
      </c>
    </row>
    <row r="1863" spans="1:18" x14ac:dyDescent="0.25">
      <c r="A1863" s="170">
        <v>44959</v>
      </c>
      <c r="B1863" s="116">
        <v>1640.35</v>
      </c>
      <c r="C1863" s="116">
        <v>1557.25</v>
      </c>
      <c r="D1863" s="116">
        <v>1557.25</v>
      </c>
      <c r="E1863" s="116">
        <v>1557.25</v>
      </c>
      <c r="F1863" s="116">
        <v>1557.25</v>
      </c>
      <c r="G1863">
        <v>77102</v>
      </c>
      <c r="H1863" s="116"/>
      <c r="I1863" s="116"/>
      <c r="L1863" s="170">
        <v>44959</v>
      </c>
      <c r="M1863" s="116">
        <v>1551.15</v>
      </c>
      <c r="N1863" s="116">
        <v>1637.3</v>
      </c>
      <c r="O1863" s="116">
        <v>1551.15</v>
      </c>
      <c r="P1863" s="116">
        <v>1580</v>
      </c>
      <c r="Q1863" s="116">
        <v>1551.15</v>
      </c>
      <c r="R1863">
        <v>758683</v>
      </c>
    </row>
    <row r="1864" spans="1:18" x14ac:dyDescent="0.25">
      <c r="A1864" s="170">
        <v>44960</v>
      </c>
      <c r="B1864" s="116">
        <v>1401.55</v>
      </c>
      <c r="C1864" s="116">
        <v>1401.55</v>
      </c>
      <c r="D1864" s="116">
        <v>1401.55</v>
      </c>
      <c r="E1864" s="116">
        <v>1401.55</v>
      </c>
      <c r="F1864" s="116">
        <v>1401.55</v>
      </c>
      <c r="G1864">
        <v>11022</v>
      </c>
      <c r="H1864" s="116"/>
      <c r="I1864" s="116"/>
      <c r="L1864" s="170">
        <v>44960</v>
      </c>
      <c r="M1864" s="116">
        <v>1396.05</v>
      </c>
      <c r="N1864" s="116">
        <v>1396.05</v>
      </c>
      <c r="O1864" s="116">
        <v>1396.05</v>
      </c>
      <c r="P1864" s="116">
        <v>1396.05</v>
      </c>
      <c r="Q1864" s="116">
        <v>1396.05</v>
      </c>
      <c r="R1864">
        <v>108189</v>
      </c>
    </row>
    <row r="1865" spans="1:18" x14ac:dyDescent="0.25">
      <c r="A1865" s="170">
        <v>44963</v>
      </c>
      <c r="B1865" s="116">
        <v>1261.4000000000001</v>
      </c>
      <c r="C1865" s="116">
        <v>1261.4000000000001</v>
      </c>
      <c r="D1865" s="116">
        <v>1261.4000000000001</v>
      </c>
      <c r="E1865" s="116">
        <v>1261.4000000000001</v>
      </c>
      <c r="F1865" s="116">
        <v>1261.4000000000001</v>
      </c>
      <c r="G1865">
        <v>14453</v>
      </c>
      <c r="H1865" s="116"/>
      <c r="I1865" s="116"/>
      <c r="L1865" s="170">
        <v>44963</v>
      </c>
      <c r="M1865" s="116">
        <v>1256.45</v>
      </c>
      <c r="N1865" s="116">
        <v>1256.45</v>
      </c>
      <c r="O1865" s="116">
        <v>1256.45</v>
      </c>
      <c r="P1865" s="116">
        <v>1256.45</v>
      </c>
      <c r="Q1865" s="116">
        <v>1256.45</v>
      </c>
      <c r="R1865">
        <v>134165</v>
      </c>
    </row>
    <row r="1866" spans="1:18" x14ac:dyDescent="0.25">
      <c r="A1866" s="170">
        <v>44964</v>
      </c>
      <c r="B1866" s="116">
        <v>1324.45</v>
      </c>
      <c r="C1866" s="116">
        <v>1251.7</v>
      </c>
      <c r="D1866" s="116">
        <v>1198.3499999999999</v>
      </c>
      <c r="E1866" s="116">
        <v>1198.3499999999999</v>
      </c>
      <c r="F1866" s="116">
        <v>1251.7</v>
      </c>
      <c r="G1866">
        <v>378034</v>
      </c>
      <c r="H1866" s="116"/>
      <c r="I1866" s="116"/>
      <c r="L1866" s="170">
        <v>44964</v>
      </c>
      <c r="M1866" s="116">
        <v>1252.2</v>
      </c>
      <c r="N1866" s="116">
        <v>1319.25</v>
      </c>
      <c r="O1866" s="116">
        <v>1193.6500000000001</v>
      </c>
      <c r="P1866" s="116">
        <v>1193.6500000000001</v>
      </c>
      <c r="Q1866" s="116">
        <v>1252.2</v>
      </c>
      <c r="R1866">
        <v>2833960</v>
      </c>
    </row>
    <row r="1867" spans="1:18" x14ac:dyDescent="0.25">
      <c r="A1867" s="170">
        <v>44965</v>
      </c>
      <c r="B1867" s="116">
        <v>1314.25</v>
      </c>
      <c r="C1867" s="116">
        <v>1314.25</v>
      </c>
      <c r="D1867" s="116">
        <v>1273.7</v>
      </c>
      <c r="E1867" s="116">
        <v>1284.95</v>
      </c>
      <c r="F1867" s="116">
        <v>1314.25</v>
      </c>
      <c r="G1867">
        <v>95193</v>
      </c>
      <c r="H1867" s="116"/>
      <c r="I1867" s="116"/>
      <c r="L1867" s="170">
        <v>44965</v>
      </c>
      <c r="M1867" s="116">
        <v>1314.8</v>
      </c>
      <c r="N1867" s="116">
        <v>1314.8</v>
      </c>
      <c r="O1867" s="116">
        <v>1271.75</v>
      </c>
      <c r="P1867" s="116">
        <v>1271.75</v>
      </c>
      <c r="Q1867" s="116">
        <v>1314.8</v>
      </c>
      <c r="R1867">
        <v>1521910</v>
      </c>
    </row>
    <row r="1868" spans="1:18" x14ac:dyDescent="0.25">
      <c r="A1868" s="170">
        <v>44966</v>
      </c>
      <c r="B1868" s="116">
        <v>1333.9</v>
      </c>
      <c r="C1868" s="116">
        <v>1248.55</v>
      </c>
      <c r="D1868" s="116">
        <v>1248.55</v>
      </c>
      <c r="E1868" s="116">
        <v>1333.9</v>
      </c>
      <c r="F1868" s="116">
        <v>1248.55</v>
      </c>
      <c r="G1868">
        <v>142047</v>
      </c>
      <c r="H1868" s="116"/>
      <c r="I1868" s="116"/>
      <c r="L1868" s="170">
        <v>44966</v>
      </c>
      <c r="M1868" s="116">
        <v>1249.0999999999999</v>
      </c>
      <c r="N1868" s="116">
        <v>1296</v>
      </c>
      <c r="O1868" s="116">
        <v>1249.0999999999999</v>
      </c>
      <c r="P1868" s="116">
        <v>1284</v>
      </c>
      <c r="Q1868" s="116">
        <v>1249.0999999999999</v>
      </c>
      <c r="R1868">
        <v>831921</v>
      </c>
    </row>
    <row r="1869" spans="1:18" x14ac:dyDescent="0.25">
      <c r="A1869" s="170">
        <v>44967</v>
      </c>
      <c r="B1869" s="116">
        <v>1186.1500000000001</v>
      </c>
      <c r="C1869" s="116">
        <v>1186.1500000000001</v>
      </c>
      <c r="D1869" s="116">
        <v>1186.1500000000001</v>
      </c>
      <c r="E1869" s="116">
        <v>1186.1500000000001</v>
      </c>
      <c r="F1869" s="116">
        <v>1186.1500000000001</v>
      </c>
      <c r="G1869">
        <v>12507</v>
      </c>
      <c r="H1869" s="116"/>
      <c r="I1869" s="116"/>
      <c r="L1869" s="170">
        <v>44967</v>
      </c>
      <c r="M1869" s="116">
        <v>1186.6500000000001</v>
      </c>
      <c r="N1869" s="116">
        <v>1186.6500000000001</v>
      </c>
      <c r="O1869" s="116">
        <v>1186.6500000000001</v>
      </c>
      <c r="P1869" s="116">
        <v>1186.6500000000001</v>
      </c>
      <c r="Q1869" s="116">
        <v>1186.6500000000001</v>
      </c>
      <c r="R1869">
        <v>84888</v>
      </c>
    </row>
    <row r="1870" spans="1:18" x14ac:dyDescent="0.25">
      <c r="A1870" s="170">
        <v>44970</v>
      </c>
      <c r="B1870" s="116">
        <v>1126.8499999999999</v>
      </c>
      <c r="C1870" s="116">
        <v>1126.8499999999999</v>
      </c>
      <c r="D1870" s="116">
        <v>1126.8499999999999</v>
      </c>
      <c r="E1870" s="116">
        <v>1126.8499999999999</v>
      </c>
      <c r="F1870" s="116">
        <v>1126.8499999999999</v>
      </c>
      <c r="G1870">
        <v>5437</v>
      </c>
      <c r="H1870" s="116"/>
      <c r="I1870" s="116"/>
      <c r="L1870" s="170">
        <v>44970</v>
      </c>
      <c r="M1870" s="116">
        <v>1127.3499999999999</v>
      </c>
      <c r="N1870" s="116">
        <v>1127.3499999999999</v>
      </c>
      <c r="O1870" s="116">
        <v>1127.3499999999999</v>
      </c>
      <c r="P1870" s="116">
        <v>1127.3499999999999</v>
      </c>
      <c r="Q1870" s="116">
        <v>1127.3499999999999</v>
      </c>
      <c r="R1870">
        <v>30886</v>
      </c>
    </row>
    <row r="1871" spans="1:18" x14ac:dyDescent="0.25">
      <c r="A1871" s="170">
        <v>44971</v>
      </c>
      <c r="B1871" s="116">
        <v>1070.55</v>
      </c>
      <c r="C1871" s="116">
        <v>1070.55</v>
      </c>
      <c r="D1871" s="116">
        <v>1070.55</v>
      </c>
      <c r="E1871" s="116">
        <v>1070.55</v>
      </c>
      <c r="F1871" s="116">
        <v>1070.55</v>
      </c>
      <c r="G1871">
        <v>4965</v>
      </c>
      <c r="H1871" s="116"/>
      <c r="I1871" s="116"/>
      <c r="L1871" s="170">
        <v>44971</v>
      </c>
      <c r="M1871" s="116">
        <v>1071</v>
      </c>
      <c r="N1871" s="116">
        <v>1071</v>
      </c>
      <c r="O1871" s="116">
        <v>1071</v>
      </c>
      <c r="P1871" s="116">
        <v>1071</v>
      </c>
      <c r="Q1871" s="116">
        <v>1071</v>
      </c>
      <c r="R1871">
        <v>47784</v>
      </c>
    </row>
    <row r="1872" spans="1:18" x14ac:dyDescent="0.25">
      <c r="A1872" s="170">
        <v>44972</v>
      </c>
      <c r="B1872" s="116">
        <v>1017.05</v>
      </c>
      <c r="C1872" s="116">
        <v>1017.05</v>
      </c>
      <c r="D1872" s="116">
        <v>1017.05</v>
      </c>
      <c r="E1872" s="116">
        <v>1017.05</v>
      </c>
      <c r="F1872" s="116">
        <v>1017.05</v>
      </c>
      <c r="G1872">
        <v>20662</v>
      </c>
      <c r="H1872" s="116"/>
      <c r="I1872" s="116"/>
      <c r="L1872" s="170">
        <v>44972</v>
      </c>
      <c r="M1872" s="116">
        <v>1017.45</v>
      </c>
      <c r="N1872" s="116">
        <v>1017.45</v>
      </c>
      <c r="O1872" s="116">
        <v>1017.45</v>
      </c>
      <c r="P1872" s="116">
        <v>1017.45</v>
      </c>
      <c r="Q1872" s="116">
        <v>1017.45</v>
      </c>
      <c r="R1872">
        <v>75876</v>
      </c>
    </row>
    <row r="1873" spans="1:18" x14ac:dyDescent="0.25">
      <c r="A1873" s="170">
        <v>44973</v>
      </c>
      <c r="B1873" s="116">
        <v>1067.9000000000001</v>
      </c>
      <c r="C1873" s="116">
        <v>966.95</v>
      </c>
      <c r="D1873" s="116">
        <v>966.2</v>
      </c>
      <c r="E1873" s="116">
        <v>966.2</v>
      </c>
      <c r="F1873" s="116">
        <v>966.95</v>
      </c>
      <c r="G1873">
        <v>331457</v>
      </c>
      <c r="H1873" s="116"/>
      <c r="I1873" s="116"/>
      <c r="L1873" s="170">
        <v>44973</v>
      </c>
      <c r="M1873" s="116">
        <v>968.55</v>
      </c>
      <c r="N1873" s="116">
        <v>1068.3</v>
      </c>
      <c r="O1873" s="116">
        <v>966.6</v>
      </c>
      <c r="P1873" s="116">
        <v>966.6</v>
      </c>
      <c r="Q1873" s="116">
        <v>968.55</v>
      </c>
      <c r="R1873">
        <v>3689508</v>
      </c>
    </row>
    <row r="1874" spans="1:18" x14ac:dyDescent="0.25">
      <c r="A1874" s="170">
        <v>44974</v>
      </c>
      <c r="B1874" s="116">
        <v>988</v>
      </c>
      <c r="C1874" s="116">
        <v>919.85</v>
      </c>
      <c r="D1874" s="116">
        <v>918.65</v>
      </c>
      <c r="E1874" s="116">
        <v>950</v>
      </c>
      <c r="F1874" s="116">
        <v>919.85</v>
      </c>
      <c r="G1874">
        <v>98522</v>
      </c>
      <c r="H1874" s="116"/>
      <c r="I1874" s="116"/>
      <c r="L1874" s="170">
        <v>44974</v>
      </c>
      <c r="M1874" s="116">
        <v>920.4</v>
      </c>
      <c r="N1874" s="116">
        <v>987.95</v>
      </c>
      <c r="O1874" s="116">
        <v>920.15</v>
      </c>
      <c r="P1874" s="116">
        <v>953.05</v>
      </c>
      <c r="Q1874" s="116">
        <v>920.4</v>
      </c>
      <c r="R1874">
        <v>1596131</v>
      </c>
    </row>
    <row r="1875" spans="1:18" x14ac:dyDescent="0.25">
      <c r="A1875" s="170">
        <v>44977</v>
      </c>
      <c r="B1875" s="116">
        <v>898.3</v>
      </c>
      <c r="C1875" s="116">
        <v>873.9</v>
      </c>
      <c r="D1875" s="116">
        <v>873.9</v>
      </c>
      <c r="E1875" s="116">
        <v>887.95</v>
      </c>
      <c r="F1875" s="116">
        <v>873.9</v>
      </c>
      <c r="G1875">
        <v>93676</v>
      </c>
      <c r="H1875" s="116"/>
      <c r="I1875" s="116"/>
      <c r="L1875" s="170">
        <v>44977</v>
      </c>
      <c r="M1875" s="116">
        <v>874.4</v>
      </c>
      <c r="N1875" s="116">
        <v>897.75</v>
      </c>
      <c r="O1875" s="116">
        <v>874.4</v>
      </c>
      <c r="P1875" s="116">
        <v>887.05</v>
      </c>
      <c r="Q1875" s="116">
        <v>874.4</v>
      </c>
      <c r="R1875">
        <v>968551</v>
      </c>
    </row>
    <row r="1876" spans="1:18" x14ac:dyDescent="0.25">
      <c r="A1876" s="170">
        <v>44978</v>
      </c>
      <c r="B1876" s="116">
        <v>830.25</v>
      </c>
      <c r="C1876" s="116">
        <v>830.25</v>
      </c>
      <c r="D1876" s="116">
        <v>830.25</v>
      </c>
      <c r="E1876" s="116">
        <v>830.25</v>
      </c>
      <c r="F1876" s="116">
        <v>830.25</v>
      </c>
      <c r="G1876">
        <v>17326</v>
      </c>
      <c r="H1876" s="116"/>
      <c r="I1876" s="116"/>
      <c r="L1876" s="170">
        <v>44978</v>
      </c>
      <c r="M1876" s="116">
        <v>830.7</v>
      </c>
      <c r="N1876" s="116">
        <v>830.7</v>
      </c>
      <c r="O1876" s="116">
        <v>830.7</v>
      </c>
      <c r="P1876" s="116">
        <v>830.7</v>
      </c>
      <c r="Q1876" s="116">
        <v>830.7</v>
      </c>
      <c r="R1876">
        <v>105101</v>
      </c>
    </row>
    <row r="1877" spans="1:18" x14ac:dyDescent="0.25">
      <c r="A1877" s="170">
        <v>44979</v>
      </c>
      <c r="B1877" s="116">
        <v>788.75</v>
      </c>
      <c r="C1877" s="116">
        <v>788.75</v>
      </c>
      <c r="D1877" s="116">
        <v>788.75</v>
      </c>
      <c r="E1877" s="116">
        <v>788.75</v>
      </c>
      <c r="F1877" s="116">
        <v>788.75</v>
      </c>
      <c r="G1877">
        <v>5285</v>
      </c>
      <c r="H1877" s="116"/>
      <c r="I1877" s="116"/>
      <c r="L1877" s="170">
        <v>44979</v>
      </c>
      <c r="M1877" s="116">
        <v>789.2</v>
      </c>
      <c r="N1877" s="116">
        <v>789.2</v>
      </c>
      <c r="O1877" s="116">
        <v>789.2</v>
      </c>
      <c r="P1877" s="116">
        <v>789.2</v>
      </c>
      <c r="Q1877" s="116">
        <v>789.2</v>
      </c>
      <c r="R1877">
        <v>57508</v>
      </c>
    </row>
    <row r="1878" spans="1:18" x14ac:dyDescent="0.25">
      <c r="A1878" s="170">
        <v>44980</v>
      </c>
      <c r="B1878" s="116">
        <v>749.35</v>
      </c>
      <c r="C1878" s="116">
        <v>749.35</v>
      </c>
      <c r="D1878" s="116">
        <v>749.35</v>
      </c>
      <c r="E1878" s="116">
        <v>749.35</v>
      </c>
      <c r="F1878" s="116">
        <v>749.35</v>
      </c>
      <c r="G1878">
        <v>5410</v>
      </c>
      <c r="H1878" s="116"/>
      <c r="I1878" s="116"/>
      <c r="L1878" s="170">
        <v>44980</v>
      </c>
      <c r="M1878" s="116">
        <v>749.75</v>
      </c>
      <c r="N1878" s="116">
        <v>749.75</v>
      </c>
      <c r="O1878" s="116">
        <v>749.75</v>
      </c>
      <c r="P1878" s="116">
        <v>749.75</v>
      </c>
      <c r="Q1878" s="116">
        <v>749.75</v>
      </c>
      <c r="R1878">
        <v>46327</v>
      </c>
    </row>
    <row r="1879" spans="1:18" x14ac:dyDescent="0.25">
      <c r="A1879" s="170">
        <v>44981</v>
      </c>
      <c r="B1879" s="116">
        <v>711.9</v>
      </c>
      <c r="C1879" s="116">
        <v>711.9</v>
      </c>
      <c r="D1879" s="116">
        <v>711.9</v>
      </c>
      <c r="E1879" s="116">
        <v>711.9</v>
      </c>
      <c r="F1879" s="116">
        <v>711.9</v>
      </c>
      <c r="G1879">
        <v>12919</v>
      </c>
      <c r="H1879" s="116"/>
      <c r="I1879" s="116"/>
      <c r="L1879" s="170">
        <v>44981</v>
      </c>
      <c r="M1879" s="116">
        <v>712.3</v>
      </c>
      <c r="N1879" s="116">
        <v>712.3</v>
      </c>
      <c r="O1879" s="116">
        <v>712.3</v>
      </c>
      <c r="P1879" s="116">
        <v>712.3</v>
      </c>
      <c r="Q1879" s="116">
        <v>712.3</v>
      </c>
      <c r="R1879">
        <v>111971</v>
      </c>
    </row>
    <row r="1880" spans="1:18" x14ac:dyDescent="0.25">
      <c r="A1880" s="170">
        <v>44984</v>
      </c>
      <c r="B1880" s="116">
        <v>676.35</v>
      </c>
      <c r="C1880" s="116">
        <v>676.35</v>
      </c>
      <c r="D1880" s="116">
        <v>676.35</v>
      </c>
      <c r="E1880" s="116">
        <v>676.35</v>
      </c>
      <c r="F1880" s="116">
        <v>676.35</v>
      </c>
      <c r="G1880">
        <v>20128</v>
      </c>
      <c r="H1880" s="116"/>
      <c r="I1880" s="116"/>
      <c r="L1880" s="170">
        <v>44984</v>
      </c>
      <c r="M1880" s="116">
        <v>676.7</v>
      </c>
      <c r="N1880" s="116">
        <v>676.7</v>
      </c>
      <c r="O1880" s="116">
        <v>676.7</v>
      </c>
      <c r="P1880" s="116">
        <v>676.7</v>
      </c>
      <c r="Q1880" s="116">
        <v>676.7</v>
      </c>
      <c r="R1880">
        <v>73016</v>
      </c>
    </row>
    <row r="1881" spans="1:18" x14ac:dyDescent="0.25">
      <c r="A1881" s="170">
        <v>44985</v>
      </c>
      <c r="B1881" s="116">
        <v>674.05</v>
      </c>
      <c r="C1881" s="116">
        <v>642.54999999999995</v>
      </c>
      <c r="D1881" s="116">
        <v>642.54999999999995</v>
      </c>
      <c r="E1881" s="116">
        <v>642.54999999999995</v>
      </c>
      <c r="F1881" s="116">
        <v>642.54999999999995</v>
      </c>
      <c r="G1881">
        <v>210987</v>
      </c>
      <c r="H1881" s="116"/>
      <c r="I1881" s="116"/>
      <c r="L1881" s="170">
        <v>44985</v>
      </c>
      <c r="M1881" s="116">
        <v>642.9</v>
      </c>
      <c r="N1881" s="116">
        <v>674.4</v>
      </c>
      <c r="O1881" s="116">
        <v>642.9</v>
      </c>
      <c r="P1881" s="116">
        <v>642.9</v>
      </c>
      <c r="Q1881" s="116">
        <v>642.9</v>
      </c>
      <c r="R1881">
        <v>4607943</v>
      </c>
    </row>
    <row r="1882" spans="1:18" x14ac:dyDescent="0.25">
      <c r="A1882" s="170">
        <v>44986</v>
      </c>
      <c r="B1882" s="116">
        <v>674.65</v>
      </c>
      <c r="C1882" s="116">
        <v>674.65</v>
      </c>
      <c r="D1882" s="116">
        <v>630</v>
      </c>
      <c r="E1882" s="116">
        <v>630</v>
      </c>
      <c r="F1882" s="116">
        <v>674.65</v>
      </c>
      <c r="G1882">
        <v>184369</v>
      </c>
      <c r="H1882" s="116"/>
      <c r="I1882" s="116"/>
      <c r="L1882" s="170">
        <v>44986</v>
      </c>
      <c r="M1882" s="116">
        <v>675</v>
      </c>
      <c r="N1882" s="116">
        <v>675</v>
      </c>
      <c r="O1882" s="116">
        <v>631.5</v>
      </c>
      <c r="P1882" s="116">
        <v>631.5</v>
      </c>
      <c r="Q1882" s="116">
        <v>675</v>
      </c>
      <c r="R1882">
        <v>2628313</v>
      </c>
    </row>
    <row r="1883" spans="1:18" x14ac:dyDescent="0.25">
      <c r="A1883" s="170">
        <v>44987</v>
      </c>
      <c r="B1883" s="116">
        <v>708.35</v>
      </c>
      <c r="C1883" s="116">
        <v>708.35</v>
      </c>
      <c r="D1883" s="116">
        <v>683.75</v>
      </c>
      <c r="E1883" s="116">
        <v>706.4</v>
      </c>
      <c r="F1883" s="116">
        <v>708.35</v>
      </c>
      <c r="G1883">
        <v>113452</v>
      </c>
      <c r="H1883" s="116"/>
      <c r="I1883" s="116"/>
      <c r="L1883" s="170">
        <v>44987</v>
      </c>
      <c r="M1883" s="116">
        <v>708.75</v>
      </c>
      <c r="N1883" s="116">
        <v>708.75</v>
      </c>
      <c r="O1883" s="116">
        <v>685</v>
      </c>
      <c r="P1883" s="116">
        <v>700</v>
      </c>
      <c r="Q1883" s="116">
        <v>708.75</v>
      </c>
      <c r="R1883">
        <v>1300464</v>
      </c>
    </row>
    <row r="1884" spans="1:18" x14ac:dyDescent="0.25">
      <c r="A1884" s="170">
        <v>44988</v>
      </c>
      <c r="B1884" s="116">
        <v>743.75</v>
      </c>
      <c r="C1884" s="116">
        <v>743.75</v>
      </c>
      <c r="D1884" s="116">
        <v>743.75</v>
      </c>
      <c r="E1884" s="116">
        <v>743.75</v>
      </c>
      <c r="F1884" s="116">
        <v>743.75</v>
      </c>
      <c r="G1884">
        <v>1587</v>
      </c>
      <c r="H1884" s="116"/>
      <c r="I1884" s="116"/>
      <c r="L1884" s="170">
        <v>44988</v>
      </c>
      <c r="M1884" s="116">
        <v>744.15</v>
      </c>
      <c r="N1884" s="116">
        <v>744.15</v>
      </c>
      <c r="O1884" s="116">
        <v>744.15</v>
      </c>
      <c r="P1884" s="116">
        <v>744.15</v>
      </c>
      <c r="Q1884" s="116">
        <v>744.15</v>
      </c>
      <c r="R1884">
        <v>1014976</v>
      </c>
    </row>
    <row r="1885" spans="1:18" x14ac:dyDescent="0.25">
      <c r="A1885" s="170">
        <v>44991</v>
      </c>
      <c r="B1885" s="116">
        <v>780.9</v>
      </c>
      <c r="C1885" s="116">
        <v>780.9</v>
      </c>
      <c r="D1885" s="116">
        <v>780.9</v>
      </c>
      <c r="E1885" s="116">
        <v>780.9</v>
      </c>
      <c r="F1885" s="116">
        <v>780.9</v>
      </c>
      <c r="G1885">
        <v>34174</v>
      </c>
      <c r="H1885" s="116"/>
      <c r="I1885" s="116"/>
      <c r="L1885" s="170">
        <v>44991</v>
      </c>
      <c r="M1885" s="116">
        <v>781.35</v>
      </c>
      <c r="N1885" s="116">
        <v>781.35</v>
      </c>
      <c r="O1885" s="116">
        <v>781.35</v>
      </c>
      <c r="P1885" s="116">
        <v>781.35</v>
      </c>
      <c r="Q1885" s="116">
        <v>781.35</v>
      </c>
      <c r="R1885">
        <v>1187948</v>
      </c>
    </row>
    <row r="1886" spans="1:18" x14ac:dyDescent="0.25">
      <c r="A1886" s="170">
        <v>44993</v>
      </c>
      <c r="B1886" s="116">
        <v>819.9</v>
      </c>
      <c r="C1886" s="116">
        <v>819.9</v>
      </c>
      <c r="D1886" s="116">
        <v>800.45</v>
      </c>
      <c r="E1886" s="116">
        <v>814.7</v>
      </c>
      <c r="F1886" s="116">
        <v>819.9</v>
      </c>
      <c r="G1886">
        <v>56027</v>
      </c>
      <c r="H1886" s="116"/>
      <c r="I1886" s="116"/>
      <c r="L1886" s="170">
        <v>44993</v>
      </c>
      <c r="M1886" s="116">
        <v>820.4</v>
      </c>
      <c r="N1886" s="116">
        <v>820.4</v>
      </c>
      <c r="O1886" s="116">
        <v>801</v>
      </c>
      <c r="P1886" s="116">
        <v>815</v>
      </c>
      <c r="Q1886" s="116">
        <v>820.4</v>
      </c>
      <c r="R1886">
        <v>1812185</v>
      </c>
    </row>
    <row r="1887" spans="1:18" x14ac:dyDescent="0.25">
      <c r="A1887" s="170">
        <v>44994</v>
      </c>
      <c r="B1887" s="116">
        <v>860.85</v>
      </c>
      <c r="C1887" s="116">
        <v>860.85</v>
      </c>
      <c r="D1887" s="116">
        <v>860.85</v>
      </c>
      <c r="E1887" s="116">
        <v>860.85</v>
      </c>
      <c r="F1887" s="116">
        <v>860.85</v>
      </c>
      <c r="G1887">
        <v>2333</v>
      </c>
      <c r="H1887" s="116"/>
      <c r="I1887" s="116"/>
      <c r="L1887" s="170">
        <v>44994</v>
      </c>
      <c r="M1887" s="116">
        <v>861.4</v>
      </c>
      <c r="N1887" s="116">
        <v>861.4</v>
      </c>
      <c r="O1887" s="116">
        <v>861.4</v>
      </c>
      <c r="P1887" s="116">
        <v>861.4</v>
      </c>
      <c r="Q1887" s="116">
        <v>861.4</v>
      </c>
      <c r="R1887">
        <v>957485</v>
      </c>
    </row>
    <row r="1888" spans="1:18" x14ac:dyDescent="0.25">
      <c r="A1888" s="170">
        <v>44995</v>
      </c>
      <c r="B1888" s="116">
        <v>903.85</v>
      </c>
      <c r="C1888" s="116">
        <v>903.85</v>
      </c>
      <c r="D1888" s="116">
        <v>861</v>
      </c>
      <c r="E1888" s="116">
        <v>884</v>
      </c>
      <c r="F1888" s="116">
        <v>903.85</v>
      </c>
      <c r="G1888">
        <v>42663</v>
      </c>
      <c r="H1888" s="116"/>
      <c r="I1888" s="116"/>
      <c r="L1888" s="170">
        <v>44995</v>
      </c>
      <c r="M1888" s="116">
        <v>904.45</v>
      </c>
      <c r="N1888" s="116">
        <v>904.45</v>
      </c>
      <c r="O1888" s="116">
        <v>863.45</v>
      </c>
      <c r="P1888" s="116">
        <v>877</v>
      </c>
      <c r="Q1888" s="116">
        <v>904.45</v>
      </c>
      <c r="R1888">
        <v>1038717</v>
      </c>
    </row>
    <row r="1889" spans="1:18" x14ac:dyDescent="0.25">
      <c r="A1889" s="170">
        <v>44998</v>
      </c>
      <c r="B1889" s="116">
        <v>949</v>
      </c>
      <c r="C1889" s="116">
        <v>949</v>
      </c>
      <c r="D1889" s="116">
        <v>949</v>
      </c>
      <c r="E1889" s="116">
        <v>949</v>
      </c>
      <c r="F1889" s="116">
        <v>949</v>
      </c>
      <c r="G1889">
        <v>31261</v>
      </c>
      <c r="H1889" s="116"/>
      <c r="I1889" s="116"/>
      <c r="L1889" s="170">
        <v>44998</v>
      </c>
      <c r="M1889" s="116">
        <v>949.65</v>
      </c>
      <c r="N1889" s="116">
        <v>949.65</v>
      </c>
      <c r="O1889" s="116">
        <v>949.65</v>
      </c>
      <c r="P1889" s="116">
        <v>949.65</v>
      </c>
      <c r="Q1889" s="116">
        <v>949.65</v>
      </c>
      <c r="R1889">
        <v>589390</v>
      </c>
    </row>
    <row r="1890" spans="1:18" x14ac:dyDescent="0.25">
      <c r="A1890" s="170">
        <v>44999</v>
      </c>
      <c r="B1890" s="116">
        <v>978.8</v>
      </c>
      <c r="C1890" s="116">
        <v>901.55</v>
      </c>
      <c r="D1890" s="116">
        <v>901.55</v>
      </c>
      <c r="E1890" s="116">
        <v>949.05</v>
      </c>
      <c r="F1890" s="116">
        <v>901.55</v>
      </c>
      <c r="G1890">
        <v>268910</v>
      </c>
      <c r="H1890" s="116"/>
      <c r="I1890" s="116"/>
      <c r="L1890" s="170">
        <v>44999</v>
      </c>
      <c r="M1890" s="116">
        <v>902.2</v>
      </c>
      <c r="N1890" s="116">
        <v>979.8</v>
      </c>
      <c r="O1890" s="116">
        <v>902.2</v>
      </c>
      <c r="P1890" s="116">
        <v>979.8</v>
      </c>
      <c r="Q1890" s="116">
        <v>902.2</v>
      </c>
      <c r="R1890">
        <v>2540765</v>
      </c>
    </row>
    <row r="1891" spans="1:18" x14ac:dyDescent="0.25">
      <c r="A1891" s="170">
        <v>45000</v>
      </c>
      <c r="B1891" s="116">
        <v>946.6</v>
      </c>
      <c r="C1891" s="116">
        <v>931</v>
      </c>
      <c r="D1891" s="116">
        <v>856.5</v>
      </c>
      <c r="E1891" s="116">
        <v>856.5</v>
      </c>
      <c r="F1891" s="116">
        <v>931</v>
      </c>
      <c r="G1891">
        <v>200074</v>
      </c>
      <c r="H1891" s="116"/>
      <c r="I1891" s="116"/>
      <c r="L1891" s="170">
        <v>45000</v>
      </c>
      <c r="M1891" s="116">
        <v>928.35</v>
      </c>
      <c r="N1891" s="116">
        <v>947.3</v>
      </c>
      <c r="O1891" s="116">
        <v>857.1</v>
      </c>
      <c r="P1891" s="116">
        <v>857.1</v>
      </c>
      <c r="Q1891" s="116">
        <v>928.35</v>
      </c>
      <c r="R1891">
        <v>2706203</v>
      </c>
    </row>
    <row r="1892" spans="1:18" x14ac:dyDescent="0.25">
      <c r="A1892" s="170">
        <v>45001</v>
      </c>
      <c r="B1892" s="116">
        <v>977.55</v>
      </c>
      <c r="C1892" s="116">
        <v>976.05</v>
      </c>
      <c r="D1892" s="116">
        <v>905.85</v>
      </c>
      <c r="E1892" s="116">
        <v>945</v>
      </c>
      <c r="F1892" s="116">
        <v>976.05</v>
      </c>
      <c r="G1892">
        <v>454146</v>
      </c>
      <c r="H1892" s="116"/>
      <c r="I1892" s="116"/>
      <c r="L1892" s="170">
        <v>45001</v>
      </c>
      <c r="M1892" s="116">
        <v>973.7</v>
      </c>
      <c r="N1892" s="116">
        <v>974.75</v>
      </c>
      <c r="O1892" s="116">
        <v>906.25</v>
      </c>
      <c r="P1892" s="116">
        <v>940</v>
      </c>
      <c r="Q1892" s="116">
        <v>973.7</v>
      </c>
      <c r="R1892">
        <v>3151991</v>
      </c>
    </row>
    <row r="1893" spans="1:18" x14ac:dyDescent="0.25">
      <c r="A1893" s="170">
        <v>45002</v>
      </c>
      <c r="B1893" s="116">
        <v>1024.8499999999999</v>
      </c>
      <c r="C1893" s="116">
        <v>1024.8499999999999</v>
      </c>
      <c r="D1893" s="116">
        <v>987.2</v>
      </c>
      <c r="E1893" s="116">
        <v>994</v>
      </c>
      <c r="F1893" s="116">
        <v>1024.8499999999999</v>
      </c>
      <c r="G1893">
        <v>343124</v>
      </c>
      <c r="H1893" s="116"/>
      <c r="I1893" s="116"/>
      <c r="L1893" s="170">
        <v>45002</v>
      </c>
      <c r="M1893" s="116">
        <v>1022.35</v>
      </c>
      <c r="N1893" s="116">
        <v>1022.35</v>
      </c>
      <c r="O1893" s="116">
        <v>988</v>
      </c>
      <c r="P1893" s="116">
        <v>994.3</v>
      </c>
      <c r="Q1893" s="116">
        <v>1022.35</v>
      </c>
      <c r="R1893">
        <v>2455413</v>
      </c>
    </row>
    <row r="1894" spans="1:18" x14ac:dyDescent="0.25">
      <c r="A1894" s="170">
        <v>45005</v>
      </c>
      <c r="B1894" s="116">
        <v>1053.75</v>
      </c>
      <c r="C1894" s="116">
        <v>1009.6</v>
      </c>
      <c r="D1894" s="116">
        <v>973.65</v>
      </c>
      <c r="E1894" s="116">
        <v>990</v>
      </c>
      <c r="F1894" s="116">
        <v>1009.6</v>
      </c>
      <c r="G1894">
        <v>326376</v>
      </c>
      <c r="H1894" s="116"/>
      <c r="I1894" s="116"/>
      <c r="L1894" s="170">
        <v>45005</v>
      </c>
      <c r="M1894" s="116">
        <v>1009.1</v>
      </c>
      <c r="N1894" s="116">
        <v>1054.3</v>
      </c>
      <c r="O1894" s="116">
        <v>971.25</v>
      </c>
      <c r="P1894" s="116">
        <v>986.1</v>
      </c>
      <c r="Q1894" s="116">
        <v>1009.1</v>
      </c>
      <c r="R1894">
        <v>2491229</v>
      </c>
    </row>
    <row r="1895" spans="1:18" x14ac:dyDescent="0.25">
      <c r="A1895" s="170">
        <v>45006</v>
      </c>
      <c r="B1895" s="116">
        <v>1036</v>
      </c>
      <c r="C1895" s="116">
        <v>1006.55</v>
      </c>
      <c r="D1895" s="116">
        <v>973</v>
      </c>
      <c r="E1895" s="116">
        <v>1022</v>
      </c>
      <c r="F1895" s="116">
        <v>1006.55</v>
      </c>
      <c r="G1895">
        <v>204827</v>
      </c>
      <c r="H1895" s="116"/>
      <c r="I1895" s="116"/>
      <c r="L1895" s="170">
        <v>45006</v>
      </c>
      <c r="M1895" s="116">
        <v>1006.1</v>
      </c>
      <c r="N1895" s="116">
        <v>1037.7</v>
      </c>
      <c r="O1895" s="116">
        <v>972.3</v>
      </c>
      <c r="P1895" s="116">
        <v>1019.95</v>
      </c>
      <c r="Q1895" s="116">
        <v>1006.1</v>
      </c>
      <c r="R1895">
        <v>2265181</v>
      </c>
    </row>
    <row r="1896" spans="1:18" x14ac:dyDescent="0.25">
      <c r="A1896" s="170">
        <v>45007</v>
      </c>
      <c r="B1896" s="116">
        <v>1044.8499999999999</v>
      </c>
      <c r="C1896" s="116">
        <v>1032.6500000000001</v>
      </c>
      <c r="D1896" s="116">
        <v>1000.65</v>
      </c>
      <c r="E1896" s="116">
        <v>1008.05</v>
      </c>
      <c r="F1896" s="116">
        <v>1032.6500000000001</v>
      </c>
      <c r="G1896">
        <v>233953</v>
      </c>
      <c r="H1896" s="116"/>
      <c r="I1896" s="116"/>
      <c r="L1896" s="170">
        <v>45007</v>
      </c>
      <c r="M1896" s="116">
        <v>1032.8</v>
      </c>
      <c r="N1896" s="116">
        <v>1044</v>
      </c>
      <c r="O1896" s="116">
        <v>1011.3</v>
      </c>
      <c r="P1896" s="116">
        <v>1014</v>
      </c>
      <c r="Q1896" s="116">
        <v>1032.8</v>
      </c>
      <c r="R1896">
        <v>1714719</v>
      </c>
    </row>
    <row r="1897" spans="1:18" x14ac:dyDescent="0.25">
      <c r="A1897" s="170">
        <v>45008</v>
      </c>
      <c r="B1897" s="116">
        <v>1084.25</v>
      </c>
      <c r="C1897" s="116">
        <v>1084.25</v>
      </c>
      <c r="D1897" s="116">
        <v>1024.5999999999999</v>
      </c>
      <c r="E1897" s="116">
        <v>1036.05</v>
      </c>
      <c r="F1897" s="116">
        <v>1084.25</v>
      </c>
      <c r="G1897">
        <v>99677</v>
      </c>
      <c r="H1897" s="116"/>
      <c r="I1897" s="116"/>
      <c r="L1897" s="170">
        <v>45008</v>
      </c>
      <c r="M1897" s="116">
        <v>1084.4000000000001</v>
      </c>
      <c r="N1897" s="116">
        <v>1084.4000000000001</v>
      </c>
      <c r="O1897" s="116">
        <v>1022.1</v>
      </c>
      <c r="P1897" s="116">
        <v>1038</v>
      </c>
      <c r="Q1897" s="116">
        <v>1084.4000000000001</v>
      </c>
      <c r="R1897">
        <v>1814692</v>
      </c>
    </row>
    <row r="1898" spans="1:18" x14ac:dyDescent="0.25">
      <c r="A1898" s="170">
        <v>45009</v>
      </c>
      <c r="B1898" s="116">
        <v>1138.45</v>
      </c>
      <c r="C1898" s="116">
        <v>1125.25</v>
      </c>
      <c r="D1898" s="116">
        <v>1042.45</v>
      </c>
      <c r="E1898" s="116">
        <v>1110</v>
      </c>
      <c r="F1898" s="116">
        <v>1125.25</v>
      </c>
      <c r="G1898">
        <v>310180</v>
      </c>
      <c r="H1898" s="116"/>
      <c r="I1898" s="116"/>
      <c r="L1898" s="170">
        <v>45009</v>
      </c>
      <c r="M1898" s="116">
        <v>1124.55</v>
      </c>
      <c r="N1898" s="116">
        <v>1138.5999999999999</v>
      </c>
      <c r="O1898" s="116">
        <v>1042.3</v>
      </c>
      <c r="P1898" s="116">
        <v>1107</v>
      </c>
      <c r="Q1898" s="116">
        <v>1124.55</v>
      </c>
      <c r="R1898">
        <v>3875691</v>
      </c>
    </row>
    <row r="1899" spans="1:18" x14ac:dyDescent="0.25">
      <c r="A1899" s="170">
        <v>45012</v>
      </c>
      <c r="B1899" s="116">
        <v>1168.3499999999999</v>
      </c>
      <c r="C1899" s="116">
        <v>1069.2</v>
      </c>
      <c r="D1899" s="116">
        <v>1069</v>
      </c>
      <c r="E1899" s="116">
        <v>1150.4000000000001</v>
      </c>
      <c r="F1899" s="116">
        <v>1069.2</v>
      </c>
      <c r="G1899">
        <v>371369</v>
      </c>
      <c r="H1899" s="116"/>
      <c r="I1899" s="116"/>
      <c r="L1899" s="170">
        <v>45012</v>
      </c>
      <c r="M1899" s="116">
        <v>1068.4000000000001</v>
      </c>
      <c r="N1899" s="116">
        <v>1168.3</v>
      </c>
      <c r="O1899" s="116">
        <v>1068.3499999999999</v>
      </c>
      <c r="P1899" s="116">
        <v>1150</v>
      </c>
      <c r="Q1899" s="116">
        <v>1068.4000000000001</v>
      </c>
      <c r="R1899">
        <v>1910352</v>
      </c>
    </row>
    <row r="1900" spans="1:18" x14ac:dyDescent="0.25">
      <c r="A1900" s="170">
        <v>45013</v>
      </c>
      <c r="B1900" s="116">
        <v>1032.8499999999999</v>
      </c>
      <c r="C1900" s="116">
        <v>1015.75</v>
      </c>
      <c r="D1900" s="116">
        <v>1015.75</v>
      </c>
      <c r="E1900" s="116">
        <v>1025</v>
      </c>
      <c r="F1900" s="116">
        <v>1015.75</v>
      </c>
      <c r="G1900">
        <v>50589</v>
      </c>
      <c r="H1900" s="116"/>
      <c r="I1900" s="116"/>
      <c r="L1900" s="170">
        <v>45013</v>
      </c>
      <c r="M1900" s="116">
        <v>1015</v>
      </c>
      <c r="N1900" s="116">
        <v>1033.5</v>
      </c>
      <c r="O1900" s="116">
        <v>1015</v>
      </c>
      <c r="P1900" s="116">
        <v>1025</v>
      </c>
      <c r="Q1900" s="116">
        <v>1015</v>
      </c>
      <c r="R1900">
        <v>265756</v>
      </c>
    </row>
    <row r="1901" spans="1:18" x14ac:dyDescent="0.25">
      <c r="A1901" s="170">
        <v>45014</v>
      </c>
      <c r="B1901" s="116">
        <v>1045</v>
      </c>
      <c r="C1901" s="116">
        <v>1002.25</v>
      </c>
      <c r="D1901" s="116">
        <v>965</v>
      </c>
      <c r="E1901" s="116">
        <v>965</v>
      </c>
      <c r="F1901" s="116">
        <v>1002.25</v>
      </c>
      <c r="G1901">
        <v>491850</v>
      </c>
      <c r="H1901" s="116"/>
      <c r="I1901" s="116"/>
      <c r="L1901" s="170">
        <v>45014</v>
      </c>
      <c r="M1901" s="116">
        <v>1003.45</v>
      </c>
      <c r="N1901" s="116">
        <v>1045</v>
      </c>
      <c r="O1901" s="116">
        <v>964.25</v>
      </c>
      <c r="P1901" s="116">
        <v>964.25</v>
      </c>
      <c r="Q1901" s="116">
        <v>1003.45</v>
      </c>
      <c r="R1901">
        <v>3344811</v>
      </c>
    </row>
    <row r="1902" spans="1:18" x14ac:dyDescent="0.25">
      <c r="A1902" s="170">
        <v>45016</v>
      </c>
      <c r="B1902" s="116">
        <v>1044</v>
      </c>
      <c r="C1902" s="116">
        <v>997.9</v>
      </c>
      <c r="D1902" s="116">
        <v>974.4</v>
      </c>
      <c r="E1902" s="116">
        <v>1019.95</v>
      </c>
      <c r="F1902" s="116">
        <v>997.9</v>
      </c>
      <c r="G1902">
        <v>73020</v>
      </c>
      <c r="H1902" s="116"/>
      <c r="I1902" s="116"/>
      <c r="L1902" s="170">
        <v>45016</v>
      </c>
      <c r="M1902" s="116">
        <v>993.05</v>
      </c>
      <c r="N1902" s="116">
        <v>1044</v>
      </c>
      <c r="O1902" s="116">
        <v>974.2</v>
      </c>
      <c r="P1902" s="116">
        <v>1018.3</v>
      </c>
      <c r="Q1902" s="116">
        <v>993.05</v>
      </c>
      <c r="R1902">
        <v>1096793</v>
      </c>
    </row>
    <row r="1903" spans="1:18" x14ac:dyDescent="0.25">
      <c r="A1903" s="170">
        <v>45019</v>
      </c>
      <c r="B1903" s="116">
        <v>1009</v>
      </c>
      <c r="C1903" s="116">
        <v>948.05</v>
      </c>
      <c r="D1903" s="116">
        <v>948.05</v>
      </c>
      <c r="E1903" s="116">
        <v>993.05</v>
      </c>
      <c r="F1903" s="116">
        <v>948.05</v>
      </c>
      <c r="G1903">
        <v>125749</v>
      </c>
      <c r="H1903" s="116"/>
      <c r="I1903" s="116"/>
      <c r="L1903" s="170">
        <v>45019</v>
      </c>
      <c r="M1903" s="116">
        <v>943.4</v>
      </c>
      <c r="N1903" s="116">
        <v>1008.7</v>
      </c>
      <c r="O1903" s="116">
        <v>943.4</v>
      </c>
      <c r="P1903" s="116">
        <v>997</v>
      </c>
      <c r="Q1903" s="116">
        <v>943.4</v>
      </c>
      <c r="R1903">
        <v>818446</v>
      </c>
    </row>
    <row r="1904" spans="1:18" x14ac:dyDescent="0.25">
      <c r="A1904" s="170">
        <v>45021</v>
      </c>
      <c r="B1904" s="116">
        <v>952</v>
      </c>
      <c r="C1904" s="116">
        <v>910.65</v>
      </c>
      <c r="D1904" s="116">
        <v>900.65</v>
      </c>
      <c r="E1904" s="116">
        <v>913</v>
      </c>
      <c r="F1904" s="116">
        <v>910.65</v>
      </c>
      <c r="G1904">
        <v>188186</v>
      </c>
      <c r="H1904" s="116"/>
      <c r="I1904" s="116"/>
      <c r="L1904" s="170">
        <v>45021</v>
      </c>
      <c r="M1904" s="116">
        <v>907.85</v>
      </c>
      <c r="N1904" s="116">
        <v>952</v>
      </c>
      <c r="O1904" s="116">
        <v>896.25</v>
      </c>
      <c r="P1904" s="116">
        <v>915</v>
      </c>
      <c r="Q1904" s="116">
        <v>907.85</v>
      </c>
      <c r="R1904">
        <v>1123682</v>
      </c>
    </row>
    <row r="1905" spans="1:18" x14ac:dyDescent="0.25">
      <c r="A1905" s="170">
        <v>45022</v>
      </c>
      <c r="B1905" s="116">
        <v>956.15</v>
      </c>
      <c r="C1905" s="116">
        <v>956.15</v>
      </c>
      <c r="D1905" s="116">
        <v>896.75</v>
      </c>
      <c r="E1905" s="116">
        <v>930</v>
      </c>
      <c r="F1905" s="116">
        <v>956.15</v>
      </c>
      <c r="G1905">
        <v>113031</v>
      </c>
      <c r="H1905" s="116"/>
      <c r="I1905" s="116"/>
      <c r="L1905" s="170">
        <v>45022</v>
      </c>
      <c r="M1905" s="116">
        <v>953.2</v>
      </c>
      <c r="N1905" s="116">
        <v>953.2</v>
      </c>
      <c r="O1905" s="116">
        <v>896.25</v>
      </c>
      <c r="P1905" s="116">
        <v>933</v>
      </c>
      <c r="Q1905" s="116">
        <v>953.2</v>
      </c>
      <c r="R1905">
        <v>797149</v>
      </c>
    </row>
    <row r="1906" spans="1:18" x14ac:dyDescent="0.25">
      <c r="A1906" s="170">
        <v>45026</v>
      </c>
      <c r="B1906" s="116">
        <v>1003.95</v>
      </c>
      <c r="C1906" s="116">
        <v>1003.95</v>
      </c>
      <c r="D1906" s="116">
        <v>983.7</v>
      </c>
      <c r="E1906" s="116">
        <v>984</v>
      </c>
      <c r="F1906" s="116">
        <v>1003.95</v>
      </c>
      <c r="G1906">
        <v>211782</v>
      </c>
      <c r="H1906" s="116"/>
      <c r="I1906" s="116"/>
      <c r="L1906" s="170">
        <v>45026</v>
      </c>
      <c r="M1906" s="116">
        <v>1000.85</v>
      </c>
      <c r="N1906" s="116">
        <v>1000.85</v>
      </c>
      <c r="O1906" s="116">
        <v>983.95</v>
      </c>
      <c r="P1906" s="116">
        <v>984</v>
      </c>
      <c r="Q1906" s="116">
        <v>1000.85</v>
      </c>
      <c r="R1906">
        <v>1048207</v>
      </c>
    </row>
    <row r="1907" spans="1:18" x14ac:dyDescent="0.25">
      <c r="A1907" s="170">
        <v>45027</v>
      </c>
      <c r="B1907" s="116">
        <v>1054.0999999999999</v>
      </c>
      <c r="C1907" s="116">
        <v>1054.0999999999999</v>
      </c>
      <c r="D1907" s="116">
        <v>1028.95</v>
      </c>
      <c r="E1907" s="116">
        <v>1043</v>
      </c>
      <c r="F1907" s="116">
        <v>1054.0999999999999</v>
      </c>
      <c r="G1907">
        <v>58059</v>
      </c>
      <c r="H1907" s="116"/>
      <c r="I1907" s="116"/>
      <c r="L1907" s="170">
        <v>45027</v>
      </c>
      <c r="M1907" s="116">
        <v>1050.8499999999999</v>
      </c>
      <c r="N1907" s="116">
        <v>1050.8499999999999</v>
      </c>
      <c r="O1907" s="116">
        <v>1029.8499999999999</v>
      </c>
      <c r="P1907" s="116">
        <v>1032.9000000000001</v>
      </c>
      <c r="Q1907" s="116">
        <v>1050.8499999999999</v>
      </c>
      <c r="R1907">
        <v>409783</v>
      </c>
    </row>
    <row r="1908" spans="1:18" x14ac:dyDescent="0.25">
      <c r="A1908" s="170">
        <v>45028</v>
      </c>
      <c r="B1908" s="116">
        <v>1098.75</v>
      </c>
      <c r="C1908" s="116">
        <v>1042.75</v>
      </c>
      <c r="D1908" s="116">
        <v>1014.05</v>
      </c>
      <c r="E1908" s="116">
        <v>1089.9000000000001</v>
      </c>
      <c r="F1908" s="116">
        <v>1042.75</v>
      </c>
      <c r="G1908">
        <v>338226</v>
      </c>
      <c r="H1908" s="116"/>
      <c r="I1908" s="116"/>
      <c r="L1908" s="170">
        <v>45028</v>
      </c>
      <c r="M1908" s="116">
        <v>1043.45</v>
      </c>
      <c r="N1908" s="116">
        <v>1099</v>
      </c>
      <c r="O1908" s="116">
        <v>1015</v>
      </c>
      <c r="P1908" s="116">
        <v>1097</v>
      </c>
      <c r="Q1908" s="116">
        <v>1043.45</v>
      </c>
      <c r="R1908">
        <v>2431677</v>
      </c>
    </row>
    <row r="1909" spans="1:18" x14ac:dyDescent="0.25">
      <c r="A1909" s="170">
        <v>45029</v>
      </c>
      <c r="B1909" s="116">
        <v>1055.3499999999999</v>
      </c>
      <c r="C1909" s="116">
        <v>1031.6500000000001</v>
      </c>
      <c r="D1909" s="116">
        <v>1015.2</v>
      </c>
      <c r="E1909" s="116">
        <v>1037</v>
      </c>
      <c r="F1909" s="116">
        <v>1031.6500000000001</v>
      </c>
      <c r="G1909">
        <v>46519</v>
      </c>
      <c r="H1909" s="116"/>
      <c r="I1909" s="116"/>
      <c r="L1909" s="170">
        <v>45029</v>
      </c>
      <c r="M1909" s="116">
        <v>1030.8499999999999</v>
      </c>
      <c r="N1909" s="116">
        <v>1055.95</v>
      </c>
      <c r="O1909" s="116">
        <v>1015.05</v>
      </c>
      <c r="P1909" s="116">
        <v>1040</v>
      </c>
      <c r="Q1909" s="116">
        <v>1030.8499999999999</v>
      </c>
      <c r="R1909">
        <v>773311</v>
      </c>
    </row>
    <row r="1910" spans="1:18" x14ac:dyDescent="0.25">
      <c r="A1910" s="170">
        <v>45033</v>
      </c>
      <c r="B1910" s="116">
        <v>1049.3499999999999</v>
      </c>
      <c r="C1910" s="116">
        <v>1039.3</v>
      </c>
      <c r="D1910" s="116">
        <v>1012.45</v>
      </c>
      <c r="E1910" s="116">
        <v>1040</v>
      </c>
      <c r="F1910" s="116">
        <v>1039.3</v>
      </c>
      <c r="G1910">
        <v>89743</v>
      </c>
      <c r="H1910" s="116"/>
      <c r="I1910" s="116"/>
      <c r="L1910" s="170">
        <v>45033</v>
      </c>
      <c r="M1910" s="116">
        <v>1039.5</v>
      </c>
      <c r="N1910" s="116">
        <v>1049.55</v>
      </c>
      <c r="O1910" s="116">
        <v>1011.3</v>
      </c>
      <c r="P1910" s="116">
        <v>1043.8499999999999</v>
      </c>
      <c r="Q1910" s="116">
        <v>1039.5</v>
      </c>
      <c r="R1910">
        <v>581250</v>
      </c>
    </row>
    <row r="1911" spans="1:18" x14ac:dyDescent="0.25">
      <c r="A1911" s="170">
        <v>45034</v>
      </c>
      <c r="B1911" s="116">
        <v>1057.25</v>
      </c>
      <c r="C1911" s="116">
        <v>1032.1500000000001</v>
      </c>
      <c r="D1911" s="116">
        <v>1028</v>
      </c>
      <c r="E1911" s="116">
        <v>1032.05</v>
      </c>
      <c r="F1911" s="116">
        <v>1032.1500000000001</v>
      </c>
      <c r="G1911">
        <v>24604</v>
      </c>
      <c r="H1911" s="116"/>
      <c r="I1911" s="116"/>
      <c r="L1911" s="170">
        <v>45034</v>
      </c>
      <c r="M1911" s="116">
        <v>1032.05</v>
      </c>
      <c r="N1911" s="116">
        <v>1057</v>
      </c>
      <c r="O1911" s="116">
        <v>1027</v>
      </c>
      <c r="P1911" s="116">
        <v>1047.25</v>
      </c>
      <c r="Q1911" s="116">
        <v>1032.05</v>
      </c>
      <c r="R1911">
        <v>372989</v>
      </c>
    </row>
    <row r="1912" spans="1:18" x14ac:dyDescent="0.25">
      <c r="A1912" s="170">
        <v>45035</v>
      </c>
      <c r="B1912" s="116">
        <v>1035.2</v>
      </c>
      <c r="C1912" s="116">
        <v>1017.55</v>
      </c>
      <c r="D1912" s="116">
        <v>1004</v>
      </c>
      <c r="E1912" s="116">
        <v>1034.05</v>
      </c>
      <c r="F1912" s="116">
        <v>1017.55</v>
      </c>
      <c r="G1912">
        <v>66592</v>
      </c>
      <c r="H1912" s="116"/>
      <c r="I1912" s="116"/>
      <c r="L1912" s="170">
        <v>45035</v>
      </c>
      <c r="M1912" s="116">
        <v>1017.7</v>
      </c>
      <c r="N1912" s="116">
        <v>1038.75</v>
      </c>
      <c r="O1912" s="116">
        <v>1005</v>
      </c>
      <c r="P1912" s="116">
        <v>1038.75</v>
      </c>
      <c r="Q1912" s="116">
        <v>1017.7</v>
      </c>
      <c r="R1912">
        <v>320995</v>
      </c>
    </row>
    <row r="1913" spans="1:18" x14ac:dyDescent="0.25">
      <c r="A1913" s="170">
        <v>45036</v>
      </c>
      <c r="B1913" s="116">
        <v>1024.75</v>
      </c>
      <c r="C1913" s="116">
        <v>1011.9</v>
      </c>
      <c r="D1913" s="116">
        <v>1007.05</v>
      </c>
      <c r="E1913" s="116">
        <v>1016.05</v>
      </c>
      <c r="F1913" s="116">
        <v>1011.9</v>
      </c>
      <c r="G1913">
        <v>20570</v>
      </c>
      <c r="H1913" s="116"/>
      <c r="I1913" s="116"/>
      <c r="L1913" s="170">
        <v>45036</v>
      </c>
      <c r="M1913" s="116">
        <v>1011.1</v>
      </c>
      <c r="N1913" s="116">
        <v>1025</v>
      </c>
      <c r="O1913" s="116">
        <v>1007.05</v>
      </c>
      <c r="P1913" s="116">
        <v>1020</v>
      </c>
      <c r="Q1913" s="116">
        <v>1011.1</v>
      </c>
      <c r="R1913">
        <v>296621</v>
      </c>
    </row>
    <row r="1914" spans="1:18" x14ac:dyDescent="0.25">
      <c r="A1914" s="170">
        <v>45037</v>
      </c>
      <c r="B1914" s="116">
        <v>1015</v>
      </c>
      <c r="C1914" s="116">
        <v>994.95</v>
      </c>
      <c r="D1914" s="116">
        <v>985</v>
      </c>
      <c r="E1914" s="116">
        <v>1011</v>
      </c>
      <c r="F1914" s="116">
        <v>994.95</v>
      </c>
      <c r="G1914">
        <v>53708</v>
      </c>
      <c r="H1914" s="116"/>
      <c r="I1914" s="116"/>
      <c r="L1914" s="170">
        <v>45037</v>
      </c>
      <c r="M1914" s="116">
        <v>994.9</v>
      </c>
      <c r="N1914" s="116">
        <v>1016.8</v>
      </c>
      <c r="O1914" s="116">
        <v>985.1</v>
      </c>
      <c r="P1914" s="116">
        <v>1012.5</v>
      </c>
      <c r="Q1914" s="116">
        <v>994.9</v>
      </c>
      <c r="R1914">
        <v>253759</v>
      </c>
    </row>
    <row r="1915" spans="1:18" x14ac:dyDescent="0.25">
      <c r="A1915" s="170">
        <v>45040</v>
      </c>
      <c r="B1915" s="116">
        <v>998.95</v>
      </c>
      <c r="C1915" s="116">
        <v>965.3</v>
      </c>
      <c r="D1915" s="116">
        <v>960.25</v>
      </c>
      <c r="E1915" s="116">
        <v>995</v>
      </c>
      <c r="F1915" s="116">
        <v>965.3</v>
      </c>
      <c r="G1915">
        <v>63247</v>
      </c>
      <c r="H1915" s="116"/>
      <c r="I1915" s="116"/>
      <c r="L1915" s="170">
        <v>45040</v>
      </c>
      <c r="M1915" s="116">
        <v>965.1</v>
      </c>
      <c r="N1915" s="116">
        <v>999</v>
      </c>
      <c r="O1915" s="116">
        <v>960.4</v>
      </c>
      <c r="P1915" s="116">
        <v>998.95</v>
      </c>
      <c r="Q1915" s="116">
        <v>965.1</v>
      </c>
      <c r="R1915">
        <v>290276</v>
      </c>
    </row>
    <row r="1916" spans="1:18" x14ac:dyDescent="0.25">
      <c r="A1916" s="170">
        <v>45041</v>
      </c>
      <c r="B1916" s="116">
        <v>1013.55</v>
      </c>
      <c r="C1916" s="116">
        <v>1012.5</v>
      </c>
      <c r="D1916" s="116">
        <v>964.65</v>
      </c>
      <c r="E1916" s="116">
        <v>969.9</v>
      </c>
      <c r="F1916" s="116">
        <v>1012.5</v>
      </c>
      <c r="G1916">
        <v>81800</v>
      </c>
      <c r="H1916" s="116"/>
      <c r="I1916" s="116"/>
      <c r="L1916" s="170">
        <v>45041</v>
      </c>
      <c r="M1916" s="116">
        <v>1012.95</v>
      </c>
      <c r="N1916" s="116">
        <v>1013.35</v>
      </c>
      <c r="O1916" s="116">
        <v>965.2</v>
      </c>
      <c r="P1916" s="116">
        <v>969</v>
      </c>
      <c r="Q1916" s="116">
        <v>1012.95</v>
      </c>
      <c r="R1916">
        <v>742228</v>
      </c>
    </row>
    <row r="1917" spans="1:18" x14ac:dyDescent="0.25">
      <c r="A1917" s="170">
        <v>45042</v>
      </c>
      <c r="B1917" s="116">
        <v>1020</v>
      </c>
      <c r="C1917" s="116">
        <v>987.3</v>
      </c>
      <c r="D1917" s="116">
        <v>985.2</v>
      </c>
      <c r="E1917" s="116">
        <v>1010</v>
      </c>
      <c r="F1917" s="116">
        <v>987.3</v>
      </c>
      <c r="G1917">
        <v>36112</v>
      </c>
      <c r="H1917" s="116"/>
      <c r="I1917" s="116"/>
      <c r="L1917" s="170">
        <v>45042</v>
      </c>
      <c r="M1917" s="116">
        <v>987.8</v>
      </c>
      <c r="N1917" s="116">
        <v>1021.2</v>
      </c>
      <c r="O1917" s="116">
        <v>985</v>
      </c>
      <c r="P1917" s="116">
        <v>1012</v>
      </c>
      <c r="Q1917" s="116">
        <v>987.8</v>
      </c>
      <c r="R1917">
        <v>528831</v>
      </c>
    </row>
    <row r="1918" spans="1:18" x14ac:dyDescent="0.25">
      <c r="A1918" s="170">
        <v>45043</v>
      </c>
      <c r="B1918" s="116">
        <v>996</v>
      </c>
      <c r="C1918" s="116">
        <v>981.65</v>
      </c>
      <c r="D1918" s="116">
        <v>975</v>
      </c>
      <c r="E1918" s="116">
        <v>988</v>
      </c>
      <c r="F1918" s="116">
        <v>981.65</v>
      </c>
      <c r="G1918">
        <v>16187</v>
      </c>
      <c r="H1918" s="116"/>
      <c r="I1918" s="116"/>
      <c r="L1918" s="170">
        <v>45043</v>
      </c>
      <c r="M1918" s="116">
        <v>982.3</v>
      </c>
      <c r="N1918" s="116">
        <v>997.7</v>
      </c>
      <c r="O1918" s="116">
        <v>975.05</v>
      </c>
      <c r="P1918" s="116">
        <v>989.85</v>
      </c>
      <c r="Q1918" s="116">
        <v>982.3</v>
      </c>
      <c r="R1918">
        <v>236845</v>
      </c>
    </row>
    <row r="1919" spans="1:18" x14ac:dyDescent="0.25">
      <c r="A1919" s="170">
        <v>45044</v>
      </c>
      <c r="B1919" s="116">
        <v>1030.7</v>
      </c>
      <c r="C1919" s="116">
        <v>1027.3499999999999</v>
      </c>
      <c r="D1919" s="116">
        <v>988.05</v>
      </c>
      <c r="E1919" s="116">
        <v>992</v>
      </c>
      <c r="F1919" s="116">
        <v>1027.3499999999999</v>
      </c>
      <c r="G1919">
        <v>46837</v>
      </c>
      <c r="H1919" s="116"/>
      <c r="I1919" s="116"/>
      <c r="L1919" s="170">
        <v>45044</v>
      </c>
      <c r="M1919" s="116">
        <v>1029.45</v>
      </c>
      <c r="N1919" s="116">
        <v>1031.4000000000001</v>
      </c>
      <c r="O1919" s="116">
        <v>987.1</v>
      </c>
      <c r="P1919" s="116">
        <v>995</v>
      </c>
      <c r="Q1919" s="116">
        <v>1029.45</v>
      </c>
      <c r="R1919">
        <v>914154</v>
      </c>
    </row>
    <row r="1920" spans="1:18" x14ac:dyDescent="0.25">
      <c r="A1920" s="170">
        <v>45048</v>
      </c>
      <c r="B1920" s="116">
        <v>1077.3</v>
      </c>
      <c r="C1920" s="116">
        <v>1021.55</v>
      </c>
      <c r="D1920" s="116">
        <v>1017.35</v>
      </c>
      <c r="E1920" s="116">
        <v>1029</v>
      </c>
      <c r="F1920" s="116">
        <v>1021.55</v>
      </c>
      <c r="G1920">
        <v>72341</v>
      </c>
      <c r="H1920" s="116"/>
      <c r="I1920" s="116"/>
      <c r="L1920" s="170">
        <v>45048</v>
      </c>
      <c r="M1920" s="116">
        <v>1021.95</v>
      </c>
      <c r="N1920" s="116">
        <v>1077.7</v>
      </c>
      <c r="O1920" s="116">
        <v>1015</v>
      </c>
      <c r="P1920" s="116">
        <v>1022</v>
      </c>
      <c r="Q1920" s="116">
        <v>1021.95</v>
      </c>
      <c r="R1920">
        <v>1329916</v>
      </c>
    </row>
    <row r="1921" spans="1:18" x14ac:dyDescent="0.25">
      <c r="A1921" s="170">
        <v>45049</v>
      </c>
      <c r="B1921" s="116">
        <v>1035</v>
      </c>
      <c r="C1921" s="116">
        <v>993.4</v>
      </c>
      <c r="D1921" s="116">
        <v>985</v>
      </c>
      <c r="E1921" s="116">
        <v>1010.1</v>
      </c>
      <c r="F1921" s="116">
        <v>993.4</v>
      </c>
      <c r="G1921">
        <v>30321</v>
      </c>
      <c r="H1921" s="116"/>
      <c r="I1921" s="116"/>
      <c r="L1921" s="170">
        <v>45049</v>
      </c>
      <c r="M1921" s="116">
        <v>993.05</v>
      </c>
      <c r="N1921" s="116">
        <v>1036</v>
      </c>
      <c r="O1921" s="116">
        <v>984</v>
      </c>
      <c r="P1921" s="116">
        <v>1023</v>
      </c>
      <c r="Q1921" s="116">
        <v>993.05</v>
      </c>
      <c r="R1921">
        <v>694882</v>
      </c>
    </row>
    <row r="1922" spans="1:18" x14ac:dyDescent="0.25">
      <c r="A1922" s="170">
        <v>45050</v>
      </c>
      <c r="B1922" s="116">
        <v>1025</v>
      </c>
      <c r="C1922" s="116">
        <v>1013.35</v>
      </c>
      <c r="D1922" s="116">
        <v>985.55</v>
      </c>
      <c r="E1922" s="116">
        <v>988.1</v>
      </c>
      <c r="F1922" s="116">
        <v>1013.35</v>
      </c>
      <c r="G1922">
        <v>46529</v>
      </c>
      <c r="H1922" s="116"/>
      <c r="I1922" s="116"/>
      <c r="L1922" s="170">
        <v>45050</v>
      </c>
      <c r="M1922" s="116">
        <v>1011.55</v>
      </c>
      <c r="N1922" s="116">
        <v>1025.3499999999999</v>
      </c>
      <c r="O1922" s="116">
        <v>990</v>
      </c>
      <c r="P1922" s="116">
        <v>993.05</v>
      </c>
      <c r="Q1922" s="116">
        <v>1011.55</v>
      </c>
      <c r="R1922">
        <v>247361</v>
      </c>
    </row>
    <row r="1923" spans="1:18" x14ac:dyDescent="0.25">
      <c r="A1923" s="170">
        <v>45051</v>
      </c>
      <c r="B1923" s="116">
        <v>1028</v>
      </c>
      <c r="C1923" s="116">
        <v>999.25</v>
      </c>
      <c r="D1923" s="116">
        <v>997.9</v>
      </c>
      <c r="E1923" s="116">
        <v>1025.3499999999999</v>
      </c>
      <c r="F1923" s="116">
        <v>999.25</v>
      </c>
      <c r="G1923">
        <v>49438</v>
      </c>
      <c r="H1923" s="116"/>
      <c r="I1923" s="116"/>
      <c r="L1923" s="170">
        <v>45051</v>
      </c>
      <c r="M1923" s="116">
        <v>999</v>
      </c>
      <c r="N1923" s="116">
        <v>1030</v>
      </c>
      <c r="O1923" s="116">
        <v>997.6</v>
      </c>
      <c r="P1923" s="116">
        <v>1028.7</v>
      </c>
      <c r="Q1923" s="116">
        <v>999</v>
      </c>
      <c r="R1923">
        <v>267732</v>
      </c>
    </row>
    <row r="1924" spans="1:18" x14ac:dyDescent="0.25">
      <c r="A1924" s="170">
        <v>45054</v>
      </c>
      <c r="B1924" s="116">
        <v>949.3</v>
      </c>
      <c r="C1924" s="116">
        <v>949.3</v>
      </c>
      <c r="D1924" s="116">
        <v>949.3</v>
      </c>
      <c r="E1924" s="116">
        <v>949.3</v>
      </c>
      <c r="F1924" s="116">
        <v>949.3</v>
      </c>
      <c r="G1924">
        <v>36509</v>
      </c>
      <c r="H1924" s="116"/>
      <c r="I1924" s="116"/>
      <c r="L1924" s="170">
        <v>45054</v>
      </c>
      <c r="M1924" s="116">
        <v>949.05</v>
      </c>
      <c r="N1924" s="116">
        <v>949.05</v>
      </c>
      <c r="O1924" s="116">
        <v>949.05</v>
      </c>
      <c r="P1924" s="116">
        <v>949.05</v>
      </c>
      <c r="Q1924" s="116">
        <v>949.05</v>
      </c>
      <c r="R1924">
        <v>574862</v>
      </c>
    </row>
    <row r="1925" spans="1:18" x14ac:dyDescent="0.25">
      <c r="A1925" s="170">
        <v>45055</v>
      </c>
      <c r="B1925" s="116">
        <v>936.5</v>
      </c>
      <c r="C1925" s="116">
        <v>901.85</v>
      </c>
      <c r="D1925" s="116">
        <v>901.85</v>
      </c>
      <c r="E1925" s="116">
        <v>901.85</v>
      </c>
      <c r="F1925" s="116">
        <v>901.85</v>
      </c>
      <c r="G1925">
        <v>233270</v>
      </c>
      <c r="H1925" s="116"/>
      <c r="I1925" s="116"/>
      <c r="L1925" s="170">
        <v>45055</v>
      </c>
      <c r="M1925" s="116">
        <v>901.6</v>
      </c>
      <c r="N1925" s="116">
        <v>936</v>
      </c>
      <c r="O1925" s="116">
        <v>901.6</v>
      </c>
      <c r="P1925" s="116">
        <v>901.6</v>
      </c>
      <c r="Q1925" s="116">
        <v>901.6</v>
      </c>
      <c r="R1925">
        <v>2595054</v>
      </c>
    </row>
    <row r="1926" spans="1:18" x14ac:dyDescent="0.25">
      <c r="A1926" s="170">
        <v>45056</v>
      </c>
      <c r="B1926" s="116">
        <v>908</v>
      </c>
      <c r="C1926" s="116">
        <v>889</v>
      </c>
      <c r="D1926" s="116">
        <v>874.5</v>
      </c>
      <c r="E1926" s="116">
        <v>899.2</v>
      </c>
      <c r="F1926" s="116">
        <v>889</v>
      </c>
      <c r="G1926">
        <v>96021</v>
      </c>
      <c r="H1926" s="116"/>
      <c r="I1926" s="116"/>
      <c r="L1926" s="170">
        <v>45056</v>
      </c>
      <c r="M1926" s="116">
        <v>890.65</v>
      </c>
      <c r="N1926" s="116">
        <v>908</v>
      </c>
      <c r="O1926" s="116">
        <v>870.7</v>
      </c>
      <c r="P1926" s="116">
        <v>899.9</v>
      </c>
      <c r="Q1926" s="116">
        <v>890.65</v>
      </c>
      <c r="R1926">
        <v>825113</v>
      </c>
    </row>
    <row r="1927" spans="1:18" x14ac:dyDescent="0.25">
      <c r="A1927" s="170">
        <v>45057</v>
      </c>
      <c r="B1927" s="116">
        <v>924.3</v>
      </c>
      <c r="C1927" s="116">
        <v>917</v>
      </c>
      <c r="D1927" s="116">
        <v>882.05</v>
      </c>
      <c r="E1927" s="116">
        <v>882.05</v>
      </c>
      <c r="F1927" s="116">
        <v>917</v>
      </c>
      <c r="G1927">
        <v>43534</v>
      </c>
      <c r="H1927" s="116"/>
      <c r="I1927" s="116"/>
      <c r="L1927" s="170">
        <v>45057</v>
      </c>
      <c r="M1927" s="116">
        <v>917.25</v>
      </c>
      <c r="N1927" s="116">
        <v>924.05</v>
      </c>
      <c r="O1927" s="116">
        <v>891.5</v>
      </c>
      <c r="P1927" s="116">
        <v>891.95</v>
      </c>
      <c r="Q1927" s="116">
        <v>917.25</v>
      </c>
      <c r="R1927">
        <v>783286</v>
      </c>
    </row>
    <row r="1928" spans="1:18" x14ac:dyDescent="0.25">
      <c r="A1928" s="170">
        <v>45058</v>
      </c>
      <c r="B1928" s="116">
        <v>900</v>
      </c>
      <c r="C1928" s="116">
        <v>885</v>
      </c>
      <c r="D1928" s="116">
        <v>871.15</v>
      </c>
      <c r="E1928" s="116">
        <v>871.15</v>
      </c>
      <c r="F1928" s="116">
        <v>885</v>
      </c>
      <c r="G1928">
        <v>109725</v>
      </c>
      <c r="H1928" s="116"/>
      <c r="I1928" s="116"/>
      <c r="L1928" s="170">
        <v>45058</v>
      </c>
      <c r="M1928" s="116">
        <v>884.8</v>
      </c>
      <c r="N1928" s="116">
        <v>900</v>
      </c>
      <c r="O1928" s="116">
        <v>871.4</v>
      </c>
      <c r="P1928" s="116">
        <v>871.4</v>
      </c>
      <c r="Q1928" s="116">
        <v>884.8</v>
      </c>
      <c r="R1928">
        <v>2928143</v>
      </c>
    </row>
    <row r="1929" spans="1:18" x14ac:dyDescent="0.25">
      <c r="A1929" s="170">
        <v>45061</v>
      </c>
      <c r="B1929" s="116">
        <v>910</v>
      </c>
      <c r="C1929" s="116">
        <v>840.75</v>
      </c>
      <c r="D1929" s="116">
        <v>840.75</v>
      </c>
      <c r="E1929" s="116">
        <v>895.15</v>
      </c>
      <c r="F1929" s="116">
        <v>840.75</v>
      </c>
      <c r="G1929">
        <v>175222</v>
      </c>
      <c r="H1929" s="116"/>
      <c r="I1929" s="116"/>
      <c r="L1929" s="170">
        <v>45061</v>
      </c>
      <c r="M1929" s="116">
        <v>840.6</v>
      </c>
      <c r="N1929" s="116">
        <v>909</v>
      </c>
      <c r="O1929" s="116">
        <v>840.6</v>
      </c>
      <c r="P1929" s="116">
        <v>900.95</v>
      </c>
      <c r="Q1929" s="116">
        <v>840.6</v>
      </c>
      <c r="R1929">
        <v>1603066</v>
      </c>
    </row>
    <row r="1930" spans="1:18" x14ac:dyDescent="0.25">
      <c r="A1930" s="170">
        <v>45062</v>
      </c>
      <c r="B1930" s="116">
        <v>854.35</v>
      </c>
      <c r="C1930" s="116">
        <v>812.45</v>
      </c>
      <c r="D1930" s="116">
        <v>810</v>
      </c>
      <c r="E1930" s="116">
        <v>811</v>
      </c>
      <c r="F1930" s="116">
        <v>812.45</v>
      </c>
      <c r="G1930">
        <v>170780</v>
      </c>
      <c r="H1930" s="116"/>
      <c r="I1930" s="116"/>
      <c r="L1930" s="170">
        <v>45062</v>
      </c>
      <c r="M1930" s="116">
        <v>812.1</v>
      </c>
      <c r="N1930" s="116">
        <v>854.4</v>
      </c>
      <c r="O1930" s="116">
        <v>810</v>
      </c>
      <c r="P1930" s="116">
        <v>820</v>
      </c>
      <c r="Q1930" s="116">
        <v>812.1</v>
      </c>
      <c r="R1930">
        <v>1616433</v>
      </c>
    </row>
    <row r="1931" spans="1:18" x14ac:dyDescent="0.25">
      <c r="A1931" s="170">
        <v>45063</v>
      </c>
      <c r="B1931" s="116">
        <v>822.6</v>
      </c>
      <c r="C1931" s="116">
        <v>789.85</v>
      </c>
      <c r="D1931" s="116">
        <v>780</v>
      </c>
      <c r="E1931" s="116">
        <v>821</v>
      </c>
      <c r="F1931" s="116">
        <v>789.85</v>
      </c>
      <c r="G1931">
        <v>186071</v>
      </c>
      <c r="H1931" s="116"/>
      <c r="I1931" s="116"/>
      <c r="L1931" s="170">
        <v>45063</v>
      </c>
      <c r="M1931" s="116">
        <v>790</v>
      </c>
      <c r="N1931" s="116">
        <v>824</v>
      </c>
      <c r="O1931" s="116">
        <v>780</v>
      </c>
      <c r="P1931" s="116">
        <v>824</v>
      </c>
      <c r="Q1931" s="116">
        <v>790</v>
      </c>
      <c r="R1931">
        <v>1932226</v>
      </c>
    </row>
    <row r="1932" spans="1:18" x14ac:dyDescent="0.25">
      <c r="A1932" s="170">
        <v>45064</v>
      </c>
      <c r="B1932" s="116">
        <v>794.4</v>
      </c>
      <c r="C1932" s="116">
        <v>751.35</v>
      </c>
      <c r="D1932" s="116">
        <v>750.4</v>
      </c>
      <c r="E1932" s="116">
        <v>785.65</v>
      </c>
      <c r="F1932" s="116">
        <v>751.35</v>
      </c>
      <c r="G1932">
        <v>74227</v>
      </c>
      <c r="H1932" s="116"/>
      <c r="I1932" s="116"/>
      <c r="L1932" s="170">
        <v>45064</v>
      </c>
      <c r="M1932" s="116">
        <v>751.6</v>
      </c>
      <c r="N1932" s="116">
        <v>794.75</v>
      </c>
      <c r="O1932" s="116">
        <v>750.5</v>
      </c>
      <c r="P1932" s="116">
        <v>790.15</v>
      </c>
      <c r="Q1932" s="116">
        <v>751.6</v>
      </c>
      <c r="R1932">
        <v>2361332</v>
      </c>
    </row>
    <row r="1933" spans="1:18" x14ac:dyDescent="0.25">
      <c r="A1933" s="170">
        <v>45065</v>
      </c>
      <c r="B1933" s="116">
        <v>788.9</v>
      </c>
      <c r="C1933" s="116">
        <v>786.05</v>
      </c>
      <c r="D1933" s="116">
        <v>713.8</v>
      </c>
      <c r="E1933" s="116">
        <v>733.45</v>
      </c>
      <c r="F1933" s="116">
        <v>786.05</v>
      </c>
      <c r="G1933">
        <v>181785</v>
      </c>
      <c r="H1933" s="116"/>
      <c r="I1933" s="116"/>
      <c r="L1933" s="170">
        <v>45065</v>
      </c>
      <c r="M1933" s="116">
        <v>787.35</v>
      </c>
      <c r="N1933" s="116">
        <v>789.15</v>
      </c>
      <c r="O1933" s="116">
        <v>714.05</v>
      </c>
      <c r="P1933" s="116">
        <v>729.05</v>
      </c>
      <c r="Q1933" s="116">
        <v>787.35</v>
      </c>
      <c r="R1933">
        <v>4723254</v>
      </c>
    </row>
    <row r="1934" spans="1:18" x14ac:dyDescent="0.25">
      <c r="A1934" s="170">
        <v>45068</v>
      </c>
      <c r="B1934" s="116">
        <v>825.35</v>
      </c>
      <c r="C1934" s="116">
        <v>825.35</v>
      </c>
      <c r="D1934" s="116">
        <v>825</v>
      </c>
      <c r="E1934" s="116">
        <v>825</v>
      </c>
      <c r="F1934" s="116">
        <v>825.35</v>
      </c>
      <c r="G1934">
        <v>11669</v>
      </c>
      <c r="H1934" s="116"/>
      <c r="I1934" s="116"/>
      <c r="L1934" s="170">
        <v>45068</v>
      </c>
      <c r="M1934" s="116">
        <v>826.7</v>
      </c>
      <c r="N1934" s="116">
        <v>826.7</v>
      </c>
      <c r="O1934" s="116">
        <v>825</v>
      </c>
      <c r="P1934" s="116">
        <v>826.55</v>
      </c>
      <c r="Q1934" s="116">
        <v>826.7</v>
      </c>
      <c r="R1934">
        <v>581156</v>
      </c>
    </row>
    <row r="1935" spans="1:18" x14ac:dyDescent="0.25">
      <c r="A1935" s="170">
        <v>45069</v>
      </c>
      <c r="B1935" s="116">
        <v>866.6</v>
      </c>
      <c r="C1935" s="116">
        <v>866.6</v>
      </c>
      <c r="D1935" s="116">
        <v>866.6</v>
      </c>
      <c r="E1935" s="116">
        <v>866.6</v>
      </c>
      <c r="F1935" s="116">
        <v>866.6</v>
      </c>
      <c r="G1935">
        <v>4313</v>
      </c>
      <c r="H1935" s="116"/>
      <c r="I1935" s="116"/>
      <c r="L1935" s="170">
        <v>45069</v>
      </c>
      <c r="M1935" s="116">
        <v>868</v>
      </c>
      <c r="N1935" s="116">
        <v>868</v>
      </c>
      <c r="O1935" s="116">
        <v>868</v>
      </c>
      <c r="P1935" s="116">
        <v>868</v>
      </c>
      <c r="Q1935" s="116">
        <v>868</v>
      </c>
      <c r="R1935">
        <v>180617</v>
      </c>
    </row>
    <row r="1936" spans="1:18" x14ac:dyDescent="0.25">
      <c r="A1936" s="170">
        <v>45070</v>
      </c>
      <c r="B1936" s="116">
        <v>909.9</v>
      </c>
      <c r="C1936" s="116">
        <v>909.9</v>
      </c>
      <c r="D1936" s="116">
        <v>881.65</v>
      </c>
      <c r="E1936" s="116">
        <v>909.9</v>
      </c>
      <c r="F1936" s="116">
        <v>909.9</v>
      </c>
      <c r="G1936">
        <v>234225</v>
      </c>
      <c r="H1936" s="116"/>
      <c r="I1936" s="116"/>
      <c r="L1936" s="170">
        <v>45070</v>
      </c>
      <c r="M1936" s="116">
        <v>911.4</v>
      </c>
      <c r="N1936" s="116">
        <v>911.4</v>
      </c>
      <c r="O1936" s="116">
        <v>882.6</v>
      </c>
      <c r="P1936" s="116">
        <v>911.4</v>
      </c>
      <c r="Q1936" s="116">
        <v>911.4</v>
      </c>
      <c r="R1936">
        <v>4911947</v>
      </c>
    </row>
    <row r="1937" spans="1:18" x14ac:dyDescent="0.25">
      <c r="A1937" s="170">
        <v>45071</v>
      </c>
      <c r="B1937" s="116">
        <v>940</v>
      </c>
      <c r="C1937" s="116">
        <v>891.45</v>
      </c>
      <c r="D1937" s="116">
        <v>873</v>
      </c>
      <c r="E1937" s="116">
        <v>940</v>
      </c>
      <c r="F1937" s="116">
        <v>891.45</v>
      </c>
      <c r="G1937">
        <v>239619</v>
      </c>
      <c r="H1937" s="116"/>
      <c r="I1937" s="116"/>
      <c r="L1937" s="170">
        <v>45071</v>
      </c>
      <c r="M1937" s="116">
        <v>891.75</v>
      </c>
      <c r="N1937" s="116">
        <v>934.7</v>
      </c>
      <c r="O1937" s="116">
        <v>873</v>
      </c>
      <c r="P1937" s="116">
        <v>934.7</v>
      </c>
      <c r="Q1937" s="116">
        <v>891.75</v>
      </c>
      <c r="R1937">
        <v>3616129</v>
      </c>
    </row>
    <row r="1938" spans="1:18" x14ac:dyDescent="0.25">
      <c r="A1938" s="170">
        <v>45072</v>
      </c>
      <c r="B1938" s="116">
        <v>898</v>
      </c>
      <c r="C1938" s="116">
        <v>850.8</v>
      </c>
      <c r="D1938" s="116">
        <v>847</v>
      </c>
      <c r="E1938" s="116">
        <v>895</v>
      </c>
      <c r="F1938" s="116">
        <v>850.8</v>
      </c>
      <c r="G1938">
        <v>129557</v>
      </c>
      <c r="H1938" s="116"/>
      <c r="I1938" s="116"/>
      <c r="L1938" s="170">
        <v>45072</v>
      </c>
      <c r="M1938" s="116">
        <v>850.1</v>
      </c>
      <c r="N1938" s="116">
        <v>898.4</v>
      </c>
      <c r="O1938" s="116">
        <v>847.2</v>
      </c>
      <c r="P1938" s="116">
        <v>893.8</v>
      </c>
      <c r="Q1938" s="116">
        <v>850.1</v>
      </c>
      <c r="R1938">
        <v>2968440</v>
      </c>
    </row>
    <row r="1939" spans="1:18" x14ac:dyDescent="0.25">
      <c r="A1939" s="170">
        <v>45075</v>
      </c>
      <c r="B1939" s="116">
        <v>867.2</v>
      </c>
      <c r="C1939" s="116">
        <v>832.35</v>
      </c>
      <c r="D1939" s="116">
        <v>824.9</v>
      </c>
      <c r="E1939" s="116">
        <v>824.95</v>
      </c>
      <c r="F1939" s="116">
        <v>832.35</v>
      </c>
      <c r="G1939">
        <v>287963</v>
      </c>
      <c r="H1939" s="116"/>
      <c r="I1939" s="116"/>
      <c r="L1939" s="170">
        <v>45075</v>
      </c>
      <c r="M1939" s="116">
        <v>832.2</v>
      </c>
      <c r="N1939" s="116">
        <v>868</v>
      </c>
      <c r="O1939" s="116">
        <v>822.15</v>
      </c>
      <c r="P1939" s="116">
        <v>822.15</v>
      </c>
      <c r="Q1939" s="116">
        <v>832.2</v>
      </c>
      <c r="R1939">
        <v>2450856</v>
      </c>
    </row>
    <row r="1940" spans="1:18" x14ac:dyDescent="0.25">
      <c r="A1940" s="170">
        <v>45076</v>
      </c>
      <c r="B1940" s="116">
        <v>844.25</v>
      </c>
      <c r="C1940" s="116">
        <v>803.85</v>
      </c>
      <c r="D1940" s="116">
        <v>792</v>
      </c>
      <c r="E1940" s="116">
        <v>832.35</v>
      </c>
      <c r="F1940" s="116">
        <v>803.85</v>
      </c>
      <c r="G1940">
        <v>356131</v>
      </c>
      <c r="H1940" s="116"/>
      <c r="I1940" s="116"/>
      <c r="L1940" s="170">
        <v>45076</v>
      </c>
      <c r="M1940" s="116">
        <v>804.3</v>
      </c>
      <c r="N1940" s="116">
        <v>845</v>
      </c>
      <c r="O1940" s="116">
        <v>792.4</v>
      </c>
      <c r="P1940" s="116">
        <v>832.2</v>
      </c>
      <c r="Q1940" s="116">
        <v>804.3</v>
      </c>
      <c r="R1940">
        <v>3543724</v>
      </c>
    </row>
    <row r="1941" spans="1:18" x14ac:dyDescent="0.25">
      <c r="A1941" s="170">
        <v>45077</v>
      </c>
      <c r="B1941" s="116">
        <v>813.7</v>
      </c>
      <c r="C1941" s="116">
        <v>777.55</v>
      </c>
      <c r="D1941" s="116">
        <v>767.5</v>
      </c>
      <c r="E1941" s="116">
        <v>781.15</v>
      </c>
      <c r="F1941" s="116">
        <v>777.55</v>
      </c>
      <c r="G1941">
        <v>296350</v>
      </c>
      <c r="H1941" s="116"/>
      <c r="I1941" s="116"/>
      <c r="L1941" s="170">
        <v>45077</v>
      </c>
      <c r="M1941" s="116">
        <v>776.7</v>
      </c>
      <c r="N1941" s="116">
        <v>814</v>
      </c>
      <c r="O1941" s="116">
        <v>767.8</v>
      </c>
      <c r="P1941" s="116">
        <v>780</v>
      </c>
      <c r="Q1941" s="116">
        <v>776.7</v>
      </c>
      <c r="R1941">
        <v>26167155</v>
      </c>
    </row>
    <row r="1942" spans="1:18" x14ac:dyDescent="0.25">
      <c r="A1942" s="170">
        <v>45078</v>
      </c>
      <c r="B1942" s="116">
        <v>816.4</v>
      </c>
      <c r="C1942" s="116">
        <v>816.4</v>
      </c>
      <c r="D1942" s="116">
        <v>793.5</v>
      </c>
      <c r="E1942" s="116">
        <v>816.4</v>
      </c>
      <c r="F1942" s="116">
        <v>816.4</v>
      </c>
      <c r="G1942">
        <v>998474</v>
      </c>
      <c r="H1942" s="116"/>
      <c r="I1942" s="116"/>
      <c r="L1942" s="170">
        <v>45078</v>
      </c>
      <c r="M1942" s="116">
        <v>815.5</v>
      </c>
      <c r="N1942" s="116">
        <v>815.5</v>
      </c>
      <c r="O1942" s="116">
        <v>793.35</v>
      </c>
      <c r="P1942" s="116">
        <v>815.5</v>
      </c>
      <c r="Q1942" s="116">
        <v>815.5</v>
      </c>
      <c r="R1942">
        <v>4042939</v>
      </c>
    </row>
    <row r="1943" spans="1:18" x14ac:dyDescent="0.25">
      <c r="A1943" s="170">
        <v>45079</v>
      </c>
      <c r="B1943" s="116">
        <v>837.55</v>
      </c>
      <c r="C1943" s="116">
        <v>794.4</v>
      </c>
      <c r="D1943" s="116">
        <v>791.3</v>
      </c>
      <c r="E1943" s="116">
        <v>837.55</v>
      </c>
      <c r="F1943" s="116">
        <v>794.4</v>
      </c>
      <c r="G1943">
        <v>347027</v>
      </c>
      <c r="H1943" s="116"/>
      <c r="I1943" s="116"/>
      <c r="L1943" s="170">
        <v>45079</v>
      </c>
      <c r="M1943" s="116">
        <v>794.65</v>
      </c>
      <c r="N1943" s="116">
        <v>838.7</v>
      </c>
      <c r="O1943" s="116">
        <v>791.25</v>
      </c>
      <c r="P1943" s="116">
        <v>832</v>
      </c>
      <c r="Q1943" s="116">
        <v>794.65</v>
      </c>
      <c r="R1943">
        <v>2933000</v>
      </c>
    </row>
    <row r="1944" spans="1:18" x14ac:dyDescent="0.25">
      <c r="A1944" s="170">
        <v>45082</v>
      </c>
      <c r="B1944" s="116">
        <v>834.1</v>
      </c>
      <c r="C1944" s="116">
        <v>828.95</v>
      </c>
      <c r="D1944" s="116">
        <v>796.5</v>
      </c>
      <c r="E1944" s="116">
        <v>798</v>
      </c>
      <c r="F1944" s="116">
        <v>828.95</v>
      </c>
      <c r="G1944">
        <v>327654</v>
      </c>
      <c r="H1944" s="116"/>
      <c r="I1944" s="116"/>
      <c r="L1944" s="170">
        <v>45082</v>
      </c>
      <c r="M1944" s="116">
        <v>828</v>
      </c>
      <c r="N1944" s="116">
        <v>834.35</v>
      </c>
      <c r="O1944" s="116">
        <v>796</v>
      </c>
      <c r="P1944" s="116">
        <v>802</v>
      </c>
      <c r="Q1944" s="116">
        <v>828</v>
      </c>
      <c r="R1944">
        <v>6191271</v>
      </c>
    </row>
    <row r="1945" spans="1:18" x14ac:dyDescent="0.25">
      <c r="A1945" s="170">
        <v>45083</v>
      </c>
      <c r="B1945" s="116">
        <v>846</v>
      </c>
      <c r="C1945" s="116">
        <v>816.1</v>
      </c>
      <c r="D1945" s="116">
        <v>810.2</v>
      </c>
      <c r="E1945" s="116">
        <v>846</v>
      </c>
      <c r="F1945" s="116">
        <v>816.1</v>
      </c>
      <c r="G1945">
        <v>246152</v>
      </c>
      <c r="H1945" s="116"/>
      <c r="I1945" s="116"/>
      <c r="L1945" s="170">
        <v>45083</v>
      </c>
      <c r="M1945" s="116">
        <v>816.25</v>
      </c>
      <c r="N1945" s="116">
        <v>845</v>
      </c>
      <c r="O1945" s="116">
        <v>810.05</v>
      </c>
      <c r="P1945" s="116">
        <v>845</v>
      </c>
      <c r="Q1945" s="116">
        <v>816.25</v>
      </c>
      <c r="R1945">
        <v>2007196</v>
      </c>
    </row>
    <row r="1946" spans="1:18" x14ac:dyDescent="0.25">
      <c r="A1946" s="170">
        <v>45084</v>
      </c>
      <c r="B1946" s="116">
        <v>848.5</v>
      </c>
      <c r="C1946" s="116">
        <v>837.5</v>
      </c>
      <c r="D1946" s="116">
        <v>816.2</v>
      </c>
      <c r="E1946" s="116">
        <v>832.8</v>
      </c>
      <c r="F1946" s="116">
        <v>837.5</v>
      </c>
      <c r="G1946">
        <v>152009</v>
      </c>
      <c r="H1946" s="116"/>
      <c r="I1946" s="116"/>
      <c r="L1946" s="170">
        <v>45084</v>
      </c>
      <c r="M1946" s="116">
        <v>837.25</v>
      </c>
      <c r="N1946" s="116">
        <v>848.75</v>
      </c>
      <c r="O1946" s="116">
        <v>821.05</v>
      </c>
      <c r="P1946" s="116">
        <v>830.7</v>
      </c>
      <c r="Q1946" s="116">
        <v>837.25</v>
      </c>
      <c r="R1946">
        <v>3089395</v>
      </c>
    </row>
    <row r="1947" spans="1:18" x14ac:dyDescent="0.25">
      <c r="A1947" s="170">
        <v>45085</v>
      </c>
      <c r="B1947" s="116">
        <v>844.65</v>
      </c>
      <c r="C1947" s="116">
        <v>829.25</v>
      </c>
      <c r="D1947" s="116">
        <v>820.7</v>
      </c>
      <c r="E1947" s="116">
        <v>838.25</v>
      </c>
      <c r="F1947" s="116">
        <v>829.25</v>
      </c>
      <c r="G1947">
        <v>218417</v>
      </c>
      <c r="H1947" s="116"/>
      <c r="I1947" s="116"/>
      <c r="L1947" s="170">
        <v>45085</v>
      </c>
      <c r="M1947" s="116">
        <v>829.25</v>
      </c>
      <c r="N1947" s="116">
        <v>844.5</v>
      </c>
      <c r="O1947" s="116">
        <v>821.05</v>
      </c>
      <c r="P1947" s="116">
        <v>839.7</v>
      </c>
      <c r="Q1947" s="116">
        <v>829.25</v>
      </c>
      <c r="R1947">
        <v>1362345</v>
      </c>
    </row>
    <row r="1948" spans="1:18" x14ac:dyDescent="0.25">
      <c r="A1948" s="170">
        <v>45086</v>
      </c>
      <c r="B1948" s="116">
        <v>837.85</v>
      </c>
      <c r="C1948" s="116">
        <v>831.25</v>
      </c>
      <c r="D1948" s="116">
        <v>822</v>
      </c>
      <c r="E1948" s="116">
        <v>832.95</v>
      </c>
      <c r="F1948" s="116">
        <v>831.25</v>
      </c>
      <c r="G1948">
        <v>149796</v>
      </c>
      <c r="H1948" s="116"/>
      <c r="I1948" s="116"/>
      <c r="L1948" s="170">
        <v>45086</v>
      </c>
      <c r="M1948" s="116">
        <v>830.7</v>
      </c>
      <c r="N1948" s="116">
        <v>838.15</v>
      </c>
      <c r="O1948" s="116">
        <v>825.65</v>
      </c>
      <c r="P1948" s="116">
        <v>834.8</v>
      </c>
      <c r="Q1948" s="116">
        <v>830.7</v>
      </c>
      <c r="R1948">
        <v>853082</v>
      </c>
    </row>
    <row r="1949" spans="1:18" x14ac:dyDescent="0.25">
      <c r="A1949" s="170">
        <v>45089</v>
      </c>
      <c r="B1949" s="116">
        <v>842</v>
      </c>
      <c r="C1949" s="116">
        <v>830.6</v>
      </c>
      <c r="D1949" s="116">
        <v>828.15</v>
      </c>
      <c r="E1949" s="116">
        <v>838.5</v>
      </c>
      <c r="F1949" s="116">
        <v>830.6</v>
      </c>
      <c r="G1949">
        <v>148934</v>
      </c>
      <c r="H1949" s="116"/>
      <c r="I1949" s="116"/>
      <c r="L1949" s="170">
        <v>45089</v>
      </c>
      <c r="M1949" s="116">
        <v>830.4</v>
      </c>
      <c r="N1949" s="116">
        <v>842</v>
      </c>
      <c r="O1949" s="116">
        <v>828.05</v>
      </c>
      <c r="P1949" s="116">
        <v>841</v>
      </c>
      <c r="Q1949" s="116">
        <v>830.4</v>
      </c>
      <c r="R1949">
        <v>712441</v>
      </c>
    </row>
    <row r="1950" spans="1:18" x14ac:dyDescent="0.25">
      <c r="A1950" s="170">
        <v>45090</v>
      </c>
      <c r="B1950" s="116">
        <v>836.75</v>
      </c>
      <c r="C1950" s="116">
        <v>823.15</v>
      </c>
      <c r="D1950" s="116">
        <v>820.65</v>
      </c>
      <c r="E1950" s="116">
        <v>832.05</v>
      </c>
      <c r="F1950" s="116">
        <v>823.15</v>
      </c>
      <c r="G1950">
        <v>101818</v>
      </c>
      <c r="H1950" s="116"/>
      <c r="I1950" s="116"/>
      <c r="L1950" s="170">
        <v>45090</v>
      </c>
      <c r="M1950" s="116">
        <v>823</v>
      </c>
      <c r="N1950" s="116">
        <v>835.05</v>
      </c>
      <c r="O1950" s="116">
        <v>820.2</v>
      </c>
      <c r="P1950" s="116">
        <v>835</v>
      </c>
      <c r="Q1950" s="116">
        <v>823</v>
      </c>
      <c r="R1950">
        <v>511120</v>
      </c>
    </row>
    <row r="1951" spans="1:18" x14ac:dyDescent="0.25">
      <c r="A1951" s="170">
        <v>45091</v>
      </c>
      <c r="B1951" s="116">
        <v>828</v>
      </c>
      <c r="C1951" s="116">
        <v>808.95</v>
      </c>
      <c r="D1951" s="116">
        <v>806</v>
      </c>
      <c r="E1951" s="116">
        <v>825.05</v>
      </c>
      <c r="F1951" s="116">
        <v>808.95</v>
      </c>
      <c r="G1951">
        <v>133714</v>
      </c>
      <c r="H1951" s="116"/>
      <c r="I1951" s="116"/>
      <c r="L1951" s="170">
        <v>45091</v>
      </c>
      <c r="M1951" s="116">
        <v>808.55</v>
      </c>
      <c r="N1951" s="116">
        <v>828.5</v>
      </c>
      <c r="O1951" s="116">
        <v>806</v>
      </c>
      <c r="P1951" s="116">
        <v>825.85</v>
      </c>
      <c r="Q1951" s="116">
        <v>808.55</v>
      </c>
      <c r="R1951">
        <v>748746</v>
      </c>
    </row>
    <row r="1952" spans="1:18" x14ac:dyDescent="0.25">
      <c r="A1952" s="170">
        <v>45092</v>
      </c>
      <c r="B1952" s="116">
        <v>839</v>
      </c>
      <c r="C1952" s="116">
        <v>814.6</v>
      </c>
      <c r="D1952" s="116">
        <v>805.75</v>
      </c>
      <c r="E1952" s="116">
        <v>810.05</v>
      </c>
      <c r="F1952" s="116">
        <v>814.6</v>
      </c>
      <c r="G1952">
        <v>225453</v>
      </c>
      <c r="H1952" s="116"/>
      <c r="I1952" s="116"/>
      <c r="L1952" s="170">
        <v>45092</v>
      </c>
      <c r="M1952" s="116">
        <v>814.7</v>
      </c>
      <c r="N1952" s="116">
        <v>840</v>
      </c>
      <c r="O1952" s="116">
        <v>805.65</v>
      </c>
      <c r="P1952" s="116">
        <v>814.95</v>
      </c>
      <c r="Q1952" s="116">
        <v>814.7</v>
      </c>
      <c r="R1952">
        <v>1550381</v>
      </c>
    </row>
    <row r="1953" spans="1:18" x14ac:dyDescent="0.25">
      <c r="A1953" s="170">
        <v>45093</v>
      </c>
      <c r="B1953" s="116">
        <v>834.6</v>
      </c>
      <c r="C1953" s="116">
        <v>809.7</v>
      </c>
      <c r="D1953" s="116">
        <v>796</v>
      </c>
      <c r="E1953" s="116">
        <v>816.55</v>
      </c>
      <c r="F1953" s="116">
        <v>809.7</v>
      </c>
      <c r="G1953">
        <v>209694</v>
      </c>
      <c r="H1953" s="116"/>
      <c r="I1953" s="116"/>
      <c r="L1953" s="170">
        <v>45093</v>
      </c>
      <c r="M1953" s="116">
        <v>810.9</v>
      </c>
      <c r="N1953" s="116">
        <v>834.9</v>
      </c>
      <c r="O1953" s="116">
        <v>795.65</v>
      </c>
      <c r="P1953" s="116">
        <v>818</v>
      </c>
      <c r="Q1953" s="116">
        <v>810.9</v>
      </c>
      <c r="R1953">
        <v>6361369</v>
      </c>
    </row>
    <row r="1954" spans="1:18" x14ac:dyDescent="0.25">
      <c r="A1954" s="170">
        <v>45096</v>
      </c>
      <c r="B1954" s="116">
        <v>827.35</v>
      </c>
      <c r="C1954" s="116">
        <v>806.75</v>
      </c>
      <c r="D1954" s="116">
        <v>801</v>
      </c>
      <c r="E1954" s="116">
        <v>817.1</v>
      </c>
      <c r="F1954" s="116">
        <v>806.75</v>
      </c>
      <c r="G1954">
        <v>79539</v>
      </c>
      <c r="H1954" s="116"/>
      <c r="I1954" s="116"/>
      <c r="L1954" s="170">
        <v>45096</v>
      </c>
      <c r="M1954" s="116">
        <v>806.6</v>
      </c>
      <c r="N1954" s="116">
        <v>827</v>
      </c>
      <c r="O1954" s="116">
        <v>801</v>
      </c>
      <c r="P1954" s="116">
        <v>819</v>
      </c>
      <c r="Q1954" s="116">
        <v>806.6</v>
      </c>
      <c r="R1954">
        <v>1441750</v>
      </c>
    </row>
    <row r="1955" spans="1:18" x14ac:dyDescent="0.25">
      <c r="A1955" s="170">
        <v>45097</v>
      </c>
      <c r="B1955" s="116">
        <v>816.35</v>
      </c>
      <c r="C1955" s="116">
        <v>812.15</v>
      </c>
      <c r="D1955" s="116">
        <v>805.15</v>
      </c>
      <c r="E1955" s="116">
        <v>816.3</v>
      </c>
      <c r="F1955" s="116">
        <v>812.15</v>
      </c>
      <c r="G1955">
        <v>117491</v>
      </c>
      <c r="H1955" s="116"/>
      <c r="I1955" s="116"/>
      <c r="L1955" s="170">
        <v>45097</v>
      </c>
      <c r="M1955" s="116">
        <v>811.95</v>
      </c>
      <c r="N1955" s="116">
        <v>817.7</v>
      </c>
      <c r="O1955" s="116">
        <v>804.85</v>
      </c>
      <c r="P1955" s="116">
        <v>817.7</v>
      </c>
      <c r="Q1955" s="116">
        <v>811.95</v>
      </c>
      <c r="R1955">
        <v>574281</v>
      </c>
    </row>
    <row r="1956" spans="1:18" x14ac:dyDescent="0.25">
      <c r="A1956" s="170">
        <v>45098</v>
      </c>
      <c r="B1956" s="116">
        <v>813.2</v>
      </c>
      <c r="C1956" s="116">
        <v>806.8</v>
      </c>
      <c r="D1956" s="116">
        <v>802.5</v>
      </c>
      <c r="E1956" s="116">
        <v>810.05</v>
      </c>
      <c r="F1956" s="116">
        <v>806.8</v>
      </c>
      <c r="G1956">
        <v>117418</v>
      </c>
      <c r="H1956" s="116"/>
      <c r="I1956" s="116"/>
      <c r="L1956" s="170">
        <v>45098</v>
      </c>
      <c r="M1956" s="116">
        <v>806.7</v>
      </c>
      <c r="N1956" s="116">
        <v>813.45</v>
      </c>
      <c r="O1956" s="116">
        <v>802</v>
      </c>
      <c r="P1956" s="116">
        <v>811.45</v>
      </c>
      <c r="Q1956" s="116">
        <v>806.7</v>
      </c>
      <c r="R1956">
        <v>647258</v>
      </c>
    </row>
    <row r="1957" spans="1:18" x14ac:dyDescent="0.25">
      <c r="A1957" s="170">
        <v>45099</v>
      </c>
      <c r="B1957" s="116">
        <v>817.05</v>
      </c>
      <c r="C1957" s="116">
        <v>804.85</v>
      </c>
      <c r="D1957" s="116">
        <v>803.15</v>
      </c>
      <c r="E1957" s="116">
        <v>810.05</v>
      </c>
      <c r="F1957" s="116">
        <v>804.85</v>
      </c>
      <c r="G1957">
        <v>141558</v>
      </c>
      <c r="H1957" s="116"/>
      <c r="I1957" s="116"/>
      <c r="L1957" s="170">
        <v>45099</v>
      </c>
      <c r="M1957" s="116">
        <v>804.4</v>
      </c>
      <c r="N1957" s="116">
        <v>817.25</v>
      </c>
      <c r="O1957" s="116">
        <v>803</v>
      </c>
      <c r="P1957" s="116">
        <v>810.65</v>
      </c>
      <c r="Q1957" s="116">
        <v>804.4</v>
      </c>
      <c r="R1957">
        <v>656852</v>
      </c>
    </row>
    <row r="1958" spans="1:18" x14ac:dyDescent="0.25">
      <c r="A1958" s="170">
        <v>45100</v>
      </c>
      <c r="B1958" s="116">
        <v>805</v>
      </c>
      <c r="C1958" s="116">
        <v>753.5</v>
      </c>
      <c r="D1958" s="116">
        <v>738.15</v>
      </c>
      <c r="E1958" s="116">
        <v>804</v>
      </c>
      <c r="F1958" s="116">
        <v>753.5</v>
      </c>
      <c r="G1958">
        <v>552736</v>
      </c>
      <c r="H1958" s="116"/>
      <c r="I1958" s="116"/>
      <c r="L1958" s="170">
        <v>45100</v>
      </c>
      <c r="M1958" s="116">
        <v>757.5</v>
      </c>
      <c r="N1958" s="116">
        <v>804.4</v>
      </c>
      <c r="O1958" s="116">
        <v>738</v>
      </c>
      <c r="P1958" s="116">
        <v>804.4</v>
      </c>
      <c r="Q1958" s="116">
        <v>757.5</v>
      </c>
      <c r="R1958">
        <v>2777512</v>
      </c>
    </row>
    <row r="1959" spans="1:18" x14ac:dyDescent="0.25">
      <c r="A1959" s="170">
        <v>45103</v>
      </c>
      <c r="B1959" s="116">
        <v>783</v>
      </c>
      <c r="C1959" s="116">
        <v>770.35</v>
      </c>
      <c r="D1959" s="116">
        <v>743.2</v>
      </c>
      <c r="E1959" s="116">
        <v>747.25</v>
      </c>
      <c r="F1959" s="116">
        <v>770.35</v>
      </c>
      <c r="G1959">
        <v>112733</v>
      </c>
      <c r="H1959" s="116"/>
      <c r="I1959" s="116"/>
      <c r="L1959" s="170">
        <v>45103</v>
      </c>
      <c r="M1959" s="116">
        <v>770.75</v>
      </c>
      <c r="N1959" s="116">
        <v>783.55</v>
      </c>
      <c r="O1959" s="116">
        <v>743.25</v>
      </c>
      <c r="P1959" s="116">
        <v>750</v>
      </c>
      <c r="Q1959" s="116">
        <v>770.75</v>
      </c>
      <c r="R1959">
        <v>1379942</v>
      </c>
    </row>
    <row r="1960" spans="1:18" x14ac:dyDescent="0.25">
      <c r="A1960" s="170">
        <v>45104</v>
      </c>
      <c r="B1960" s="116">
        <v>784.65</v>
      </c>
      <c r="C1960" s="116">
        <v>773.6</v>
      </c>
      <c r="D1960" s="116">
        <v>770.35</v>
      </c>
      <c r="E1960" s="116">
        <v>782</v>
      </c>
      <c r="F1960" s="116">
        <v>773.6</v>
      </c>
      <c r="G1960">
        <v>39108</v>
      </c>
      <c r="H1960" s="116"/>
      <c r="I1960" s="116"/>
      <c r="L1960" s="170">
        <v>45104</v>
      </c>
      <c r="M1960" s="116">
        <v>773.2</v>
      </c>
      <c r="N1960" s="116">
        <v>784.9</v>
      </c>
      <c r="O1960" s="116">
        <v>771</v>
      </c>
      <c r="P1960" s="116">
        <v>783</v>
      </c>
      <c r="Q1960" s="116">
        <v>773.2</v>
      </c>
      <c r="R1960">
        <v>514889</v>
      </c>
    </row>
    <row r="1961" spans="1:18" x14ac:dyDescent="0.25">
      <c r="A1961" s="170">
        <v>45105</v>
      </c>
      <c r="B1961" s="116">
        <v>823</v>
      </c>
      <c r="C1961" s="116">
        <v>819.5</v>
      </c>
      <c r="D1961" s="116">
        <v>767.95</v>
      </c>
      <c r="E1961" s="116">
        <v>775.05</v>
      </c>
      <c r="F1961" s="116">
        <v>819.5</v>
      </c>
      <c r="G1961">
        <v>354677</v>
      </c>
      <c r="H1961" s="116"/>
      <c r="I1961" s="116"/>
      <c r="L1961" s="170">
        <v>45105</v>
      </c>
      <c r="M1961" s="116">
        <v>819.15</v>
      </c>
      <c r="N1961" s="116">
        <v>823.95</v>
      </c>
      <c r="O1961" s="116">
        <v>768.65</v>
      </c>
      <c r="P1961" s="116">
        <v>781.7</v>
      </c>
      <c r="Q1961" s="116">
        <v>819.15</v>
      </c>
      <c r="R1961">
        <v>2141952</v>
      </c>
    </row>
    <row r="1962" spans="1:18" x14ac:dyDescent="0.25">
      <c r="A1962" s="170">
        <v>45107</v>
      </c>
      <c r="B1962" s="116">
        <v>828.25</v>
      </c>
      <c r="C1962" s="116">
        <v>767.5</v>
      </c>
      <c r="D1962" s="116">
        <v>765.4</v>
      </c>
      <c r="E1962" s="116">
        <v>827.05</v>
      </c>
      <c r="F1962" s="116">
        <v>767.5</v>
      </c>
      <c r="G1962">
        <v>602655</v>
      </c>
      <c r="H1962" s="116"/>
      <c r="I1962" s="116"/>
      <c r="L1962" s="170">
        <v>45107</v>
      </c>
      <c r="M1962" s="116">
        <v>767.25</v>
      </c>
      <c r="N1962" s="116">
        <v>828.7</v>
      </c>
      <c r="O1962" s="116">
        <v>765.15</v>
      </c>
      <c r="P1962" s="116">
        <v>828.7</v>
      </c>
      <c r="Q1962" s="116">
        <v>767.25</v>
      </c>
      <c r="R1962">
        <v>46087335</v>
      </c>
    </row>
    <row r="1963" spans="1:18" x14ac:dyDescent="0.25">
      <c r="A1963" s="170">
        <v>45110</v>
      </c>
      <c r="B1963" s="116">
        <v>784.4</v>
      </c>
      <c r="C1963" s="116">
        <v>772.95</v>
      </c>
      <c r="D1963" s="116">
        <v>770.1</v>
      </c>
      <c r="E1963" s="116">
        <v>783.15</v>
      </c>
      <c r="F1963" s="116">
        <v>772.95</v>
      </c>
      <c r="G1963">
        <v>274743</v>
      </c>
      <c r="H1963" s="116"/>
      <c r="I1963" s="116"/>
      <c r="L1963" s="170">
        <v>45110</v>
      </c>
      <c r="M1963" s="116">
        <v>773.25</v>
      </c>
      <c r="N1963" s="116">
        <v>785</v>
      </c>
      <c r="O1963" s="116">
        <v>770</v>
      </c>
      <c r="P1963" s="116">
        <v>782</v>
      </c>
      <c r="Q1963" s="116">
        <v>773.25</v>
      </c>
      <c r="R1963">
        <v>1414668</v>
      </c>
    </row>
    <row r="1964" spans="1:18" x14ac:dyDescent="0.25">
      <c r="A1964" s="170">
        <v>45111</v>
      </c>
      <c r="B1964" s="116">
        <v>782.85</v>
      </c>
      <c r="C1964" s="116">
        <v>770.25</v>
      </c>
      <c r="D1964" s="116">
        <v>767.75</v>
      </c>
      <c r="E1964" s="116">
        <v>782.05</v>
      </c>
      <c r="F1964" s="116">
        <v>770.25</v>
      </c>
      <c r="G1964">
        <v>56188</v>
      </c>
      <c r="H1964" s="116"/>
      <c r="I1964" s="116"/>
      <c r="L1964" s="170">
        <v>45111</v>
      </c>
      <c r="M1964" s="116">
        <v>770.6</v>
      </c>
      <c r="N1964" s="116">
        <v>784.7</v>
      </c>
      <c r="O1964" s="116">
        <v>767.05</v>
      </c>
      <c r="P1964" s="116">
        <v>784.7</v>
      </c>
      <c r="Q1964" s="116">
        <v>770.6</v>
      </c>
      <c r="R1964">
        <v>1052355</v>
      </c>
    </row>
    <row r="1965" spans="1:18" x14ac:dyDescent="0.25">
      <c r="A1965" s="170">
        <v>45112</v>
      </c>
      <c r="B1965" s="116">
        <v>776</v>
      </c>
      <c r="C1965" s="116">
        <v>770.1</v>
      </c>
      <c r="D1965" s="116">
        <v>767.2</v>
      </c>
      <c r="E1965" s="116">
        <v>768.05</v>
      </c>
      <c r="F1965" s="116">
        <v>770.1</v>
      </c>
      <c r="G1965">
        <v>41507</v>
      </c>
      <c r="H1965" s="116"/>
      <c r="I1965" s="116"/>
      <c r="L1965" s="170">
        <v>45112</v>
      </c>
      <c r="M1965" s="116">
        <v>770</v>
      </c>
      <c r="N1965" s="116">
        <v>776</v>
      </c>
      <c r="O1965" s="116">
        <v>767.05</v>
      </c>
      <c r="P1965" s="116">
        <v>771.5</v>
      </c>
      <c r="Q1965" s="116">
        <v>770</v>
      </c>
      <c r="R1965">
        <v>827680</v>
      </c>
    </row>
    <row r="1966" spans="1:18" x14ac:dyDescent="0.25">
      <c r="A1966" s="170">
        <v>45113</v>
      </c>
      <c r="B1966" s="116">
        <v>774.7</v>
      </c>
      <c r="C1966" s="116">
        <v>769.6</v>
      </c>
      <c r="D1966" s="116">
        <v>765.35</v>
      </c>
      <c r="E1966" s="116">
        <v>770.1</v>
      </c>
      <c r="F1966" s="116">
        <v>769.6</v>
      </c>
      <c r="G1966">
        <v>112659</v>
      </c>
      <c r="H1966" s="116"/>
      <c r="I1966" s="116"/>
      <c r="L1966" s="170">
        <v>45113</v>
      </c>
      <c r="M1966" s="116">
        <v>769.35</v>
      </c>
      <c r="N1966" s="116">
        <v>775</v>
      </c>
      <c r="O1966" s="116">
        <v>766.25</v>
      </c>
      <c r="P1966" s="116">
        <v>770</v>
      </c>
      <c r="Q1966" s="116">
        <v>769.35</v>
      </c>
      <c r="R1966">
        <v>620475</v>
      </c>
    </row>
    <row r="1967" spans="1:18" x14ac:dyDescent="0.25">
      <c r="A1967" s="170">
        <v>45114</v>
      </c>
      <c r="B1967" s="116">
        <v>772</v>
      </c>
      <c r="C1967" s="116">
        <v>759.95</v>
      </c>
      <c r="D1967" s="116">
        <v>755.05</v>
      </c>
      <c r="E1967" s="116">
        <v>769.6</v>
      </c>
      <c r="F1967" s="116">
        <v>759.95</v>
      </c>
      <c r="G1967">
        <v>118413</v>
      </c>
      <c r="H1967" s="116"/>
      <c r="I1967" s="116"/>
      <c r="L1967" s="170">
        <v>45114</v>
      </c>
      <c r="M1967" s="116">
        <v>759.85</v>
      </c>
      <c r="N1967" s="116">
        <v>772</v>
      </c>
      <c r="O1967" s="116">
        <v>755</v>
      </c>
      <c r="P1967" s="116">
        <v>768.5</v>
      </c>
      <c r="Q1967" s="116">
        <v>759.85</v>
      </c>
      <c r="R1967">
        <v>707804</v>
      </c>
    </row>
    <row r="1968" spans="1:18" x14ac:dyDescent="0.25">
      <c r="A1968" s="170">
        <v>45117</v>
      </c>
      <c r="B1968" s="116">
        <v>764.15</v>
      </c>
      <c r="C1968" s="116">
        <v>749.8</v>
      </c>
      <c r="D1968" s="116">
        <v>743.6</v>
      </c>
      <c r="E1968" s="116">
        <v>756.1</v>
      </c>
      <c r="F1968" s="116">
        <v>749.8</v>
      </c>
      <c r="G1968">
        <v>176478</v>
      </c>
      <c r="H1968" s="116"/>
      <c r="I1968" s="116"/>
      <c r="L1968" s="170">
        <v>45117</v>
      </c>
      <c r="M1968" s="116">
        <v>749.85</v>
      </c>
      <c r="N1968" s="116">
        <v>764</v>
      </c>
      <c r="O1968" s="116">
        <v>744.05</v>
      </c>
      <c r="P1968" s="116">
        <v>755</v>
      </c>
      <c r="Q1968" s="116">
        <v>749.85</v>
      </c>
      <c r="R1968">
        <v>1064100</v>
      </c>
    </row>
    <row r="1969" spans="1:18" x14ac:dyDescent="0.25">
      <c r="A1969" s="170">
        <v>45118</v>
      </c>
      <c r="B1969" s="116">
        <v>763.5</v>
      </c>
      <c r="C1969" s="116">
        <v>753.65</v>
      </c>
      <c r="D1969" s="116">
        <v>749.8</v>
      </c>
      <c r="E1969" s="116">
        <v>750.8</v>
      </c>
      <c r="F1969" s="116">
        <v>753.65</v>
      </c>
      <c r="G1969">
        <v>43941</v>
      </c>
      <c r="H1969" s="116"/>
      <c r="I1969" s="116"/>
      <c r="L1969" s="170">
        <v>45118</v>
      </c>
      <c r="M1969" s="116">
        <v>754.05</v>
      </c>
      <c r="N1969" s="116">
        <v>763.45</v>
      </c>
      <c r="O1969" s="116">
        <v>749</v>
      </c>
      <c r="P1969" s="116">
        <v>752</v>
      </c>
      <c r="Q1969" s="116">
        <v>754.05</v>
      </c>
      <c r="R1969">
        <v>810898</v>
      </c>
    </row>
    <row r="1970" spans="1:18" x14ac:dyDescent="0.25">
      <c r="A1970" s="170">
        <v>45119</v>
      </c>
      <c r="B1970" s="116">
        <v>760</v>
      </c>
      <c r="C1970" s="116">
        <v>752.7</v>
      </c>
      <c r="D1970" s="116">
        <v>744.15</v>
      </c>
      <c r="E1970" s="116">
        <v>751.05</v>
      </c>
      <c r="F1970" s="116">
        <v>752.7</v>
      </c>
      <c r="G1970">
        <v>30065</v>
      </c>
      <c r="H1970" s="116"/>
      <c r="I1970" s="116"/>
      <c r="L1970" s="170">
        <v>45119</v>
      </c>
      <c r="M1970" s="116">
        <v>752.65</v>
      </c>
      <c r="N1970" s="116">
        <v>760</v>
      </c>
      <c r="O1970" s="116">
        <v>744.5</v>
      </c>
      <c r="P1970" s="116">
        <v>755</v>
      </c>
      <c r="Q1970" s="116">
        <v>752.65</v>
      </c>
      <c r="R1970">
        <v>589252</v>
      </c>
    </row>
    <row r="1971" spans="1:18" x14ac:dyDescent="0.25">
      <c r="A1971" s="170">
        <v>45120</v>
      </c>
      <c r="B1971" s="116">
        <v>757.7</v>
      </c>
      <c r="C1971" s="116">
        <v>745.65</v>
      </c>
      <c r="D1971" s="116">
        <v>743</v>
      </c>
      <c r="E1971" s="116">
        <v>752.75</v>
      </c>
      <c r="F1971" s="116">
        <v>745.65</v>
      </c>
      <c r="G1971">
        <v>100348</v>
      </c>
      <c r="H1971" s="116"/>
      <c r="I1971" s="116"/>
      <c r="L1971" s="170">
        <v>45120</v>
      </c>
      <c r="M1971" s="116">
        <v>745.2</v>
      </c>
      <c r="N1971" s="116">
        <v>757.9</v>
      </c>
      <c r="O1971" s="116">
        <v>743.05</v>
      </c>
      <c r="P1971" s="116">
        <v>757.9</v>
      </c>
      <c r="Q1971" s="116">
        <v>745.2</v>
      </c>
      <c r="R1971">
        <v>507356</v>
      </c>
    </row>
    <row r="1972" spans="1:18" x14ac:dyDescent="0.25">
      <c r="A1972" s="170">
        <v>45121</v>
      </c>
      <c r="B1972" s="116">
        <v>752</v>
      </c>
      <c r="C1972" s="116">
        <v>742.15</v>
      </c>
      <c r="D1972" s="116">
        <v>738.15</v>
      </c>
      <c r="E1972" s="116">
        <v>748.05</v>
      </c>
      <c r="F1972" s="116">
        <v>742.15</v>
      </c>
      <c r="G1972">
        <v>98755</v>
      </c>
      <c r="H1972" s="116"/>
      <c r="I1972" s="116"/>
      <c r="L1972" s="170">
        <v>45121</v>
      </c>
      <c r="M1972" s="116">
        <v>742.3</v>
      </c>
      <c r="N1972" s="116">
        <v>752.65</v>
      </c>
      <c r="O1972" s="116">
        <v>738.4</v>
      </c>
      <c r="P1972" s="116">
        <v>752.65</v>
      </c>
      <c r="Q1972" s="116">
        <v>742.3</v>
      </c>
      <c r="R1972">
        <v>598454</v>
      </c>
    </row>
    <row r="1973" spans="1:18" x14ac:dyDescent="0.25">
      <c r="A1973" s="170">
        <v>45124</v>
      </c>
      <c r="B1973" s="116">
        <v>774.3</v>
      </c>
      <c r="C1973" s="116">
        <v>769.9</v>
      </c>
      <c r="D1973" s="116">
        <v>743.15</v>
      </c>
      <c r="E1973" s="116">
        <v>743.15</v>
      </c>
      <c r="F1973" s="116">
        <v>769.9</v>
      </c>
      <c r="G1973">
        <v>87910</v>
      </c>
      <c r="H1973" s="116"/>
      <c r="I1973" s="116"/>
      <c r="L1973" s="170">
        <v>45124</v>
      </c>
      <c r="M1973" s="116">
        <v>770.45</v>
      </c>
      <c r="N1973" s="116">
        <v>774</v>
      </c>
      <c r="O1973" s="116">
        <v>745</v>
      </c>
      <c r="P1973" s="116">
        <v>746.5</v>
      </c>
      <c r="Q1973" s="116">
        <v>770.45</v>
      </c>
      <c r="R1973">
        <v>1546015</v>
      </c>
    </row>
    <row r="1974" spans="1:18" x14ac:dyDescent="0.25">
      <c r="A1974" s="170">
        <v>45125</v>
      </c>
      <c r="B1974" s="116">
        <v>806.55</v>
      </c>
      <c r="C1974" s="116">
        <v>783.25</v>
      </c>
      <c r="D1974" s="116">
        <v>768.95</v>
      </c>
      <c r="E1974" s="116">
        <v>775</v>
      </c>
      <c r="F1974" s="116">
        <v>783.25</v>
      </c>
      <c r="G1974">
        <v>143561</v>
      </c>
      <c r="H1974" s="116"/>
      <c r="I1974" s="116"/>
      <c r="L1974" s="170">
        <v>45125</v>
      </c>
      <c r="M1974" s="116">
        <v>783</v>
      </c>
      <c r="N1974" s="116">
        <v>807</v>
      </c>
      <c r="O1974" s="116">
        <v>768.4</v>
      </c>
      <c r="P1974" s="116">
        <v>775</v>
      </c>
      <c r="Q1974" s="116">
        <v>783</v>
      </c>
      <c r="R1974">
        <v>2625423</v>
      </c>
    </row>
    <row r="1975" spans="1:18" x14ac:dyDescent="0.25">
      <c r="A1975" s="170">
        <v>45126</v>
      </c>
      <c r="B1975" s="116">
        <v>798</v>
      </c>
      <c r="C1975" s="116">
        <v>779.75</v>
      </c>
      <c r="D1975" s="116">
        <v>775</v>
      </c>
      <c r="E1975" s="116">
        <v>795.1</v>
      </c>
      <c r="F1975" s="116">
        <v>779.75</v>
      </c>
      <c r="G1975">
        <v>151638</v>
      </c>
      <c r="H1975" s="116"/>
      <c r="I1975" s="116"/>
      <c r="L1975" s="170">
        <v>45126</v>
      </c>
      <c r="M1975" s="116">
        <v>779.1</v>
      </c>
      <c r="N1975" s="116">
        <v>797.9</v>
      </c>
      <c r="O1975" s="116">
        <v>774.25</v>
      </c>
      <c r="P1975" s="116">
        <v>790.75</v>
      </c>
      <c r="Q1975" s="116">
        <v>779.1</v>
      </c>
      <c r="R1975">
        <v>933327</v>
      </c>
    </row>
    <row r="1976" spans="1:18" x14ac:dyDescent="0.25">
      <c r="A1976" s="170">
        <v>45127</v>
      </c>
      <c r="B1976" s="116">
        <v>789.65</v>
      </c>
      <c r="C1976" s="116">
        <v>780.35</v>
      </c>
      <c r="D1976" s="116">
        <v>778.6</v>
      </c>
      <c r="E1976" s="116">
        <v>785</v>
      </c>
      <c r="F1976" s="116">
        <v>780.35</v>
      </c>
      <c r="G1976">
        <v>165808</v>
      </c>
      <c r="H1976" s="116"/>
      <c r="I1976" s="116"/>
      <c r="L1976" s="170">
        <v>45127</v>
      </c>
      <c r="M1976" s="116">
        <v>780.3</v>
      </c>
      <c r="N1976" s="116">
        <v>788.85</v>
      </c>
      <c r="O1976" s="116">
        <v>779</v>
      </c>
      <c r="P1976" s="116">
        <v>781</v>
      </c>
      <c r="Q1976" s="116">
        <v>780.3</v>
      </c>
      <c r="R1976">
        <v>873507</v>
      </c>
    </row>
    <row r="1977" spans="1:18" x14ac:dyDescent="0.25">
      <c r="A1977" s="170">
        <v>45128</v>
      </c>
      <c r="B1977" s="116">
        <v>780</v>
      </c>
      <c r="C1977" s="116">
        <v>775.15</v>
      </c>
      <c r="D1977" s="116">
        <v>772.35</v>
      </c>
      <c r="E1977" s="116">
        <v>780</v>
      </c>
      <c r="F1977" s="116">
        <v>775.15</v>
      </c>
      <c r="G1977">
        <v>119475</v>
      </c>
      <c r="H1977" s="116"/>
      <c r="I1977" s="116"/>
      <c r="L1977" s="170">
        <v>45128</v>
      </c>
      <c r="M1977" s="116">
        <v>775.15</v>
      </c>
      <c r="N1977" s="116">
        <v>780.95</v>
      </c>
      <c r="O1977" s="116">
        <v>773.05</v>
      </c>
      <c r="P1977" s="116">
        <v>780</v>
      </c>
      <c r="Q1977" s="116">
        <v>775.15</v>
      </c>
      <c r="R1977">
        <v>425530</v>
      </c>
    </row>
    <row r="1978" spans="1:18" x14ac:dyDescent="0.25">
      <c r="A1978" s="170">
        <v>45131</v>
      </c>
      <c r="B1978" s="116">
        <v>780</v>
      </c>
      <c r="C1978" s="116">
        <v>773.4</v>
      </c>
      <c r="D1978" s="116">
        <v>771.3</v>
      </c>
      <c r="E1978" s="116">
        <v>775.3</v>
      </c>
      <c r="F1978" s="116">
        <v>773.4</v>
      </c>
      <c r="G1978">
        <v>82091</v>
      </c>
      <c r="H1978" s="116"/>
      <c r="I1978" s="116"/>
      <c r="L1978" s="170">
        <v>45131</v>
      </c>
      <c r="M1978" s="116">
        <v>773.25</v>
      </c>
      <c r="N1978" s="116">
        <v>781</v>
      </c>
      <c r="O1978" s="116">
        <v>771</v>
      </c>
      <c r="P1978" s="116">
        <v>780</v>
      </c>
      <c r="Q1978" s="116">
        <v>773.25</v>
      </c>
      <c r="R1978">
        <v>373079</v>
      </c>
    </row>
    <row r="1979" spans="1:18" x14ac:dyDescent="0.25">
      <c r="A1979" s="170">
        <v>45132</v>
      </c>
      <c r="B1979" s="116">
        <v>843</v>
      </c>
      <c r="C1979" s="116">
        <v>834.8</v>
      </c>
      <c r="D1979" s="116">
        <v>770.8</v>
      </c>
      <c r="E1979" s="116">
        <v>777.05</v>
      </c>
      <c r="F1979" s="116">
        <v>834.8</v>
      </c>
      <c r="G1979">
        <v>722425</v>
      </c>
      <c r="H1979" s="116"/>
      <c r="I1979" s="116"/>
      <c r="L1979" s="170">
        <v>45132</v>
      </c>
      <c r="M1979" s="116">
        <v>834.85</v>
      </c>
      <c r="N1979" s="116">
        <v>843</v>
      </c>
      <c r="O1979" s="116">
        <v>770.55</v>
      </c>
      <c r="P1979" s="116">
        <v>779.75</v>
      </c>
      <c r="Q1979" s="116">
        <v>834.85</v>
      </c>
      <c r="R1979">
        <v>5042334</v>
      </c>
    </row>
    <row r="1980" spans="1:18" x14ac:dyDescent="0.25">
      <c r="A1980" s="170">
        <v>45133</v>
      </c>
      <c r="B1980" s="116">
        <v>839.15</v>
      </c>
      <c r="C1980" s="116">
        <v>814.4</v>
      </c>
      <c r="D1980" s="116">
        <v>805.45</v>
      </c>
      <c r="E1980" s="116">
        <v>837.25</v>
      </c>
      <c r="F1980" s="116">
        <v>814.4</v>
      </c>
      <c r="G1980">
        <v>206504</v>
      </c>
      <c r="H1980" s="116"/>
      <c r="I1980" s="116"/>
      <c r="L1980" s="170">
        <v>45133</v>
      </c>
      <c r="M1980" s="116">
        <v>814.95</v>
      </c>
      <c r="N1980" s="116">
        <v>839.9</v>
      </c>
      <c r="O1980" s="116">
        <v>805.25</v>
      </c>
      <c r="P1980" s="116">
        <v>839.9</v>
      </c>
      <c r="Q1980" s="116">
        <v>814.95</v>
      </c>
      <c r="R1980">
        <v>3352443</v>
      </c>
    </row>
    <row r="1981" spans="1:18" x14ac:dyDescent="0.25">
      <c r="A1981" s="170">
        <v>45134</v>
      </c>
      <c r="B1981" s="116">
        <v>823.6</v>
      </c>
      <c r="C1981" s="116">
        <v>805.3</v>
      </c>
      <c r="D1981" s="116">
        <v>796.35</v>
      </c>
      <c r="E1981" s="116">
        <v>820.6</v>
      </c>
      <c r="F1981" s="116">
        <v>805.3</v>
      </c>
      <c r="G1981">
        <v>48801</v>
      </c>
      <c r="H1981" s="116"/>
      <c r="I1981" s="116"/>
      <c r="L1981" s="170">
        <v>45134</v>
      </c>
      <c r="M1981" s="116">
        <v>805</v>
      </c>
      <c r="N1981" s="116">
        <v>823.9</v>
      </c>
      <c r="O1981" s="116">
        <v>795.65</v>
      </c>
      <c r="P1981" s="116">
        <v>823</v>
      </c>
      <c r="Q1981" s="116">
        <v>805</v>
      </c>
      <c r="R1981">
        <v>1035949</v>
      </c>
    </row>
    <row r="1982" spans="1:18" x14ac:dyDescent="0.25">
      <c r="A1982" s="170">
        <v>45135</v>
      </c>
      <c r="B1982" s="116">
        <v>828</v>
      </c>
      <c r="C1982" s="116">
        <v>814.85</v>
      </c>
      <c r="D1982" s="116">
        <v>809.6</v>
      </c>
      <c r="E1982" s="116">
        <v>810</v>
      </c>
      <c r="F1982" s="116">
        <v>814.85</v>
      </c>
      <c r="G1982">
        <v>213403</v>
      </c>
      <c r="H1982" s="116"/>
      <c r="I1982" s="116"/>
      <c r="L1982" s="170">
        <v>45135</v>
      </c>
      <c r="M1982" s="116">
        <v>814.8</v>
      </c>
      <c r="N1982" s="116">
        <v>828</v>
      </c>
      <c r="O1982" s="116">
        <v>808.65</v>
      </c>
      <c r="P1982" s="116">
        <v>812</v>
      </c>
      <c r="Q1982" s="116">
        <v>814.8</v>
      </c>
      <c r="R1982">
        <v>1236699</v>
      </c>
    </row>
    <row r="1983" spans="1:18" x14ac:dyDescent="0.25">
      <c r="A1983" s="170">
        <v>45138</v>
      </c>
      <c r="B1983" s="116">
        <v>836.5</v>
      </c>
      <c r="C1983" s="116">
        <v>821.8</v>
      </c>
      <c r="D1983" s="116">
        <v>815</v>
      </c>
      <c r="E1983" s="116">
        <v>828</v>
      </c>
      <c r="F1983" s="116">
        <v>821.8</v>
      </c>
      <c r="G1983">
        <v>253136</v>
      </c>
      <c r="H1983" s="116"/>
      <c r="I1983" s="116"/>
      <c r="L1983" s="170">
        <v>45138</v>
      </c>
      <c r="M1983" s="116">
        <v>820.7</v>
      </c>
      <c r="N1983" s="116">
        <v>836.9</v>
      </c>
      <c r="O1983" s="116">
        <v>815</v>
      </c>
      <c r="P1983" s="116">
        <v>826</v>
      </c>
      <c r="Q1983" s="116">
        <v>820.7</v>
      </c>
      <c r="R1983">
        <v>1646282</v>
      </c>
    </row>
    <row r="1984" spans="1:18" x14ac:dyDescent="0.25">
      <c r="A1984" s="170">
        <v>45139</v>
      </c>
      <c r="B1984" s="116">
        <v>826.3</v>
      </c>
      <c r="C1984" s="116">
        <v>803.9</v>
      </c>
      <c r="D1984" s="116">
        <v>796.4</v>
      </c>
      <c r="E1984" s="116">
        <v>821.9</v>
      </c>
      <c r="F1984" s="116">
        <v>803.9</v>
      </c>
      <c r="G1984">
        <v>254282</v>
      </c>
      <c r="H1984" s="116"/>
      <c r="I1984" s="116"/>
      <c r="L1984" s="170">
        <v>45139</v>
      </c>
      <c r="M1984" s="116">
        <v>803.95</v>
      </c>
      <c r="N1984" s="116">
        <v>826.55</v>
      </c>
      <c r="O1984" s="116">
        <v>800.1</v>
      </c>
      <c r="P1984" s="116">
        <v>823.7</v>
      </c>
      <c r="Q1984" s="116">
        <v>803.95</v>
      </c>
      <c r="R1984">
        <v>1156013</v>
      </c>
    </row>
    <row r="1985" spans="1:18" x14ac:dyDescent="0.25">
      <c r="A1985" s="170">
        <v>45140</v>
      </c>
      <c r="B1985" s="116">
        <v>815.8</v>
      </c>
      <c r="C1985" s="116">
        <v>790.15</v>
      </c>
      <c r="D1985" s="116">
        <v>784.55</v>
      </c>
      <c r="E1985" s="116">
        <v>804</v>
      </c>
      <c r="F1985" s="116">
        <v>790.15</v>
      </c>
      <c r="G1985">
        <v>58185</v>
      </c>
      <c r="H1985" s="116"/>
      <c r="I1985" s="116"/>
      <c r="L1985" s="170">
        <v>45140</v>
      </c>
      <c r="M1985" s="116">
        <v>789.3</v>
      </c>
      <c r="N1985" s="116">
        <v>816</v>
      </c>
      <c r="O1985" s="116">
        <v>784.05</v>
      </c>
      <c r="P1985" s="116">
        <v>805</v>
      </c>
      <c r="Q1985" s="116">
        <v>789.3</v>
      </c>
      <c r="R1985">
        <v>1070171</v>
      </c>
    </row>
    <row r="1986" spans="1:18" x14ac:dyDescent="0.25">
      <c r="A1986" s="170">
        <v>45141</v>
      </c>
      <c r="B1986" s="116">
        <v>804.1</v>
      </c>
      <c r="C1986" s="116">
        <v>796.2</v>
      </c>
      <c r="D1986" s="116">
        <v>780</v>
      </c>
      <c r="E1986" s="116">
        <v>788</v>
      </c>
      <c r="F1986" s="116">
        <v>796.2</v>
      </c>
      <c r="G1986">
        <v>190355</v>
      </c>
      <c r="H1986" s="116"/>
      <c r="I1986" s="116"/>
      <c r="L1986" s="170">
        <v>45141</v>
      </c>
      <c r="M1986" s="116">
        <v>796.7</v>
      </c>
      <c r="N1986" s="116">
        <v>804</v>
      </c>
      <c r="O1986" s="116">
        <v>780.1</v>
      </c>
      <c r="P1986" s="116">
        <v>790.8</v>
      </c>
      <c r="Q1986" s="116">
        <v>796.7</v>
      </c>
      <c r="R1986">
        <v>4534652</v>
      </c>
    </row>
    <row r="1987" spans="1:18" x14ac:dyDescent="0.25">
      <c r="A1987" s="170">
        <v>45142</v>
      </c>
      <c r="B1987" s="116">
        <v>804.1</v>
      </c>
      <c r="C1987" s="116">
        <v>795.7</v>
      </c>
      <c r="D1987" s="116">
        <v>788.6</v>
      </c>
      <c r="E1987" s="116">
        <v>797</v>
      </c>
      <c r="F1987" s="116">
        <v>795.7</v>
      </c>
      <c r="G1987">
        <v>51745</v>
      </c>
      <c r="H1987" s="116"/>
      <c r="I1987" s="116"/>
      <c r="L1987" s="170">
        <v>45142</v>
      </c>
      <c r="M1987" s="116">
        <v>796.65</v>
      </c>
      <c r="N1987" s="116">
        <v>804.45</v>
      </c>
      <c r="O1987" s="116">
        <v>788.35</v>
      </c>
      <c r="P1987" s="116">
        <v>800</v>
      </c>
      <c r="Q1987" s="116">
        <v>796.65</v>
      </c>
      <c r="R1987">
        <v>5454846</v>
      </c>
    </row>
    <row r="1988" spans="1:18" x14ac:dyDescent="0.25">
      <c r="A1988" s="170">
        <v>45145</v>
      </c>
      <c r="B1988" s="116">
        <v>849</v>
      </c>
      <c r="C1988" s="116">
        <v>831.9</v>
      </c>
      <c r="D1988" s="116">
        <v>783.75</v>
      </c>
      <c r="E1988" s="116">
        <v>797</v>
      </c>
      <c r="F1988" s="116">
        <v>831.9</v>
      </c>
      <c r="G1988">
        <v>167103</v>
      </c>
      <c r="H1988" s="116"/>
      <c r="I1988" s="116"/>
      <c r="L1988" s="170">
        <v>45145</v>
      </c>
      <c r="M1988" s="116">
        <v>832.7</v>
      </c>
      <c r="N1988" s="116">
        <v>850</v>
      </c>
      <c r="O1988" s="116">
        <v>783.6</v>
      </c>
      <c r="P1988" s="116">
        <v>800</v>
      </c>
      <c r="Q1988" s="116">
        <v>832.7</v>
      </c>
      <c r="R1988">
        <v>8408122</v>
      </c>
    </row>
    <row r="1989" spans="1:18" x14ac:dyDescent="0.25">
      <c r="A1989" s="170">
        <v>45146</v>
      </c>
      <c r="B1989" s="116">
        <v>839</v>
      </c>
      <c r="C1989" s="116">
        <v>823.85</v>
      </c>
      <c r="D1989" s="116">
        <v>812.4</v>
      </c>
      <c r="E1989" s="116">
        <v>819.5</v>
      </c>
      <c r="F1989" s="116">
        <v>823.85</v>
      </c>
      <c r="G1989">
        <v>113216</v>
      </c>
      <c r="H1989" s="116"/>
      <c r="I1989" s="116"/>
      <c r="L1989" s="170">
        <v>45146</v>
      </c>
      <c r="M1989" s="116">
        <v>823.6</v>
      </c>
      <c r="N1989" s="116">
        <v>839.55</v>
      </c>
      <c r="O1989" s="116">
        <v>811.9</v>
      </c>
      <c r="P1989" s="116">
        <v>820</v>
      </c>
      <c r="Q1989" s="116">
        <v>823.6</v>
      </c>
      <c r="R1989">
        <v>7282138</v>
      </c>
    </row>
    <row r="1990" spans="1:18" x14ac:dyDescent="0.25">
      <c r="A1990" s="170">
        <v>45147</v>
      </c>
      <c r="B1990" s="116">
        <v>824.75</v>
      </c>
      <c r="C1990" s="116">
        <v>811.95</v>
      </c>
      <c r="D1990" s="116">
        <v>810</v>
      </c>
      <c r="E1990" s="116">
        <v>824</v>
      </c>
      <c r="F1990" s="116">
        <v>811.95</v>
      </c>
      <c r="G1990">
        <v>158723</v>
      </c>
      <c r="H1990" s="116"/>
      <c r="I1990" s="116"/>
      <c r="L1990" s="170">
        <v>45147</v>
      </c>
      <c r="M1990" s="116">
        <v>811.95</v>
      </c>
      <c r="N1990" s="116">
        <v>825.25</v>
      </c>
      <c r="O1990" s="116">
        <v>810</v>
      </c>
      <c r="P1990" s="116">
        <v>821.25</v>
      </c>
      <c r="Q1990" s="116">
        <v>811.95</v>
      </c>
      <c r="R1990">
        <v>6911943</v>
      </c>
    </row>
    <row r="1991" spans="1:18" x14ac:dyDescent="0.25">
      <c r="A1991" s="170">
        <v>45148</v>
      </c>
      <c r="B1991" s="116">
        <v>825.65</v>
      </c>
      <c r="C1991" s="116">
        <v>820.6</v>
      </c>
      <c r="D1991" s="116">
        <v>810</v>
      </c>
      <c r="E1991" s="116">
        <v>810</v>
      </c>
      <c r="F1991" s="116">
        <v>820.6</v>
      </c>
      <c r="G1991">
        <v>213808</v>
      </c>
      <c r="H1991" s="116"/>
      <c r="I1991" s="116"/>
      <c r="L1991" s="170">
        <v>45148</v>
      </c>
      <c r="M1991" s="116">
        <v>820.8</v>
      </c>
      <c r="N1991" s="116">
        <v>826</v>
      </c>
      <c r="O1991" s="116">
        <v>812.3</v>
      </c>
      <c r="P1991" s="116">
        <v>813</v>
      </c>
      <c r="Q1991" s="116">
        <v>820.8</v>
      </c>
      <c r="R1991">
        <v>6591528</v>
      </c>
    </row>
    <row r="1992" spans="1:18" x14ac:dyDescent="0.25">
      <c r="A1992" s="170">
        <v>45149</v>
      </c>
      <c r="B1992" s="116">
        <v>835.5</v>
      </c>
      <c r="C1992" s="116">
        <v>830.65</v>
      </c>
      <c r="D1992" s="116">
        <v>818.35</v>
      </c>
      <c r="E1992" s="116">
        <v>820.6</v>
      </c>
      <c r="F1992" s="116">
        <v>830.65</v>
      </c>
      <c r="G1992">
        <v>101342</v>
      </c>
      <c r="H1992" s="116"/>
      <c r="I1992" s="116"/>
      <c r="L1992" s="170">
        <v>45149</v>
      </c>
      <c r="M1992" s="116">
        <v>831.7</v>
      </c>
      <c r="N1992" s="116">
        <v>836</v>
      </c>
      <c r="O1992" s="116">
        <v>818.1</v>
      </c>
      <c r="P1992" s="116">
        <v>822.9</v>
      </c>
      <c r="Q1992" s="116">
        <v>831.7</v>
      </c>
      <c r="R1992">
        <v>9078389</v>
      </c>
    </row>
    <row r="1993" spans="1:18" x14ac:dyDescent="0.25">
      <c r="A1993" s="170">
        <v>45152</v>
      </c>
      <c r="B1993" s="116">
        <v>821</v>
      </c>
      <c r="C1993" s="116">
        <v>808.3</v>
      </c>
      <c r="D1993" s="116">
        <v>791</v>
      </c>
      <c r="E1993" s="116">
        <v>808.9</v>
      </c>
      <c r="F1993" s="116">
        <v>808.3</v>
      </c>
      <c r="G1993">
        <v>97050</v>
      </c>
      <c r="H1993" s="116"/>
      <c r="I1993" s="116"/>
      <c r="L1993" s="170">
        <v>45152</v>
      </c>
      <c r="M1993" s="116">
        <v>808.3</v>
      </c>
      <c r="N1993" s="116">
        <v>821.2</v>
      </c>
      <c r="O1993" s="116">
        <v>790.1</v>
      </c>
      <c r="P1993" s="116">
        <v>813.75</v>
      </c>
      <c r="Q1993" s="116">
        <v>808.3</v>
      </c>
      <c r="R1993">
        <v>8277053</v>
      </c>
    </row>
    <row r="1994" spans="1:18" x14ac:dyDescent="0.25">
      <c r="A1994" s="170">
        <v>45154</v>
      </c>
      <c r="B1994" s="116">
        <v>823.05</v>
      </c>
      <c r="C1994" s="116">
        <v>818.25</v>
      </c>
      <c r="D1994" s="116">
        <v>792</v>
      </c>
      <c r="E1994" s="116">
        <v>792</v>
      </c>
      <c r="F1994" s="116">
        <v>818.25</v>
      </c>
      <c r="G1994">
        <v>183754</v>
      </c>
      <c r="H1994" s="116"/>
      <c r="I1994" s="116"/>
      <c r="L1994" s="170">
        <v>45154</v>
      </c>
      <c r="M1994" s="116">
        <v>818.1</v>
      </c>
      <c r="N1994" s="116">
        <v>822.9</v>
      </c>
      <c r="O1994" s="116">
        <v>795</v>
      </c>
      <c r="P1994" s="116">
        <v>795</v>
      </c>
      <c r="Q1994" s="116">
        <v>818.1</v>
      </c>
      <c r="R1994">
        <v>7337822</v>
      </c>
    </row>
    <row r="1995" spans="1:18" x14ac:dyDescent="0.25">
      <c r="A1995" s="170">
        <v>45155</v>
      </c>
      <c r="B1995" s="116">
        <v>836</v>
      </c>
      <c r="C1995" s="116">
        <v>821.7</v>
      </c>
      <c r="D1995" s="116">
        <v>814</v>
      </c>
      <c r="E1995" s="116">
        <v>814</v>
      </c>
      <c r="F1995" s="116">
        <v>821.7</v>
      </c>
      <c r="G1995">
        <v>164666</v>
      </c>
      <c r="H1995" s="116"/>
      <c r="I1995" s="116"/>
      <c r="L1995" s="170">
        <v>45155</v>
      </c>
      <c r="M1995" s="116">
        <v>822.2</v>
      </c>
      <c r="N1995" s="116">
        <v>836.45</v>
      </c>
      <c r="O1995" s="116">
        <v>819</v>
      </c>
      <c r="P1995" s="116">
        <v>819.85</v>
      </c>
      <c r="Q1995" s="116">
        <v>822.2</v>
      </c>
      <c r="R1995">
        <v>3958662</v>
      </c>
    </row>
    <row r="1996" spans="1:18" x14ac:dyDescent="0.25">
      <c r="A1996" s="170">
        <v>45156</v>
      </c>
      <c r="B1996" s="116">
        <v>894.35</v>
      </c>
      <c r="C1996" s="116">
        <v>871.3</v>
      </c>
      <c r="D1996" s="116">
        <v>822.05</v>
      </c>
      <c r="E1996" s="116">
        <v>822.05</v>
      </c>
      <c r="F1996" s="116">
        <v>871.3</v>
      </c>
      <c r="G1996">
        <v>281800</v>
      </c>
      <c r="H1996" s="116"/>
      <c r="I1996" s="116"/>
      <c r="L1996" s="170">
        <v>45156</v>
      </c>
      <c r="M1996" s="116">
        <v>871.9</v>
      </c>
      <c r="N1996" s="116">
        <v>894</v>
      </c>
      <c r="O1996" s="116">
        <v>824.75</v>
      </c>
      <c r="P1996" s="116">
        <v>824.9</v>
      </c>
      <c r="Q1996" s="116">
        <v>871.9</v>
      </c>
      <c r="R1996">
        <v>7798779</v>
      </c>
    </row>
    <row r="1997" spans="1:18" x14ac:dyDescent="0.25">
      <c r="A1997" s="170">
        <v>45159</v>
      </c>
      <c r="B1997" s="116">
        <v>932.35</v>
      </c>
      <c r="C1997" s="116">
        <v>923.4</v>
      </c>
      <c r="D1997" s="116">
        <v>872.05</v>
      </c>
      <c r="E1997" s="116">
        <v>872.05</v>
      </c>
      <c r="F1997" s="116">
        <v>923.4</v>
      </c>
      <c r="G1997">
        <v>238167</v>
      </c>
      <c r="H1997" s="116"/>
      <c r="I1997" s="116"/>
      <c r="L1997" s="170">
        <v>45159</v>
      </c>
      <c r="M1997" s="116">
        <v>923.55</v>
      </c>
      <c r="N1997" s="116">
        <v>932</v>
      </c>
      <c r="O1997" s="116">
        <v>878</v>
      </c>
      <c r="P1997" s="116">
        <v>879</v>
      </c>
      <c r="Q1997" s="116">
        <v>923.55</v>
      </c>
      <c r="R1997">
        <v>8978809</v>
      </c>
    </row>
    <row r="1998" spans="1:18" x14ac:dyDescent="0.25">
      <c r="A1998" s="170">
        <v>45160</v>
      </c>
      <c r="B1998" s="116">
        <v>976.45</v>
      </c>
      <c r="C1998" s="116">
        <v>960.2</v>
      </c>
      <c r="D1998" s="116">
        <v>924</v>
      </c>
      <c r="E1998" s="116">
        <v>942.1</v>
      </c>
      <c r="F1998" s="116">
        <v>960.2</v>
      </c>
      <c r="G1998">
        <v>343758</v>
      </c>
      <c r="H1998" s="116"/>
      <c r="I1998" s="116"/>
      <c r="L1998" s="170">
        <v>45160</v>
      </c>
      <c r="M1998" s="116">
        <v>960.15</v>
      </c>
      <c r="N1998" s="116">
        <v>976.95</v>
      </c>
      <c r="O1998" s="116">
        <v>923.85</v>
      </c>
      <c r="P1998" s="116">
        <v>945.1</v>
      </c>
      <c r="Q1998" s="116">
        <v>960.15</v>
      </c>
      <c r="R1998">
        <v>11493001</v>
      </c>
    </row>
    <row r="1999" spans="1:18" x14ac:dyDescent="0.25">
      <c r="A1999" s="170">
        <v>45161</v>
      </c>
      <c r="B1999" s="116">
        <v>970</v>
      </c>
      <c r="C1999" s="116">
        <v>886.3</v>
      </c>
      <c r="D1999" s="116">
        <v>855.7</v>
      </c>
      <c r="E1999" s="116">
        <v>965</v>
      </c>
      <c r="F1999" s="116">
        <v>886.3</v>
      </c>
      <c r="G1999">
        <v>625473</v>
      </c>
      <c r="H1999" s="116"/>
      <c r="I1999" s="116"/>
      <c r="L1999" s="170">
        <v>45161</v>
      </c>
      <c r="M1999" s="116">
        <v>890.4</v>
      </c>
      <c r="N1999" s="116">
        <v>969.7</v>
      </c>
      <c r="O1999" s="116">
        <v>859</v>
      </c>
      <c r="P1999" s="116">
        <v>965</v>
      </c>
      <c r="Q1999" s="116">
        <v>890.4</v>
      </c>
      <c r="R1999">
        <v>4192309</v>
      </c>
    </row>
    <row r="2000" spans="1:18" x14ac:dyDescent="0.25">
      <c r="A2000" s="170">
        <v>45162</v>
      </c>
      <c r="B2000" s="116">
        <v>929.6</v>
      </c>
      <c r="C2000" s="116">
        <v>895.9</v>
      </c>
      <c r="D2000" s="116">
        <v>893</v>
      </c>
      <c r="E2000" s="116">
        <v>910</v>
      </c>
      <c r="F2000" s="116">
        <v>895.9</v>
      </c>
      <c r="G2000">
        <v>76261</v>
      </c>
      <c r="H2000" s="116"/>
      <c r="I2000" s="116"/>
      <c r="L2000" s="170">
        <v>45162</v>
      </c>
      <c r="M2000" s="116">
        <v>895.15</v>
      </c>
      <c r="N2000" s="116">
        <v>934</v>
      </c>
      <c r="O2000" s="116">
        <v>892.05</v>
      </c>
      <c r="P2000" s="116">
        <v>907.95</v>
      </c>
      <c r="Q2000" s="116">
        <v>895.15</v>
      </c>
      <c r="R2000">
        <v>1134578</v>
      </c>
    </row>
    <row r="2001" spans="1:18" x14ac:dyDescent="0.25">
      <c r="A2001" s="170">
        <v>45163</v>
      </c>
      <c r="B2001" s="116">
        <v>899</v>
      </c>
      <c r="C2001" s="116">
        <v>874.5</v>
      </c>
      <c r="D2001" s="116">
        <v>865.05</v>
      </c>
      <c r="E2001" s="116">
        <v>895.9</v>
      </c>
      <c r="F2001" s="116">
        <v>874.5</v>
      </c>
      <c r="G2001">
        <v>160582</v>
      </c>
      <c r="H2001" s="116"/>
      <c r="I2001" s="116"/>
      <c r="L2001" s="170">
        <v>45163</v>
      </c>
      <c r="M2001" s="116">
        <v>874.55</v>
      </c>
      <c r="N2001" s="116">
        <v>898.85</v>
      </c>
      <c r="O2001" s="116">
        <v>865</v>
      </c>
      <c r="P2001" s="116">
        <v>895.15</v>
      </c>
      <c r="Q2001" s="116">
        <v>874.55</v>
      </c>
      <c r="R2001">
        <v>983333</v>
      </c>
    </row>
    <row r="2002" spans="1:18" x14ac:dyDescent="0.25">
      <c r="A2002" s="170">
        <v>45166</v>
      </c>
      <c r="B2002" s="116">
        <v>897.8</v>
      </c>
      <c r="C2002" s="116">
        <v>864.95</v>
      </c>
      <c r="D2002" s="116">
        <v>860.15</v>
      </c>
      <c r="E2002" s="116">
        <v>892.25</v>
      </c>
      <c r="F2002" s="116">
        <v>864.95</v>
      </c>
      <c r="G2002">
        <v>60516</v>
      </c>
      <c r="H2002" s="116"/>
      <c r="I2002" s="116"/>
      <c r="L2002" s="170">
        <v>45166</v>
      </c>
      <c r="M2002" s="116">
        <v>864.95</v>
      </c>
      <c r="N2002" s="116">
        <v>899</v>
      </c>
      <c r="O2002" s="116">
        <v>860</v>
      </c>
      <c r="P2002" s="116">
        <v>895</v>
      </c>
      <c r="Q2002" s="116">
        <v>864.95</v>
      </c>
      <c r="R2002">
        <v>995290</v>
      </c>
    </row>
    <row r="2003" spans="1:18" x14ac:dyDescent="0.25">
      <c r="A2003" s="170">
        <v>45167</v>
      </c>
      <c r="B2003" s="116">
        <v>874</v>
      </c>
      <c r="C2003" s="116">
        <v>857.55</v>
      </c>
      <c r="D2003" s="116">
        <v>852.4</v>
      </c>
      <c r="E2003" s="116">
        <v>867.05</v>
      </c>
      <c r="F2003" s="116">
        <v>857.55</v>
      </c>
      <c r="G2003">
        <v>156893</v>
      </c>
      <c r="H2003" s="116"/>
      <c r="I2003" s="116"/>
      <c r="L2003" s="170">
        <v>45167</v>
      </c>
      <c r="M2003" s="116">
        <v>857.15</v>
      </c>
      <c r="N2003" s="116">
        <v>875.1</v>
      </c>
      <c r="O2003" s="116">
        <v>852.6</v>
      </c>
      <c r="P2003" s="116">
        <v>869.1</v>
      </c>
      <c r="Q2003" s="116">
        <v>857.15</v>
      </c>
      <c r="R2003">
        <v>1218219</v>
      </c>
    </row>
    <row r="2004" spans="1:18" x14ac:dyDescent="0.25">
      <c r="A2004" s="170">
        <v>45168</v>
      </c>
      <c r="B2004" s="116">
        <v>866.3</v>
      </c>
      <c r="C2004" s="116">
        <v>841.75</v>
      </c>
      <c r="D2004" s="116">
        <v>840</v>
      </c>
      <c r="E2004" s="116">
        <v>861</v>
      </c>
      <c r="F2004" s="116">
        <v>841.75</v>
      </c>
      <c r="G2004">
        <v>149515</v>
      </c>
      <c r="H2004" s="116"/>
      <c r="I2004" s="116"/>
      <c r="L2004" s="170">
        <v>45168</v>
      </c>
      <c r="M2004" s="116">
        <v>841.7</v>
      </c>
      <c r="N2004" s="116">
        <v>864.85</v>
      </c>
      <c r="O2004" s="116">
        <v>840</v>
      </c>
      <c r="P2004" s="116">
        <v>861.85</v>
      </c>
      <c r="Q2004" s="116">
        <v>841.7</v>
      </c>
      <c r="R2004">
        <v>857053</v>
      </c>
    </row>
    <row r="2005" spans="1:18" x14ac:dyDescent="0.25">
      <c r="A2005" s="170">
        <v>45169</v>
      </c>
      <c r="B2005" s="116">
        <v>830</v>
      </c>
      <c r="C2005" s="116">
        <v>812.15</v>
      </c>
      <c r="D2005" s="116">
        <v>805.05</v>
      </c>
      <c r="E2005" s="116">
        <v>805.05</v>
      </c>
      <c r="F2005" s="116">
        <v>812.15</v>
      </c>
      <c r="G2005">
        <v>340392</v>
      </c>
      <c r="H2005" s="116"/>
      <c r="I2005" s="116"/>
      <c r="L2005" s="170">
        <v>45169</v>
      </c>
      <c r="M2005" s="116">
        <v>811.95</v>
      </c>
      <c r="N2005" s="116">
        <v>830.75</v>
      </c>
      <c r="O2005" s="116">
        <v>800.1</v>
      </c>
      <c r="P2005" s="116">
        <v>820</v>
      </c>
      <c r="Q2005" s="116">
        <v>811.95</v>
      </c>
      <c r="R2005">
        <v>1636383</v>
      </c>
    </row>
    <row r="2006" spans="1:18" x14ac:dyDescent="0.25">
      <c r="A2006" s="170">
        <v>45170</v>
      </c>
      <c r="B2006" s="116">
        <v>836.4</v>
      </c>
      <c r="C2006" s="116">
        <v>825.3</v>
      </c>
      <c r="D2006" s="116">
        <v>793.5</v>
      </c>
      <c r="E2006" s="116">
        <v>803.05</v>
      </c>
      <c r="F2006" s="116">
        <v>825.3</v>
      </c>
      <c r="G2006">
        <v>281304</v>
      </c>
      <c r="H2006" s="116"/>
      <c r="I2006" s="116"/>
      <c r="L2006" s="170">
        <v>45170</v>
      </c>
      <c r="M2006" s="116">
        <v>824.9</v>
      </c>
      <c r="N2006" s="116">
        <v>835.85</v>
      </c>
      <c r="O2006" s="116">
        <v>791.05</v>
      </c>
      <c r="P2006" s="116">
        <v>803.85</v>
      </c>
      <c r="Q2006" s="116">
        <v>824.9</v>
      </c>
      <c r="R2006">
        <v>1204025</v>
      </c>
    </row>
    <row r="2007" spans="1:18" x14ac:dyDescent="0.25">
      <c r="A2007" s="170">
        <v>45173</v>
      </c>
      <c r="B2007" s="116">
        <v>835.05</v>
      </c>
      <c r="C2007" s="116">
        <v>817.8</v>
      </c>
      <c r="D2007" s="116">
        <v>815</v>
      </c>
      <c r="E2007" s="116">
        <v>826.05</v>
      </c>
      <c r="F2007" s="116">
        <v>817.8</v>
      </c>
      <c r="G2007">
        <v>151262</v>
      </c>
      <c r="H2007" s="116"/>
      <c r="I2007" s="116"/>
      <c r="L2007" s="170">
        <v>45173</v>
      </c>
      <c r="M2007" s="116">
        <v>817.6</v>
      </c>
      <c r="N2007" s="116">
        <v>834.9</v>
      </c>
      <c r="O2007" s="116">
        <v>815</v>
      </c>
      <c r="P2007" s="116">
        <v>830</v>
      </c>
      <c r="Q2007" s="116">
        <v>817.6</v>
      </c>
      <c r="R2007">
        <v>825805</v>
      </c>
    </row>
    <row r="2008" spans="1:18" x14ac:dyDescent="0.25">
      <c r="A2008" s="170">
        <v>45174</v>
      </c>
      <c r="B2008" s="116">
        <v>828.6</v>
      </c>
      <c r="C2008" s="116">
        <v>813.4</v>
      </c>
      <c r="D2008" s="116">
        <v>811.4</v>
      </c>
      <c r="E2008" s="116">
        <v>820.05</v>
      </c>
      <c r="F2008" s="116">
        <v>813.4</v>
      </c>
      <c r="G2008">
        <v>119593</v>
      </c>
      <c r="H2008" s="116"/>
      <c r="I2008" s="116"/>
      <c r="L2008" s="170">
        <v>45174</v>
      </c>
      <c r="M2008" s="116">
        <v>813.45</v>
      </c>
      <c r="N2008" s="116">
        <v>825.85</v>
      </c>
      <c r="O2008" s="116">
        <v>811.5</v>
      </c>
      <c r="P2008" s="116">
        <v>821.65</v>
      </c>
      <c r="Q2008" s="116">
        <v>813.45</v>
      </c>
      <c r="R2008">
        <v>684436</v>
      </c>
    </row>
    <row r="2009" spans="1:18" x14ac:dyDescent="0.25">
      <c r="A2009" s="170">
        <v>45175</v>
      </c>
      <c r="B2009" s="116">
        <v>861.6</v>
      </c>
      <c r="C2009" s="116">
        <v>855.95</v>
      </c>
      <c r="D2009" s="116">
        <v>807.15</v>
      </c>
      <c r="E2009" s="116">
        <v>817.75</v>
      </c>
      <c r="F2009" s="116">
        <v>855.95</v>
      </c>
      <c r="G2009">
        <v>136282</v>
      </c>
      <c r="H2009" s="116"/>
      <c r="I2009" s="116"/>
      <c r="L2009" s="170">
        <v>45175</v>
      </c>
      <c r="M2009" s="116">
        <v>855.95</v>
      </c>
      <c r="N2009" s="116">
        <v>859.45</v>
      </c>
      <c r="O2009" s="116">
        <v>809</v>
      </c>
      <c r="P2009" s="116">
        <v>815.05</v>
      </c>
      <c r="Q2009" s="116">
        <v>855.95</v>
      </c>
      <c r="R2009">
        <v>8646350</v>
      </c>
    </row>
    <row r="2010" spans="1:18" x14ac:dyDescent="0.25">
      <c r="A2010" s="170">
        <v>45176</v>
      </c>
      <c r="B2010" s="116">
        <v>859</v>
      </c>
      <c r="C2010" s="116">
        <v>838.35</v>
      </c>
      <c r="D2010" s="116">
        <v>834.1</v>
      </c>
      <c r="E2010" s="116">
        <v>859</v>
      </c>
      <c r="F2010" s="116">
        <v>838.35</v>
      </c>
      <c r="G2010">
        <v>219383</v>
      </c>
      <c r="H2010" s="116"/>
      <c r="I2010" s="116"/>
      <c r="L2010" s="170">
        <v>45176</v>
      </c>
      <c r="M2010" s="116">
        <v>839.4</v>
      </c>
      <c r="N2010" s="116">
        <v>858.9</v>
      </c>
      <c r="O2010" s="116">
        <v>833.1</v>
      </c>
      <c r="P2010" s="116">
        <v>858.9</v>
      </c>
      <c r="Q2010" s="116">
        <v>839.4</v>
      </c>
      <c r="R2010">
        <v>6099751</v>
      </c>
    </row>
    <row r="2011" spans="1:18" x14ac:dyDescent="0.25">
      <c r="A2011" s="170">
        <v>45177</v>
      </c>
      <c r="B2011" s="116">
        <v>846.5</v>
      </c>
      <c r="C2011" s="116">
        <v>832.9</v>
      </c>
      <c r="D2011" s="116">
        <v>831.1</v>
      </c>
      <c r="E2011" s="116">
        <v>842</v>
      </c>
      <c r="F2011" s="116">
        <v>832.9</v>
      </c>
      <c r="G2011">
        <v>46123</v>
      </c>
      <c r="H2011" s="116"/>
      <c r="I2011" s="116"/>
      <c r="L2011" s="170">
        <v>45177</v>
      </c>
      <c r="M2011" s="116">
        <v>833</v>
      </c>
      <c r="N2011" s="116">
        <v>846</v>
      </c>
      <c r="O2011" s="116">
        <v>831</v>
      </c>
      <c r="P2011" s="116">
        <v>843.8</v>
      </c>
      <c r="Q2011" s="116">
        <v>833</v>
      </c>
      <c r="R2011">
        <v>937304</v>
      </c>
    </row>
    <row r="2012" spans="1:18" x14ac:dyDescent="0.25">
      <c r="A2012" s="170">
        <v>45180</v>
      </c>
      <c r="B2012" s="116">
        <v>877.15</v>
      </c>
      <c r="C2012" s="116">
        <v>875.15</v>
      </c>
      <c r="D2012" s="116">
        <v>838.35</v>
      </c>
      <c r="E2012" s="116">
        <v>842</v>
      </c>
      <c r="F2012" s="116">
        <v>875.15</v>
      </c>
      <c r="G2012">
        <v>130331</v>
      </c>
      <c r="H2012" s="116"/>
      <c r="I2012" s="116"/>
      <c r="L2012" s="170">
        <v>45180</v>
      </c>
      <c r="M2012" s="116">
        <v>874.9</v>
      </c>
      <c r="N2012" s="116">
        <v>877</v>
      </c>
      <c r="O2012" s="116">
        <v>838</v>
      </c>
      <c r="P2012" s="116">
        <v>843.4</v>
      </c>
      <c r="Q2012" s="116">
        <v>874.9</v>
      </c>
      <c r="R2012">
        <v>6691473</v>
      </c>
    </row>
    <row r="2013" spans="1:18" x14ac:dyDescent="0.25">
      <c r="A2013" s="170">
        <v>45181</v>
      </c>
      <c r="B2013" s="116">
        <v>888.95</v>
      </c>
      <c r="C2013" s="116">
        <v>852.35</v>
      </c>
      <c r="D2013" s="116">
        <v>825.45</v>
      </c>
      <c r="E2013" s="116">
        <v>880</v>
      </c>
      <c r="F2013" s="116">
        <v>852.35</v>
      </c>
      <c r="G2013">
        <v>349171</v>
      </c>
      <c r="H2013" s="116"/>
      <c r="I2013" s="116"/>
      <c r="L2013" s="170">
        <v>45181</v>
      </c>
      <c r="M2013" s="116">
        <v>852.3</v>
      </c>
      <c r="N2013" s="116">
        <v>888.75</v>
      </c>
      <c r="O2013" s="116">
        <v>834.2</v>
      </c>
      <c r="P2013" s="116">
        <v>880</v>
      </c>
      <c r="Q2013" s="116">
        <v>852.3</v>
      </c>
      <c r="R2013">
        <v>5946118</v>
      </c>
    </row>
    <row r="2014" spans="1:18" x14ac:dyDescent="0.25">
      <c r="A2014" s="170">
        <v>45182</v>
      </c>
      <c r="B2014" s="116">
        <v>854.9</v>
      </c>
      <c r="C2014" s="116">
        <v>836.95</v>
      </c>
      <c r="D2014" s="116">
        <v>832</v>
      </c>
      <c r="E2014" s="116">
        <v>846.95</v>
      </c>
      <c r="F2014" s="116">
        <v>836.95</v>
      </c>
      <c r="G2014">
        <v>129740</v>
      </c>
      <c r="H2014" s="116"/>
      <c r="I2014" s="116"/>
      <c r="L2014" s="170">
        <v>45182</v>
      </c>
      <c r="M2014" s="116">
        <v>836.9</v>
      </c>
      <c r="N2014" s="116">
        <v>854.9</v>
      </c>
      <c r="O2014" s="116">
        <v>832</v>
      </c>
      <c r="P2014" s="116">
        <v>852.3</v>
      </c>
      <c r="Q2014" s="116">
        <v>836.9</v>
      </c>
      <c r="R2014">
        <v>703403</v>
      </c>
    </row>
    <row r="2015" spans="1:18" x14ac:dyDescent="0.25">
      <c r="A2015" s="170">
        <v>45183</v>
      </c>
      <c r="B2015" s="116">
        <v>855</v>
      </c>
      <c r="C2015" s="116">
        <v>851.55</v>
      </c>
      <c r="D2015" s="116">
        <v>836</v>
      </c>
      <c r="E2015" s="116">
        <v>842.8</v>
      </c>
      <c r="F2015" s="116">
        <v>851.55</v>
      </c>
      <c r="G2015">
        <v>113850</v>
      </c>
      <c r="H2015" s="116"/>
      <c r="I2015" s="116"/>
      <c r="L2015" s="170">
        <v>45183</v>
      </c>
      <c r="M2015" s="116">
        <v>851.75</v>
      </c>
      <c r="N2015" s="116">
        <v>855.1</v>
      </c>
      <c r="O2015" s="116">
        <v>835</v>
      </c>
      <c r="P2015" s="116">
        <v>840.9</v>
      </c>
      <c r="Q2015" s="116">
        <v>851.75</v>
      </c>
      <c r="R2015">
        <v>4528205</v>
      </c>
    </row>
    <row r="2016" spans="1:18" x14ac:dyDescent="0.25">
      <c r="A2016" s="170">
        <v>45184</v>
      </c>
      <c r="B2016" s="116">
        <v>859.35</v>
      </c>
      <c r="C2016" s="116">
        <v>846.4</v>
      </c>
      <c r="D2016" s="116">
        <v>839</v>
      </c>
      <c r="E2016" s="116">
        <v>851.75</v>
      </c>
      <c r="F2016" s="116">
        <v>846.4</v>
      </c>
      <c r="G2016">
        <v>52962</v>
      </c>
      <c r="H2016" s="116"/>
      <c r="I2016" s="116"/>
      <c r="L2016" s="170">
        <v>45184</v>
      </c>
      <c r="M2016" s="116">
        <v>846.1</v>
      </c>
      <c r="N2016" s="116">
        <v>859.9</v>
      </c>
      <c r="O2016" s="116">
        <v>839.05</v>
      </c>
      <c r="P2016" s="116">
        <v>853.2</v>
      </c>
      <c r="Q2016" s="116">
        <v>846.1</v>
      </c>
      <c r="R2016">
        <v>7152425</v>
      </c>
    </row>
    <row r="2017" spans="1:18" x14ac:dyDescent="0.25">
      <c r="A2017" s="170">
        <v>45187</v>
      </c>
      <c r="B2017" s="116">
        <v>871</v>
      </c>
      <c r="C2017" s="116">
        <v>855</v>
      </c>
      <c r="D2017" s="116">
        <v>847.4</v>
      </c>
      <c r="E2017" s="116">
        <v>870.05</v>
      </c>
      <c r="F2017" s="116">
        <v>855</v>
      </c>
      <c r="G2017">
        <v>203886</v>
      </c>
      <c r="H2017" s="116"/>
      <c r="I2017" s="116"/>
      <c r="L2017" s="170">
        <v>45187</v>
      </c>
      <c r="M2017" s="116">
        <v>855.1</v>
      </c>
      <c r="N2017" s="116">
        <v>873.85</v>
      </c>
      <c r="O2017" s="116">
        <v>846.2</v>
      </c>
      <c r="P2017" s="116">
        <v>873.85</v>
      </c>
      <c r="Q2017" s="116">
        <v>855.1</v>
      </c>
      <c r="R2017">
        <v>6408916</v>
      </c>
    </row>
    <row r="2018" spans="1:18" x14ac:dyDescent="0.25">
      <c r="A2018" s="170">
        <v>45189</v>
      </c>
      <c r="B2018" s="116">
        <v>860</v>
      </c>
      <c r="C2018" s="116">
        <v>854.85</v>
      </c>
      <c r="D2018" s="116">
        <v>842.25</v>
      </c>
      <c r="E2018" s="116">
        <v>842.25</v>
      </c>
      <c r="F2018" s="116">
        <v>854.85</v>
      </c>
      <c r="G2018">
        <v>34060</v>
      </c>
      <c r="H2018" s="116"/>
      <c r="I2018" s="116"/>
      <c r="L2018" s="170">
        <v>45189</v>
      </c>
      <c r="M2018" s="116">
        <v>855.2</v>
      </c>
      <c r="N2018" s="116">
        <v>860</v>
      </c>
      <c r="O2018" s="116">
        <v>843.95</v>
      </c>
      <c r="P2018" s="116">
        <v>859</v>
      </c>
      <c r="Q2018" s="116">
        <v>855.2</v>
      </c>
      <c r="R2018">
        <v>4608210</v>
      </c>
    </row>
    <row r="2019" spans="1:18" x14ac:dyDescent="0.25">
      <c r="A2019" s="170">
        <v>45190</v>
      </c>
      <c r="B2019" s="116">
        <v>857.1</v>
      </c>
      <c r="C2019" s="116">
        <v>848.4</v>
      </c>
      <c r="D2019" s="116">
        <v>845</v>
      </c>
      <c r="E2019" s="116">
        <v>854.2</v>
      </c>
      <c r="F2019" s="116">
        <v>848.4</v>
      </c>
      <c r="G2019">
        <v>21938</v>
      </c>
      <c r="H2019" s="116"/>
      <c r="I2019" s="116"/>
      <c r="L2019" s="170">
        <v>45190</v>
      </c>
      <c r="M2019" s="116">
        <v>847.35</v>
      </c>
      <c r="N2019" s="116">
        <v>857</v>
      </c>
      <c r="O2019" s="116">
        <v>844.65</v>
      </c>
      <c r="P2019" s="116">
        <v>853.5</v>
      </c>
      <c r="Q2019" s="116">
        <v>847.35</v>
      </c>
      <c r="R2019">
        <v>771656</v>
      </c>
    </row>
    <row r="2020" spans="1:18" x14ac:dyDescent="0.25">
      <c r="A2020" s="170">
        <v>45191</v>
      </c>
      <c r="B2020" s="116">
        <v>857</v>
      </c>
      <c r="C2020" s="116">
        <v>839.95</v>
      </c>
      <c r="D2020" s="116">
        <v>835.6</v>
      </c>
      <c r="E2020" s="116">
        <v>856.95</v>
      </c>
      <c r="F2020" s="116">
        <v>839.95</v>
      </c>
      <c r="G2020">
        <v>88554</v>
      </c>
      <c r="H2020" s="116"/>
      <c r="I2020" s="116"/>
      <c r="L2020" s="170">
        <v>45191</v>
      </c>
      <c r="M2020" s="116">
        <v>839.1</v>
      </c>
      <c r="N2020" s="116">
        <v>858</v>
      </c>
      <c r="O2020" s="116">
        <v>835</v>
      </c>
      <c r="P2020" s="116">
        <v>855</v>
      </c>
      <c r="Q2020" s="116">
        <v>839.1</v>
      </c>
      <c r="R2020">
        <v>543417</v>
      </c>
    </row>
    <row r="2021" spans="1:18" x14ac:dyDescent="0.25">
      <c r="A2021" s="170">
        <v>45194</v>
      </c>
      <c r="B2021" s="116">
        <v>844.6</v>
      </c>
      <c r="C2021" s="116">
        <v>830.2</v>
      </c>
      <c r="D2021" s="116">
        <v>819.3</v>
      </c>
      <c r="E2021" s="116">
        <v>834.25</v>
      </c>
      <c r="F2021" s="116">
        <v>830.2</v>
      </c>
      <c r="G2021">
        <v>106632</v>
      </c>
      <c r="H2021" s="116"/>
      <c r="I2021" s="116"/>
      <c r="L2021" s="170">
        <v>45194</v>
      </c>
      <c r="M2021" s="116">
        <v>830.4</v>
      </c>
      <c r="N2021" s="116">
        <v>844</v>
      </c>
      <c r="O2021" s="116">
        <v>827.6</v>
      </c>
      <c r="P2021" s="116">
        <v>838</v>
      </c>
      <c r="Q2021" s="116">
        <v>830.4</v>
      </c>
      <c r="R2021">
        <v>404295</v>
      </c>
    </row>
    <row r="2022" spans="1:18" x14ac:dyDescent="0.25">
      <c r="A2022" s="170">
        <v>45195</v>
      </c>
      <c r="B2022" s="116">
        <v>837.2</v>
      </c>
      <c r="C2022" s="116">
        <v>817.75</v>
      </c>
      <c r="D2022" s="116">
        <v>811.45</v>
      </c>
      <c r="E2022" s="116">
        <v>825.8</v>
      </c>
      <c r="F2022" s="116">
        <v>817.75</v>
      </c>
      <c r="G2022">
        <v>43820</v>
      </c>
      <c r="H2022" s="116"/>
      <c r="I2022" s="116"/>
      <c r="L2022" s="170">
        <v>45195</v>
      </c>
      <c r="M2022" s="116">
        <v>817.85</v>
      </c>
      <c r="N2022" s="116">
        <v>837.25</v>
      </c>
      <c r="O2022" s="116">
        <v>811.65</v>
      </c>
      <c r="P2022" s="116">
        <v>825</v>
      </c>
      <c r="Q2022" s="116">
        <v>817.85</v>
      </c>
      <c r="R2022">
        <v>584558</v>
      </c>
    </row>
    <row r="2023" spans="1:18" x14ac:dyDescent="0.25">
      <c r="A2023" s="170">
        <v>45196</v>
      </c>
      <c r="B2023" s="116">
        <v>822.45</v>
      </c>
      <c r="C2023" s="116">
        <v>816</v>
      </c>
      <c r="D2023" s="116">
        <v>813.55</v>
      </c>
      <c r="E2023" s="116">
        <v>820.05</v>
      </c>
      <c r="F2023" s="116">
        <v>816</v>
      </c>
      <c r="G2023">
        <v>22139</v>
      </c>
      <c r="H2023" s="116"/>
      <c r="I2023" s="116"/>
      <c r="L2023" s="170">
        <v>45196</v>
      </c>
      <c r="M2023" s="116">
        <v>816.2</v>
      </c>
      <c r="N2023" s="116">
        <v>822.75</v>
      </c>
      <c r="O2023" s="116">
        <v>812.55</v>
      </c>
      <c r="P2023" s="116">
        <v>822.6</v>
      </c>
      <c r="Q2023" s="116">
        <v>816.2</v>
      </c>
      <c r="R2023">
        <v>443309</v>
      </c>
    </row>
    <row r="2024" spans="1:18" x14ac:dyDescent="0.25">
      <c r="A2024" s="170">
        <v>45197</v>
      </c>
      <c r="B2024" s="116">
        <v>839.9</v>
      </c>
      <c r="C2024" s="116">
        <v>830.15</v>
      </c>
      <c r="D2024" s="116">
        <v>817.85</v>
      </c>
      <c r="E2024" s="116">
        <v>821.95</v>
      </c>
      <c r="F2024" s="116">
        <v>830.15</v>
      </c>
      <c r="G2024">
        <v>31039</v>
      </c>
      <c r="H2024" s="116"/>
      <c r="I2024" s="116"/>
      <c r="L2024" s="170">
        <v>45197</v>
      </c>
      <c r="M2024" s="116">
        <v>830.5</v>
      </c>
      <c r="N2024" s="116">
        <v>839.65</v>
      </c>
      <c r="O2024" s="116">
        <v>816.4</v>
      </c>
      <c r="P2024" s="116">
        <v>817</v>
      </c>
      <c r="Q2024" s="116">
        <v>830.5</v>
      </c>
      <c r="R2024">
        <v>861650</v>
      </c>
    </row>
    <row r="2025" spans="1:18" x14ac:dyDescent="0.25">
      <c r="A2025" s="170">
        <v>45198</v>
      </c>
      <c r="B2025" s="116">
        <v>826.95</v>
      </c>
      <c r="C2025" s="116">
        <v>809</v>
      </c>
      <c r="D2025" s="116">
        <v>800.7</v>
      </c>
      <c r="E2025" s="116">
        <v>826.95</v>
      </c>
      <c r="F2025" s="116">
        <v>809</v>
      </c>
      <c r="G2025">
        <v>75666</v>
      </c>
      <c r="H2025" s="116"/>
      <c r="I2025" s="116"/>
      <c r="L2025" s="170">
        <v>45198</v>
      </c>
      <c r="M2025" s="116">
        <v>810.25</v>
      </c>
      <c r="N2025" s="116">
        <v>825.9</v>
      </c>
      <c r="O2025" s="116">
        <v>807.2</v>
      </c>
      <c r="P2025" s="116">
        <v>825.05</v>
      </c>
      <c r="Q2025" s="116">
        <v>810.25</v>
      </c>
      <c r="R2025">
        <v>1106739</v>
      </c>
    </row>
    <row r="2026" spans="1:18" x14ac:dyDescent="0.25">
      <c r="A2026" s="170">
        <v>45202</v>
      </c>
      <c r="B2026" s="116">
        <v>816.65</v>
      </c>
      <c r="C2026" s="116">
        <v>808.25</v>
      </c>
      <c r="D2026" s="116">
        <v>806.55</v>
      </c>
      <c r="E2026" s="116">
        <v>815.05</v>
      </c>
      <c r="F2026" s="116">
        <v>808.25</v>
      </c>
      <c r="G2026">
        <v>23009</v>
      </c>
      <c r="H2026" s="116"/>
      <c r="I2026" s="116"/>
      <c r="L2026" s="170">
        <v>45202</v>
      </c>
      <c r="M2026" s="116">
        <v>807.75</v>
      </c>
      <c r="N2026" s="116">
        <v>816.8</v>
      </c>
      <c r="O2026" s="116">
        <v>806.7</v>
      </c>
      <c r="P2026" s="116">
        <v>815.9</v>
      </c>
      <c r="Q2026" s="116">
        <v>807.75</v>
      </c>
      <c r="R2026">
        <v>506021</v>
      </c>
    </row>
    <row r="2027" spans="1:18" x14ac:dyDescent="0.25">
      <c r="A2027" s="170">
        <v>45203</v>
      </c>
      <c r="B2027" s="116">
        <v>828.1</v>
      </c>
      <c r="C2027" s="116">
        <v>809.15</v>
      </c>
      <c r="D2027" s="116">
        <v>803</v>
      </c>
      <c r="E2027" s="116">
        <v>807.1</v>
      </c>
      <c r="F2027" s="116">
        <v>809.15</v>
      </c>
      <c r="G2027">
        <v>137267</v>
      </c>
      <c r="H2027" s="116"/>
      <c r="I2027" s="116"/>
      <c r="L2027" s="170">
        <v>45203</v>
      </c>
      <c r="M2027" s="116">
        <v>808.1</v>
      </c>
      <c r="N2027" s="116">
        <v>826.95</v>
      </c>
      <c r="O2027" s="116">
        <v>801.05</v>
      </c>
      <c r="P2027" s="116">
        <v>807.7</v>
      </c>
      <c r="Q2027" s="116">
        <v>808.1</v>
      </c>
      <c r="R2027">
        <v>711980</v>
      </c>
    </row>
    <row r="2028" spans="1:18" x14ac:dyDescent="0.25">
      <c r="A2028" s="170">
        <v>45204</v>
      </c>
      <c r="B2028" s="116">
        <v>816</v>
      </c>
      <c r="C2028" s="116">
        <v>807.95</v>
      </c>
      <c r="D2028" s="116">
        <v>805.45</v>
      </c>
      <c r="E2028" s="116">
        <v>810.05</v>
      </c>
      <c r="F2028" s="116">
        <v>807.95</v>
      </c>
      <c r="G2028">
        <v>63823</v>
      </c>
      <c r="H2028" s="116"/>
      <c r="I2028" s="116"/>
      <c r="L2028" s="170">
        <v>45204</v>
      </c>
      <c r="M2028" s="116">
        <v>807.7</v>
      </c>
      <c r="N2028" s="116">
        <v>815.5</v>
      </c>
      <c r="O2028" s="116">
        <v>805.3</v>
      </c>
      <c r="P2028" s="116">
        <v>812.5</v>
      </c>
      <c r="Q2028" s="116">
        <v>807.7</v>
      </c>
      <c r="R2028">
        <v>252701</v>
      </c>
    </row>
    <row r="2029" spans="1:18" x14ac:dyDescent="0.25">
      <c r="A2029" s="170">
        <v>45205</v>
      </c>
      <c r="B2029" s="116">
        <v>815</v>
      </c>
      <c r="C2029" s="116">
        <v>806.3</v>
      </c>
      <c r="D2029" s="116">
        <v>804.15</v>
      </c>
      <c r="E2029" s="116">
        <v>808.05</v>
      </c>
      <c r="F2029" s="116">
        <v>806.3</v>
      </c>
      <c r="G2029">
        <v>53947</v>
      </c>
      <c r="H2029" s="116"/>
      <c r="I2029" s="116"/>
      <c r="L2029" s="170">
        <v>45205</v>
      </c>
      <c r="M2029" s="116">
        <v>806</v>
      </c>
      <c r="N2029" s="116">
        <v>815.9</v>
      </c>
      <c r="O2029" s="116">
        <v>804.5</v>
      </c>
      <c r="P2029" s="116">
        <v>810.35</v>
      </c>
      <c r="Q2029" s="116">
        <v>806</v>
      </c>
      <c r="R2029">
        <v>265517</v>
      </c>
    </row>
    <row r="2030" spans="1:18" x14ac:dyDescent="0.25">
      <c r="A2030" s="170">
        <v>45208</v>
      </c>
      <c r="B2030" s="116">
        <v>804.45</v>
      </c>
      <c r="C2030" s="116">
        <v>779.3</v>
      </c>
      <c r="D2030" s="116">
        <v>774.05</v>
      </c>
      <c r="E2030" s="116">
        <v>793</v>
      </c>
      <c r="F2030" s="116">
        <v>779.3</v>
      </c>
      <c r="G2030">
        <v>134794</v>
      </c>
      <c r="H2030" s="116"/>
      <c r="I2030" s="116"/>
      <c r="L2030" s="170">
        <v>45208</v>
      </c>
      <c r="M2030" s="116">
        <v>778.9</v>
      </c>
      <c r="N2030" s="116">
        <v>806</v>
      </c>
      <c r="O2030" s="116">
        <v>772.4</v>
      </c>
      <c r="P2030" s="116">
        <v>806</v>
      </c>
      <c r="Q2030" s="116">
        <v>778.9</v>
      </c>
      <c r="R2030">
        <v>559255</v>
      </c>
    </row>
    <row r="2031" spans="1:18" x14ac:dyDescent="0.25">
      <c r="A2031" s="170">
        <v>45209</v>
      </c>
      <c r="B2031" s="116">
        <v>791.3</v>
      </c>
      <c r="C2031" s="116">
        <v>785.45</v>
      </c>
      <c r="D2031" s="116">
        <v>772.05</v>
      </c>
      <c r="E2031" s="116">
        <v>772.05</v>
      </c>
      <c r="F2031" s="116">
        <v>785.45</v>
      </c>
      <c r="G2031">
        <v>61495</v>
      </c>
      <c r="H2031" s="116"/>
      <c r="I2031" s="116"/>
      <c r="L2031" s="170">
        <v>45209</v>
      </c>
      <c r="M2031" s="116">
        <v>786</v>
      </c>
      <c r="N2031" s="116">
        <v>790.3</v>
      </c>
      <c r="O2031" s="116">
        <v>777.15</v>
      </c>
      <c r="P2031" s="116">
        <v>778</v>
      </c>
      <c r="Q2031" s="116">
        <v>786</v>
      </c>
      <c r="R2031">
        <v>360806</v>
      </c>
    </row>
    <row r="2032" spans="1:18" x14ac:dyDescent="0.25">
      <c r="A2032" s="170">
        <v>45210</v>
      </c>
      <c r="B2032" s="116">
        <v>806.65</v>
      </c>
      <c r="C2032" s="116">
        <v>798</v>
      </c>
      <c r="D2032" s="116">
        <v>791.6</v>
      </c>
      <c r="E2032" s="116">
        <v>793.35</v>
      </c>
      <c r="F2032" s="116">
        <v>798</v>
      </c>
      <c r="G2032">
        <v>27274</v>
      </c>
      <c r="H2032" s="116"/>
      <c r="I2032" s="116"/>
      <c r="L2032" s="170">
        <v>45210</v>
      </c>
      <c r="M2032" s="116">
        <v>798.2</v>
      </c>
      <c r="N2032" s="116">
        <v>807</v>
      </c>
      <c r="O2032" s="116">
        <v>791.2</v>
      </c>
      <c r="P2032" s="116">
        <v>792</v>
      </c>
      <c r="Q2032" s="116">
        <v>798.2</v>
      </c>
      <c r="R2032">
        <v>655215</v>
      </c>
    </row>
    <row r="2033" spans="1:18" x14ac:dyDescent="0.25">
      <c r="A2033" s="170">
        <v>45211</v>
      </c>
      <c r="B2033" s="116">
        <v>806.95</v>
      </c>
      <c r="C2033" s="116">
        <v>793.75</v>
      </c>
      <c r="D2033" s="116">
        <v>792</v>
      </c>
      <c r="E2033" s="116">
        <v>798.5</v>
      </c>
      <c r="F2033" s="116">
        <v>793.75</v>
      </c>
      <c r="G2033">
        <v>16533</v>
      </c>
      <c r="H2033" s="116"/>
      <c r="I2033" s="116"/>
      <c r="L2033" s="170">
        <v>45211</v>
      </c>
      <c r="M2033" s="116">
        <v>793.7</v>
      </c>
      <c r="N2033" s="116">
        <v>806.95</v>
      </c>
      <c r="O2033" s="116">
        <v>792</v>
      </c>
      <c r="P2033" s="116">
        <v>801.1</v>
      </c>
      <c r="Q2033" s="116">
        <v>793.7</v>
      </c>
      <c r="R2033">
        <v>230980</v>
      </c>
    </row>
    <row r="2034" spans="1:18" x14ac:dyDescent="0.25">
      <c r="A2034" s="170">
        <v>45212</v>
      </c>
      <c r="B2034" s="116">
        <v>793.7</v>
      </c>
      <c r="C2034" s="116">
        <v>785.45</v>
      </c>
      <c r="D2034" s="116">
        <v>782</v>
      </c>
      <c r="E2034" s="116">
        <v>786.05</v>
      </c>
      <c r="F2034" s="116">
        <v>785.45</v>
      </c>
      <c r="G2034">
        <v>63921</v>
      </c>
      <c r="H2034" s="116"/>
      <c r="I2034" s="116"/>
      <c r="L2034" s="170">
        <v>45212</v>
      </c>
      <c r="M2034" s="116">
        <v>785.2</v>
      </c>
      <c r="N2034" s="116">
        <v>793.7</v>
      </c>
      <c r="O2034" s="116">
        <v>783</v>
      </c>
      <c r="P2034" s="116">
        <v>792.85</v>
      </c>
      <c r="Q2034" s="116">
        <v>785.2</v>
      </c>
      <c r="R2034">
        <v>269417</v>
      </c>
    </row>
    <row r="2035" spans="1:18" x14ac:dyDescent="0.25">
      <c r="A2035" s="170">
        <v>45215</v>
      </c>
      <c r="B2035" s="116">
        <v>786.75</v>
      </c>
      <c r="C2035" s="116">
        <v>774.7</v>
      </c>
      <c r="D2035" s="116">
        <v>773.85</v>
      </c>
      <c r="E2035" s="116">
        <v>782.15</v>
      </c>
      <c r="F2035" s="116">
        <v>774.7</v>
      </c>
      <c r="G2035">
        <v>75354</v>
      </c>
      <c r="H2035" s="116"/>
      <c r="I2035" s="116"/>
      <c r="L2035" s="170">
        <v>45215</v>
      </c>
      <c r="M2035" s="116">
        <v>774.75</v>
      </c>
      <c r="N2035" s="116">
        <v>786.65</v>
      </c>
      <c r="O2035" s="116">
        <v>773</v>
      </c>
      <c r="P2035" s="116">
        <v>786</v>
      </c>
      <c r="Q2035" s="116">
        <v>774.75</v>
      </c>
      <c r="R2035">
        <v>312993</v>
      </c>
    </row>
    <row r="2036" spans="1:18" x14ac:dyDescent="0.25">
      <c r="A2036" s="170">
        <v>45216</v>
      </c>
      <c r="B2036" s="116">
        <v>787</v>
      </c>
      <c r="C2036" s="116">
        <v>775.9</v>
      </c>
      <c r="D2036" s="116">
        <v>772</v>
      </c>
      <c r="E2036" s="116">
        <v>779.95</v>
      </c>
      <c r="F2036" s="116">
        <v>775.9</v>
      </c>
      <c r="G2036">
        <v>17385</v>
      </c>
      <c r="H2036" s="116"/>
      <c r="I2036" s="116"/>
      <c r="L2036" s="170">
        <v>45216</v>
      </c>
      <c r="M2036" s="116">
        <v>774.9</v>
      </c>
      <c r="N2036" s="116">
        <v>787</v>
      </c>
      <c r="O2036" s="116">
        <v>771</v>
      </c>
      <c r="P2036" s="116">
        <v>778</v>
      </c>
      <c r="Q2036" s="116">
        <v>774.9</v>
      </c>
      <c r="R2036">
        <v>351835</v>
      </c>
    </row>
    <row r="2037" spans="1:18" x14ac:dyDescent="0.25">
      <c r="A2037" s="170">
        <v>45217</v>
      </c>
      <c r="B2037" s="116">
        <v>778.7</v>
      </c>
      <c r="C2037" s="116">
        <v>764.3</v>
      </c>
      <c r="D2037" s="116">
        <v>761.05</v>
      </c>
      <c r="E2037" s="116">
        <v>775</v>
      </c>
      <c r="F2037" s="116">
        <v>764.3</v>
      </c>
      <c r="G2037">
        <v>70341</v>
      </c>
      <c r="H2037" s="116"/>
      <c r="I2037" s="116"/>
      <c r="L2037" s="170">
        <v>45217</v>
      </c>
      <c r="M2037" s="116">
        <v>764.9</v>
      </c>
      <c r="N2037" s="116">
        <v>779.45</v>
      </c>
      <c r="O2037" s="116">
        <v>762.15</v>
      </c>
      <c r="P2037" s="116">
        <v>775</v>
      </c>
      <c r="Q2037" s="116">
        <v>764.9</v>
      </c>
      <c r="R2037">
        <v>346049</v>
      </c>
    </row>
    <row r="2038" spans="1:18" x14ac:dyDescent="0.25">
      <c r="A2038" s="170">
        <v>45218</v>
      </c>
      <c r="B2038" s="116">
        <v>766.6</v>
      </c>
      <c r="C2038" s="116">
        <v>759.05</v>
      </c>
      <c r="D2038" s="116">
        <v>755.75</v>
      </c>
      <c r="E2038" s="116">
        <v>766.6</v>
      </c>
      <c r="F2038" s="116">
        <v>759.05</v>
      </c>
      <c r="G2038">
        <v>18980</v>
      </c>
      <c r="H2038" s="116"/>
      <c r="I2038" s="116"/>
      <c r="L2038" s="170">
        <v>45218</v>
      </c>
      <c r="M2038" s="116">
        <v>759.4</v>
      </c>
      <c r="N2038" s="116">
        <v>765.9</v>
      </c>
      <c r="O2038" s="116">
        <v>755.55</v>
      </c>
      <c r="P2038" s="116">
        <v>764.9</v>
      </c>
      <c r="Q2038" s="116">
        <v>759.4</v>
      </c>
      <c r="R2038">
        <v>356701</v>
      </c>
    </row>
    <row r="2039" spans="1:18" x14ac:dyDescent="0.25">
      <c r="A2039" s="170">
        <v>45219</v>
      </c>
      <c r="B2039" s="116">
        <v>777</v>
      </c>
      <c r="C2039" s="116">
        <v>763.8</v>
      </c>
      <c r="D2039" s="116">
        <v>759.4</v>
      </c>
      <c r="E2039" s="116">
        <v>760.1</v>
      </c>
      <c r="F2039" s="116">
        <v>763.8</v>
      </c>
      <c r="G2039">
        <v>21350</v>
      </c>
      <c r="H2039" s="116"/>
      <c r="I2039" s="116"/>
      <c r="L2039" s="170">
        <v>45219</v>
      </c>
      <c r="M2039" s="116">
        <v>764.35</v>
      </c>
      <c r="N2039" s="116">
        <v>776.95</v>
      </c>
      <c r="O2039" s="116">
        <v>759.4</v>
      </c>
      <c r="P2039" s="116">
        <v>760.95</v>
      </c>
      <c r="Q2039" s="116">
        <v>764.35</v>
      </c>
      <c r="R2039">
        <v>516923</v>
      </c>
    </row>
    <row r="2040" spans="1:18" x14ac:dyDescent="0.25">
      <c r="A2040" s="170">
        <v>45222</v>
      </c>
      <c r="B2040" s="116">
        <v>769.35</v>
      </c>
      <c r="C2040" s="116">
        <v>736.1</v>
      </c>
      <c r="D2040" s="116">
        <v>734</v>
      </c>
      <c r="E2040" s="116">
        <v>765.5</v>
      </c>
      <c r="F2040" s="116">
        <v>736.1</v>
      </c>
      <c r="G2040">
        <v>25855</v>
      </c>
      <c r="H2040" s="116"/>
      <c r="I2040" s="116"/>
      <c r="L2040" s="170">
        <v>45222</v>
      </c>
      <c r="M2040" s="116">
        <v>735.8</v>
      </c>
      <c r="N2040" s="116">
        <v>768.7</v>
      </c>
      <c r="O2040" s="116">
        <v>734.05</v>
      </c>
      <c r="P2040" s="116">
        <v>768.7</v>
      </c>
      <c r="Q2040" s="116">
        <v>735.8</v>
      </c>
      <c r="R2040">
        <v>485683</v>
      </c>
    </row>
    <row r="2041" spans="1:18" x14ac:dyDescent="0.25">
      <c r="A2041" s="170">
        <v>45224</v>
      </c>
      <c r="B2041" s="116">
        <v>750.45</v>
      </c>
      <c r="C2041" s="116">
        <v>717.8</v>
      </c>
      <c r="D2041" s="116">
        <v>709.8</v>
      </c>
      <c r="E2041" s="116">
        <v>739</v>
      </c>
      <c r="F2041" s="116">
        <v>717.8</v>
      </c>
      <c r="G2041">
        <v>109115</v>
      </c>
      <c r="H2041" s="116"/>
      <c r="I2041" s="116"/>
      <c r="L2041" s="170">
        <v>45224</v>
      </c>
      <c r="M2041" s="116">
        <v>718.9</v>
      </c>
      <c r="N2041" s="116">
        <v>750.95</v>
      </c>
      <c r="O2041" s="116">
        <v>712.65</v>
      </c>
      <c r="P2041" s="116">
        <v>740</v>
      </c>
      <c r="Q2041" s="116">
        <v>718.9</v>
      </c>
      <c r="R2041">
        <v>455111</v>
      </c>
    </row>
    <row r="2042" spans="1:18" x14ac:dyDescent="0.25">
      <c r="A2042" s="170">
        <v>45225</v>
      </c>
      <c r="B2042" s="116">
        <v>750.05</v>
      </c>
      <c r="C2042" s="116">
        <v>742.65</v>
      </c>
      <c r="D2042" s="116">
        <v>686.9</v>
      </c>
      <c r="E2042" s="116">
        <v>718.45</v>
      </c>
      <c r="F2042" s="116">
        <v>742.65</v>
      </c>
      <c r="G2042">
        <v>46848</v>
      </c>
      <c r="H2042" s="116"/>
      <c r="I2042" s="116"/>
      <c r="L2042" s="170">
        <v>45225</v>
      </c>
      <c r="M2042" s="116">
        <v>739.1</v>
      </c>
      <c r="N2042" s="116">
        <v>748</v>
      </c>
      <c r="O2042" s="116">
        <v>686</v>
      </c>
      <c r="P2042" s="116">
        <v>719.95</v>
      </c>
      <c r="Q2042" s="116">
        <v>739.1</v>
      </c>
      <c r="R2042">
        <v>1134296</v>
      </c>
    </row>
    <row r="2043" spans="1:18" x14ac:dyDescent="0.25">
      <c r="A2043" s="170">
        <v>45226</v>
      </c>
      <c r="B2043" s="116">
        <v>773.75</v>
      </c>
      <c r="C2043" s="116">
        <v>764.5</v>
      </c>
      <c r="D2043" s="116">
        <v>742.85</v>
      </c>
      <c r="E2043" s="116">
        <v>747.45</v>
      </c>
      <c r="F2043" s="116">
        <v>764.5</v>
      </c>
      <c r="G2043">
        <v>76544</v>
      </c>
      <c r="H2043" s="116"/>
      <c r="I2043" s="116"/>
      <c r="L2043" s="170">
        <v>45226</v>
      </c>
      <c r="M2043" s="116">
        <v>764.5</v>
      </c>
      <c r="N2043" s="116">
        <v>772.9</v>
      </c>
      <c r="O2043" s="116">
        <v>742.05</v>
      </c>
      <c r="P2043" s="116">
        <v>748</v>
      </c>
      <c r="Q2043" s="116">
        <v>764.5</v>
      </c>
      <c r="R2043">
        <v>741463</v>
      </c>
    </row>
    <row r="2044" spans="1:18" x14ac:dyDescent="0.25">
      <c r="A2044" s="170">
        <v>45229</v>
      </c>
      <c r="B2044" s="116">
        <v>773.35</v>
      </c>
      <c r="C2044" s="116">
        <v>758.95</v>
      </c>
      <c r="D2044" s="116">
        <v>751.25</v>
      </c>
      <c r="E2044" s="116">
        <v>765.35</v>
      </c>
      <c r="F2044" s="116">
        <v>758.95</v>
      </c>
      <c r="G2044">
        <v>78439</v>
      </c>
      <c r="H2044" s="116"/>
      <c r="I2044" s="116"/>
      <c r="L2044" s="170">
        <v>45229</v>
      </c>
      <c r="M2044" s="116">
        <v>759.25</v>
      </c>
      <c r="N2044" s="116">
        <v>773.35</v>
      </c>
      <c r="O2044" s="116">
        <v>751.35</v>
      </c>
      <c r="P2044" s="116">
        <v>764.5</v>
      </c>
      <c r="Q2044" s="116">
        <v>759.25</v>
      </c>
      <c r="R2044">
        <v>414510</v>
      </c>
    </row>
    <row r="2045" spans="1:18" x14ac:dyDescent="0.25">
      <c r="A2045" s="170">
        <v>45230</v>
      </c>
      <c r="B2045" s="116">
        <v>773.4</v>
      </c>
      <c r="C2045" s="116">
        <v>769.7</v>
      </c>
      <c r="D2045" s="116">
        <v>760</v>
      </c>
      <c r="E2045" s="116">
        <v>773.4</v>
      </c>
      <c r="F2045" s="116">
        <v>769.7</v>
      </c>
      <c r="G2045">
        <v>12863</v>
      </c>
      <c r="H2045" s="116"/>
      <c r="I2045" s="116"/>
      <c r="L2045" s="170">
        <v>45230</v>
      </c>
      <c r="M2045" s="116">
        <v>769.8</v>
      </c>
      <c r="N2045" s="116">
        <v>772</v>
      </c>
      <c r="O2045" s="116">
        <v>758.05</v>
      </c>
      <c r="P2045" s="116">
        <v>768.95</v>
      </c>
      <c r="Q2045" s="116">
        <v>769.8</v>
      </c>
      <c r="R2045">
        <v>327996</v>
      </c>
    </row>
    <row r="2046" spans="1:18" x14ac:dyDescent="0.25">
      <c r="A2046" s="170">
        <v>45231</v>
      </c>
      <c r="B2046" s="116">
        <v>772.6</v>
      </c>
      <c r="C2046" s="116">
        <v>750.4</v>
      </c>
      <c r="D2046" s="116">
        <v>741.95</v>
      </c>
      <c r="E2046" s="116">
        <v>770</v>
      </c>
      <c r="F2046" s="116">
        <v>750.4</v>
      </c>
      <c r="G2046">
        <v>17624</v>
      </c>
      <c r="H2046" s="116"/>
      <c r="I2046" s="116"/>
      <c r="L2046" s="170">
        <v>45231</v>
      </c>
      <c r="M2046" s="116">
        <v>749.95</v>
      </c>
      <c r="N2046" s="116">
        <v>771.85</v>
      </c>
      <c r="O2046" s="116">
        <v>742</v>
      </c>
      <c r="P2046" s="116">
        <v>769.8</v>
      </c>
      <c r="Q2046" s="116">
        <v>749.95</v>
      </c>
      <c r="R2046">
        <v>405088</v>
      </c>
    </row>
    <row r="2047" spans="1:18" x14ac:dyDescent="0.25">
      <c r="A2047" s="170">
        <v>45232</v>
      </c>
      <c r="B2047" s="116">
        <v>769.9</v>
      </c>
      <c r="C2047" s="116">
        <v>752.65</v>
      </c>
      <c r="D2047" s="116">
        <v>750</v>
      </c>
      <c r="E2047" s="116">
        <v>755.85</v>
      </c>
      <c r="F2047" s="116">
        <v>752.65</v>
      </c>
      <c r="G2047">
        <v>53814</v>
      </c>
      <c r="H2047" s="116"/>
      <c r="I2047" s="116"/>
      <c r="L2047" s="170">
        <v>45232</v>
      </c>
      <c r="M2047" s="116">
        <v>752.25</v>
      </c>
      <c r="N2047" s="116">
        <v>770</v>
      </c>
      <c r="O2047" s="116">
        <v>749.55</v>
      </c>
      <c r="P2047" s="116">
        <v>755</v>
      </c>
      <c r="Q2047" s="116">
        <v>752.25</v>
      </c>
      <c r="R2047">
        <v>247056</v>
      </c>
    </row>
    <row r="2048" spans="1:18" x14ac:dyDescent="0.25">
      <c r="A2048" s="170">
        <v>45233</v>
      </c>
      <c r="B2048" s="116">
        <v>772.95</v>
      </c>
      <c r="C2048" s="116">
        <v>765.15</v>
      </c>
      <c r="D2048" s="116">
        <v>753.1</v>
      </c>
      <c r="E2048" s="116">
        <v>753.1</v>
      </c>
      <c r="F2048" s="116">
        <v>765.15</v>
      </c>
      <c r="G2048">
        <v>69418</v>
      </c>
      <c r="H2048" s="116"/>
      <c r="I2048" s="116"/>
      <c r="L2048" s="170">
        <v>45233</v>
      </c>
      <c r="M2048" s="116">
        <v>765.5</v>
      </c>
      <c r="N2048" s="116">
        <v>772.9</v>
      </c>
      <c r="O2048" s="116">
        <v>756</v>
      </c>
      <c r="P2048" s="116">
        <v>756</v>
      </c>
      <c r="Q2048" s="116">
        <v>765.5</v>
      </c>
      <c r="R2048">
        <v>351531</v>
      </c>
    </row>
    <row r="2049" spans="1:18" x14ac:dyDescent="0.25">
      <c r="A2049" s="170">
        <v>45236</v>
      </c>
      <c r="B2049" s="116">
        <v>779.9</v>
      </c>
      <c r="C2049" s="116">
        <v>771.25</v>
      </c>
      <c r="D2049" s="116">
        <v>767.6</v>
      </c>
      <c r="E2049" s="116">
        <v>776.95</v>
      </c>
      <c r="F2049" s="116">
        <v>771.25</v>
      </c>
      <c r="G2049">
        <v>20557</v>
      </c>
      <c r="H2049" s="116"/>
      <c r="I2049" s="116"/>
      <c r="L2049" s="170">
        <v>45236</v>
      </c>
      <c r="M2049" s="116">
        <v>771.85</v>
      </c>
      <c r="N2049" s="116">
        <v>779.95</v>
      </c>
      <c r="O2049" s="116">
        <v>767.75</v>
      </c>
      <c r="P2049" s="116">
        <v>777.05</v>
      </c>
      <c r="Q2049" s="116">
        <v>771.85</v>
      </c>
      <c r="R2049">
        <v>299026</v>
      </c>
    </row>
    <row r="2050" spans="1:18" x14ac:dyDescent="0.25">
      <c r="A2050" s="170">
        <v>45237</v>
      </c>
      <c r="B2050" s="116">
        <v>785.8</v>
      </c>
      <c r="C2050" s="116">
        <v>762.7</v>
      </c>
      <c r="D2050" s="116">
        <v>756.7</v>
      </c>
      <c r="E2050" s="116">
        <v>785.8</v>
      </c>
      <c r="F2050" s="116">
        <v>762.7</v>
      </c>
      <c r="G2050">
        <v>30385</v>
      </c>
      <c r="H2050" s="116"/>
      <c r="I2050" s="116"/>
      <c r="L2050" s="170">
        <v>45237</v>
      </c>
      <c r="M2050" s="116">
        <v>762.05</v>
      </c>
      <c r="N2050" s="116">
        <v>785</v>
      </c>
      <c r="O2050" s="116">
        <v>757.3</v>
      </c>
      <c r="P2050" s="116">
        <v>784.4</v>
      </c>
      <c r="Q2050" s="116">
        <v>762.05</v>
      </c>
      <c r="R2050">
        <v>515017</v>
      </c>
    </row>
    <row r="2051" spans="1:18" x14ac:dyDescent="0.25">
      <c r="A2051" s="170">
        <v>45238</v>
      </c>
      <c r="B2051" s="116">
        <v>769.95</v>
      </c>
      <c r="C2051" s="116">
        <v>757.5</v>
      </c>
      <c r="D2051" s="116">
        <v>754.9</v>
      </c>
      <c r="E2051" s="116">
        <v>769.95</v>
      </c>
      <c r="F2051" s="116">
        <v>757.5</v>
      </c>
      <c r="G2051">
        <v>59831</v>
      </c>
      <c r="H2051" s="116"/>
      <c r="I2051" s="116"/>
      <c r="L2051" s="170">
        <v>45238</v>
      </c>
      <c r="M2051" s="116">
        <v>757.95</v>
      </c>
      <c r="N2051" s="116">
        <v>768.95</v>
      </c>
      <c r="O2051" s="116">
        <v>755.5</v>
      </c>
      <c r="P2051" s="116">
        <v>765</v>
      </c>
      <c r="Q2051" s="116">
        <v>757.95</v>
      </c>
      <c r="R2051">
        <v>338861</v>
      </c>
    </row>
    <row r="2052" spans="1:18" x14ac:dyDescent="0.25">
      <c r="A2052" s="170">
        <v>45239</v>
      </c>
      <c r="B2052" s="116">
        <v>763.85</v>
      </c>
      <c r="C2052" s="116">
        <v>749.75</v>
      </c>
      <c r="D2052" s="116">
        <v>748.55</v>
      </c>
      <c r="E2052" s="116">
        <v>760</v>
      </c>
      <c r="F2052" s="116">
        <v>749.75</v>
      </c>
      <c r="G2052">
        <v>14385</v>
      </c>
      <c r="H2052" s="116"/>
      <c r="I2052" s="116"/>
      <c r="L2052" s="170">
        <v>45239</v>
      </c>
      <c r="M2052" s="116">
        <v>750.2</v>
      </c>
      <c r="N2052" s="116">
        <v>765</v>
      </c>
      <c r="O2052" s="116">
        <v>748</v>
      </c>
      <c r="P2052" s="116">
        <v>763.95</v>
      </c>
      <c r="Q2052" s="116">
        <v>750.2</v>
      </c>
      <c r="R2052">
        <v>226089</v>
      </c>
    </row>
    <row r="2053" spans="1:18" x14ac:dyDescent="0.25">
      <c r="A2053" s="170">
        <v>45240</v>
      </c>
      <c r="B2053" s="116">
        <v>763.55</v>
      </c>
      <c r="C2053" s="116">
        <v>761.3</v>
      </c>
      <c r="D2053" s="116">
        <v>744.05</v>
      </c>
      <c r="E2053" s="116">
        <v>749.75</v>
      </c>
      <c r="F2053" s="116">
        <v>761.3</v>
      </c>
      <c r="G2053">
        <v>11844</v>
      </c>
      <c r="H2053" s="116"/>
      <c r="I2053" s="116"/>
      <c r="L2053" s="170">
        <v>45240</v>
      </c>
      <c r="M2053" s="116">
        <v>760.45</v>
      </c>
      <c r="N2053" s="116">
        <v>763</v>
      </c>
      <c r="O2053" s="116">
        <v>744.1</v>
      </c>
      <c r="P2053" s="116">
        <v>748</v>
      </c>
      <c r="Q2053" s="116">
        <v>760.45</v>
      </c>
      <c r="R2053">
        <v>278461</v>
      </c>
    </row>
    <row r="2054" spans="1:18" x14ac:dyDescent="0.25">
      <c r="A2054" s="170">
        <v>45242</v>
      </c>
      <c r="B2054" s="116">
        <v>775</v>
      </c>
      <c r="C2054" s="116">
        <v>768.25</v>
      </c>
      <c r="D2054" s="116">
        <v>765</v>
      </c>
      <c r="E2054" s="116">
        <v>775</v>
      </c>
      <c r="F2054" s="116">
        <v>768.25</v>
      </c>
      <c r="G2054">
        <v>16340</v>
      </c>
      <c r="H2054" s="116"/>
      <c r="I2054" s="116"/>
      <c r="L2054" s="170">
        <v>45242</v>
      </c>
      <c r="M2054" s="116">
        <v>768.4</v>
      </c>
      <c r="N2054" s="116">
        <v>774.1</v>
      </c>
      <c r="O2054" s="116">
        <v>765.05</v>
      </c>
      <c r="P2054" s="116">
        <v>772.45</v>
      </c>
      <c r="Q2054" s="116">
        <v>768.4</v>
      </c>
      <c r="R2054">
        <v>85391</v>
      </c>
    </row>
    <row r="2055" spans="1:18" x14ac:dyDescent="0.25">
      <c r="A2055" s="170">
        <v>45243</v>
      </c>
      <c r="B2055" s="116">
        <v>766</v>
      </c>
      <c r="C2055" s="116">
        <v>759.1</v>
      </c>
      <c r="D2055" s="116">
        <v>756.45</v>
      </c>
      <c r="E2055" s="116">
        <v>761.05</v>
      </c>
      <c r="F2055" s="116">
        <v>759.1</v>
      </c>
      <c r="G2055">
        <v>9276</v>
      </c>
      <c r="H2055" s="116"/>
      <c r="I2055" s="116"/>
      <c r="L2055" s="170">
        <v>45243</v>
      </c>
      <c r="M2055" s="116">
        <v>759</v>
      </c>
      <c r="N2055" s="116">
        <v>768.4</v>
      </c>
      <c r="O2055" s="116">
        <v>757</v>
      </c>
      <c r="P2055" s="116">
        <v>768.4</v>
      </c>
      <c r="Q2055" s="116">
        <v>759</v>
      </c>
      <c r="R2055">
        <v>179475</v>
      </c>
    </row>
    <row r="2056" spans="1:18" x14ac:dyDescent="0.25">
      <c r="A2056" s="170">
        <v>45245</v>
      </c>
      <c r="B2056" s="116">
        <v>767.95</v>
      </c>
      <c r="C2056" s="116">
        <v>754.1</v>
      </c>
      <c r="D2056" s="116">
        <v>751.5</v>
      </c>
      <c r="E2056" s="116">
        <v>767.95</v>
      </c>
      <c r="F2056" s="116">
        <v>754.1</v>
      </c>
      <c r="G2056">
        <v>49474</v>
      </c>
      <c r="H2056" s="116"/>
      <c r="I2056" s="116"/>
      <c r="L2056" s="170">
        <v>45245</v>
      </c>
      <c r="M2056" s="116">
        <v>754.35</v>
      </c>
      <c r="N2056" s="116">
        <v>768.25</v>
      </c>
      <c r="O2056" s="116">
        <v>751.5</v>
      </c>
      <c r="P2056" s="116">
        <v>767</v>
      </c>
      <c r="Q2056" s="116">
        <v>754.35</v>
      </c>
      <c r="R2056">
        <v>273699</v>
      </c>
    </row>
    <row r="2057" spans="1:18" x14ac:dyDescent="0.25">
      <c r="A2057" s="170">
        <v>45246</v>
      </c>
      <c r="B2057" s="116">
        <v>756.5</v>
      </c>
      <c r="C2057" s="116">
        <v>747.55</v>
      </c>
      <c r="D2057" s="116">
        <v>736.95</v>
      </c>
      <c r="E2057" s="116">
        <v>754.95</v>
      </c>
      <c r="F2057" s="116">
        <v>747.55</v>
      </c>
      <c r="G2057">
        <v>14459</v>
      </c>
      <c r="H2057" s="116"/>
      <c r="I2057" s="116"/>
      <c r="L2057" s="170">
        <v>45246</v>
      </c>
      <c r="M2057" s="116">
        <v>747.2</v>
      </c>
      <c r="N2057" s="116">
        <v>757.35</v>
      </c>
      <c r="O2057" s="116">
        <v>737.85</v>
      </c>
      <c r="P2057" s="116">
        <v>754</v>
      </c>
      <c r="Q2057" s="116">
        <v>747.2</v>
      </c>
      <c r="R2057">
        <v>388858</v>
      </c>
    </row>
    <row r="2058" spans="1:18" x14ac:dyDescent="0.25">
      <c r="A2058" s="170">
        <v>45247</v>
      </c>
      <c r="B2058" s="116">
        <v>747.55</v>
      </c>
      <c r="C2058" s="116">
        <v>741.05</v>
      </c>
      <c r="D2058" s="116">
        <v>737.95</v>
      </c>
      <c r="E2058" s="116">
        <v>747.55</v>
      </c>
      <c r="F2058" s="116">
        <v>741.05</v>
      </c>
      <c r="G2058">
        <v>51861</v>
      </c>
      <c r="H2058" s="116"/>
      <c r="I2058" s="116"/>
      <c r="L2058" s="170">
        <v>45247</v>
      </c>
      <c r="M2058" s="116">
        <v>741.2</v>
      </c>
      <c r="N2058" s="116">
        <v>747.45</v>
      </c>
      <c r="O2058" s="116">
        <v>739.1</v>
      </c>
      <c r="P2058" s="116">
        <v>746.75</v>
      </c>
      <c r="Q2058" s="116">
        <v>741.2</v>
      </c>
      <c r="R2058">
        <v>318597</v>
      </c>
    </row>
    <row r="2059" spans="1:18" x14ac:dyDescent="0.25">
      <c r="A2059" s="170">
        <v>45250</v>
      </c>
      <c r="B2059" s="116">
        <v>741.05</v>
      </c>
      <c r="C2059" s="116">
        <v>726.85</v>
      </c>
      <c r="D2059" s="116">
        <v>712.3</v>
      </c>
      <c r="E2059" s="116">
        <v>740.05</v>
      </c>
      <c r="F2059" s="116">
        <v>726.85</v>
      </c>
      <c r="G2059">
        <v>41950</v>
      </c>
      <c r="H2059" s="116"/>
      <c r="I2059" s="116"/>
      <c r="L2059" s="170">
        <v>45250</v>
      </c>
      <c r="M2059" s="116">
        <v>727.5</v>
      </c>
      <c r="N2059" s="116">
        <v>741.1</v>
      </c>
      <c r="O2059" s="116">
        <v>720.05</v>
      </c>
      <c r="P2059" s="116">
        <v>741.05</v>
      </c>
      <c r="Q2059" s="116">
        <v>727.5</v>
      </c>
      <c r="R2059">
        <v>406832</v>
      </c>
    </row>
    <row r="2060" spans="1:18" x14ac:dyDescent="0.25">
      <c r="A2060" s="170">
        <v>45251</v>
      </c>
      <c r="B2060" s="116">
        <v>744</v>
      </c>
      <c r="C2060" s="116">
        <v>733.1</v>
      </c>
      <c r="D2060" s="116">
        <v>728.15</v>
      </c>
      <c r="E2060" s="116">
        <v>739.95</v>
      </c>
      <c r="F2060" s="116">
        <v>733.1</v>
      </c>
      <c r="G2060">
        <v>24903</v>
      </c>
      <c r="H2060" s="116"/>
      <c r="I2060" s="116"/>
      <c r="L2060" s="170">
        <v>45251</v>
      </c>
      <c r="M2060" s="116">
        <v>731.8</v>
      </c>
      <c r="N2060" s="116">
        <v>744.95</v>
      </c>
      <c r="O2060" s="116">
        <v>728.8</v>
      </c>
      <c r="P2060" s="116">
        <v>737</v>
      </c>
      <c r="Q2060" s="116">
        <v>731.8</v>
      </c>
      <c r="R2060">
        <v>383315</v>
      </c>
    </row>
    <row r="2061" spans="1:18" x14ac:dyDescent="0.25">
      <c r="A2061" s="170">
        <v>45252</v>
      </c>
      <c r="B2061" s="116">
        <v>734.15</v>
      </c>
      <c r="C2061" s="116">
        <v>726.5</v>
      </c>
      <c r="D2061" s="116">
        <v>722.2</v>
      </c>
      <c r="E2061" s="116">
        <v>733</v>
      </c>
      <c r="F2061" s="116">
        <v>726.5</v>
      </c>
      <c r="G2061">
        <v>34043</v>
      </c>
      <c r="H2061" s="116"/>
      <c r="I2061" s="116"/>
      <c r="L2061" s="170">
        <v>45252</v>
      </c>
      <c r="M2061" s="116">
        <v>726.95</v>
      </c>
      <c r="N2061" s="116">
        <v>734.55</v>
      </c>
      <c r="O2061" s="116">
        <v>722.2</v>
      </c>
      <c r="P2061" s="116">
        <v>731.8</v>
      </c>
      <c r="Q2061" s="116">
        <v>726.95</v>
      </c>
      <c r="R2061">
        <v>151126</v>
      </c>
    </row>
    <row r="2062" spans="1:18" x14ac:dyDescent="0.25">
      <c r="A2062" s="170">
        <v>45253</v>
      </c>
      <c r="B2062" s="116">
        <v>731.95</v>
      </c>
      <c r="C2062" s="116">
        <v>723.25</v>
      </c>
      <c r="D2062" s="116">
        <v>720.9</v>
      </c>
      <c r="E2062" s="116">
        <v>731.95</v>
      </c>
      <c r="F2062" s="116">
        <v>723.25</v>
      </c>
      <c r="G2062">
        <v>8456</v>
      </c>
      <c r="H2062" s="116"/>
      <c r="I2062" s="116"/>
      <c r="L2062" s="170">
        <v>45253</v>
      </c>
      <c r="M2062" s="116">
        <v>723.05</v>
      </c>
      <c r="N2062" s="116">
        <v>731.95</v>
      </c>
      <c r="O2062" s="116">
        <v>720</v>
      </c>
      <c r="P2062" s="116">
        <v>729</v>
      </c>
      <c r="Q2062" s="116">
        <v>723.05</v>
      </c>
      <c r="R2062">
        <v>180553</v>
      </c>
    </row>
    <row r="2063" spans="1:18" x14ac:dyDescent="0.25">
      <c r="A2063" s="170">
        <v>45254</v>
      </c>
      <c r="B2063" s="116">
        <v>740.75</v>
      </c>
      <c r="C2063" s="116">
        <v>729.2</v>
      </c>
      <c r="D2063" s="116">
        <v>721.05</v>
      </c>
      <c r="E2063" s="116">
        <v>721.05</v>
      </c>
      <c r="F2063" s="116">
        <v>729.2</v>
      </c>
      <c r="G2063">
        <v>68990</v>
      </c>
      <c r="H2063" s="116"/>
      <c r="I2063" s="116"/>
      <c r="L2063" s="170">
        <v>45254</v>
      </c>
      <c r="M2063" s="116">
        <v>729.1</v>
      </c>
      <c r="N2063" s="116">
        <v>740</v>
      </c>
      <c r="O2063" s="116">
        <v>720.15</v>
      </c>
      <c r="P2063" s="116">
        <v>723</v>
      </c>
      <c r="Q2063" s="116">
        <v>729.1</v>
      </c>
      <c r="R2063">
        <v>479763</v>
      </c>
    </row>
    <row r="2064" spans="1:18" x14ac:dyDescent="0.25">
      <c r="A2064" s="170">
        <v>45258</v>
      </c>
      <c r="B2064" s="116">
        <v>875</v>
      </c>
      <c r="C2064" s="116">
        <v>868.15</v>
      </c>
      <c r="D2064" s="116">
        <v>748.65</v>
      </c>
      <c r="E2064" s="116">
        <v>749.9</v>
      </c>
      <c r="F2064" s="116">
        <v>868.15</v>
      </c>
      <c r="G2064">
        <v>1331869</v>
      </c>
      <c r="H2064" s="116"/>
      <c r="I2064" s="116"/>
      <c r="L2064" s="170">
        <v>45258</v>
      </c>
      <c r="M2064" s="116">
        <v>865.1</v>
      </c>
      <c r="N2064" s="116">
        <v>874.9</v>
      </c>
      <c r="O2064" s="116">
        <v>746</v>
      </c>
      <c r="P2064" s="116">
        <v>748</v>
      </c>
      <c r="Q2064" s="116">
        <v>865.1</v>
      </c>
      <c r="R2064">
        <v>9792184</v>
      </c>
    </row>
    <row r="2065" spans="1:18" x14ac:dyDescent="0.25">
      <c r="A2065" s="170">
        <v>45259</v>
      </c>
      <c r="B2065" s="116">
        <v>954.85</v>
      </c>
      <c r="C2065" s="116">
        <v>876.3</v>
      </c>
      <c r="D2065" s="116">
        <v>860</v>
      </c>
      <c r="E2065" s="116">
        <v>900</v>
      </c>
      <c r="F2065" s="116">
        <v>876.3</v>
      </c>
      <c r="G2065">
        <v>1493800</v>
      </c>
      <c r="H2065" s="116"/>
      <c r="I2065" s="116"/>
      <c r="L2065" s="170">
        <v>45259</v>
      </c>
      <c r="M2065" s="116">
        <v>875.7</v>
      </c>
      <c r="N2065" s="116">
        <v>954.9</v>
      </c>
      <c r="O2065" s="116">
        <v>860</v>
      </c>
      <c r="P2065" s="116">
        <v>899</v>
      </c>
      <c r="Q2065" s="116">
        <v>875.7</v>
      </c>
      <c r="R2065">
        <v>13627653</v>
      </c>
    </row>
    <row r="2066" spans="1:18" x14ac:dyDescent="0.25">
      <c r="A2066" s="170">
        <v>45260</v>
      </c>
      <c r="B2066" s="116">
        <v>880</v>
      </c>
      <c r="C2066" s="116">
        <v>872.5</v>
      </c>
      <c r="D2066" s="116">
        <v>843.2</v>
      </c>
      <c r="E2066" s="116">
        <v>876.25</v>
      </c>
      <c r="F2066" s="116">
        <v>872.5</v>
      </c>
      <c r="G2066">
        <v>487002</v>
      </c>
      <c r="H2066" s="116"/>
      <c r="I2066" s="116"/>
      <c r="L2066" s="170">
        <v>45260</v>
      </c>
      <c r="M2066" s="116">
        <v>872.65</v>
      </c>
      <c r="N2066" s="116">
        <v>883</v>
      </c>
      <c r="O2066" s="116">
        <v>846.1</v>
      </c>
      <c r="P2066" s="116">
        <v>873.95</v>
      </c>
      <c r="Q2066" s="116">
        <v>872.65</v>
      </c>
      <c r="R2066">
        <v>3418249</v>
      </c>
    </row>
    <row r="2067" spans="1:18" x14ac:dyDescent="0.25">
      <c r="A2067" s="170">
        <v>45261</v>
      </c>
      <c r="B2067" s="116">
        <v>887.8</v>
      </c>
      <c r="C2067" s="116">
        <v>855.95</v>
      </c>
      <c r="D2067" s="116">
        <v>850</v>
      </c>
      <c r="E2067" s="116">
        <v>872.25</v>
      </c>
      <c r="F2067" s="116">
        <v>855.95</v>
      </c>
      <c r="G2067">
        <v>123708</v>
      </c>
      <c r="H2067" s="116"/>
      <c r="I2067" s="116"/>
      <c r="L2067" s="170">
        <v>45261</v>
      </c>
      <c r="M2067" s="116">
        <v>854.7</v>
      </c>
      <c r="N2067" s="116">
        <v>887.65</v>
      </c>
      <c r="O2067" s="116">
        <v>848</v>
      </c>
      <c r="P2067" s="116">
        <v>872.65</v>
      </c>
      <c r="Q2067" s="116">
        <v>854.7</v>
      </c>
      <c r="R2067">
        <v>2088092</v>
      </c>
    </row>
    <row r="2068" spans="1:18" x14ac:dyDescent="0.25">
      <c r="A2068" s="170">
        <v>45264</v>
      </c>
      <c r="B2068" s="116">
        <v>975.05</v>
      </c>
      <c r="C2068" s="116">
        <v>902.2</v>
      </c>
      <c r="D2068" s="116">
        <v>892.5</v>
      </c>
      <c r="E2068" s="116">
        <v>975.05</v>
      </c>
      <c r="F2068" s="116">
        <v>902.2</v>
      </c>
      <c r="G2068">
        <v>617332</v>
      </c>
      <c r="H2068" s="116"/>
      <c r="I2068" s="116"/>
      <c r="L2068" s="170">
        <v>45264</v>
      </c>
      <c r="M2068" s="116">
        <v>903.7</v>
      </c>
      <c r="N2068" s="116">
        <v>969</v>
      </c>
      <c r="O2068" s="116">
        <v>896.15</v>
      </c>
      <c r="P2068" s="116">
        <v>969</v>
      </c>
      <c r="Q2068" s="116">
        <v>903.7</v>
      </c>
      <c r="R2068">
        <v>4277939</v>
      </c>
    </row>
    <row r="2069" spans="1:18" x14ac:dyDescent="0.25">
      <c r="A2069" s="170">
        <v>45265</v>
      </c>
      <c r="B2069" s="116">
        <v>1082.5999999999999</v>
      </c>
      <c r="C2069" s="116">
        <v>1082.5999999999999</v>
      </c>
      <c r="D2069" s="116">
        <v>883.25</v>
      </c>
      <c r="E2069" s="116">
        <v>919.95</v>
      </c>
      <c r="F2069" s="116">
        <v>1082.5999999999999</v>
      </c>
      <c r="G2069">
        <v>1355129</v>
      </c>
      <c r="H2069" s="116"/>
      <c r="I2069" s="116"/>
      <c r="L2069" s="170">
        <v>45265</v>
      </c>
      <c r="M2069" s="116">
        <v>1084.4000000000001</v>
      </c>
      <c r="N2069" s="116">
        <v>1084.4000000000001</v>
      </c>
      <c r="O2069" s="116">
        <v>882.5</v>
      </c>
      <c r="P2069" s="116">
        <v>903</v>
      </c>
      <c r="Q2069" s="116">
        <v>1084.4000000000001</v>
      </c>
      <c r="R2069">
        <v>24514379</v>
      </c>
    </row>
    <row r="2070" spans="1:18" x14ac:dyDescent="0.25">
      <c r="A2070" s="170">
        <v>45266</v>
      </c>
      <c r="B2070" s="116">
        <v>1246</v>
      </c>
      <c r="C2070" s="116">
        <v>1162.3</v>
      </c>
      <c r="D2070" s="116">
        <v>1104.25</v>
      </c>
      <c r="E2070" s="116">
        <v>1133.3</v>
      </c>
      <c r="F2070" s="116">
        <v>1162.3</v>
      </c>
      <c r="G2070">
        <v>1476368</v>
      </c>
      <c r="H2070" s="116"/>
      <c r="I2070" s="116"/>
      <c r="L2070" s="170">
        <v>45266</v>
      </c>
      <c r="M2070" s="116">
        <v>1164.3</v>
      </c>
      <c r="N2070" s="116">
        <v>1246</v>
      </c>
      <c r="O2070" s="116">
        <v>1102.1500000000001</v>
      </c>
      <c r="P2070" s="116">
        <v>1137</v>
      </c>
      <c r="Q2070" s="116">
        <v>1164.3</v>
      </c>
      <c r="R2070">
        <v>29839084</v>
      </c>
    </row>
    <row r="2071" spans="1:18" x14ac:dyDescent="0.25">
      <c r="A2071" s="170">
        <v>45267</v>
      </c>
      <c r="B2071" s="116">
        <v>1240</v>
      </c>
      <c r="C2071" s="116">
        <v>1197.5999999999999</v>
      </c>
      <c r="D2071" s="116">
        <v>1159</v>
      </c>
      <c r="E2071" s="116">
        <v>1169.95</v>
      </c>
      <c r="F2071" s="116">
        <v>1197.5999999999999</v>
      </c>
      <c r="G2071">
        <v>763376</v>
      </c>
      <c r="H2071" s="116"/>
      <c r="I2071" s="116"/>
      <c r="L2071" s="170">
        <v>45267</v>
      </c>
      <c r="M2071" s="116">
        <v>1198.7</v>
      </c>
      <c r="N2071" s="116">
        <v>1240</v>
      </c>
      <c r="O2071" s="116">
        <v>1154.95</v>
      </c>
      <c r="P2071" s="116">
        <v>1164.3</v>
      </c>
      <c r="Q2071" s="116">
        <v>1198.7</v>
      </c>
      <c r="R2071">
        <v>13902767</v>
      </c>
    </row>
    <row r="2072" spans="1:18" x14ac:dyDescent="0.25">
      <c r="A2072" s="170">
        <v>45268</v>
      </c>
      <c r="B2072" s="116">
        <v>1235.25</v>
      </c>
      <c r="C2072" s="116">
        <v>1130.8499999999999</v>
      </c>
      <c r="D2072" s="116">
        <v>1075.5</v>
      </c>
      <c r="E2072" s="116">
        <v>1216.0999999999999</v>
      </c>
      <c r="F2072" s="116">
        <v>1130.8499999999999</v>
      </c>
      <c r="G2072">
        <v>508899</v>
      </c>
      <c r="H2072" s="116"/>
      <c r="I2072" s="116"/>
      <c r="L2072" s="170">
        <v>45268</v>
      </c>
      <c r="M2072" s="116">
        <v>1131.5</v>
      </c>
      <c r="N2072" s="116">
        <v>1235</v>
      </c>
      <c r="O2072" s="116">
        <v>1070.55</v>
      </c>
      <c r="P2072" s="116">
        <v>1208.7</v>
      </c>
      <c r="Q2072" s="116">
        <v>1131.5</v>
      </c>
      <c r="R2072">
        <v>9599418</v>
      </c>
    </row>
    <row r="2073" spans="1:18" x14ac:dyDescent="0.25">
      <c r="A2073" s="170">
        <v>45271</v>
      </c>
      <c r="B2073" s="116">
        <v>1158.25</v>
      </c>
      <c r="C2073" s="116">
        <v>1129.0999999999999</v>
      </c>
      <c r="D2073" s="116">
        <v>1092.9000000000001</v>
      </c>
      <c r="E2073" s="116">
        <v>1139.55</v>
      </c>
      <c r="F2073" s="116">
        <v>1129.0999999999999</v>
      </c>
      <c r="G2073">
        <v>151036</v>
      </c>
      <c r="H2073" s="116"/>
      <c r="I2073" s="116"/>
      <c r="L2073" s="170">
        <v>45271</v>
      </c>
      <c r="M2073" s="116">
        <v>1129.95</v>
      </c>
      <c r="N2073" s="116">
        <v>1158</v>
      </c>
      <c r="O2073" s="116">
        <v>1090.5</v>
      </c>
      <c r="P2073" s="116">
        <v>1137.95</v>
      </c>
      <c r="Q2073" s="116">
        <v>1129.95</v>
      </c>
      <c r="R2073">
        <v>3107570</v>
      </c>
    </row>
    <row r="2074" spans="1:18" x14ac:dyDescent="0.25">
      <c r="A2074" s="170">
        <v>45272</v>
      </c>
      <c r="B2074" s="116">
        <v>1136.5999999999999</v>
      </c>
      <c r="C2074" s="116">
        <v>1089.2</v>
      </c>
      <c r="D2074" s="116">
        <v>1085</v>
      </c>
      <c r="E2074" s="116">
        <v>1130.05</v>
      </c>
      <c r="F2074" s="116">
        <v>1089.2</v>
      </c>
      <c r="G2074">
        <v>98999</v>
      </c>
      <c r="H2074" s="116"/>
      <c r="I2074" s="116"/>
      <c r="L2074" s="170">
        <v>45272</v>
      </c>
      <c r="M2074" s="116">
        <v>1089.1500000000001</v>
      </c>
      <c r="N2074" s="116">
        <v>1135.6500000000001</v>
      </c>
      <c r="O2074" s="116">
        <v>1085</v>
      </c>
      <c r="P2074" s="116">
        <v>1132</v>
      </c>
      <c r="Q2074" s="116">
        <v>1089.1500000000001</v>
      </c>
      <c r="R2074">
        <v>3107531</v>
      </c>
    </row>
    <row r="2075" spans="1:18" x14ac:dyDescent="0.25">
      <c r="A2075" s="170">
        <v>45273</v>
      </c>
      <c r="B2075" s="116">
        <v>1095</v>
      </c>
      <c r="C2075" s="116">
        <v>1030.5999999999999</v>
      </c>
      <c r="D2075" s="116">
        <v>1007.5</v>
      </c>
      <c r="E2075" s="116">
        <v>1095</v>
      </c>
      <c r="F2075" s="116">
        <v>1030.5999999999999</v>
      </c>
      <c r="G2075">
        <v>435456</v>
      </c>
      <c r="H2075" s="116"/>
      <c r="I2075" s="116"/>
      <c r="L2075" s="170">
        <v>45273</v>
      </c>
      <c r="M2075" s="116">
        <v>1030.9000000000001</v>
      </c>
      <c r="N2075" s="116">
        <v>1095.9000000000001</v>
      </c>
      <c r="O2075" s="116">
        <v>1008.1</v>
      </c>
      <c r="P2075" s="116">
        <v>1093.95</v>
      </c>
      <c r="Q2075" s="116">
        <v>1030.9000000000001</v>
      </c>
      <c r="R2075">
        <v>2756868</v>
      </c>
    </row>
    <row r="2076" spans="1:18" x14ac:dyDescent="0.25">
      <c r="A2076" s="170">
        <v>45274</v>
      </c>
      <c r="B2076" s="116">
        <v>1095</v>
      </c>
      <c r="C2076" s="116">
        <v>1074.8499999999999</v>
      </c>
      <c r="D2076" s="116">
        <v>1039.95</v>
      </c>
      <c r="E2076" s="116">
        <v>1040.95</v>
      </c>
      <c r="F2076" s="116">
        <v>1074.8499999999999</v>
      </c>
      <c r="G2076">
        <v>123709</v>
      </c>
      <c r="H2076" s="116"/>
      <c r="I2076" s="116"/>
      <c r="L2076" s="170">
        <v>45274</v>
      </c>
      <c r="M2076" s="116">
        <v>1074.75</v>
      </c>
      <c r="N2076" s="116">
        <v>1094.95</v>
      </c>
      <c r="O2076" s="116">
        <v>1035.8499999999999</v>
      </c>
      <c r="P2076" s="116">
        <v>1041</v>
      </c>
      <c r="Q2076" s="116">
        <v>1074.75</v>
      </c>
      <c r="R2076">
        <v>3933857</v>
      </c>
    </row>
    <row r="2077" spans="1:18" x14ac:dyDescent="0.25">
      <c r="A2077" s="170">
        <v>45275</v>
      </c>
      <c r="B2077" s="116">
        <v>1094.05</v>
      </c>
      <c r="C2077" s="116">
        <v>1047.8499999999999</v>
      </c>
      <c r="D2077" s="116">
        <v>1036.2</v>
      </c>
      <c r="E2077" s="116">
        <v>1089.8499999999999</v>
      </c>
      <c r="F2077" s="116">
        <v>1047.8499999999999</v>
      </c>
      <c r="G2077">
        <v>233873</v>
      </c>
      <c r="H2077" s="116"/>
      <c r="I2077" s="116"/>
      <c r="L2077" s="170">
        <v>45275</v>
      </c>
      <c r="M2077" s="116">
        <v>1047.25</v>
      </c>
      <c r="N2077" s="116">
        <v>1091.9000000000001</v>
      </c>
      <c r="O2077" s="116">
        <v>1036</v>
      </c>
      <c r="P2077" s="116">
        <v>1089.8499999999999</v>
      </c>
      <c r="Q2077" s="116">
        <v>1047.25</v>
      </c>
      <c r="R2077">
        <v>3821111</v>
      </c>
    </row>
    <row r="2078" spans="1:18" x14ac:dyDescent="0.25">
      <c r="A2078" s="170">
        <v>45278</v>
      </c>
      <c r="B2078" s="116">
        <v>1061</v>
      </c>
      <c r="C2078" s="116">
        <v>1043.45</v>
      </c>
      <c r="D2078" s="116">
        <v>1030.5999999999999</v>
      </c>
      <c r="E2078" s="116">
        <v>1048.05</v>
      </c>
      <c r="F2078" s="116">
        <v>1043.45</v>
      </c>
      <c r="G2078">
        <v>182378</v>
      </c>
      <c r="H2078" s="116"/>
      <c r="I2078" s="116"/>
      <c r="L2078" s="170">
        <v>45278</v>
      </c>
      <c r="M2078" s="116">
        <v>1043.05</v>
      </c>
      <c r="N2078" s="116">
        <v>1062</v>
      </c>
      <c r="O2078" s="116">
        <v>1031.75</v>
      </c>
      <c r="P2078" s="116">
        <v>1060</v>
      </c>
      <c r="Q2078" s="116">
        <v>1043.05</v>
      </c>
      <c r="R2078">
        <v>3042841</v>
      </c>
    </row>
    <row r="2079" spans="1:18" x14ac:dyDescent="0.25">
      <c r="A2079" s="170">
        <v>45279</v>
      </c>
      <c r="B2079" s="116">
        <v>1087.95</v>
      </c>
      <c r="C2079" s="116">
        <v>1075.7</v>
      </c>
      <c r="D2079" s="116">
        <v>1030.5</v>
      </c>
      <c r="E2079" s="116">
        <v>1058.5999999999999</v>
      </c>
      <c r="F2079" s="116">
        <v>1075.7</v>
      </c>
      <c r="G2079">
        <v>246129</v>
      </c>
      <c r="H2079" s="116"/>
      <c r="I2079" s="116"/>
      <c r="L2079" s="170">
        <v>45279</v>
      </c>
      <c r="M2079" s="116">
        <v>1076.2</v>
      </c>
      <c r="N2079" s="116">
        <v>1088.7</v>
      </c>
      <c r="O2079" s="116">
        <v>1031.1500000000001</v>
      </c>
      <c r="P2079" s="116">
        <v>1051</v>
      </c>
      <c r="Q2079" s="116">
        <v>1076.2</v>
      </c>
      <c r="R2079">
        <v>3356750</v>
      </c>
    </row>
    <row r="2080" spans="1:18" x14ac:dyDescent="0.25">
      <c r="A2080" s="170">
        <v>45280</v>
      </c>
      <c r="B2080" s="116">
        <v>1129.25</v>
      </c>
      <c r="C2080" s="116">
        <v>999.1</v>
      </c>
      <c r="D2080" s="116">
        <v>994</v>
      </c>
      <c r="E2080" s="116">
        <v>1076.5</v>
      </c>
      <c r="F2080" s="116">
        <v>999.1</v>
      </c>
      <c r="G2080">
        <v>145078</v>
      </c>
      <c r="H2080" s="116"/>
      <c r="I2080" s="116"/>
      <c r="L2080" s="170">
        <v>45280</v>
      </c>
      <c r="M2080" s="116">
        <v>998.9</v>
      </c>
      <c r="N2080" s="116">
        <v>1128</v>
      </c>
      <c r="O2080" s="116">
        <v>993.8</v>
      </c>
      <c r="P2080" s="116">
        <v>1078.2</v>
      </c>
      <c r="Q2080" s="116">
        <v>998.9</v>
      </c>
      <c r="R2080">
        <v>4060611</v>
      </c>
    </row>
    <row r="2081" spans="1:18" x14ac:dyDescent="0.25">
      <c r="A2081" s="170">
        <v>45281</v>
      </c>
      <c r="B2081" s="116">
        <v>1039.5</v>
      </c>
      <c r="C2081" s="116">
        <v>1027</v>
      </c>
      <c r="D2081" s="116">
        <v>979.3</v>
      </c>
      <c r="E2081" s="116">
        <v>985.05</v>
      </c>
      <c r="F2081" s="116">
        <v>1027</v>
      </c>
      <c r="G2081">
        <v>257078</v>
      </c>
      <c r="H2081" s="116"/>
      <c r="I2081" s="116"/>
      <c r="L2081" s="170">
        <v>45281</v>
      </c>
      <c r="M2081" s="116">
        <v>1026.55</v>
      </c>
      <c r="N2081" s="116">
        <v>1038.3499999999999</v>
      </c>
      <c r="O2081" s="116">
        <v>981</v>
      </c>
      <c r="P2081" s="116">
        <v>984.95</v>
      </c>
      <c r="Q2081" s="116">
        <v>1026.55</v>
      </c>
      <c r="R2081">
        <v>1449502</v>
      </c>
    </row>
    <row r="2082" spans="1:18" x14ac:dyDescent="0.25">
      <c r="A2082" s="170">
        <v>45282</v>
      </c>
      <c r="B2082" s="116">
        <v>1045.8499999999999</v>
      </c>
      <c r="C2082" s="116">
        <v>1028.2</v>
      </c>
      <c r="D2082" s="116">
        <v>1023.1</v>
      </c>
      <c r="E2082" s="116">
        <v>1039.95</v>
      </c>
      <c r="F2082" s="116">
        <v>1028.2</v>
      </c>
      <c r="G2082">
        <v>117788</v>
      </c>
      <c r="H2082" s="116"/>
      <c r="I2082" s="116"/>
      <c r="L2082" s="170">
        <v>45282</v>
      </c>
      <c r="M2082" s="116">
        <v>1027.9000000000001</v>
      </c>
      <c r="N2082" s="116">
        <v>1044.8</v>
      </c>
      <c r="O2082" s="116">
        <v>1026</v>
      </c>
      <c r="P2082" s="116">
        <v>1040</v>
      </c>
      <c r="Q2082" s="116">
        <v>1027.9000000000001</v>
      </c>
      <c r="R2082">
        <v>2494643</v>
      </c>
    </row>
    <row r="2083" spans="1:18" x14ac:dyDescent="0.25">
      <c r="A2083" s="170">
        <v>45286</v>
      </c>
      <c r="B2083" s="116">
        <v>1047.9000000000001</v>
      </c>
      <c r="C2083" s="116">
        <v>1041.2</v>
      </c>
      <c r="D2083" s="116">
        <v>1018.3</v>
      </c>
      <c r="E2083" s="116">
        <v>1032.8</v>
      </c>
      <c r="F2083" s="116">
        <v>1041.2</v>
      </c>
      <c r="G2083">
        <v>133687</v>
      </c>
      <c r="H2083" s="116"/>
      <c r="I2083" s="116"/>
      <c r="L2083" s="170">
        <v>45286</v>
      </c>
      <c r="M2083" s="116">
        <v>1041.5999999999999</v>
      </c>
      <c r="N2083" s="116">
        <v>1047.8499999999999</v>
      </c>
      <c r="O2083" s="116">
        <v>1011.9</v>
      </c>
      <c r="P2083" s="116">
        <v>1035.5</v>
      </c>
      <c r="Q2083" s="116">
        <v>1041.5999999999999</v>
      </c>
      <c r="R2083">
        <v>2391693</v>
      </c>
    </row>
    <row r="2084" spans="1:18" x14ac:dyDescent="0.25">
      <c r="A2084" s="170">
        <v>45287</v>
      </c>
      <c r="B2084" s="116">
        <v>1082.4000000000001</v>
      </c>
      <c r="C2084" s="116">
        <v>1058.55</v>
      </c>
      <c r="D2084" s="116">
        <v>1047.3</v>
      </c>
      <c r="E2084" s="116">
        <v>1068.05</v>
      </c>
      <c r="F2084" s="116">
        <v>1058.55</v>
      </c>
      <c r="G2084">
        <v>41837</v>
      </c>
      <c r="H2084" s="116"/>
      <c r="I2084" s="116"/>
      <c r="L2084" s="170">
        <v>45287</v>
      </c>
      <c r="M2084" s="116">
        <v>1058.7</v>
      </c>
      <c r="N2084" s="116">
        <v>1083</v>
      </c>
      <c r="O2084" s="116">
        <v>1047.2</v>
      </c>
      <c r="P2084" s="116">
        <v>1070</v>
      </c>
      <c r="Q2084" s="116">
        <v>1058.7</v>
      </c>
      <c r="R2084">
        <v>2801997</v>
      </c>
    </row>
    <row r="2085" spans="1:18" x14ac:dyDescent="0.25">
      <c r="A2085" s="170">
        <v>45288</v>
      </c>
      <c r="B2085" s="116">
        <v>1070.4000000000001</v>
      </c>
      <c r="C2085" s="116">
        <v>1024.55</v>
      </c>
      <c r="D2085" s="116">
        <v>1012.3</v>
      </c>
      <c r="E2085" s="116">
        <v>1064.25</v>
      </c>
      <c r="F2085" s="116">
        <v>1024.55</v>
      </c>
      <c r="G2085">
        <v>42857</v>
      </c>
      <c r="H2085" s="116"/>
      <c r="I2085" s="116"/>
      <c r="L2085" s="170">
        <v>45288</v>
      </c>
      <c r="M2085" s="116">
        <v>1022.55</v>
      </c>
      <c r="N2085" s="116">
        <v>1073.3499999999999</v>
      </c>
      <c r="O2085" s="116">
        <v>1011.55</v>
      </c>
      <c r="P2085" s="116">
        <v>1063</v>
      </c>
      <c r="Q2085" s="116">
        <v>1022.55</v>
      </c>
      <c r="R2085">
        <v>2617618</v>
      </c>
    </row>
    <row r="2086" spans="1:18" x14ac:dyDescent="0.25">
      <c r="A2086" s="170">
        <v>45289</v>
      </c>
      <c r="B2086" s="116">
        <v>1057</v>
      </c>
      <c r="C2086" s="116">
        <v>1046</v>
      </c>
      <c r="D2086" s="116">
        <v>1017.4</v>
      </c>
      <c r="E2086" s="116">
        <v>1035.75</v>
      </c>
      <c r="F2086" s="116">
        <v>1046</v>
      </c>
      <c r="G2086">
        <v>153115</v>
      </c>
      <c r="H2086" s="116"/>
      <c r="I2086" s="116"/>
      <c r="L2086" s="170">
        <v>45289</v>
      </c>
      <c r="M2086" s="116">
        <v>1045.75</v>
      </c>
      <c r="N2086" s="116">
        <v>1058</v>
      </c>
      <c r="O2086" s="116">
        <v>1018.2</v>
      </c>
      <c r="P2086" s="116">
        <v>1037</v>
      </c>
      <c r="Q2086" s="116">
        <v>1045.75</v>
      </c>
      <c r="R2086">
        <v>2752398</v>
      </c>
    </row>
    <row r="2087" spans="1:18" x14ac:dyDescent="0.25">
      <c r="A2087" s="170">
        <v>45292</v>
      </c>
      <c r="B2087" s="116">
        <v>1070.0999999999999</v>
      </c>
      <c r="C2087" s="116">
        <v>1054.0999999999999</v>
      </c>
      <c r="D2087" s="116">
        <v>1032.7</v>
      </c>
      <c r="E2087" s="116">
        <v>1046</v>
      </c>
      <c r="F2087" s="116">
        <v>1054.0999999999999</v>
      </c>
      <c r="G2087">
        <v>113628</v>
      </c>
      <c r="H2087" s="116"/>
      <c r="I2087" s="116"/>
      <c r="L2087" s="170">
        <v>45292</v>
      </c>
      <c r="M2087" s="116">
        <v>1055.05</v>
      </c>
      <c r="N2087" s="116">
        <v>1073</v>
      </c>
      <c r="O2087" s="116">
        <v>1036.05</v>
      </c>
      <c r="P2087" s="116">
        <v>1040</v>
      </c>
      <c r="Q2087" s="116">
        <v>1055.05</v>
      </c>
      <c r="R2087">
        <v>676574</v>
      </c>
    </row>
    <row r="2088" spans="1:18" x14ac:dyDescent="0.25">
      <c r="A2088" s="170">
        <v>45293</v>
      </c>
      <c r="B2088" s="116">
        <v>1072.6500000000001</v>
      </c>
      <c r="C2088" s="116">
        <v>1060.8499999999999</v>
      </c>
      <c r="D2088" s="116">
        <v>1035</v>
      </c>
      <c r="E2088" s="116">
        <v>1057.5999999999999</v>
      </c>
      <c r="F2088" s="116">
        <v>1060.8499999999999</v>
      </c>
      <c r="G2088">
        <v>43813</v>
      </c>
      <c r="H2088" s="116"/>
      <c r="I2088" s="116"/>
      <c r="L2088" s="170">
        <v>45293</v>
      </c>
      <c r="M2088" s="116">
        <v>1062.45</v>
      </c>
      <c r="N2088" s="116">
        <v>1072</v>
      </c>
      <c r="O2088" s="116">
        <v>1034</v>
      </c>
      <c r="P2088" s="116">
        <v>1060</v>
      </c>
      <c r="Q2088" s="116">
        <v>1062.45</v>
      </c>
      <c r="R2088">
        <v>2716805</v>
      </c>
    </row>
    <row r="2089" spans="1:18" x14ac:dyDescent="0.25">
      <c r="A2089" s="170">
        <v>45294</v>
      </c>
      <c r="B2089" s="116">
        <v>1250</v>
      </c>
      <c r="C2089" s="116">
        <v>1183.9000000000001</v>
      </c>
      <c r="D2089" s="116">
        <v>1076.75</v>
      </c>
      <c r="E2089" s="116">
        <v>1145</v>
      </c>
      <c r="F2089" s="116">
        <v>1183.9000000000001</v>
      </c>
      <c r="G2089">
        <v>787013</v>
      </c>
      <c r="H2089" s="116"/>
      <c r="I2089" s="116"/>
      <c r="L2089" s="170">
        <v>45294</v>
      </c>
      <c r="M2089" s="116">
        <v>1183.2</v>
      </c>
      <c r="N2089" s="116">
        <v>1250</v>
      </c>
      <c r="O2089" s="116">
        <v>1072</v>
      </c>
      <c r="P2089" s="116">
        <v>1150</v>
      </c>
      <c r="Q2089" s="116">
        <v>1183.2</v>
      </c>
      <c r="R2089">
        <v>13493682</v>
      </c>
    </row>
    <row r="2090" spans="1:18" x14ac:dyDescent="0.25">
      <c r="A2090" s="170">
        <v>45295</v>
      </c>
      <c r="B2090" s="116">
        <v>1219</v>
      </c>
      <c r="C2090" s="116">
        <v>1179</v>
      </c>
      <c r="D2090" s="116">
        <v>1150</v>
      </c>
      <c r="E2090" s="116">
        <v>1207.6500000000001</v>
      </c>
      <c r="F2090" s="116">
        <v>1179</v>
      </c>
      <c r="G2090">
        <v>547503</v>
      </c>
      <c r="H2090" s="116"/>
      <c r="I2090" s="116"/>
      <c r="L2090" s="170">
        <v>45295</v>
      </c>
      <c r="M2090" s="116">
        <v>1179.8</v>
      </c>
      <c r="N2090" s="116">
        <v>1219.7</v>
      </c>
      <c r="O2090" s="116">
        <v>1150</v>
      </c>
      <c r="P2090" s="116">
        <v>1210</v>
      </c>
      <c r="Q2090" s="116">
        <v>1179.8</v>
      </c>
      <c r="R2090">
        <v>2693790</v>
      </c>
    </row>
    <row r="2091" spans="1:18" x14ac:dyDescent="0.25">
      <c r="A2091" s="170">
        <v>45296</v>
      </c>
      <c r="B2091" s="116">
        <v>1186.95</v>
      </c>
      <c r="C2091" s="116">
        <v>1163.4000000000001</v>
      </c>
      <c r="D2091" s="116">
        <v>1155</v>
      </c>
      <c r="E2091" s="116">
        <v>1181.5999999999999</v>
      </c>
      <c r="F2091" s="116">
        <v>1163.4000000000001</v>
      </c>
      <c r="G2091">
        <v>80115</v>
      </c>
      <c r="H2091" s="116"/>
      <c r="I2091" s="116"/>
      <c r="L2091" s="170">
        <v>45296</v>
      </c>
      <c r="M2091" s="116">
        <v>1164</v>
      </c>
      <c r="N2091" s="116">
        <v>1186.8499999999999</v>
      </c>
      <c r="O2091" s="116">
        <v>1155.45</v>
      </c>
      <c r="P2091" s="116">
        <v>1180</v>
      </c>
      <c r="Q2091" s="116">
        <v>1164</v>
      </c>
      <c r="R2091">
        <v>1343094</v>
      </c>
    </row>
    <row r="2092" spans="1:18" x14ac:dyDescent="0.25">
      <c r="A2092" s="170">
        <v>45299</v>
      </c>
      <c r="B2092" s="116">
        <v>1177.5</v>
      </c>
      <c r="C2092" s="116">
        <v>1144.1500000000001</v>
      </c>
      <c r="D2092" s="116">
        <v>1137.75</v>
      </c>
      <c r="E2092" s="116">
        <v>1177.5</v>
      </c>
      <c r="F2092" s="116">
        <v>1144.1500000000001</v>
      </c>
      <c r="G2092">
        <v>50257</v>
      </c>
      <c r="H2092" s="116"/>
      <c r="I2092" s="116"/>
      <c r="L2092" s="170">
        <v>45299</v>
      </c>
      <c r="M2092" s="116">
        <v>1143.5</v>
      </c>
      <c r="N2092" s="116">
        <v>1172.3499999999999</v>
      </c>
      <c r="O2092" s="116">
        <v>1140</v>
      </c>
      <c r="P2092" s="116">
        <v>1170.8499999999999</v>
      </c>
      <c r="Q2092" s="116">
        <v>1143.5</v>
      </c>
      <c r="R2092">
        <v>896113</v>
      </c>
    </row>
    <row r="2093" spans="1:18" x14ac:dyDescent="0.25">
      <c r="A2093" s="170">
        <v>45300</v>
      </c>
      <c r="B2093" s="116">
        <v>1198.95</v>
      </c>
      <c r="C2093" s="116">
        <v>1163.7</v>
      </c>
      <c r="D2093" s="116">
        <v>1138.0999999999999</v>
      </c>
      <c r="E2093" s="116">
        <v>1151</v>
      </c>
      <c r="F2093" s="116">
        <v>1163.7</v>
      </c>
      <c r="G2093">
        <v>220521</v>
      </c>
      <c r="H2093" s="116"/>
      <c r="I2093" s="116"/>
      <c r="L2093" s="170">
        <v>45300</v>
      </c>
      <c r="M2093" s="116">
        <v>1164.0999999999999</v>
      </c>
      <c r="N2093" s="116">
        <v>1199</v>
      </c>
      <c r="O2093" s="116">
        <v>1145</v>
      </c>
      <c r="P2093" s="116">
        <v>1151</v>
      </c>
      <c r="Q2093" s="116">
        <v>1164.0999999999999</v>
      </c>
      <c r="R2093">
        <v>1347686</v>
      </c>
    </row>
    <row r="2094" spans="1:18" x14ac:dyDescent="0.25">
      <c r="A2094" s="170">
        <v>45301</v>
      </c>
      <c r="B2094" s="116">
        <v>1184</v>
      </c>
      <c r="C2094" s="116">
        <v>1170.95</v>
      </c>
      <c r="D2094" s="116">
        <v>1157</v>
      </c>
      <c r="E2094" s="116">
        <v>1170</v>
      </c>
      <c r="F2094" s="116">
        <v>1170.95</v>
      </c>
      <c r="G2094">
        <v>83150</v>
      </c>
      <c r="H2094" s="116"/>
      <c r="I2094" s="116"/>
      <c r="L2094" s="170">
        <v>45301</v>
      </c>
      <c r="M2094" s="116">
        <v>1170.3</v>
      </c>
      <c r="N2094" s="116">
        <v>1184</v>
      </c>
      <c r="O2094" s="116">
        <v>1156.6500000000001</v>
      </c>
      <c r="P2094" s="116">
        <v>1171</v>
      </c>
      <c r="Q2094" s="116">
        <v>1170.3</v>
      </c>
      <c r="R2094">
        <v>1302889</v>
      </c>
    </row>
    <row r="2095" spans="1:18" x14ac:dyDescent="0.25">
      <c r="A2095" s="170">
        <v>45302</v>
      </c>
      <c r="B2095" s="116">
        <v>1184.3499999999999</v>
      </c>
      <c r="C2095" s="116">
        <v>1159.8499999999999</v>
      </c>
      <c r="D2095" s="116">
        <v>1153.45</v>
      </c>
      <c r="E2095" s="116">
        <v>1178.7</v>
      </c>
      <c r="F2095" s="116">
        <v>1159.8499999999999</v>
      </c>
      <c r="G2095">
        <v>143672</v>
      </c>
      <c r="H2095" s="116"/>
      <c r="I2095" s="116"/>
      <c r="L2095" s="170">
        <v>45302</v>
      </c>
      <c r="M2095" s="116">
        <v>1159.7</v>
      </c>
      <c r="N2095" s="116">
        <v>1184</v>
      </c>
      <c r="O2095" s="116">
        <v>1154.75</v>
      </c>
      <c r="P2095" s="116">
        <v>1179.7</v>
      </c>
      <c r="Q2095" s="116">
        <v>1159.7</v>
      </c>
      <c r="R2095">
        <v>689920</v>
      </c>
    </row>
    <row r="2096" spans="1:18" x14ac:dyDescent="0.25">
      <c r="A2096" s="170">
        <v>45303</v>
      </c>
      <c r="B2096" s="116">
        <v>1174.25</v>
      </c>
      <c r="C2096" s="116">
        <v>1151.55</v>
      </c>
      <c r="D2096" s="116">
        <v>1150.1500000000001</v>
      </c>
      <c r="E2096" s="116">
        <v>1162.5999999999999</v>
      </c>
      <c r="F2096" s="116">
        <v>1151.55</v>
      </c>
      <c r="G2096">
        <v>167211</v>
      </c>
      <c r="H2096" s="116"/>
      <c r="I2096" s="116"/>
      <c r="L2096" s="170">
        <v>45303</v>
      </c>
      <c r="M2096" s="116">
        <v>1152.2</v>
      </c>
      <c r="N2096" s="116">
        <v>1174.45</v>
      </c>
      <c r="O2096" s="116">
        <v>1150.0999999999999</v>
      </c>
      <c r="P2096" s="116">
        <v>1167</v>
      </c>
      <c r="Q2096" s="116">
        <v>1152.2</v>
      </c>
      <c r="R2096">
        <v>729133</v>
      </c>
    </row>
    <row r="2097" spans="1:18" x14ac:dyDescent="0.25">
      <c r="A2097" s="170">
        <v>45306</v>
      </c>
      <c r="B2097" s="116">
        <v>1163.6500000000001</v>
      </c>
      <c r="C2097" s="116">
        <v>1148.1500000000001</v>
      </c>
      <c r="D2097" s="116">
        <v>1127.25</v>
      </c>
      <c r="E2097" s="116">
        <v>1155.1500000000001</v>
      </c>
      <c r="F2097" s="116">
        <v>1148.1500000000001</v>
      </c>
      <c r="G2097">
        <v>98547</v>
      </c>
      <c r="H2097" s="116"/>
      <c r="I2097" s="116"/>
      <c r="L2097" s="170">
        <v>45306</v>
      </c>
      <c r="M2097" s="116">
        <v>1148</v>
      </c>
      <c r="N2097" s="116">
        <v>1164.6500000000001</v>
      </c>
      <c r="O2097" s="116">
        <v>1127.05</v>
      </c>
      <c r="P2097" s="116">
        <v>1158.4000000000001</v>
      </c>
      <c r="Q2097" s="116">
        <v>1148</v>
      </c>
      <c r="R2097">
        <v>3399085</v>
      </c>
    </row>
    <row r="2098" spans="1:18" x14ac:dyDescent="0.25">
      <c r="A2098" s="170">
        <v>45307</v>
      </c>
      <c r="B2098" s="116">
        <v>1146.2</v>
      </c>
      <c r="C2098" s="116">
        <v>1125.3499999999999</v>
      </c>
      <c r="D2098" s="116">
        <v>1118.2</v>
      </c>
      <c r="E2098" s="116">
        <v>1145.3</v>
      </c>
      <c r="F2098" s="116">
        <v>1125.3499999999999</v>
      </c>
      <c r="G2098">
        <v>190925</v>
      </c>
      <c r="H2098" s="116"/>
      <c r="I2098" s="116"/>
      <c r="L2098" s="170">
        <v>45307</v>
      </c>
      <c r="M2098" s="116">
        <v>1126.3499999999999</v>
      </c>
      <c r="N2098" s="116">
        <v>1148</v>
      </c>
      <c r="O2098" s="116">
        <v>1118.95</v>
      </c>
      <c r="P2098" s="116">
        <v>1148</v>
      </c>
      <c r="Q2098" s="116">
        <v>1126.3499999999999</v>
      </c>
      <c r="R2098">
        <v>3851854</v>
      </c>
    </row>
    <row r="2099" spans="1:18" x14ac:dyDescent="0.25">
      <c r="A2099" s="170">
        <v>45308</v>
      </c>
      <c r="B2099" s="116">
        <v>1128</v>
      </c>
      <c r="C2099" s="116">
        <v>1087.3499999999999</v>
      </c>
      <c r="D2099" s="116">
        <v>1083</v>
      </c>
      <c r="E2099" s="116">
        <v>1120.25</v>
      </c>
      <c r="F2099" s="116">
        <v>1087.3499999999999</v>
      </c>
      <c r="G2099">
        <v>81848</v>
      </c>
      <c r="H2099" s="116"/>
      <c r="I2099" s="116"/>
      <c r="L2099" s="170">
        <v>45308</v>
      </c>
      <c r="M2099" s="116">
        <v>1087.1500000000001</v>
      </c>
      <c r="N2099" s="116">
        <v>1128.75</v>
      </c>
      <c r="O2099" s="116">
        <v>1082.45</v>
      </c>
      <c r="P2099" s="116">
        <v>1124.95</v>
      </c>
      <c r="Q2099" s="116">
        <v>1087.1500000000001</v>
      </c>
      <c r="R2099">
        <v>1456313</v>
      </c>
    </row>
    <row r="2100" spans="1:18" x14ac:dyDescent="0.25">
      <c r="A2100" s="170">
        <v>45309</v>
      </c>
      <c r="B2100" s="116">
        <v>1100</v>
      </c>
      <c r="C2100" s="116">
        <v>1065.4000000000001</v>
      </c>
      <c r="D2100" s="116">
        <v>1042.2</v>
      </c>
      <c r="E2100" s="116">
        <v>1087.3499999999999</v>
      </c>
      <c r="F2100" s="116">
        <v>1065.4000000000001</v>
      </c>
      <c r="G2100">
        <v>232923</v>
      </c>
      <c r="H2100" s="116"/>
      <c r="I2100" s="116"/>
      <c r="L2100" s="170">
        <v>45309</v>
      </c>
      <c r="M2100" s="116">
        <v>1065.5</v>
      </c>
      <c r="N2100" s="116">
        <v>1097.9000000000001</v>
      </c>
      <c r="O2100" s="116">
        <v>1040.5999999999999</v>
      </c>
      <c r="P2100" s="116">
        <v>1087</v>
      </c>
      <c r="Q2100" s="116">
        <v>1065.5</v>
      </c>
      <c r="R2100">
        <v>1168724</v>
      </c>
    </row>
    <row r="2101" spans="1:18" x14ac:dyDescent="0.25">
      <c r="A2101" s="170">
        <v>45310</v>
      </c>
      <c r="B2101" s="116">
        <v>1082.05</v>
      </c>
      <c r="C2101" s="116">
        <v>1051.05</v>
      </c>
      <c r="D2101" s="116">
        <v>1042</v>
      </c>
      <c r="E2101" s="116">
        <v>1070</v>
      </c>
      <c r="F2101" s="116">
        <v>1051.05</v>
      </c>
      <c r="G2101">
        <v>71882</v>
      </c>
      <c r="H2101" s="116"/>
      <c r="I2101" s="116"/>
      <c r="L2101" s="170">
        <v>45310</v>
      </c>
      <c r="M2101" s="116">
        <v>1050.55</v>
      </c>
      <c r="N2101" s="116">
        <v>1083.55</v>
      </c>
      <c r="O2101" s="116">
        <v>1041.05</v>
      </c>
      <c r="P2101" s="116">
        <v>1070.9000000000001</v>
      </c>
      <c r="Q2101" s="116">
        <v>1050.55</v>
      </c>
      <c r="R2101">
        <v>1485408</v>
      </c>
    </row>
    <row r="2102" spans="1:18" x14ac:dyDescent="0.25">
      <c r="A2102" s="170">
        <v>45311</v>
      </c>
      <c r="B2102" s="116">
        <v>1150</v>
      </c>
      <c r="C2102" s="116">
        <v>1128.5999999999999</v>
      </c>
      <c r="D2102" s="116">
        <v>1045.0999999999999</v>
      </c>
      <c r="E2102" s="116">
        <v>1051.0999999999999</v>
      </c>
      <c r="F2102" s="116">
        <v>1128.5999999999999</v>
      </c>
      <c r="G2102">
        <v>317408</v>
      </c>
      <c r="H2102" s="116"/>
      <c r="I2102" s="116"/>
      <c r="L2102" s="170">
        <v>45311</v>
      </c>
      <c r="M2102" s="116">
        <v>1129.05</v>
      </c>
      <c r="N2102" s="116">
        <v>1150</v>
      </c>
      <c r="O2102" s="116">
        <v>1045.4000000000001</v>
      </c>
      <c r="P2102" s="116">
        <v>1055</v>
      </c>
      <c r="Q2102" s="116">
        <v>1129.05</v>
      </c>
      <c r="R2102">
        <v>1689974</v>
      </c>
    </row>
    <row r="2103" spans="1:18" x14ac:dyDescent="0.25">
      <c r="A2103" s="170">
        <v>45314</v>
      </c>
      <c r="B2103" s="116">
        <v>1146.3</v>
      </c>
      <c r="C2103" s="116">
        <v>1055.8499999999999</v>
      </c>
      <c r="D2103" s="116">
        <v>1050</v>
      </c>
      <c r="E2103" s="116">
        <v>1139.8499999999999</v>
      </c>
      <c r="F2103" s="116">
        <v>1055.8499999999999</v>
      </c>
      <c r="G2103">
        <v>149809</v>
      </c>
      <c r="H2103" s="116"/>
      <c r="I2103" s="116"/>
      <c r="L2103" s="170">
        <v>45314</v>
      </c>
      <c r="M2103" s="116">
        <v>1056.1500000000001</v>
      </c>
      <c r="N2103" s="116">
        <v>1145.6500000000001</v>
      </c>
      <c r="O2103" s="116">
        <v>1050</v>
      </c>
      <c r="P2103" s="116">
        <v>1138</v>
      </c>
      <c r="Q2103" s="116">
        <v>1056.1500000000001</v>
      </c>
      <c r="R2103">
        <v>2133688</v>
      </c>
    </row>
    <row r="2104" spans="1:18" x14ac:dyDescent="0.25">
      <c r="A2104" s="170">
        <v>45315</v>
      </c>
      <c r="B2104" s="116">
        <v>1058.5999999999999</v>
      </c>
      <c r="C2104" s="116">
        <v>1036.95</v>
      </c>
      <c r="D2104" s="116">
        <v>1029</v>
      </c>
      <c r="E2104" s="116">
        <v>1058.5999999999999</v>
      </c>
      <c r="F2104" s="116">
        <v>1036.95</v>
      </c>
      <c r="G2104">
        <v>86023</v>
      </c>
      <c r="H2104" s="116"/>
      <c r="I2104" s="116"/>
      <c r="L2104" s="170">
        <v>45315</v>
      </c>
      <c r="M2104" s="116">
        <v>1036.25</v>
      </c>
      <c r="N2104" s="116">
        <v>1059.6500000000001</v>
      </c>
      <c r="O2104" s="116">
        <v>1028.5</v>
      </c>
      <c r="P2104" s="116">
        <v>1059.6500000000001</v>
      </c>
      <c r="Q2104" s="116">
        <v>1036.25</v>
      </c>
      <c r="R2104">
        <v>5163858</v>
      </c>
    </row>
    <row r="2105" spans="1:18" x14ac:dyDescent="0.25">
      <c r="A2105" s="170">
        <v>45316</v>
      </c>
      <c r="B2105" s="116">
        <v>1076.8</v>
      </c>
      <c r="C2105" s="116">
        <v>1060.3</v>
      </c>
      <c r="D2105" s="116">
        <v>1038</v>
      </c>
      <c r="E2105" s="116">
        <v>1043.1500000000001</v>
      </c>
      <c r="F2105" s="116">
        <v>1060.3</v>
      </c>
      <c r="G2105">
        <v>233352</v>
      </c>
      <c r="H2105" s="116"/>
      <c r="I2105" s="116"/>
      <c r="L2105" s="170">
        <v>45316</v>
      </c>
      <c r="M2105" s="116">
        <v>1061.8</v>
      </c>
      <c r="N2105" s="116">
        <v>1077</v>
      </c>
      <c r="O2105" s="116">
        <v>1038</v>
      </c>
      <c r="P2105" s="116">
        <v>1041.8499999999999</v>
      </c>
      <c r="Q2105" s="116">
        <v>1061.8</v>
      </c>
      <c r="R2105">
        <v>1505572</v>
      </c>
    </row>
    <row r="2106" spans="1:18" x14ac:dyDescent="0.25">
      <c r="A2106" s="170">
        <v>45320</v>
      </c>
      <c r="B2106" s="116">
        <v>1135.8</v>
      </c>
      <c r="C2106" s="116">
        <v>1097.4000000000001</v>
      </c>
      <c r="D2106" s="116">
        <v>1073.75</v>
      </c>
      <c r="E2106" s="116">
        <v>1083.7</v>
      </c>
      <c r="F2106" s="116">
        <v>1097.4000000000001</v>
      </c>
      <c r="G2106">
        <v>175501</v>
      </c>
      <c r="H2106" s="116"/>
      <c r="I2106" s="116"/>
      <c r="L2106" s="170">
        <v>45320</v>
      </c>
      <c r="M2106" s="116">
        <v>1098.05</v>
      </c>
      <c r="N2106" s="116">
        <v>1136</v>
      </c>
      <c r="O2106" s="116">
        <v>1074.8</v>
      </c>
      <c r="P2106" s="116">
        <v>1085</v>
      </c>
      <c r="Q2106" s="116">
        <v>1098.05</v>
      </c>
      <c r="R2106">
        <v>3298520</v>
      </c>
    </row>
    <row r="2107" spans="1:18" x14ac:dyDescent="0.25">
      <c r="A2107" s="170">
        <v>45321</v>
      </c>
      <c r="B2107" s="116">
        <v>1097.75</v>
      </c>
      <c r="C2107" s="116">
        <v>1073.0999999999999</v>
      </c>
      <c r="D2107" s="116">
        <v>1064</v>
      </c>
      <c r="E2107" s="116">
        <v>1097.75</v>
      </c>
      <c r="F2107" s="116">
        <v>1073.0999999999999</v>
      </c>
      <c r="G2107">
        <v>83636</v>
      </c>
      <c r="H2107" s="116"/>
      <c r="I2107" s="116"/>
      <c r="L2107" s="170">
        <v>45321</v>
      </c>
      <c r="M2107" s="116">
        <v>1072.7</v>
      </c>
      <c r="N2107" s="116">
        <v>1096</v>
      </c>
      <c r="O2107" s="116">
        <v>1064</v>
      </c>
      <c r="P2107" s="116">
        <v>1096</v>
      </c>
      <c r="Q2107" s="116">
        <v>1072.7</v>
      </c>
      <c r="R2107">
        <v>1393051</v>
      </c>
    </row>
    <row r="2108" spans="1:18" x14ac:dyDescent="0.25">
      <c r="A2108" s="170">
        <v>45322</v>
      </c>
      <c r="B2108" s="116">
        <v>1081</v>
      </c>
      <c r="C2108" s="116">
        <v>1067.5</v>
      </c>
      <c r="D2108" s="116">
        <v>1060.1500000000001</v>
      </c>
      <c r="E2108" s="116">
        <v>1060.1500000000001</v>
      </c>
      <c r="F2108" s="116">
        <v>1067.5</v>
      </c>
      <c r="G2108">
        <v>118141</v>
      </c>
      <c r="H2108" s="116"/>
      <c r="I2108" s="116"/>
      <c r="L2108" s="170">
        <v>45322</v>
      </c>
      <c r="M2108" s="116">
        <v>1067.8499999999999</v>
      </c>
      <c r="N2108" s="116">
        <v>1081.9000000000001</v>
      </c>
      <c r="O2108" s="116">
        <v>1062.5999999999999</v>
      </c>
      <c r="P2108" s="116">
        <v>1072.95</v>
      </c>
      <c r="Q2108" s="116">
        <v>1067.8499999999999</v>
      </c>
      <c r="R2108">
        <v>793833</v>
      </c>
    </row>
    <row r="2109" spans="1:18" x14ac:dyDescent="0.25">
      <c r="A2109" s="170">
        <v>45323</v>
      </c>
      <c r="B2109" s="116">
        <v>1086</v>
      </c>
      <c r="C2109" s="116">
        <v>1067.05</v>
      </c>
      <c r="D2109" s="116">
        <v>1053</v>
      </c>
      <c r="E2109" s="116">
        <v>1071.6500000000001</v>
      </c>
      <c r="F2109" s="116">
        <v>1067.05</v>
      </c>
      <c r="G2109">
        <v>76563</v>
      </c>
      <c r="H2109" s="116"/>
      <c r="I2109" s="116"/>
      <c r="L2109" s="170">
        <v>45323</v>
      </c>
      <c r="M2109" s="116">
        <v>1067.7</v>
      </c>
      <c r="N2109" s="116">
        <v>1088</v>
      </c>
      <c r="O2109" s="116">
        <v>1052.95</v>
      </c>
      <c r="P2109" s="116">
        <v>1073</v>
      </c>
      <c r="Q2109" s="116">
        <v>1067.7</v>
      </c>
      <c r="R2109">
        <v>1320318</v>
      </c>
    </row>
    <row r="2110" spans="1:18" x14ac:dyDescent="0.25">
      <c r="A2110" s="170">
        <v>45324</v>
      </c>
      <c r="B2110" s="116">
        <v>1093.9000000000001</v>
      </c>
      <c r="C2110" s="116">
        <v>1051.8499999999999</v>
      </c>
      <c r="D2110" s="116">
        <v>1045.9000000000001</v>
      </c>
      <c r="E2110" s="116">
        <v>1072.3499999999999</v>
      </c>
      <c r="F2110" s="116">
        <v>1051.8499999999999</v>
      </c>
      <c r="G2110">
        <v>66132</v>
      </c>
      <c r="H2110" s="116"/>
      <c r="I2110" s="116"/>
      <c r="L2110" s="170">
        <v>45324</v>
      </c>
      <c r="M2110" s="116">
        <v>1052.05</v>
      </c>
      <c r="N2110" s="116">
        <v>1094.3499999999999</v>
      </c>
      <c r="O2110" s="116">
        <v>1046</v>
      </c>
      <c r="P2110" s="116">
        <v>1073.7</v>
      </c>
      <c r="Q2110" s="116">
        <v>1052.05</v>
      </c>
      <c r="R2110">
        <v>1391014</v>
      </c>
    </row>
    <row r="2111" spans="1:18" x14ac:dyDescent="0.25">
      <c r="A2111" s="170">
        <v>45327</v>
      </c>
      <c r="B2111" s="116">
        <v>1058.55</v>
      </c>
      <c r="C2111" s="116">
        <v>1021.9</v>
      </c>
      <c r="D2111" s="116">
        <v>1015.5</v>
      </c>
      <c r="E2111" s="116">
        <v>1050.4000000000001</v>
      </c>
      <c r="F2111" s="116">
        <v>1021.9</v>
      </c>
      <c r="G2111">
        <v>56749</v>
      </c>
      <c r="H2111" s="116"/>
      <c r="I2111" s="116"/>
      <c r="L2111" s="170">
        <v>45327</v>
      </c>
      <c r="M2111" s="116">
        <v>1022.6</v>
      </c>
      <c r="N2111" s="116">
        <v>1059</v>
      </c>
      <c r="O2111" s="116">
        <v>1016</v>
      </c>
      <c r="P2111" s="116">
        <v>1051.05</v>
      </c>
      <c r="Q2111" s="116">
        <v>1022.6</v>
      </c>
      <c r="R2111">
        <v>1194592</v>
      </c>
    </row>
    <row r="2112" spans="1:18" x14ac:dyDescent="0.25">
      <c r="A2112" s="170">
        <v>45328</v>
      </c>
      <c r="B2112" s="116">
        <v>1054.3</v>
      </c>
      <c r="C2112" s="116">
        <v>1024.7</v>
      </c>
      <c r="D2112" s="116">
        <v>1005</v>
      </c>
      <c r="E2112" s="116">
        <v>1034.25</v>
      </c>
      <c r="F2112" s="116">
        <v>1024.7</v>
      </c>
      <c r="G2112">
        <v>58538</v>
      </c>
      <c r="H2112" s="116"/>
      <c r="I2112" s="116"/>
      <c r="L2112" s="170">
        <v>45328</v>
      </c>
      <c r="M2112" s="116">
        <v>1029</v>
      </c>
      <c r="N2112" s="116">
        <v>1054</v>
      </c>
      <c r="O2112" s="116">
        <v>1001.2</v>
      </c>
      <c r="P2112" s="116">
        <v>1033</v>
      </c>
      <c r="Q2112" s="116">
        <v>1029</v>
      </c>
      <c r="R2112">
        <v>1134575</v>
      </c>
    </row>
    <row r="2113" spans="1:18" x14ac:dyDescent="0.25">
      <c r="A2113" s="170">
        <v>45329</v>
      </c>
      <c r="B2113" s="116">
        <v>1113.5999999999999</v>
      </c>
      <c r="C2113" s="116">
        <v>1065.5999999999999</v>
      </c>
      <c r="D2113" s="116">
        <v>1030.5999999999999</v>
      </c>
      <c r="E2113" s="116">
        <v>1045.1500000000001</v>
      </c>
      <c r="F2113" s="116">
        <v>1065.5999999999999</v>
      </c>
      <c r="G2113">
        <v>166949</v>
      </c>
      <c r="H2113" s="116"/>
      <c r="I2113" s="116"/>
      <c r="L2113" s="170">
        <v>45329</v>
      </c>
      <c r="M2113" s="116">
        <v>1065.8499999999999</v>
      </c>
      <c r="N2113" s="116">
        <v>1113.95</v>
      </c>
      <c r="O2113" s="116">
        <v>1029.75</v>
      </c>
      <c r="P2113" s="116">
        <v>1038.5999999999999</v>
      </c>
      <c r="Q2113" s="116">
        <v>1065.8499999999999</v>
      </c>
      <c r="R2113">
        <v>4195919</v>
      </c>
    </row>
    <row r="2114" spans="1:18" x14ac:dyDescent="0.25">
      <c r="A2114" s="170">
        <v>45330</v>
      </c>
      <c r="B2114" s="116">
        <v>1077.95</v>
      </c>
      <c r="C2114" s="116">
        <v>1050.0999999999999</v>
      </c>
      <c r="D2114" s="116">
        <v>1045.5</v>
      </c>
      <c r="E2114" s="116">
        <v>1077.9000000000001</v>
      </c>
      <c r="F2114" s="116">
        <v>1050.0999999999999</v>
      </c>
      <c r="G2114">
        <v>57365</v>
      </c>
      <c r="H2114" s="116"/>
      <c r="I2114" s="116"/>
      <c r="L2114" s="170">
        <v>45330</v>
      </c>
      <c r="M2114" s="116">
        <v>1049.9000000000001</v>
      </c>
      <c r="N2114" s="116">
        <v>1078.8</v>
      </c>
      <c r="O2114" s="116">
        <v>1045</v>
      </c>
      <c r="P2114" s="116">
        <v>1074.8</v>
      </c>
      <c r="Q2114" s="116">
        <v>1049.9000000000001</v>
      </c>
      <c r="R2114">
        <v>2293556</v>
      </c>
    </row>
    <row r="2115" spans="1:18" x14ac:dyDescent="0.25">
      <c r="A2115" s="170">
        <v>45331</v>
      </c>
      <c r="B2115" s="116">
        <v>1076.95</v>
      </c>
      <c r="C2115" s="116">
        <v>1054.0999999999999</v>
      </c>
      <c r="D2115" s="116">
        <v>1036.5</v>
      </c>
      <c r="E2115" s="116">
        <v>1050.55</v>
      </c>
      <c r="F2115" s="116">
        <v>1054.0999999999999</v>
      </c>
      <c r="G2115">
        <v>180184</v>
      </c>
      <c r="H2115" s="116"/>
      <c r="I2115" s="116"/>
      <c r="L2115" s="170">
        <v>45331</v>
      </c>
      <c r="M2115" s="116">
        <v>1054.7</v>
      </c>
      <c r="N2115" s="116">
        <v>1077.1500000000001</v>
      </c>
      <c r="O2115" s="116">
        <v>1037.5</v>
      </c>
      <c r="P2115" s="116">
        <v>1051.9000000000001</v>
      </c>
      <c r="Q2115" s="116">
        <v>1054.7</v>
      </c>
      <c r="R2115">
        <v>2739850</v>
      </c>
    </row>
    <row r="2116" spans="1:18" x14ac:dyDescent="0.25">
      <c r="A2116" s="170">
        <v>45334</v>
      </c>
      <c r="B2116" s="116">
        <v>1095.55</v>
      </c>
      <c r="C2116" s="116">
        <v>1068.9000000000001</v>
      </c>
      <c r="D2116" s="116">
        <v>1045.55</v>
      </c>
      <c r="E2116" s="116">
        <v>1056.0999999999999</v>
      </c>
      <c r="F2116" s="116">
        <v>1068.9000000000001</v>
      </c>
      <c r="G2116">
        <v>101308</v>
      </c>
      <c r="H2116" s="116"/>
      <c r="I2116" s="116"/>
      <c r="L2116" s="170">
        <v>45334</v>
      </c>
      <c r="M2116" s="116">
        <v>1069.45</v>
      </c>
      <c r="N2116" s="116">
        <v>1096.2</v>
      </c>
      <c r="O2116" s="116">
        <v>1045.75</v>
      </c>
      <c r="P2116" s="116">
        <v>1059</v>
      </c>
      <c r="Q2116" s="116">
        <v>1069.45</v>
      </c>
      <c r="R2116">
        <v>3927219</v>
      </c>
    </row>
    <row r="2117" spans="1:18" x14ac:dyDescent="0.25">
      <c r="A2117" s="170">
        <v>45335</v>
      </c>
      <c r="B2117" s="116">
        <v>1078</v>
      </c>
      <c r="C2117" s="116">
        <v>1044.25</v>
      </c>
      <c r="D2117" s="116">
        <v>1028.7</v>
      </c>
      <c r="E2117" s="116">
        <v>1077.3</v>
      </c>
      <c r="F2117" s="116">
        <v>1044.25</v>
      </c>
      <c r="G2117">
        <v>58016</v>
      </c>
      <c r="H2117" s="116"/>
      <c r="I2117" s="116"/>
      <c r="L2117" s="170">
        <v>45335</v>
      </c>
      <c r="M2117" s="116">
        <v>1044.8</v>
      </c>
      <c r="N2117" s="116">
        <v>1078.7</v>
      </c>
      <c r="O2117" s="116">
        <v>1028</v>
      </c>
      <c r="P2117" s="116">
        <v>1078.7</v>
      </c>
      <c r="Q2117" s="116">
        <v>1044.8</v>
      </c>
      <c r="R2117">
        <v>3427849</v>
      </c>
    </row>
    <row r="2118" spans="1:18" x14ac:dyDescent="0.25">
      <c r="A2118" s="170">
        <v>45336</v>
      </c>
      <c r="B2118" s="116">
        <v>1064.25</v>
      </c>
      <c r="C2118" s="116">
        <v>1038</v>
      </c>
      <c r="D2118" s="116">
        <v>1027.25</v>
      </c>
      <c r="E2118" s="116">
        <v>1027.25</v>
      </c>
      <c r="F2118" s="116">
        <v>1038</v>
      </c>
      <c r="G2118">
        <v>71941</v>
      </c>
      <c r="H2118" s="116"/>
      <c r="I2118" s="116"/>
      <c r="L2118" s="170">
        <v>45336</v>
      </c>
      <c r="M2118" s="116">
        <v>1036.95</v>
      </c>
      <c r="N2118" s="116">
        <v>1064.95</v>
      </c>
      <c r="O2118" s="116">
        <v>1025</v>
      </c>
      <c r="P2118" s="116">
        <v>1027.05</v>
      </c>
      <c r="Q2118" s="116">
        <v>1036.95</v>
      </c>
      <c r="R2118">
        <v>3245478</v>
      </c>
    </row>
    <row r="2119" spans="1:18" x14ac:dyDescent="0.25">
      <c r="A2119" s="170">
        <v>45337</v>
      </c>
      <c r="B2119" s="116">
        <v>1067.4000000000001</v>
      </c>
      <c r="C2119" s="116">
        <v>1051.5</v>
      </c>
      <c r="D2119" s="116">
        <v>1042.8</v>
      </c>
      <c r="E2119" s="116">
        <v>1054.95</v>
      </c>
      <c r="F2119" s="116">
        <v>1051.5</v>
      </c>
      <c r="G2119">
        <v>138089</v>
      </c>
      <c r="H2119" s="116"/>
      <c r="I2119" s="116"/>
      <c r="L2119" s="170">
        <v>45337</v>
      </c>
      <c r="M2119" s="116">
        <v>1052</v>
      </c>
      <c r="N2119" s="116">
        <v>1066.95</v>
      </c>
      <c r="O2119" s="116">
        <v>1042.5</v>
      </c>
      <c r="P2119" s="116">
        <v>1054.7</v>
      </c>
      <c r="Q2119" s="116">
        <v>1052</v>
      </c>
      <c r="R2119">
        <v>3334357</v>
      </c>
    </row>
    <row r="2120" spans="1:18" x14ac:dyDescent="0.25">
      <c r="A2120" s="170">
        <v>45338</v>
      </c>
      <c r="B2120" s="116">
        <v>1064.6500000000001</v>
      </c>
      <c r="C2120" s="116">
        <v>1059.6500000000001</v>
      </c>
      <c r="D2120" s="116">
        <v>1045</v>
      </c>
      <c r="E2120" s="116">
        <v>1059.8</v>
      </c>
      <c r="F2120" s="116">
        <v>1059.6500000000001</v>
      </c>
      <c r="G2120">
        <v>84055</v>
      </c>
      <c r="H2120" s="116"/>
      <c r="I2120" s="116"/>
      <c r="L2120" s="170">
        <v>45338</v>
      </c>
      <c r="M2120" s="116">
        <v>1061.5999999999999</v>
      </c>
      <c r="N2120" s="116">
        <v>1065</v>
      </c>
      <c r="O2120" s="116">
        <v>1045.55</v>
      </c>
      <c r="P2120" s="116">
        <v>1056.45</v>
      </c>
      <c r="Q2120" s="116">
        <v>1061.5999999999999</v>
      </c>
      <c r="R2120">
        <v>3787369</v>
      </c>
    </row>
    <row r="2121" spans="1:18" x14ac:dyDescent="0.25">
      <c r="A2121" s="170">
        <v>45341</v>
      </c>
      <c r="B2121" s="116">
        <v>1080.5</v>
      </c>
      <c r="C2121" s="116">
        <v>1074.0999999999999</v>
      </c>
      <c r="D2121" s="116">
        <v>1062</v>
      </c>
      <c r="E2121" s="116">
        <v>1065.5</v>
      </c>
      <c r="F2121" s="116">
        <v>1074.0999999999999</v>
      </c>
      <c r="G2121">
        <v>52976</v>
      </c>
      <c r="H2121" s="116"/>
      <c r="I2121" s="116"/>
      <c r="L2121" s="170">
        <v>45341</v>
      </c>
      <c r="M2121" s="116">
        <v>1074.45</v>
      </c>
      <c r="N2121" s="116">
        <v>1084.95</v>
      </c>
      <c r="O2121" s="116">
        <v>1061.2</v>
      </c>
      <c r="P2121" s="116">
        <v>1065</v>
      </c>
      <c r="Q2121" s="116">
        <v>1074.45</v>
      </c>
      <c r="R2121">
        <v>3007240</v>
      </c>
    </row>
    <row r="2122" spans="1:18" x14ac:dyDescent="0.25">
      <c r="A2122" s="170">
        <v>45342</v>
      </c>
      <c r="B2122" s="116">
        <v>1082.5</v>
      </c>
      <c r="C2122" s="116">
        <v>1069.2</v>
      </c>
      <c r="D2122" s="116">
        <v>1060.9000000000001</v>
      </c>
      <c r="E2122" s="116">
        <v>1082.5</v>
      </c>
      <c r="F2122" s="116">
        <v>1069.2</v>
      </c>
      <c r="G2122">
        <v>33262</v>
      </c>
      <c r="H2122" s="116"/>
      <c r="I2122" s="116"/>
      <c r="L2122" s="170">
        <v>45342</v>
      </c>
      <c r="M2122" s="116">
        <v>1069.8</v>
      </c>
      <c r="N2122" s="116">
        <v>1079.7</v>
      </c>
      <c r="O2122" s="116">
        <v>1061</v>
      </c>
      <c r="P2122" s="116">
        <v>1079.7</v>
      </c>
      <c r="Q2122" s="116">
        <v>1069.8</v>
      </c>
      <c r="R2122">
        <v>2662527</v>
      </c>
    </row>
    <row r="2123" spans="1:18" x14ac:dyDescent="0.25">
      <c r="A2123" s="170">
        <v>45343</v>
      </c>
      <c r="B2123" s="116">
        <v>1083.3499999999999</v>
      </c>
      <c r="C2123" s="116">
        <v>1063.75</v>
      </c>
      <c r="D2123" s="116">
        <v>1054.9000000000001</v>
      </c>
      <c r="E2123" s="116">
        <v>1070.3499999999999</v>
      </c>
      <c r="F2123" s="116">
        <v>1063.75</v>
      </c>
      <c r="G2123">
        <v>45030</v>
      </c>
      <c r="H2123" s="116"/>
      <c r="I2123" s="116"/>
      <c r="L2123" s="170">
        <v>45343</v>
      </c>
      <c r="M2123" s="116">
        <v>1064.8</v>
      </c>
      <c r="N2123" s="116">
        <v>1084</v>
      </c>
      <c r="O2123" s="116">
        <v>1055.05</v>
      </c>
      <c r="P2123" s="116">
        <v>1075.05</v>
      </c>
      <c r="Q2123" s="116">
        <v>1064.8</v>
      </c>
      <c r="R2123">
        <v>3038030</v>
      </c>
    </row>
    <row r="2124" spans="1:18" x14ac:dyDescent="0.25">
      <c r="A2124" s="170">
        <v>45344</v>
      </c>
      <c r="B2124" s="116">
        <v>1067.3</v>
      </c>
      <c r="C2124" s="116">
        <v>1058.45</v>
      </c>
      <c r="D2124" s="116">
        <v>1052.95</v>
      </c>
      <c r="E2124" s="116">
        <v>1065.5999999999999</v>
      </c>
      <c r="F2124" s="116">
        <v>1058.45</v>
      </c>
      <c r="G2124">
        <v>35371</v>
      </c>
      <c r="H2124" s="116"/>
      <c r="I2124" s="116"/>
      <c r="L2124" s="170">
        <v>45344</v>
      </c>
      <c r="M2124" s="116">
        <v>1058.9000000000001</v>
      </c>
      <c r="N2124" s="116">
        <v>1069.9000000000001</v>
      </c>
      <c r="O2124" s="116">
        <v>1052.55</v>
      </c>
      <c r="P2124" s="116">
        <v>1069.9000000000001</v>
      </c>
      <c r="Q2124" s="116">
        <v>1058.9000000000001</v>
      </c>
      <c r="R2124">
        <v>2172437</v>
      </c>
    </row>
    <row r="2125" spans="1:18" x14ac:dyDescent="0.25">
      <c r="A2125" s="170">
        <v>45345</v>
      </c>
      <c r="B2125" s="116">
        <v>1094.3</v>
      </c>
      <c r="C2125" s="116">
        <v>1081.9000000000001</v>
      </c>
      <c r="D2125" s="116">
        <v>1056.7</v>
      </c>
      <c r="E2125" s="116">
        <v>1061.9000000000001</v>
      </c>
      <c r="F2125" s="116">
        <v>1081.9000000000001</v>
      </c>
      <c r="G2125">
        <v>68607</v>
      </c>
      <c r="H2125" s="116"/>
      <c r="I2125" s="116"/>
      <c r="L2125" s="170">
        <v>45345</v>
      </c>
      <c r="M2125" s="116">
        <v>1081.8</v>
      </c>
      <c r="N2125" s="116">
        <v>1094.75</v>
      </c>
      <c r="O2125" s="116">
        <v>1055.2</v>
      </c>
      <c r="P2125" s="116">
        <v>1062.7</v>
      </c>
      <c r="Q2125" s="116">
        <v>1081.8</v>
      </c>
      <c r="R2125">
        <v>3057010</v>
      </c>
    </row>
    <row r="2126" spans="1:18" x14ac:dyDescent="0.25">
      <c r="A2126" s="170">
        <v>45348</v>
      </c>
      <c r="B2126" s="116">
        <v>1189.9000000000001</v>
      </c>
      <c r="C2126" s="116">
        <v>1176.5</v>
      </c>
      <c r="D2126" s="116">
        <v>1080.05</v>
      </c>
      <c r="E2126" s="116">
        <v>1083.3499999999999</v>
      </c>
      <c r="F2126" s="116">
        <v>1176.5</v>
      </c>
      <c r="G2126">
        <v>1038332</v>
      </c>
      <c r="H2126" s="116"/>
      <c r="I2126" s="116"/>
      <c r="L2126" s="170">
        <v>45348</v>
      </c>
      <c r="M2126" s="116">
        <v>1176.1500000000001</v>
      </c>
      <c r="N2126" s="116">
        <v>1190.5999999999999</v>
      </c>
      <c r="O2126" s="116">
        <v>1081</v>
      </c>
      <c r="P2126" s="116">
        <v>1084.95</v>
      </c>
      <c r="Q2126" s="116">
        <v>1176.1500000000001</v>
      </c>
      <c r="R2126">
        <v>8951837</v>
      </c>
    </row>
    <row r="2127" spans="1:18" x14ac:dyDescent="0.25">
      <c r="A2127" s="170">
        <v>45349</v>
      </c>
      <c r="B2127" s="116">
        <v>1188.7</v>
      </c>
      <c r="C2127" s="116">
        <v>1121.9000000000001</v>
      </c>
      <c r="D2127" s="116">
        <v>1115.4000000000001</v>
      </c>
      <c r="E2127" s="116">
        <v>1188.7</v>
      </c>
      <c r="F2127" s="116">
        <v>1121.9000000000001</v>
      </c>
      <c r="G2127">
        <v>433375</v>
      </c>
      <c r="H2127" s="116"/>
      <c r="I2127" s="116"/>
      <c r="L2127" s="170">
        <v>45349</v>
      </c>
      <c r="M2127" s="116">
        <v>1122.7</v>
      </c>
      <c r="N2127" s="116">
        <v>1186.7</v>
      </c>
      <c r="O2127" s="116">
        <v>1117.2</v>
      </c>
      <c r="P2127" s="116">
        <v>1182</v>
      </c>
      <c r="Q2127" s="116">
        <v>1122.7</v>
      </c>
      <c r="R2127">
        <v>3235084</v>
      </c>
    </row>
    <row r="2128" spans="1:18" x14ac:dyDescent="0.25">
      <c r="A2128" s="170">
        <v>45350</v>
      </c>
      <c r="B2128" s="116">
        <v>1136.7</v>
      </c>
      <c r="C2128" s="116">
        <v>1076.1500000000001</v>
      </c>
      <c r="D2128" s="116">
        <v>1070.3</v>
      </c>
      <c r="E2128" s="116">
        <v>1130</v>
      </c>
      <c r="F2128" s="116">
        <v>1076.1500000000001</v>
      </c>
      <c r="G2128">
        <v>112034</v>
      </c>
      <c r="H2128" s="116"/>
      <c r="I2128" s="116"/>
      <c r="L2128" s="170">
        <v>45350</v>
      </c>
      <c r="M2128" s="116">
        <v>1076.45</v>
      </c>
      <c r="N2128" s="116">
        <v>1136.8</v>
      </c>
      <c r="O2128" s="116">
        <v>1068.6500000000001</v>
      </c>
      <c r="P2128" s="116">
        <v>1129.95</v>
      </c>
      <c r="Q2128" s="116">
        <v>1076.45</v>
      </c>
      <c r="R2128">
        <v>2098024</v>
      </c>
    </row>
    <row r="2129" spans="1:18" x14ac:dyDescent="0.25">
      <c r="A2129" s="170">
        <v>45351</v>
      </c>
      <c r="B2129" s="116">
        <v>1092.5</v>
      </c>
      <c r="C2129" s="116">
        <v>1065.5</v>
      </c>
      <c r="D2129" s="116">
        <v>1060</v>
      </c>
      <c r="E2129" s="116">
        <v>1084.95</v>
      </c>
      <c r="F2129" s="116">
        <v>1065.5</v>
      </c>
      <c r="G2129">
        <v>81395</v>
      </c>
      <c r="H2129" s="116"/>
      <c r="I2129" s="116"/>
      <c r="L2129" s="170">
        <v>45351</v>
      </c>
      <c r="M2129" s="116">
        <v>1064.8499999999999</v>
      </c>
      <c r="N2129" s="116">
        <v>1092.6500000000001</v>
      </c>
      <c r="O2129" s="116">
        <v>1060</v>
      </c>
      <c r="P2129" s="116">
        <v>1083</v>
      </c>
      <c r="Q2129" s="116">
        <v>1064.8499999999999</v>
      </c>
      <c r="R2129">
        <v>1571955</v>
      </c>
    </row>
    <row r="2130" spans="1:18" x14ac:dyDescent="0.25">
      <c r="A2130" s="170">
        <v>45352</v>
      </c>
      <c r="B2130" s="116">
        <v>1095.9000000000001</v>
      </c>
      <c r="C2130" s="116">
        <v>1072.7</v>
      </c>
      <c r="D2130" s="116">
        <v>1069</v>
      </c>
      <c r="E2130" s="116">
        <v>1070.5</v>
      </c>
      <c r="F2130" s="116">
        <v>1072.7</v>
      </c>
      <c r="G2130">
        <v>135224</v>
      </c>
      <c r="H2130" s="116"/>
      <c r="I2130" s="116"/>
      <c r="L2130" s="170">
        <v>45352</v>
      </c>
      <c r="M2130" s="116">
        <v>1072.4000000000001</v>
      </c>
      <c r="N2130" s="116">
        <v>1095</v>
      </c>
      <c r="O2130" s="116">
        <v>1064.8499999999999</v>
      </c>
      <c r="P2130" s="116">
        <v>1075</v>
      </c>
      <c r="Q2130" s="116">
        <v>1072.4000000000001</v>
      </c>
      <c r="R2130">
        <v>1335964</v>
      </c>
    </row>
    <row r="2131" spans="1:18" x14ac:dyDescent="0.25">
      <c r="A2131" s="170">
        <v>45353</v>
      </c>
      <c r="B2131" s="116">
        <v>1088.7</v>
      </c>
      <c r="C2131" s="116">
        <v>1080.3499999999999</v>
      </c>
      <c r="D2131" s="116">
        <v>1061.5999999999999</v>
      </c>
      <c r="E2131" s="116">
        <v>1073.1500000000001</v>
      </c>
      <c r="F2131" s="116">
        <v>1080.3499999999999</v>
      </c>
      <c r="G2131">
        <v>25516</v>
      </c>
      <c r="H2131" s="116"/>
      <c r="I2131" s="116"/>
      <c r="L2131" s="170">
        <v>45353</v>
      </c>
      <c r="M2131" s="116">
        <v>1080.8</v>
      </c>
      <c r="N2131" s="116">
        <v>1085.95</v>
      </c>
      <c r="O2131" s="116">
        <v>1074.55</v>
      </c>
      <c r="P2131" s="116">
        <v>1078</v>
      </c>
      <c r="Q2131" s="116">
        <v>1080.8</v>
      </c>
      <c r="R2131">
        <v>121612</v>
      </c>
    </row>
    <row r="2132" spans="1:18" x14ac:dyDescent="0.25">
      <c r="A2132" s="170">
        <v>45355</v>
      </c>
      <c r="B2132" s="116">
        <v>1086.4000000000001</v>
      </c>
      <c r="C2132" s="116">
        <v>1064.1500000000001</v>
      </c>
      <c r="D2132" s="116">
        <v>1062.4000000000001</v>
      </c>
      <c r="E2132" s="116">
        <v>1085.3499999999999</v>
      </c>
      <c r="F2132" s="116">
        <v>1064.1500000000001</v>
      </c>
      <c r="G2132">
        <v>27855</v>
      </c>
      <c r="H2132" s="116"/>
      <c r="I2132" s="116"/>
      <c r="L2132" s="170">
        <v>45355</v>
      </c>
      <c r="M2132" s="116">
        <v>1064.3499999999999</v>
      </c>
      <c r="N2132" s="116">
        <v>1085.6500000000001</v>
      </c>
      <c r="O2132" s="116">
        <v>1062.0999999999999</v>
      </c>
      <c r="P2132" s="116">
        <v>1084</v>
      </c>
      <c r="Q2132" s="116">
        <v>1064.3499999999999</v>
      </c>
      <c r="R2132">
        <v>661629</v>
      </c>
    </row>
    <row r="2133" spans="1:18" x14ac:dyDescent="0.25">
      <c r="A2133" s="170">
        <v>45356</v>
      </c>
      <c r="B2133" s="116">
        <v>1075</v>
      </c>
      <c r="C2133" s="116">
        <v>1070.05</v>
      </c>
      <c r="D2133" s="116">
        <v>1061.3</v>
      </c>
      <c r="E2133" s="116">
        <v>1069.5999999999999</v>
      </c>
      <c r="F2133" s="116">
        <v>1070.05</v>
      </c>
      <c r="G2133">
        <v>31735</v>
      </c>
      <c r="H2133" s="116"/>
      <c r="I2133" s="116"/>
      <c r="L2133" s="170">
        <v>45356</v>
      </c>
      <c r="M2133" s="116">
        <v>1070.3</v>
      </c>
      <c r="N2133" s="116">
        <v>1075.5999999999999</v>
      </c>
      <c r="O2133" s="116">
        <v>1060</v>
      </c>
      <c r="P2133" s="116">
        <v>1067</v>
      </c>
      <c r="Q2133" s="116">
        <v>1070.3</v>
      </c>
      <c r="R2133">
        <v>688430</v>
      </c>
    </row>
    <row r="2134" spans="1:18" x14ac:dyDescent="0.25">
      <c r="A2134" s="170">
        <v>45357</v>
      </c>
      <c r="B2134" s="116">
        <v>1080</v>
      </c>
      <c r="C2134" s="116">
        <v>1069.5</v>
      </c>
      <c r="D2134" s="116">
        <v>1045.6500000000001</v>
      </c>
      <c r="E2134" s="116">
        <v>1070.5999999999999</v>
      </c>
      <c r="F2134" s="116">
        <v>1069.5</v>
      </c>
      <c r="G2134">
        <v>45989</v>
      </c>
      <c r="H2134" s="116"/>
      <c r="I2134" s="116"/>
      <c r="L2134" s="170">
        <v>45357</v>
      </c>
      <c r="M2134" s="116">
        <v>1069.5</v>
      </c>
      <c r="N2134" s="116">
        <v>1080</v>
      </c>
      <c r="O2134" s="116">
        <v>1045.5</v>
      </c>
      <c r="P2134" s="116">
        <v>1071.8499999999999</v>
      </c>
      <c r="Q2134" s="116">
        <v>1069.5</v>
      </c>
      <c r="R2134">
        <v>2717505</v>
      </c>
    </row>
    <row r="2135" spans="1:18" x14ac:dyDescent="0.25">
      <c r="A2135" s="170">
        <v>45358</v>
      </c>
      <c r="B2135" s="116">
        <v>1078.0999999999999</v>
      </c>
      <c r="C2135" s="116">
        <v>1069.95</v>
      </c>
      <c r="D2135" s="116">
        <v>1058.6500000000001</v>
      </c>
      <c r="E2135" s="116">
        <v>1062.0999999999999</v>
      </c>
      <c r="F2135" s="116">
        <v>1069.95</v>
      </c>
      <c r="G2135">
        <v>92203</v>
      </c>
      <c r="H2135" s="116"/>
      <c r="I2135" s="116"/>
      <c r="L2135" s="170">
        <v>45358</v>
      </c>
      <c r="M2135" s="116">
        <v>1069.5999999999999</v>
      </c>
      <c r="N2135" s="116">
        <v>1078.5999999999999</v>
      </c>
      <c r="O2135" s="116">
        <v>1059</v>
      </c>
      <c r="P2135" s="116">
        <v>1074.9000000000001</v>
      </c>
      <c r="Q2135" s="116">
        <v>1069.5999999999999</v>
      </c>
      <c r="R2135">
        <v>2691523</v>
      </c>
    </row>
    <row r="2136" spans="1:18" x14ac:dyDescent="0.25">
      <c r="A2136" s="170">
        <v>45362</v>
      </c>
      <c r="B2136" s="116">
        <v>1087</v>
      </c>
      <c r="C2136" s="116">
        <v>1063.5</v>
      </c>
      <c r="D2136" s="116">
        <v>1060</v>
      </c>
      <c r="E2136" s="116">
        <v>1079.55</v>
      </c>
      <c r="F2136" s="116">
        <v>1063.5</v>
      </c>
      <c r="G2136">
        <v>125225</v>
      </c>
      <c r="H2136" s="116"/>
      <c r="I2136" s="116"/>
      <c r="L2136" s="170">
        <v>45362</v>
      </c>
      <c r="M2136" s="116">
        <v>1063.75</v>
      </c>
      <c r="N2136" s="116">
        <v>1087.3</v>
      </c>
      <c r="O2136" s="116">
        <v>1060</v>
      </c>
      <c r="P2136" s="116">
        <v>1077</v>
      </c>
      <c r="Q2136" s="116">
        <v>1063.75</v>
      </c>
      <c r="R2136">
        <v>2901619</v>
      </c>
    </row>
    <row r="2137" spans="1:18" x14ac:dyDescent="0.25">
      <c r="A2137" s="170">
        <v>45363</v>
      </c>
      <c r="B2137" s="116">
        <v>1068.3</v>
      </c>
      <c r="C2137" s="116">
        <v>1036.05</v>
      </c>
      <c r="D2137" s="116">
        <v>1028.05</v>
      </c>
      <c r="E2137" s="116">
        <v>1064.25</v>
      </c>
      <c r="F2137" s="116">
        <v>1036.05</v>
      </c>
      <c r="G2137">
        <v>51529</v>
      </c>
      <c r="H2137" s="116"/>
      <c r="I2137" s="116"/>
      <c r="L2137" s="170">
        <v>45363</v>
      </c>
      <c r="M2137" s="116">
        <v>1037.25</v>
      </c>
      <c r="N2137" s="116">
        <v>1069</v>
      </c>
      <c r="O2137" s="116">
        <v>1027.05</v>
      </c>
      <c r="P2137" s="116">
        <v>1065</v>
      </c>
      <c r="Q2137" s="116">
        <v>1037.25</v>
      </c>
      <c r="R2137">
        <v>2895201</v>
      </c>
    </row>
    <row r="2138" spans="1:18" x14ac:dyDescent="0.25">
      <c r="A2138" s="170">
        <v>45364</v>
      </c>
      <c r="B2138" s="116">
        <v>1046.6500000000001</v>
      </c>
      <c r="C2138" s="116">
        <v>947.55</v>
      </c>
      <c r="D2138" s="116">
        <v>922.7</v>
      </c>
      <c r="E2138" s="116">
        <v>1038.1500000000001</v>
      </c>
      <c r="F2138" s="116">
        <v>947.55</v>
      </c>
      <c r="G2138">
        <v>126442</v>
      </c>
      <c r="H2138" s="116"/>
      <c r="I2138" s="116"/>
      <c r="L2138" s="170">
        <v>45364</v>
      </c>
      <c r="M2138" s="116">
        <v>947.95</v>
      </c>
      <c r="N2138" s="116">
        <v>1047</v>
      </c>
      <c r="O2138" s="116">
        <v>915.3</v>
      </c>
      <c r="P2138" s="116">
        <v>1039.75</v>
      </c>
      <c r="Q2138" s="116">
        <v>947.95</v>
      </c>
      <c r="R2138">
        <v>2854959</v>
      </c>
    </row>
    <row r="2139" spans="1:18" x14ac:dyDescent="0.25">
      <c r="A2139" s="170">
        <v>45365</v>
      </c>
      <c r="B2139" s="116">
        <v>1065.8499999999999</v>
      </c>
      <c r="C2139" s="116">
        <v>1052.75</v>
      </c>
      <c r="D2139" s="116">
        <v>918.1</v>
      </c>
      <c r="E2139" s="116">
        <v>948.05</v>
      </c>
      <c r="F2139" s="116">
        <v>1052.75</v>
      </c>
      <c r="G2139">
        <v>281163</v>
      </c>
      <c r="H2139" s="116"/>
      <c r="I2139" s="116"/>
      <c r="L2139" s="170">
        <v>45365</v>
      </c>
      <c r="M2139" s="116">
        <v>1054.55</v>
      </c>
      <c r="N2139" s="116">
        <v>1065.9000000000001</v>
      </c>
      <c r="O2139" s="116">
        <v>918.75</v>
      </c>
      <c r="P2139" s="116">
        <v>950</v>
      </c>
      <c r="Q2139" s="116">
        <v>1054.55</v>
      </c>
      <c r="R2139">
        <v>6083924</v>
      </c>
    </row>
    <row r="2140" spans="1:18" x14ac:dyDescent="0.25">
      <c r="A2140" s="170">
        <v>45366</v>
      </c>
      <c r="B2140" s="116">
        <v>1076.8</v>
      </c>
      <c r="C2140" s="116">
        <v>1044.6500000000001</v>
      </c>
      <c r="D2140" s="116">
        <v>1024.75</v>
      </c>
      <c r="E2140" s="116">
        <v>1049.5999999999999</v>
      </c>
      <c r="F2140" s="116">
        <v>1044.6500000000001</v>
      </c>
      <c r="G2140">
        <v>74057</v>
      </c>
      <c r="H2140" s="116"/>
      <c r="I2140" s="116"/>
      <c r="L2140" s="170">
        <v>45366</v>
      </c>
      <c r="M2140" s="116">
        <v>1045.8499999999999</v>
      </c>
      <c r="N2140" s="116">
        <v>1077</v>
      </c>
      <c r="O2140" s="116">
        <v>1023.85</v>
      </c>
      <c r="P2140" s="116">
        <v>1048.05</v>
      </c>
      <c r="Q2140" s="116">
        <v>1045.8499999999999</v>
      </c>
      <c r="R2140">
        <v>3987648</v>
      </c>
    </row>
    <row r="2141" spans="1:18" x14ac:dyDescent="0.25">
      <c r="A2141" s="170">
        <v>45369</v>
      </c>
      <c r="B2141" s="116">
        <v>1030</v>
      </c>
      <c r="C2141" s="116">
        <v>1009.15</v>
      </c>
      <c r="D2141" s="116">
        <v>972.05</v>
      </c>
      <c r="E2141" s="116">
        <v>995.35</v>
      </c>
      <c r="F2141" s="116">
        <v>1009.15</v>
      </c>
      <c r="G2141">
        <v>72775</v>
      </c>
      <c r="H2141" s="116"/>
      <c r="I2141" s="116"/>
      <c r="L2141" s="170">
        <v>45369</v>
      </c>
      <c r="M2141" s="116">
        <v>1008.85</v>
      </c>
      <c r="N2141" s="116">
        <v>1030.95</v>
      </c>
      <c r="O2141" s="116">
        <v>971.5</v>
      </c>
      <c r="P2141" s="116">
        <v>1008</v>
      </c>
      <c r="Q2141" s="116">
        <v>1008.85</v>
      </c>
      <c r="R2141">
        <v>3008345</v>
      </c>
    </row>
    <row r="2142" spans="1:18" x14ac:dyDescent="0.25">
      <c r="A2142" s="170">
        <v>45370</v>
      </c>
      <c r="B2142" s="116">
        <v>1039.3499999999999</v>
      </c>
      <c r="C2142" s="116">
        <v>1006.65</v>
      </c>
      <c r="D2142" s="116">
        <v>1001</v>
      </c>
      <c r="E2142" s="116">
        <v>1022.8</v>
      </c>
      <c r="F2142" s="116">
        <v>1006.65</v>
      </c>
      <c r="G2142">
        <v>177084</v>
      </c>
      <c r="H2142" s="116"/>
      <c r="I2142" s="116"/>
      <c r="L2142" s="170">
        <v>45370</v>
      </c>
      <c r="M2142" s="116">
        <v>1006.3</v>
      </c>
      <c r="N2142" s="116">
        <v>1039.2</v>
      </c>
      <c r="O2142" s="116">
        <v>1000</v>
      </c>
      <c r="P2142" s="116">
        <v>1022.85</v>
      </c>
      <c r="Q2142" s="116">
        <v>1006.3</v>
      </c>
      <c r="R2142">
        <v>3736272</v>
      </c>
    </row>
    <row r="2143" spans="1:18" x14ac:dyDescent="0.25">
      <c r="A2143" s="170">
        <v>45371</v>
      </c>
      <c r="B2143" s="116">
        <v>1028</v>
      </c>
      <c r="C2143" s="116">
        <v>1010.95</v>
      </c>
      <c r="D2143" s="116">
        <v>997.7</v>
      </c>
      <c r="E2143" s="116">
        <v>1023.3</v>
      </c>
      <c r="F2143" s="116">
        <v>1010.95</v>
      </c>
      <c r="G2143">
        <v>128577</v>
      </c>
      <c r="H2143" s="116"/>
      <c r="I2143" s="116"/>
      <c r="L2143" s="170">
        <v>45371</v>
      </c>
      <c r="M2143" s="116">
        <v>1011.45</v>
      </c>
      <c r="N2143" s="116">
        <v>1029</v>
      </c>
      <c r="O2143" s="116">
        <v>997.6</v>
      </c>
      <c r="P2143" s="116">
        <v>1024.9000000000001</v>
      </c>
      <c r="Q2143" s="116">
        <v>1011.45</v>
      </c>
      <c r="R2143">
        <v>3577635</v>
      </c>
    </row>
    <row r="2144" spans="1:18" x14ac:dyDescent="0.25">
      <c r="A2144" s="170">
        <v>45372</v>
      </c>
      <c r="B2144" s="116">
        <v>1028.75</v>
      </c>
      <c r="C2144" s="116">
        <v>1009</v>
      </c>
      <c r="D2144" s="116">
        <v>1006.55</v>
      </c>
      <c r="E2144" s="116">
        <v>1025.5</v>
      </c>
      <c r="F2144" s="116">
        <v>1009</v>
      </c>
      <c r="G2144">
        <v>29645</v>
      </c>
      <c r="H2144" s="116"/>
      <c r="I2144" s="116"/>
      <c r="L2144" s="170">
        <v>45372</v>
      </c>
      <c r="M2144" s="116">
        <v>1008.9</v>
      </c>
      <c r="N2144" s="116">
        <v>1030.9000000000001</v>
      </c>
      <c r="O2144" s="116">
        <v>1005.2</v>
      </c>
      <c r="P2144" s="116">
        <v>1030.9000000000001</v>
      </c>
      <c r="Q2144" s="116">
        <v>1008.9</v>
      </c>
      <c r="R2144">
        <v>642213</v>
      </c>
    </row>
    <row r="2145" spans="1:18" x14ac:dyDescent="0.25">
      <c r="A2145" s="170">
        <v>45373</v>
      </c>
      <c r="B2145" s="116">
        <v>1022</v>
      </c>
      <c r="C2145" s="116">
        <v>1014.7</v>
      </c>
      <c r="D2145" s="116">
        <v>1005.2</v>
      </c>
      <c r="E2145" s="116">
        <v>1014</v>
      </c>
      <c r="F2145" s="116">
        <v>1014.7</v>
      </c>
      <c r="G2145">
        <v>111037</v>
      </c>
      <c r="H2145" s="116"/>
      <c r="I2145" s="116"/>
      <c r="L2145" s="170">
        <v>45373</v>
      </c>
      <c r="M2145" s="116">
        <v>1015.6</v>
      </c>
      <c r="N2145" s="116">
        <v>1022.05</v>
      </c>
      <c r="O2145" s="116">
        <v>1005.2</v>
      </c>
      <c r="P2145" s="116">
        <v>1012.05</v>
      </c>
      <c r="Q2145" s="116">
        <v>1015.6</v>
      </c>
      <c r="R2145">
        <v>2738168</v>
      </c>
    </row>
    <row r="2146" spans="1:18" x14ac:dyDescent="0.25">
      <c r="A2146" s="170">
        <v>45377</v>
      </c>
      <c r="B2146" s="116">
        <v>1063.3</v>
      </c>
      <c r="C2146" s="116">
        <v>1046.3499999999999</v>
      </c>
      <c r="D2146" s="116">
        <v>1004.15</v>
      </c>
      <c r="E2146" s="116">
        <v>1008.65</v>
      </c>
      <c r="F2146" s="116">
        <v>1046.3499999999999</v>
      </c>
      <c r="G2146">
        <v>118438</v>
      </c>
      <c r="H2146" s="116"/>
      <c r="I2146" s="116"/>
      <c r="L2146" s="170">
        <v>45377</v>
      </c>
      <c r="M2146" s="116">
        <v>1045.9000000000001</v>
      </c>
      <c r="N2146" s="116">
        <v>1064.5</v>
      </c>
      <c r="O2146" s="116">
        <v>1002.6</v>
      </c>
      <c r="P2146" s="116">
        <v>1003</v>
      </c>
      <c r="Q2146" s="116">
        <v>1045.9000000000001</v>
      </c>
      <c r="R2146">
        <v>4087621</v>
      </c>
    </row>
    <row r="2147" spans="1:18" x14ac:dyDescent="0.25">
      <c r="A2147" s="170">
        <v>45378</v>
      </c>
      <c r="B2147" s="116">
        <v>1057.8499999999999</v>
      </c>
      <c r="C2147" s="116">
        <v>1016.35</v>
      </c>
      <c r="D2147" s="116">
        <v>1004.15</v>
      </c>
      <c r="E2147" s="116">
        <v>1049.95</v>
      </c>
      <c r="F2147" s="116">
        <v>1016.35</v>
      </c>
      <c r="G2147">
        <v>146077</v>
      </c>
      <c r="H2147" s="116"/>
      <c r="I2147" s="116"/>
      <c r="L2147" s="170">
        <v>45378</v>
      </c>
      <c r="M2147" s="116">
        <v>1014.85</v>
      </c>
      <c r="N2147" s="116">
        <v>1057.5</v>
      </c>
      <c r="O2147" s="116">
        <v>1005.9</v>
      </c>
      <c r="P2147" s="116">
        <v>1049.5</v>
      </c>
      <c r="Q2147" s="116">
        <v>1014.85</v>
      </c>
      <c r="R2147">
        <v>3815101</v>
      </c>
    </row>
    <row r="2148" spans="1:18" x14ac:dyDescent="0.25">
      <c r="A2148" s="170">
        <v>45379</v>
      </c>
      <c r="B2148" s="116">
        <v>1041.1500000000001</v>
      </c>
      <c r="C2148" s="116">
        <v>1025.8</v>
      </c>
      <c r="D2148" s="116">
        <v>1015.65</v>
      </c>
      <c r="E2148" s="116">
        <v>1030</v>
      </c>
      <c r="F2148" s="116">
        <v>1025.8</v>
      </c>
      <c r="G2148">
        <v>174506</v>
      </c>
      <c r="H2148" s="116"/>
      <c r="I2148" s="116"/>
      <c r="L2148" s="170">
        <v>45379</v>
      </c>
      <c r="M2148" s="116">
        <v>1026.7</v>
      </c>
      <c r="N2148" s="116">
        <v>1041.8</v>
      </c>
      <c r="O2148" s="116">
        <v>1015.2</v>
      </c>
      <c r="P2148" s="116">
        <v>1030</v>
      </c>
      <c r="Q2148" s="116">
        <v>1026.7</v>
      </c>
      <c r="R2148">
        <v>3159446</v>
      </c>
    </row>
    <row r="2149" spans="1:18" x14ac:dyDescent="0.25">
      <c r="A2149" s="170">
        <v>45383</v>
      </c>
      <c r="B2149" s="116">
        <v>1124</v>
      </c>
      <c r="C2149" s="116">
        <v>1112</v>
      </c>
      <c r="D2149" s="116">
        <v>1040.3</v>
      </c>
      <c r="E2149" s="116">
        <v>1047.25</v>
      </c>
      <c r="F2149" s="116">
        <v>1112</v>
      </c>
      <c r="G2149">
        <v>177761</v>
      </c>
      <c r="H2149" s="116"/>
      <c r="I2149" s="116"/>
      <c r="L2149" s="170">
        <v>45383</v>
      </c>
      <c r="M2149" s="116">
        <v>1112</v>
      </c>
      <c r="N2149" s="116">
        <v>1125</v>
      </c>
      <c r="O2149" s="116">
        <v>1036.1500000000001</v>
      </c>
      <c r="P2149" s="116">
        <v>1047.0999999999999</v>
      </c>
      <c r="Q2149" s="116">
        <v>1112</v>
      </c>
      <c r="R2149">
        <v>3995373</v>
      </c>
    </row>
    <row r="2150" spans="1:18" x14ac:dyDescent="0.25">
      <c r="A2150" s="170">
        <v>45384</v>
      </c>
      <c r="B2150" s="116">
        <v>1128.5</v>
      </c>
      <c r="C2150" s="116">
        <v>1098.1500000000001</v>
      </c>
      <c r="D2150" s="116">
        <v>1092.5999999999999</v>
      </c>
      <c r="E2150" s="116">
        <v>1112.55</v>
      </c>
      <c r="F2150" s="116">
        <v>1098.1500000000001</v>
      </c>
      <c r="G2150">
        <v>215484</v>
      </c>
      <c r="H2150" s="116"/>
      <c r="I2150" s="116"/>
      <c r="L2150" s="170">
        <v>45384</v>
      </c>
      <c r="M2150" s="116">
        <v>1098.3499999999999</v>
      </c>
      <c r="N2150" s="116">
        <v>1128.8499999999999</v>
      </c>
      <c r="O2150" s="116">
        <v>1090</v>
      </c>
      <c r="P2150" s="116">
        <v>1114</v>
      </c>
      <c r="Q2150" s="116">
        <v>1098.3499999999999</v>
      </c>
      <c r="R2150">
        <v>1716219</v>
      </c>
    </row>
    <row r="2151" spans="1:18" x14ac:dyDescent="0.25">
      <c r="A2151" s="170">
        <v>45385</v>
      </c>
      <c r="B2151" s="116">
        <v>1104.7</v>
      </c>
      <c r="C2151" s="116">
        <v>1095.0999999999999</v>
      </c>
      <c r="D2151" s="116">
        <v>1090.5999999999999</v>
      </c>
      <c r="E2151" s="116">
        <v>1100.5</v>
      </c>
      <c r="F2151" s="116">
        <v>1095.0999999999999</v>
      </c>
      <c r="G2151">
        <v>47973</v>
      </c>
      <c r="H2151" s="116"/>
      <c r="I2151" s="116"/>
      <c r="L2151" s="170">
        <v>45385</v>
      </c>
      <c r="M2151" s="116">
        <v>1094.75</v>
      </c>
      <c r="N2151" s="116">
        <v>1105</v>
      </c>
      <c r="O2151" s="116">
        <v>1090</v>
      </c>
      <c r="P2151" s="116">
        <v>1098.55</v>
      </c>
      <c r="Q2151" s="116">
        <v>1094.75</v>
      </c>
      <c r="R2151">
        <v>887319</v>
      </c>
    </row>
    <row r="2152" spans="1:18" x14ac:dyDescent="0.25">
      <c r="A2152" s="170">
        <v>45386</v>
      </c>
      <c r="B2152" s="116">
        <v>1119</v>
      </c>
      <c r="C2152" s="116">
        <v>1101.55</v>
      </c>
      <c r="D2152" s="116">
        <v>1082.0999999999999</v>
      </c>
      <c r="E2152" s="116">
        <v>1099.8</v>
      </c>
      <c r="F2152" s="116">
        <v>1101.55</v>
      </c>
      <c r="G2152">
        <v>167201</v>
      </c>
      <c r="H2152" s="116"/>
      <c r="I2152" s="116"/>
      <c r="L2152" s="170">
        <v>45386</v>
      </c>
      <c r="M2152" s="116">
        <v>1102</v>
      </c>
      <c r="N2152" s="116">
        <v>1119</v>
      </c>
      <c r="O2152" s="116">
        <v>1082.2</v>
      </c>
      <c r="P2152" s="116">
        <v>1103.45</v>
      </c>
      <c r="Q2152" s="116">
        <v>1102</v>
      </c>
      <c r="R2152">
        <v>2011840</v>
      </c>
    </row>
    <row r="2153" spans="1:18" x14ac:dyDescent="0.25">
      <c r="A2153" s="170">
        <v>45387</v>
      </c>
      <c r="B2153" s="116">
        <v>1109.05</v>
      </c>
      <c r="C2153" s="116">
        <v>1096.95</v>
      </c>
      <c r="D2153" s="116">
        <v>1086.7</v>
      </c>
      <c r="E2153" s="116">
        <v>1095.8499999999999</v>
      </c>
      <c r="F2153" s="116">
        <v>1096.95</v>
      </c>
      <c r="G2153">
        <v>33781</v>
      </c>
      <c r="H2153" s="116"/>
      <c r="I2153" s="116"/>
      <c r="L2153" s="170">
        <v>45387</v>
      </c>
      <c r="M2153" s="116">
        <v>1096.3</v>
      </c>
      <c r="N2153" s="116">
        <v>1109.95</v>
      </c>
      <c r="O2153" s="116">
        <v>1086</v>
      </c>
      <c r="P2153" s="116">
        <v>1103</v>
      </c>
      <c r="Q2153" s="116">
        <v>1096.3</v>
      </c>
      <c r="R2153">
        <v>747341</v>
      </c>
    </row>
    <row r="2154" spans="1:18" x14ac:dyDescent="0.25">
      <c r="A2154" s="170">
        <v>45390</v>
      </c>
      <c r="B2154" s="116">
        <v>1117.75</v>
      </c>
      <c r="C2154" s="116">
        <v>1076</v>
      </c>
      <c r="D2154" s="116">
        <v>1066.3</v>
      </c>
      <c r="E2154" s="116">
        <v>1100.0999999999999</v>
      </c>
      <c r="F2154" s="116">
        <v>1076</v>
      </c>
      <c r="G2154">
        <v>111026</v>
      </c>
      <c r="H2154" s="116"/>
      <c r="I2154" s="116"/>
      <c r="L2154" s="170">
        <v>45390</v>
      </c>
      <c r="M2154" s="116">
        <v>1075.8499999999999</v>
      </c>
      <c r="N2154" s="116">
        <v>1117.75</v>
      </c>
      <c r="O2154" s="116">
        <v>1065</v>
      </c>
      <c r="P2154" s="116">
        <v>1105</v>
      </c>
      <c r="Q2154" s="116">
        <v>1075.8499999999999</v>
      </c>
      <c r="R2154">
        <v>794510</v>
      </c>
    </row>
    <row r="2155" spans="1:18" x14ac:dyDescent="0.25">
      <c r="A2155" s="170">
        <v>45391</v>
      </c>
      <c r="B2155" s="116">
        <v>1088.1500000000001</v>
      </c>
      <c r="C2155" s="116">
        <v>1070.6500000000001</v>
      </c>
      <c r="D2155" s="116">
        <v>1064.8</v>
      </c>
      <c r="E2155" s="116">
        <v>1084.3</v>
      </c>
      <c r="F2155" s="116">
        <v>1070.6500000000001</v>
      </c>
      <c r="G2155">
        <v>73416</v>
      </c>
      <c r="H2155" s="116"/>
      <c r="I2155" s="116"/>
      <c r="L2155" s="170">
        <v>45391</v>
      </c>
      <c r="M2155" s="116">
        <v>1071.25</v>
      </c>
      <c r="N2155" s="116">
        <v>1088.5999999999999</v>
      </c>
      <c r="O2155" s="116">
        <v>1066</v>
      </c>
      <c r="P2155" s="116">
        <v>1081.25</v>
      </c>
      <c r="Q2155" s="116">
        <v>1071.25</v>
      </c>
      <c r="R2155">
        <v>432564</v>
      </c>
    </row>
    <row r="2156" spans="1:18" x14ac:dyDescent="0.25">
      <c r="A2156" s="170">
        <v>45392</v>
      </c>
      <c r="B2156" s="116">
        <v>1076</v>
      </c>
      <c r="C2156" s="116">
        <v>1064.55</v>
      </c>
      <c r="D2156" s="116">
        <v>1056</v>
      </c>
      <c r="E2156" s="116">
        <v>1072.75</v>
      </c>
      <c r="F2156" s="116">
        <v>1064.55</v>
      </c>
      <c r="G2156">
        <v>25763</v>
      </c>
      <c r="H2156" s="116"/>
      <c r="I2156" s="116"/>
      <c r="L2156" s="170">
        <v>45392</v>
      </c>
      <c r="M2156" s="116">
        <v>1064.25</v>
      </c>
      <c r="N2156" s="116">
        <v>1076</v>
      </c>
      <c r="O2156" s="116">
        <v>1056</v>
      </c>
      <c r="P2156" s="116">
        <v>1075.8</v>
      </c>
      <c r="Q2156" s="116">
        <v>1064.25</v>
      </c>
      <c r="R2156">
        <v>450543</v>
      </c>
    </row>
    <row r="2157" spans="1:18" x14ac:dyDescent="0.25">
      <c r="A2157" s="170">
        <v>45394</v>
      </c>
      <c r="B2157" s="116">
        <v>1096.6500000000001</v>
      </c>
      <c r="C2157" s="116">
        <v>1070.2</v>
      </c>
      <c r="D2157" s="116">
        <v>1055</v>
      </c>
      <c r="E2157" s="116">
        <v>1065.25</v>
      </c>
      <c r="F2157" s="116">
        <v>1070.2</v>
      </c>
      <c r="G2157">
        <v>142005</v>
      </c>
      <c r="H2157" s="116"/>
      <c r="I2157" s="116"/>
      <c r="L2157" s="170">
        <v>45394</v>
      </c>
      <c r="M2157" s="116">
        <v>1068.9000000000001</v>
      </c>
      <c r="N2157" s="116">
        <v>1097.55</v>
      </c>
      <c r="O2157" s="116">
        <v>1053</v>
      </c>
      <c r="P2157" s="116">
        <v>1066.1500000000001</v>
      </c>
      <c r="Q2157" s="116">
        <v>1068.9000000000001</v>
      </c>
      <c r="R2157">
        <v>1283700</v>
      </c>
    </row>
    <row r="2158" spans="1:18" x14ac:dyDescent="0.25">
      <c r="A2158" s="170">
        <v>45397</v>
      </c>
      <c r="B2158" s="116">
        <v>1050</v>
      </c>
      <c r="C2158" s="116">
        <v>1039.7</v>
      </c>
      <c r="D2158" s="116">
        <v>1011.1</v>
      </c>
      <c r="E2158" s="116">
        <v>1025.0999999999999</v>
      </c>
      <c r="F2158" s="116">
        <v>1039.7</v>
      </c>
      <c r="G2158">
        <v>220263</v>
      </c>
      <c r="H2158" s="116"/>
      <c r="I2158" s="116"/>
      <c r="L2158" s="170">
        <v>45397</v>
      </c>
      <c r="M2158" s="116">
        <v>1039.45</v>
      </c>
      <c r="N2158" s="116">
        <v>1049.9000000000001</v>
      </c>
      <c r="O2158" s="116">
        <v>1012.85</v>
      </c>
      <c r="P2158" s="116">
        <v>1036.4000000000001</v>
      </c>
      <c r="Q2158" s="116">
        <v>1039.45</v>
      </c>
      <c r="R2158">
        <v>1053977</v>
      </c>
    </row>
    <row r="2159" spans="1:18" x14ac:dyDescent="0.25">
      <c r="A2159" s="170">
        <v>45398</v>
      </c>
      <c r="B2159" s="116">
        <v>1060</v>
      </c>
      <c r="C2159" s="116">
        <v>1052.6500000000001</v>
      </c>
      <c r="D2159" s="116">
        <v>1031.55</v>
      </c>
      <c r="E2159" s="116">
        <v>1031.55</v>
      </c>
      <c r="F2159" s="116">
        <v>1052.6500000000001</v>
      </c>
      <c r="G2159">
        <v>79027</v>
      </c>
      <c r="H2159" s="116"/>
      <c r="I2159" s="116"/>
      <c r="L2159" s="170">
        <v>45398</v>
      </c>
      <c r="M2159" s="116">
        <v>1051.75</v>
      </c>
      <c r="N2159" s="116">
        <v>1060.6500000000001</v>
      </c>
      <c r="O2159" s="116">
        <v>1035.55</v>
      </c>
      <c r="P2159" s="116">
        <v>1038.95</v>
      </c>
      <c r="Q2159" s="116">
        <v>1051.75</v>
      </c>
      <c r="R2159">
        <v>655917</v>
      </c>
    </row>
    <row r="2160" spans="1:18" x14ac:dyDescent="0.25">
      <c r="A2160" s="170">
        <v>45400</v>
      </c>
      <c r="B2160" s="116">
        <v>1068.4000000000001</v>
      </c>
      <c r="C2160" s="116">
        <v>1038.1500000000001</v>
      </c>
      <c r="D2160" s="116">
        <v>1035.55</v>
      </c>
      <c r="E2160" s="116">
        <v>1060</v>
      </c>
      <c r="F2160" s="116">
        <v>1038.1500000000001</v>
      </c>
      <c r="G2160">
        <v>88670</v>
      </c>
      <c r="H2160" s="116"/>
      <c r="I2160" s="116"/>
      <c r="L2160" s="170">
        <v>45400</v>
      </c>
      <c r="M2160" s="116">
        <v>1038.75</v>
      </c>
      <c r="N2160" s="116">
        <v>1068.9000000000001</v>
      </c>
      <c r="O2160" s="116">
        <v>1036.05</v>
      </c>
      <c r="P2160" s="116">
        <v>1059.6500000000001</v>
      </c>
      <c r="Q2160" s="116">
        <v>1038.75</v>
      </c>
      <c r="R2160">
        <v>497046</v>
      </c>
    </row>
    <row r="2161" spans="1:18" x14ac:dyDescent="0.25">
      <c r="A2161" s="170">
        <v>45401</v>
      </c>
      <c r="B2161" s="116">
        <v>1046.7</v>
      </c>
      <c r="C2161" s="116">
        <v>1040.9000000000001</v>
      </c>
      <c r="D2161" s="116">
        <v>1012</v>
      </c>
      <c r="E2161" s="116">
        <v>1022.35</v>
      </c>
      <c r="F2161" s="116">
        <v>1040.9000000000001</v>
      </c>
      <c r="G2161">
        <v>46139</v>
      </c>
      <c r="H2161" s="116"/>
      <c r="I2161" s="116"/>
      <c r="L2161" s="170">
        <v>45401</v>
      </c>
      <c r="M2161" s="116">
        <v>1040.5999999999999</v>
      </c>
      <c r="N2161" s="116">
        <v>1046.55</v>
      </c>
      <c r="O2161" s="116">
        <v>1011.4</v>
      </c>
      <c r="P2161" s="116">
        <v>1021.4</v>
      </c>
      <c r="Q2161" s="116">
        <v>1040.5999999999999</v>
      </c>
      <c r="R2161">
        <v>794936</v>
      </c>
    </row>
    <row r="2162" spans="1:18" x14ac:dyDescent="0.25">
      <c r="A2162" s="170">
        <v>45404</v>
      </c>
      <c r="B2162" s="116">
        <v>1079</v>
      </c>
      <c r="C2162" s="116">
        <v>1042.8</v>
      </c>
      <c r="D2162" s="116">
        <v>1040.05</v>
      </c>
      <c r="E2162" s="116">
        <v>1050.5</v>
      </c>
      <c r="F2162" s="116">
        <v>1042.8</v>
      </c>
      <c r="G2162">
        <v>101970</v>
      </c>
      <c r="H2162" s="116"/>
      <c r="I2162" s="116"/>
      <c r="L2162" s="170">
        <v>45404</v>
      </c>
      <c r="M2162" s="116">
        <v>1042.95</v>
      </c>
      <c r="N2162" s="116">
        <v>1080</v>
      </c>
      <c r="O2162" s="116">
        <v>1040</v>
      </c>
      <c r="P2162" s="116">
        <v>1054</v>
      </c>
      <c r="Q2162" s="116">
        <v>1042.95</v>
      </c>
      <c r="R2162">
        <v>667886</v>
      </c>
    </row>
    <row r="2163" spans="1:18" x14ac:dyDescent="0.25">
      <c r="A2163" s="170">
        <v>45405</v>
      </c>
      <c r="B2163" s="116">
        <v>1068.9000000000001</v>
      </c>
      <c r="C2163" s="116">
        <v>1049.75</v>
      </c>
      <c r="D2163" s="116">
        <v>1045</v>
      </c>
      <c r="E2163" s="116">
        <v>1046.4000000000001</v>
      </c>
      <c r="F2163" s="116">
        <v>1049.75</v>
      </c>
      <c r="G2163">
        <v>27258</v>
      </c>
      <c r="H2163" s="116"/>
      <c r="I2163" s="116"/>
      <c r="L2163" s="170">
        <v>45405</v>
      </c>
      <c r="M2163" s="116">
        <v>1050.05</v>
      </c>
      <c r="N2163" s="116">
        <v>1068.95</v>
      </c>
      <c r="O2163" s="116">
        <v>1042.05</v>
      </c>
      <c r="P2163" s="116">
        <v>1048</v>
      </c>
      <c r="Q2163" s="116">
        <v>1050.05</v>
      </c>
      <c r="R2163">
        <v>749815</v>
      </c>
    </row>
    <row r="2164" spans="1:18" x14ac:dyDescent="0.25">
      <c r="A2164" s="170">
        <v>45406</v>
      </c>
      <c r="B2164" s="116">
        <v>1055</v>
      </c>
      <c r="C2164" s="116">
        <v>1047.2</v>
      </c>
      <c r="D2164" s="116">
        <v>1042.0999999999999</v>
      </c>
      <c r="E2164" s="116">
        <v>1050.3499999999999</v>
      </c>
      <c r="F2164" s="116">
        <v>1047.2</v>
      </c>
      <c r="G2164">
        <v>18067</v>
      </c>
      <c r="H2164" s="116"/>
      <c r="I2164" s="116"/>
      <c r="L2164" s="170">
        <v>45406</v>
      </c>
      <c r="M2164" s="116">
        <v>1047.8499999999999</v>
      </c>
      <c r="N2164" s="116">
        <v>1056.2</v>
      </c>
      <c r="O2164" s="116">
        <v>1042.3</v>
      </c>
      <c r="P2164" s="116">
        <v>1055</v>
      </c>
      <c r="Q2164" s="116">
        <v>1047.8499999999999</v>
      </c>
      <c r="R2164">
        <v>409452</v>
      </c>
    </row>
    <row r="2165" spans="1:18" x14ac:dyDescent="0.25">
      <c r="A2165" s="170">
        <v>45407</v>
      </c>
      <c r="B2165" s="116">
        <v>1054.3499999999999</v>
      </c>
      <c r="C2165" s="116">
        <v>1050.2</v>
      </c>
      <c r="D2165" s="116">
        <v>1041</v>
      </c>
      <c r="E2165" s="116">
        <v>1046.7</v>
      </c>
      <c r="F2165" s="116">
        <v>1050.2</v>
      </c>
      <c r="G2165">
        <v>16495</v>
      </c>
      <c r="H2165" s="116"/>
      <c r="I2165" s="116"/>
      <c r="L2165" s="170">
        <v>45407</v>
      </c>
      <c r="M2165" s="116">
        <v>1050.1500000000001</v>
      </c>
      <c r="N2165" s="116">
        <v>1053.95</v>
      </c>
      <c r="O2165" s="116">
        <v>1040.8499999999999</v>
      </c>
      <c r="P2165" s="116">
        <v>1045</v>
      </c>
      <c r="Q2165" s="116">
        <v>1050.1500000000001</v>
      </c>
      <c r="R2165">
        <v>421022</v>
      </c>
    </row>
    <row r="2166" spans="1:18" x14ac:dyDescent="0.25">
      <c r="A2166" s="170">
        <v>45408</v>
      </c>
      <c r="B2166" s="116">
        <v>1071</v>
      </c>
      <c r="C2166" s="116">
        <v>1061.5999999999999</v>
      </c>
      <c r="D2166" s="116">
        <v>1046.3</v>
      </c>
      <c r="E2166" s="116">
        <v>1058.75</v>
      </c>
      <c r="F2166" s="116">
        <v>1061.5999999999999</v>
      </c>
      <c r="G2166">
        <v>97877</v>
      </c>
      <c r="H2166" s="116"/>
      <c r="I2166" s="116"/>
      <c r="L2166" s="170">
        <v>45408</v>
      </c>
      <c r="M2166" s="116">
        <v>1062.8499999999999</v>
      </c>
      <c r="N2166" s="116">
        <v>1071.45</v>
      </c>
      <c r="O2166" s="116">
        <v>1046.5</v>
      </c>
      <c r="P2166" s="116">
        <v>1055</v>
      </c>
      <c r="Q2166" s="116">
        <v>1062.8499999999999</v>
      </c>
      <c r="R2166">
        <v>2056765</v>
      </c>
    </row>
    <row r="2167" spans="1:18" x14ac:dyDescent="0.25">
      <c r="A2167" s="170">
        <v>45411</v>
      </c>
      <c r="B2167" s="116">
        <v>1073.1500000000001</v>
      </c>
      <c r="C2167" s="116">
        <v>1060.6500000000001</v>
      </c>
      <c r="D2167" s="116">
        <v>1058</v>
      </c>
      <c r="E2167" s="116">
        <v>1063.75</v>
      </c>
      <c r="F2167" s="116">
        <v>1060.6500000000001</v>
      </c>
      <c r="G2167">
        <v>30873</v>
      </c>
      <c r="H2167" s="116"/>
      <c r="I2167" s="116"/>
      <c r="L2167" s="170">
        <v>45411</v>
      </c>
      <c r="M2167" s="116">
        <v>1061</v>
      </c>
      <c r="N2167" s="116">
        <v>1072.8499999999999</v>
      </c>
      <c r="O2167" s="116">
        <v>1057.5999999999999</v>
      </c>
      <c r="P2167" s="116">
        <v>1072.8499999999999</v>
      </c>
      <c r="Q2167" s="116">
        <v>1061</v>
      </c>
      <c r="R2167">
        <v>2795995</v>
      </c>
    </row>
    <row r="2168" spans="1:18" x14ac:dyDescent="0.25">
      <c r="A2168" s="170">
        <v>45412</v>
      </c>
      <c r="B2168" s="116">
        <v>1088.45</v>
      </c>
      <c r="C2168" s="116">
        <v>1064.6500000000001</v>
      </c>
      <c r="D2168" s="116">
        <v>1060.1500000000001</v>
      </c>
      <c r="E2168" s="116">
        <v>1068</v>
      </c>
      <c r="F2168" s="116">
        <v>1064.6500000000001</v>
      </c>
      <c r="G2168">
        <v>45675</v>
      </c>
      <c r="H2168" s="116"/>
      <c r="I2168" s="116"/>
      <c r="L2168" s="170">
        <v>45412</v>
      </c>
      <c r="M2168" s="116">
        <v>1065.2</v>
      </c>
      <c r="N2168" s="116">
        <v>1087.3</v>
      </c>
      <c r="O2168" s="116">
        <v>1060.3499999999999</v>
      </c>
      <c r="P2168" s="116">
        <v>1067</v>
      </c>
      <c r="Q2168" s="116">
        <v>1065.2</v>
      </c>
      <c r="R2168">
        <v>3503339</v>
      </c>
    </row>
    <row r="2169" spans="1:18" x14ac:dyDescent="0.25">
      <c r="A2169" s="170">
        <v>45414</v>
      </c>
      <c r="B2169" s="116">
        <v>1066.4000000000001</v>
      </c>
      <c r="C2169" s="116">
        <v>1050.7</v>
      </c>
      <c r="D2169" s="116">
        <v>1046.05</v>
      </c>
      <c r="E2169" s="116">
        <v>1066.3499999999999</v>
      </c>
      <c r="F2169" s="116">
        <v>1050.7</v>
      </c>
      <c r="G2169">
        <v>41839</v>
      </c>
      <c r="H2169" s="116"/>
      <c r="I2169" s="116"/>
      <c r="L2169" s="170">
        <v>45414</v>
      </c>
      <c r="M2169" s="116">
        <v>1052.8499999999999</v>
      </c>
      <c r="N2169" s="116">
        <v>1066</v>
      </c>
      <c r="O2169" s="116">
        <v>1045.5999999999999</v>
      </c>
      <c r="P2169" s="116">
        <v>1065.2</v>
      </c>
      <c r="Q2169" s="116">
        <v>1052.8499999999999</v>
      </c>
      <c r="R2169">
        <v>3169241</v>
      </c>
    </row>
    <row r="2170" spans="1:18" x14ac:dyDescent="0.25">
      <c r="A2170" s="170">
        <v>45415</v>
      </c>
      <c r="B2170" s="116">
        <v>1068</v>
      </c>
      <c r="C2170" s="116">
        <v>1060.7</v>
      </c>
      <c r="D2170" s="116">
        <v>1044.95</v>
      </c>
      <c r="E2170" s="116">
        <v>1048.7</v>
      </c>
      <c r="F2170" s="116">
        <v>1060.7</v>
      </c>
      <c r="G2170">
        <v>38472</v>
      </c>
      <c r="H2170" s="116"/>
      <c r="I2170" s="116"/>
      <c r="L2170" s="170">
        <v>45415</v>
      </c>
      <c r="M2170" s="116">
        <v>1061.55</v>
      </c>
      <c r="N2170" s="116">
        <v>1068.5</v>
      </c>
      <c r="O2170" s="116">
        <v>1044</v>
      </c>
      <c r="P2170" s="116">
        <v>1045.55</v>
      </c>
      <c r="Q2170" s="116">
        <v>1061.55</v>
      </c>
      <c r="R2170">
        <v>2666817</v>
      </c>
    </row>
    <row r="2171" spans="1:18" x14ac:dyDescent="0.25">
      <c r="A2171" s="170">
        <v>45418</v>
      </c>
      <c r="B2171" s="116">
        <v>1065</v>
      </c>
      <c r="C2171" s="116">
        <v>1058.2</v>
      </c>
      <c r="D2171" s="116">
        <v>1032.55</v>
      </c>
      <c r="E2171" s="116">
        <v>1060.7</v>
      </c>
      <c r="F2171" s="116">
        <v>1058.2</v>
      </c>
      <c r="G2171">
        <v>49166</v>
      </c>
      <c r="H2171" s="116"/>
      <c r="I2171" s="116"/>
      <c r="L2171" s="170">
        <v>45418</v>
      </c>
      <c r="M2171" s="116">
        <v>1058.5</v>
      </c>
      <c r="N2171" s="116">
        <v>1065.95</v>
      </c>
      <c r="O2171" s="116">
        <v>1032.1500000000001</v>
      </c>
      <c r="P2171" s="116">
        <v>1060.3499999999999</v>
      </c>
      <c r="Q2171" s="116">
        <v>1058.5</v>
      </c>
      <c r="R2171">
        <v>2650493</v>
      </c>
    </row>
    <row r="2172" spans="1:18" x14ac:dyDescent="0.25">
      <c r="A2172" s="170">
        <v>45419</v>
      </c>
      <c r="B2172" s="116">
        <v>1057.95</v>
      </c>
      <c r="C2172" s="116">
        <v>1017.75</v>
      </c>
      <c r="D2172" s="116">
        <v>1013</v>
      </c>
      <c r="E2172" s="116">
        <v>1056.8499999999999</v>
      </c>
      <c r="F2172" s="116">
        <v>1017.75</v>
      </c>
      <c r="G2172">
        <v>42035</v>
      </c>
      <c r="H2172" s="116"/>
      <c r="I2172" s="116"/>
      <c r="L2172" s="170">
        <v>45419</v>
      </c>
      <c r="M2172" s="116">
        <v>1021.55</v>
      </c>
      <c r="N2172" s="116">
        <v>1058.25</v>
      </c>
      <c r="O2172" s="116">
        <v>1012.35</v>
      </c>
      <c r="P2172" s="116">
        <v>1058</v>
      </c>
      <c r="Q2172" s="116">
        <v>1021.55</v>
      </c>
      <c r="R2172">
        <v>2455096</v>
      </c>
    </row>
    <row r="2173" spans="1:18" x14ac:dyDescent="0.25">
      <c r="A2173" s="170">
        <v>45420</v>
      </c>
      <c r="B2173" s="116">
        <v>1027</v>
      </c>
      <c r="C2173" s="116">
        <v>1016.85</v>
      </c>
      <c r="D2173" s="116">
        <v>1011</v>
      </c>
      <c r="E2173" s="116">
        <v>1019.15</v>
      </c>
      <c r="F2173" s="116">
        <v>1016.85</v>
      </c>
      <c r="G2173">
        <v>32670</v>
      </c>
      <c r="H2173" s="116"/>
      <c r="I2173" s="116"/>
      <c r="L2173" s="170">
        <v>45420</v>
      </c>
      <c r="M2173" s="116">
        <v>1019.5</v>
      </c>
      <c r="N2173" s="116">
        <v>1030</v>
      </c>
      <c r="O2173" s="116">
        <v>1011</v>
      </c>
      <c r="P2173" s="116">
        <v>1018.1</v>
      </c>
      <c r="Q2173" s="116">
        <v>1019.5</v>
      </c>
      <c r="R2173">
        <v>2094553</v>
      </c>
    </row>
    <row r="2174" spans="1:18" x14ac:dyDescent="0.25">
      <c r="A2174" s="170">
        <v>45421</v>
      </c>
      <c r="B2174" s="116">
        <v>1029.95</v>
      </c>
      <c r="C2174" s="116">
        <v>979.15</v>
      </c>
      <c r="D2174" s="116">
        <v>975.45</v>
      </c>
      <c r="E2174" s="116">
        <v>1020.7</v>
      </c>
      <c r="F2174" s="116">
        <v>979.15</v>
      </c>
      <c r="G2174">
        <v>33849</v>
      </c>
      <c r="H2174" s="116"/>
      <c r="I2174" s="116"/>
      <c r="L2174" s="170">
        <v>45421</v>
      </c>
      <c r="M2174" s="116">
        <v>980.05</v>
      </c>
      <c r="N2174" s="116">
        <v>1029.8499999999999</v>
      </c>
      <c r="O2174" s="116">
        <v>975</v>
      </c>
      <c r="P2174" s="116">
        <v>1023.65</v>
      </c>
      <c r="Q2174" s="116">
        <v>980.05</v>
      </c>
      <c r="R2174">
        <v>918325</v>
      </c>
    </row>
    <row r="2175" spans="1:18" x14ac:dyDescent="0.25">
      <c r="A2175" s="170">
        <v>45422</v>
      </c>
      <c r="B2175" s="116">
        <v>999</v>
      </c>
      <c r="C2175" s="116">
        <v>988.2</v>
      </c>
      <c r="D2175" s="116">
        <v>971.9</v>
      </c>
      <c r="E2175" s="116">
        <v>981.05</v>
      </c>
      <c r="F2175" s="116">
        <v>988.2</v>
      </c>
      <c r="G2175">
        <v>43490</v>
      </c>
      <c r="H2175" s="116"/>
      <c r="I2175" s="116"/>
      <c r="L2175" s="170">
        <v>45422</v>
      </c>
      <c r="M2175" s="116">
        <v>990.55</v>
      </c>
      <c r="N2175" s="116">
        <v>999.7</v>
      </c>
      <c r="O2175" s="116">
        <v>970.5</v>
      </c>
      <c r="P2175" s="116">
        <v>980.05</v>
      </c>
      <c r="Q2175" s="116">
        <v>990.55</v>
      </c>
      <c r="R2175">
        <v>745958</v>
      </c>
    </row>
    <row r="2176" spans="1:18" x14ac:dyDescent="0.25">
      <c r="A2176" s="170">
        <v>45425</v>
      </c>
      <c r="B2176" s="116">
        <v>1019.8</v>
      </c>
      <c r="C2176" s="116">
        <v>991.45</v>
      </c>
      <c r="D2176" s="116">
        <v>975</v>
      </c>
      <c r="E2176" s="116">
        <v>989.85</v>
      </c>
      <c r="F2176" s="116">
        <v>991.45</v>
      </c>
      <c r="G2176">
        <v>36442</v>
      </c>
      <c r="H2176" s="116"/>
      <c r="I2176" s="116"/>
      <c r="L2176" s="170">
        <v>45425</v>
      </c>
      <c r="M2176" s="116">
        <v>991.05</v>
      </c>
      <c r="N2176" s="116">
        <v>1020</v>
      </c>
      <c r="O2176" s="116">
        <v>975</v>
      </c>
      <c r="P2176" s="116">
        <v>990.95</v>
      </c>
      <c r="Q2176" s="116">
        <v>991.05</v>
      </c>
      <c r="R2176">
        <v>710559</v>
      </c>
    </row>
    <row r="2177" spans="1:18" x14ac:dyDescent="0.25">
      <c r="A2177" s="170">
        <v>45426</v>
      </c>
      <c r="B2177" s="116">
        <v>1056.5999999999999</v>
      </c>
      <c r="C2177" s="116">
        <v>1021.9</v>
      </c>
      <c r="D2177" s="116">
        <v>983.05</v>
      </c>
      <c r="E2177" s="116">
        <v>999.75</v>
      </c>
      <c r="F2177" s="116">
        <v>1021.9</v>
      </c>
      <c r="G2177">
        <v>153734</v>
      </c>
      <c r="H2177" s="116"/>
      <c r="I2177" s="116"/>
      <c r="L2177" s="170">
        <v>45426</v>
      </c>
      <c r="M2177" s="116">
        <v>1022.05</v>
      </c>
      <c r="N2177" s="116">
        <v>1056</v>
      </c>
      <c r="O2177" s="116">
        <v>982.85</v>
      </c>
      <c r="P2177" s="116">
        <v>995.9</v>
      </c>
      <c r="Q2177" s="116">
        <v>1022.05</v>
      </c>
      <c r="R2177">
        <v>1344326</v>
      </c>
    </row>
    <row r="2178" spans="1:18" x14ac:dyDescent="0.25">
      <c r="A2178" s="170">
        <v>45427</v>
      </c>
      <c r="B2178" s="116">
        <v>1038.5</v>
      </c>
      <c r="C2178" s="116">
        <v>1020.95</v>
      </c>
      <c r="D2178" s="116">
        <v>1017.7</v>
      </c>
      <c r="E2178" s="116">
        <v>1031.0999999999999</v>
      </c>
      <c r="F2178" s="116">
        <v>1020.95</v>
      </c>
      <c r="G2178">
        <v>27640</v>
      </c>
      <c r="H2178" s="116"/>
      <c r="I2178" s="116"/>
      <c r="L2178" s="170">
        <v>45427</v>
      </c>
      <c r="M2178" s="116">
        <v>1021.65</v>
      </c>
      <c r="N2178" s="116">
        <v>1039</v>
      </c>
      <c r="O2178" s="116">
        <v>1018.75</v>
      </c>
      <c r="P2178" s="116">
        <v>1025</v>
      </c>
      <c r="Q2178" s="116">
        <v>1021.65</v>
      </c>
      <c r="R2178">
        <v>597368</v>
      </c>
    </row>
    <row r="2179" spans="1:18" x14ac:dyDescent="0.25">
      <c r="A2179" s="170">
        <v>45428</v>
      </c>
      <c r="B2179" s="116">
        <v>1034</v>
      </c>
      <c r="C2179" s="116">
        <v>1032.3499999999999</v>
      </c>
      <c r="D2179" s="116">
        <v>1018</v>
      </c>
      <c r="E2179" s="116">
        <v>1029.55</v>
      </c>
      <c r="F2179" s="116">
        <v>1032.3499999999999</v>
      </c>
      <c r="G2179">
        <v>19456</v>
      </c>
      <c r="H2179" s="116"/>
      <c r="I2179" s="116"/>
      <c r="L2179" s="170">
        <v>45428</v>
      </c>
      <c r="M2179" s="116">
        <v>1031</v>
      </c>
      <c r="N2179" s="116">
        <v>1035</v>
      </c>
      <c r="O2179" s="116">
        <v>1017.55</v>
      </c>
      <c r="P2179" s="116">
        <v>1030</v>
      </c>
      <c r="Q2179" s="116">
        <v>1031</v>
      </c>
      <c r="R2179">
        <v>486016</v>
      </c>
    </row>
    <row r="2180" spans="1:18" x14ac:dyDescent="0.25">
      <c r="A2180" s="170">
        <v>45429</v>
      </c>
      <c r="B2180" s="116">
        <v>1041</v>
      </c>
      <c r="C2180" s="116">
        <v>1035.0999999999999</v>
      </c>
      <c r="D2180" s="116">
        <v>1023.05</v>
      </c>
      <c r="E2180" s="116">
        <v>1032.5</v>
      </c>
      <c r="F2180" s="116">
        <v>1035.0999999999999</v>
      </c>
      <c r="G2180">
        <v>56144</v>
      </c>
      <c r="H2180" s="116"/>
      <c r="I2180" s="116"/>
      <c r="L2180" s="170">
        <v>45429</v>
      </c>
      <c r="M2180" s="116">
        <v>1035.1500000000001</v>
      </c>
      <c r="N2180" s="116">
        <v>1042</v>
      </c>
      <c r="O2180" s="116">
        <v>1023</v>
      </c>
      <c r="P2180" s="116">
        <v>1034</v>
      </c>
      <c r="Q2180" s="116">
        <v>1035.1500000000001</v>
      </c>
      <c r="R2180">
        <v>397731</v>
      </c>
    </row>
    <row r="2181" spans="1:18" x14ac:dyDescent="0.25">
      <c r="A2181" s="170">
        <v>45430</v>
      </c>
      <c r="B2181" s="116">
        <v>1070.95</v>
      </c>
      <c r="C2181" s="116">
        <v>1043.6500000000001</v>
      </c>
      <c r="D2181" s="116">
        <v>1035.1500000000001</v>
      </c>
      <c r="E2181" s="116">
        <v>1035.1500000000001</v>
      </c>
      <c r="F2181" s="116">
        <v>1043.6500000000001</v>
      </c>
      <c r="G2181">
        <v>4555</v>
      </c>
      <c r="H2181" s="116"/>
      <c r="I2181" s="116"/>
      <c r="L2181" s="170">
        <v>45430</v>
      </c>
      <c r="M2181" s="116">
        <v>1044.5999999999999</v>
      </c>
      <c r="N2181" s="116">
        <v>1047.25</v>
      </c>
      <c r="O2181" s="116">
        <v>1035.2</v>
      </c>
      <c r="P2181" s="116">
        <v>1036.95</v>
      </c>
      <c r="Q2181" s="116">
        <v>1044.5999999999999</v>
      </c>
      <c r="R2181">
        <v>89541</v>
      </c>
    </row>
    <row r="2182" spans="1:18" x14ac:dyDescent="0.25">
      <c r="A2182" s="170">
        <v>45433</v>
      </c>
      <c r="B2182" s="116">
        <v>1093.95</v>
      </c>
      <c r="C2182" s="116">
        <v>1061.25</v>
      </c>
      <c r="D2182" s="116">
        <v>1033.6500000000001</v>
      </c>
      <c r="E2182" s="116">
        <v>1043.6500000000001</v>
      </c>
      <c r="F2182" s="116">
        <v>1061.25</v>
      </c>
      <c r="G2182">
        <v>71368</v>
      </c>
      <c r="H2182" s="116"/>
      <c r="I2182" s="116"/>
      <c r="L2182" s="170">
        <v>45433</v>
      </c>
      <c r="M2182" s="116">
        <v>1061.4000000000001</v>
      </c>
      <c r="N2182" s="116">
        <v>1094.55</v>
      </c>
      <c r="O2182" s="116">
        <v>1033.3499999999999</v>
      </c>
      <c r="P2182" s="116">
        <v>1044.5999999999999</v>
      </c>
      <c r="Q2182" s="116">
        <v>1061.4000000000001</v>
      </c>
      <c r="R2182">
        <v>1634159</v>
      </c>
    </row>
    <row r="2183" spans="1:18" x14ac:dyDescent="0.25">
      <c r="A2183" s="170">
        <v>45434</v>
      </c>
      <c r="B2183" s="116">
        <v>1091</v>
      </c>
      <c r="C2183" s="116">
        <v>1086.55</v>
      </c>
      <c r="D2183" s="116">
        <v>1063</v>
      </c>
      <c r="E2183" s="116">
        <v>1072.2</v>
      </c>
      <c r="F2183" s="116">
        <v>1086.55</v>
      </c>
      <c r="G2183">
        <v>43670</v>
      </c>
      <c r="H2183" s="116"/>
      <c r="I2183" s="116"/>
      <c r="L2183" s="170">
        <v>45434</v>
      </c>
      <c r="M2183" s="116">
        <v>1086.95</v>
      </c>
      <c r="N2183" s="116">
        <v>1092</v>
      </c>
      <c r="O2183" s="116">
        <v>1062.55</v>
      </c>
      <c r="P2183" s="116">
        <v>1071</v>
      </c>
      <c r="Q2183" s="116">
        <v>1086.95</v>
      </c>
      <c r="R2183">
        <v>1274103</v>
      </c>
    </row>
    <row r="2184" spans="1:18" x14ac:dyDescent="0.25">
      <c r="A2184" s="170">
        <v>45435</v>
      </c>
      <c r="B2184" s="116">
        <v>1119.8</v>
      </c>
      <c r="C2184" s="116">
        <v>1099.25</v>
      </c>
      <c r="D2184" s="116">
        <v>1075.2</v>
      </c>
      <c r="E2184" s="116">
        <v>1089.45</v>
      </c>
      <c r="F2184" s="116">
        <v>1099.25</v>
      </c>
      <c r="G2184">
        <v>81317</v>
      </c>
      <c r="H2184" s="116"/>
      <c r="I2184" s="116"/>
      <c r="L2184" s="170">
        <v>45435</v>
      </c>
      <c r="M2184" s="116">
        <v>1099.5999999999999</v>
      </c>
      <c r="N2184" s="116">
        <v>1119</v>
      </c>
      <c r="O2184" s="116">
        <v>1075.0999999999999</v>
      </c>
      <c r="P2184" s="116">
        <v>1089.9000000000001</v>
      </c>
      <c r="Q2184" s="116">
        <v>1099.5999999999999</v>
      </c>
      <c r="R2184">
        <v>1891437</v>
      </c>
    </row>
    <row r="2185" spans="1:18" x14ac:dyDescent="0.25">
      <c r="A2185" s="170">
        <v>45436</v>
      </c>
      <c r="B2185" s="116">
        <v>1154.55</v>
      </c>
      <c r="C2185" s="116">
        <v>1105.9000000000001</v>
      </c>
      <c r="D2185" s="116">
        <v>1097.55</v>
      </c>
      <c r="E2185" s="116">
        <v>1112.8499999999999</v>
      </c>
      <c r="F2185" s="116">
        <v>1105.9000000000001</v>
      </c>
      <c r="G2185">
        <v>132563</v>
      </c>
      <c r="H2185" s="116"/>
      <c r="I2185" s="116"/>
      <c r="L2185" s="170">
        <v>45436</v>
      </c>
      <c r="M2185" s="116">
        <v>1106.7</v>
      </c>
      <c r="N2185" s="116">
        <v>1154.8</v>
      </c>
      <c r="O2185" s="116">
        <v>1097</v>
      </c>
      <c r="P2185" s="116">
        <v>1108.8499999999999</v>
      </c>
      <c r="Q2185" s="116">
        <v>1106.7</v>
      </c>
      <c r="R2185">
        <v>2558335</v>
      </c>
    </row>
    <row r="2186" spans="1:18" x14ac:dyDescent="0.25">
      <c r="A2186" s="170">
        <v>45439</v>
      </c>
      <c r="B2186" s="116">
        <v>1133.45</v>
      </c>
      <c r="C2186" s="116">
        <v>1104</v>
      </c>
      <c r="D2186" s="116">
        <v>1091</v>
      </c>
      <c r="E2186" s="116">
        <v>1133.45</v>
      </c>
      <c r="F2186" s="116">
        <v>1104</v>
      </c>
      <c r="G2186">
        <v>50875</v>
      </c>
      <c r="H2186" s="116"/>
      <c r="I2186" s="116"/>
      <c r="L2186" s="170">
        <v>45439</v>
      </c>
      <c r="M2186" s="116">
        <v>1104.3499999999999</v>
      </c>
      <c r="N2186" s="116">
        <v>1133.3</v>
      </c>
      <c r="O2186" s="116">
        <v>1090.0999999999999</v>
      </c>
      <c r="P2186" s="116">
        <v>1124.95</v>
      </c>
      <c r="Q2186" s="116">
        <v>1104.3499999999999</v>
      </c>
      <c r="R2186">
        <v>1909009</v>
      </c>
    </row>
    <row r="2187" spans="1:18" x14ac:dyDescent="0.25">
      <c r="A2187" s="170">
        <v>45440</v>
      </c>
      <c r="B2187" s="116">
        <v>1135</v>
      </c>
      <c r="C2187" s="116">
        <v>1088.75</v>
      </c>
      <c r="D2187" s="116">
        <v>1081.75</v>
      </c>
      <c r="E2187" s="116">
        <v>1125</v>
      </c>
      <c r="F2187" s="116">
        <v>1088.75</v>
      </c>
      <c r="G2187">
        <v>74342</v>
      </c>
      <c r="H2187" s="116"/>
      <c r="I2187" s="116"/>
      <c r="L2187" s="170">
        <v>45440</v>
      </c>
      <c r="M2187" s="116">
        <v>1088.0999999999999</v>
      </c>
      <c r="N2187" s="116">
        <v>1134</v>
      </c>
      <c r="O2187" s="116">
        <v>1081</v>
      </c>
      <c r="P2187" s="116">
        <v>1124</v>
      </c>
      <c r="Q2187" s="116">
        <v>1088.0999999999999</v>
      </c>
      <c r="R2187">
        <v>1209409</v>
      </c>
    </row>
    <row r="2188" spans="1:18" x14ac:dyDescent="0.25">
      <c r="A2188" s="170">
        <v>45441</v>
      </c>
      <c r="B2188" s="116">
        <v>1099.55</v>
      </c>
      <c r="C2188" s="116">
        <v>1085.8</v>
      </c>
      <c r="D2188" s="116">
        <v>1081.05</v>
      </c>
      <c r="E2188" s="116">
        <v>1081.05</v>
      </c>
      <c r="F2188" s="116">
        <v>1085.8</v>
      </c>
      <c r="G2188">
        <v>89624</v>
      </c>
      <c r="H2188" s="116"/>
      <c r="I2188" s="116"/>
      <c r="L2188" s="170">
        <v>45441</v>
      </c>
      <c r="M2188" s="116">
        <v>1085.7</v>
      </c>
      <c r="N2188" s="116">
        <v>1099.8499999999999</v>
      </c>
      <c r="O2188" s="116">
        <v>1081.9000000000001</v>
      </c>
      <c r="P2188" s="116">
        <v>1089</v>
      </c>
      <c r="Q2188" s="116">
        <v>1085.7</v>
      </c>
      <c r="R2188">
        <v>631494</v>
      </c>
    </row>
    <row r="2189" spans="1:18" x14ac:dyDescent="0.25">
      <c r="A2189" s="170">
        <v>45442</v>
      </c>
      <c r="B2189" s="116">
        <v>1105.8</v>
      </c>
      <c r="C2189" s="116">
        <v>1096.95</v>
      </c>
      <c r="D2189" s="116">
        <v>1081.75</v>
      </c>
      <c r="E2189" s="116">
        <v>1086</v>
      </c>
      <c r="F2189" s="116">
        <v>1096.95</v>
      </c>
      <c r="G2189">
        <v>128396</v>
      </c>
      <c r="H2189" s="116"/>
      <c r="I2189" s="116"/>
      <c r="L2189" s="170">
        <v>45442</v>
      </c>
      <c r="M2189" s="116">
        <v>1099.55</v>
      </c>
      <c r="N2189" s="116">
        <v>1107.1500000000001</v>
      </c>
      <c r="O2189" s="116">
        <v>1081.2</v>
      </c>
      <c r="P2189" s="116">
        <v>1085.8499999999999</v>
      </c>
      <c r="Q2189" s="116">
        <v>1099.55</v>
      </c>
      <c r="R2189">
        <v>4029650</v>
      </c>
    </row>
    <row r="2190" spans="1:18" x14ac:dyDescent="0.25">
      <c r="A2190" s="170">
        <v>45443</v>
      </c>
      <c r="B2190" s="116">
        <v>1150.8</v>
      </c>
      <c r="C2190" s="116">
        <v>1122.8</v>
      </c>
      <c r="D2190" s="116">
        <v>1103.0999999999999</v>
      </c>
      <c r="E2190" s="116">
        <v>1109.45</v>
      </c>
      <c r="F2190" s="116">
        <v>1122.8</v>
      </c>
      <c r="G2190">
        <v>180892</v>
      </c>
      <c r="H2190" s="116"/>
      <c r="I2190" s="116"/>
      <c r="L2190" s="170">
        <v>45443</v>
      </c>
      <c r="M2190" s="116">
        <v>1122.8</v>
      </c>
      <c r="N2190" s="116">
        <v>1150.0999999999999</v>
      </c>
      <c r="O2190" s="116">
        <v>1101.45</v>
      </c>
      <c r="P2190" s="116">
        <v>1106.9000000000001</v>
      </c>
      <c r="Q2190" s="116">
        <v>1122.8</v>
      </c>
      <c r="R2190">
        <v>9141631</v>
      </c>
    </row>
    <row r="2191" spans="1:18" x14ac:dyDescent="0.25">
      <c r="A2191" s="170">
        <v>45446</v>
      </c>
      <c r="B2191" s="116">
        <v>1249</v>
      </c>
      <c r="C2191" s="116">
        <v>1222.05</v>
      </c>
      <c r="D2191" s="116">
        <v>1183.4000000000001</v>
      </c>
      <c r="E2191" s="116">
        <v>1228.0999999999999</v>
      </c>
      <c r="F2191" s="116">
        <v>1222.05</v>
      </c>
      <c r="G2191">
        <v>933801</v>
      </c>
      <c r="H2191" s="116"/>
      <c r="I2191" s="116"/>
      <c r="L2191" s="170">
        <v>45446</v>
      </c>
      <c r="M2191" s="116">
        <v>1221.95</v>
      </c>
      <c r="N2191" s="116">
        <v>1249.4000000000001</v>
      </c>
      <c r="O2191" s="116">
        <v>1185.05</v>
      </c>
      <c r="P2191" s="116">
        <v>1249</v>
      </c>
      <c r="Q2191" s="116">
        <v>1221.95</v>
      </c>
      <c r="R2191">
        <v>9453459</v>
      </c>
    </row>
    <row r="2192" spans="1:18" x14ac:dyDescent="0.25">
      <c r="A2192" s="170">
        <v>45447</v>
      </c>
      <c r="B2192" s="116">
        <v>1219</v>
      </c>
      <c r="C2192" s="116">
        <v>977.65</v>
      </c>
      <c r="D2192" s="116">
        <v>977.65</v>
      </c>
      <c r="E2192" s="116">
        <v>1202.5</v>
      </c>
      <c r="F2192" s="116">
        <v>977.65</v>
      </c>
      <c r="G2192">
        <v>1573076</v>
      </c>
      <c r="H2192" s="116"/>
      <c r="I2192" s="116"/>
      <c r="L2192" s="170">
        <v>45447</v>
      </c>
      <c r="M2192" s="116">
        <v>977.6</v>
      </c>
      <c r="N2192" s="116">
        <v>1219.75</v>
      </c>
      <c r="O2192" s="116">
        <v>977.6</v>
      </c>
      <c r="P2192" s="116">
        <v>1219.75</v>
      </c>
      <c r="Q2192" s="116">
        <v>977.6</v>
      </c>
      <c r="R2192">
        <v>8110623</v>
      </c>
    </row>
    <row r="2193" spans="1:18" x14ac:dyDescent="0.25">
      <c r="A2193" s="170">
        <v>45448</v>
      </c>
      <c r="B2193" s="116">
        <v>1014.5</v>
      </c>
      <c r="C2193" s="116">
        <v>952.4</v>
      </c>
      <c r="D2193" s="116">
        <v>832.2</v>
      </c>
      <c r="E2193" s="116">
        <v>998</v>
      </c>
      <c r="F2193" s="116">
        <v>952.4</v>
      </c>
      <c r="G2193">
        <v>1143085</v>
      </c>
      <c r="H2193" s="116"/>
      <c r="I2193" s="116"/>
      <c r="L2193" s="170">
        <v>45448</v>
      </c>
      <c r="M2193" s="116">
        <v>951.7</v>
      </c>
      <c r="N2193" s="116">
        <v>1017.85</v>
      </c>
      <c r="O2193" s="116">
        <v>831.5</v>
      </c>
      <c r="P2193" s="116">
        <v>997</v>
      </c>
      <c r="Q2193" s="116">
        <v>951.7</v>
      </c>
      <c r="R2193">
        <v>13983391</v>
      </c>
    </row>
    <row r="2194" spans="1:18" x14ac:dyDescent="0.25">
      <c r="A2194" s="170">
        <v>45449</v>
      </c>
      <c r="B2194" s="116">
        <v>1019</v>
      </c>
      <c r="C2194" s="116">
        <v>1001</v>
      </c>
      <c r="D2194" s="116">
        <v>983.1</v>
      </c>
      <c r="E2194" s="116">
        <v>995.35</v>
      </c>
      <c r="F2194" s="116">
        <v>1001</v>
      </c>
      <c r="G2194">
        <v>489722</v>
      </c>
      <c r="H2194" s="116"/>
      <c r="I2194" s="116"/>
      <c r="L2194" s="170">
        <v>45449</v>
      </c>
      <c r="M2194" s="116">
        <v>1001.05</v>
      </c>
      <c r="N2194" s="116">
        <v>1020</v>
      </c>
      <c r="O2194" s="116">
        <v>983.4</v>
      </c>
      <c r="P2194" s="116">
        <v>995</v>
      </c>
      <c r="Q2194" s="116">
        <v>1001.05</v>
      </c>
      <c r="R2194">
        <v>8559362</v>
      </c>
    </row>
    <row r="2195" spans="1:18" x14ac:dyDescent="0.25">
      <c r="A2195" s="170">
        <v>45450</v>
      </c>
      <c r="B2195" s="116">
        <v>1045</v>
      </c>
      <c r="C2195" s="116">
        <v>1021.15</v>
      </c>
      <c r="D2195" s="116">
        <v>988</v>
      </c>
      <c r="E2195" s="116">
        <v>1004.9</v>
      </c>
      <c r="F2195" s="116">
        <v>1021.15</v>
      </c>
      <c r="G2195">
        <v>108740</v>
      </c>
      <c r="H2195" s="116"/>
      <c r="I2195" s="116"/>
      <c r="L2195" s="170">
        <v>45450</v>
      </c>
      <c r="M2195" s="116">
        <v>1020.05</v>
      </c>
      <c r="N2195" s="116">
        <v>1045</v>
      </c>
      <c r="O2195" s="116">
        <v>987</v>
      </c>
      <c r="P2195" s="116">
        <v>1001</v>
      </c>
      <c r="Q2195" s="116">
        <v>1020.05</v>
      </c>
      <c r="R2195">
        <v>6459015</v>
      </c>
    </row>
    <row r="2196" spans="1:18" x14ac:dyDescent="0.25">
      <c r="A2196" s="170">
        <v>45453</v>
      </c>
      <c r="B2196" s="116">
        <v>1074.3499999999999</v>
      </c>
      <c r="C2196" s="116">
        <v>1025.8499999999999</v>
      </c>
      <c r="D2196" s="116">
        <v>1020</v>
      </c>
      <c r="E2196" s="116">
        <v>1050.05</v>
      </c>
      <c r="F2196" s="116">
        <v>1025.8499999999999</v>
      </c>
      <c r="G2196">
        <v>297863</v>
      </c>
      <c r="H2196" s="116"/>
      <c r="I2196" s="116"/>
      <c r="L2196" s="170">
        <v>45453</v>
      </c>
      <c r="M2196" s="116">
        <v>1026.8</v>
      </c>
      <c r="N2196" s="116">
        <v>1074</v>
      </c>
      <c r="O2196" s="116">
        <v>1020</v>
      </c>
      <c r="P2196" s="116">
        <v>1054.9000000000001</v>
      </c>
      <c r="Q2196" s="116">
        <v>1026.8</v>
      </c>
      <c r="R2196">
        <v>1854218</v>
      </c>
    </row>
    <row r="2197" spans="1:18" x14ac:dyDescent="0.25">
      <c r="A2197" s="170">
        <v>45454</v>
      </c>
      <c r="B2197" s="116">
        <v>1034.55</v>
      </c>
      <c r="C2197" s="116">
        <v>1017.7</v>
      </c>
      <c r="D2197" s="116">
        <v>1015.1</v>
      </c>
      <c r="E2197" s="116">
        <v>1034.55</v>
      </c>
      <c r="F2197" s="116">
        <v>1017.7</v>
      </c>
      <c r="G2197">
        <v>51993</v>
      </c>
      <c r="H2197" s="116"/>
      <c r="I2197" s="116"/>
      <c r="L2197" s="170">
        <v>45454</v>
      </c>
      <c r="M2197" s="116">
        <v>1017.85</v>
      </c>
      <c r="N2197" s="116">
        <v>1032</v>
      </c>
      <c r="O2197" s="116">
        <v>1015</v>
      </c>
      <c r="P2197" s="116">
        <v>1030.5</v>
      </c>
      <c r="Q2197" s="116">
        <v>1017.85</v>
      </c>
      <c r="R2197">
        <v>1113225</v>
      </c>
    </row>
    <row r="2198" spans="1:18" x14ac:dyDescent="0.25">
      <c r="A2198" s="170">
        <v>45455</v>
      </c>
      <c r="B2198" s="116">
        <v>1028.7</v>
      </c>
      <c r="C2198" s="116">
        <v>1020.75</v>
      </c>
      <c r="D2198" s="116">
        <v>1016.45</v>
      </c>
      <c r="E2198" s="116">
        <v>1021</v>
      </c>
      <c r="F2198" s="116">
        <v>1020.75</v>
      </c>
      <c r="G2198">
        <v>34290</v>
      </c>
      <c r="H2198" s="116"/>
      <c r="I2198" s="116"/>
      <c r="L2198" s="170">
        <v>45455</v>
      </c>
      <c r="M2198" s="116">
        <v>1020.5</v>
      </c>
      <c r="N2198" s="116">
        <v>1028.95</v>
      </c>
      <c r="O2198" s="116">
        <v>1015.05</v>
      </c>
      <c r="P2198" s="116">
        <v>1019.95</v>
      </c>
      <c r="Q2198" s="116">
        <v>1020.5</v>
      </c>
      <c r="R2198">
        <v>715392</v>
      </c>
    </row>
    <row r="2199" spans="1:18" x14ac:dyDescent="0.25">
      <c r="A2199" s="170">
        <v>45456</v>
      </c>
      <c r="B2199" s="116">
        <v>1031.3499999999999</v>
      </c>
      <c r="C2199" s="116">
        <v>1017.9</v>
      </c>
      <c r="D2199" s="116">
        <v>1014.1</v>
      </c>
      <c r="E2199" s="116">
        <v>1021.6</v>
      </c>
      <c r="F2199" s="116">
        <v>1017.9</v>
      </c>
      <c r="G2199">
        <v>143906</v>
      </c>
      <c r="H2199" s="116"/>
      <c r="I2199" s="116"/>
      <c r="L2199" s="170">
        <v>45456</v>
      </c>
      <c r="M2199" s="116">
        <v>1017.65</v>
      </c>
      <c r="N2199" s="116">
        <v>1031.8</v>
      </c>
      <c r="O2199" s="116">
        <v>1014.05</v>
      </c>
      <c r="P2199" s="116">
        <v>1027</v>
      </c>
      <c r="Q2199" s="116">
        <v>1017.65</v>
      </c>
      <c r="R2199">
        <v>611962</v>
      </c>
    </row>
    <row r="2200" spans="1:18" x14ac:dyDescent="0.25">
      <c r="A2200" s="170">
        <v>45457</v>
      </c>
      <c r="B2200" s="116">
        <v>1038</v>
      </c>
      <c r="C2200" s="116">
        <v>1019.05</v>
      </c>
      <c r="D2200" s="116">
        <v>1015.55</v>
      </c>
      <c r="E2200" s="116">
        <v>1019.2</v>
      </c>
      <c r="F2200" s="116">
        <v>1019.05</v>
      </c>
      <c r="G2200">
        <v>163376</v>
      </c>
      <c r="H2200" s="116"/>
      <c r="I2200" s="116"/>
      <c r="L2200" s="170">
        <v>45457</v>
      </c>
      <c r="M2200" s="116">
        <v>1019.8</v>
      </c>
      <c r="N2200" s="116">
        <v>1038.7</v>
      </c>
      <c r="O2200" s="116">
        <v>1015.5</v>
      </c>
      <c r="P2200" s="116">
        <v>1024.95</v>
      </c>
      <c r="Q2200" s="116">
        <v>1019.8</v>
      </c>
      <c r="R2200">
        <v>702499</v>
      </c>
    </row>
    <row r="2201" spans="1:18" x14ac:dyDescent="0.25">
      <c r="A2201" s="170">
        <v>45461</v>
      </c>
      <c r="B2201" s="116">
        <v>1034</v>
      </c>
      <c r="C2201" s="116">
        <v>1025.6500000000001</v>
      </c>
      <c r="D2201" s="116">
        <v>1019.05</v>
      </c>
      <c r="E2201" s="116">
        <v>1019.05</v>
      </c>
      <c r="F2201" s="116">
        <v>1025.6500000000001</v>
      </c>
      <c r="G2201">
        <v>44448</v>
      </c>
      <c r="H2201" s="116"/>
      <c r="I2201" s="116"/>
      <c r="L2201" s="170">
        <v>45461</v>
      </c>
      <c r="M2201" s="116">
        <v>1026.55</v>
      </c>
      <c r="N2201" s="116">
        <v>1034.7</v>
      </c>
      <c r="O2201" s="116">
        <v>1023</v>
      </c>
      <c r="P2201" s="116">
        <v>1025.6500000000001</v>
      </c>
      <c r="Q2201" s="116">
        <v>1026.55</v>
      </c>
      <c r="R2201">
        <v>893353</v>
      </c>
    </row>
    <row r="2202" spans="1:18" x14ac:dyDescent="0.25">
      <c r="A2202" s="170">
        <v>45462</v>
      </c>
      <c r="B2202" s="116">
        <v>1031.55</v>
      </c>
      <c r="C2202" s="116">
        <v>1007.05</v>
      </c>
      <c r="D2202" s="116">
        <v>1002</v>
      </c>
      <c r="E2202" s="116">
        <v>1028.95</v>
      </c>
      <c r="F2202" s="116">
        <v>1007.05</v>
      </c>
      <c r="G2202">
        <v>54714</v>
      </c>
      <c r="H2202" s="116"/>
      <c r="I2202" s="116"/>
      <c r="L2202" s="170">
        <v>45462</v>
      </c>
      <c r="M2202" s="116">
        <v>1007.75</v>
      </c>
      <c r="N2202" s="116">
        <v>1031.7</v>
      </c>
      <c r="O2202" s="116">
        <v>1001.05</v>
      </c>
      <c r="P2202" s="116">
        <v>1030</v>
      </c>
      <c r="Q2202" s="116">
        <v>1007.75</v>
      </c>
      <c r="R2202">
        <v>1074316</v>
      </c>
    </row>
    <row r="2203" spans="1:18" x14ac:dyDescent="0.25">
      <c r="A2203" s="170">
        <v>45463</v>
      </c>
      <c r="B2203" s="116">
        <v>1030.5999999999999</v>
      </c>
      <c r="C2203" s="116">
        <v>1016.8</v>
      </c>
      <c r="D2203" s="116">
        <v>1006</v>
      </c>
      <c r="E2203" s="116">
        <v>1017.2</v>
      </c>
      <c r="F2203" s="116">
        <v>1016.8</v>
      </c>
      <c r="G2203">
        <v>46867</v>
      </c>
      <c r="H2203" s="116"/>
      <c r="I2203" s="116"/>
      <c r="L2203" s="170">
        <v>45463</v>
      </c>
      <c r="M2203" s="116">
        <v>1016.5</v>
      </c>
      <c r="N2203" s="116">
        <v>1031</v>
      </c>
      <c r="O2203" s="116">
        <v>1006.5</v>
      </c>
      <c r="P2203" s="116">
        <v>1012.8</v>
      </c>
      <c r="Q2203" s="116">
        <v>1016.5</v>
      </c>
      <c r="R2203">
        <v>792202</v>
      </c>
    </row>
    <row r="2204" spans="1:18" x14ac:dyDescent="0.25">
      <c r="A2204" s="170">
        <v>45464</v>
      </c>
      <c r="B2204" s="116">
        <v>1022</v>
      </c>
      <c r="C2204" s="116">
        <v>1008.55</v>
      </c>
      <c r="D2204" s="116">
        <v>1002.35</v>
      </c>
      <c r="E2204" s="116">
        <v>1016.8</v>
      </c>
      <c r="F2204" s="116">
        <v>1008.55</v>
      </c>
      <c r="G2204">
        <v>105889</v>
      </c>
      <c r="H2204" s="116"/>
      <c r="I2204" s="116"/>
      <c r="L2204" s="170">
        <v>45464</v>
      </c>
      <c r="M2204" s="116">
        <v>1010.55</v>
      </c>
      <c r="N2204" s="116">
        <v>1023</v>
      </c>
      <c r="O2204" s="116">
        <v>1002</v>
      </c>
      <c r="P2204" s="116">
        <v>1016</v>
      </c>
      <c r="Q2204" s="116">
        <v>1010.55</v>
      </c>
      <c r="R2204">
        <v>722608</v>
      </c>
    </row>
    <row r="2205" spans="1:18" x14ac:dyDescent="0.25">
      <c r="A2205" s="170">
        <v>45467</v>
      </c>
      <c r="B2205" s="116">
        <v>1027.25</v>
      </c>
      <c r="C2205" s="116">
        <v>1016.8</v>
      </c>
      <c r="D2205" s="116">
        <v>999.25</v>
      </c>
      <c r="E2205" s="116">
        <v>1009.5</v>
      </c>
      <c r="F2205" s="116">
        <v>1016.8</v>
      </c>
      <c r="G2205">
        <v>38634</v>
      </c>
      <c r="H2205" s="116"/>
      <c r="I2205" s="116"/>
      <c r="L2205" s="170">
        <v>45467</v>
      </c>
      <c r="M2205" s="116">
        <v>1017.25</v>
      </c>
      <c r="N2205" s="116">
        <v>1027.8499999999999</v>
      </c>
      <c r="O2205" s="116">
        <v>1000</v>
      </c>
      <c r="P2205" s="116">
        <v>1005</v>
      </c>
      <c r="Q2205" s="116">
        <v>1017.25</v>
      </c>
      <c r="R2205">
        <v>687135</v>
      </c>
    </row>
    <row r="2206" spans="1:18" x14ac:dyDescent="0.25">
      <c r="A2206" s="170">
        <v>45468</v>
      </c>
      <c r="B2206" s="116">
        <v>1028.75</v>
      </c>
      <c r="C2206" s="116">
        <v>1013.45</v>
      </c>
      <c r="D2206" s="116">
        <v>1011</v>
      </c>
      <c r="E2206" s="116">
        <v>1016.15</v>
      </c>
      <c r="F2206" s="116">
        <v>1013.45</v>
      </c>
      <c r="G2206">
        <v>28402</v>
      </c>
      <c r="H2206" s="116"/>
      <c r="I2206" s="116"/>
      <c r="L2206" s="170">
        <v>45468</v>
      </c>
      <c r="M2206" s="116">
        <v>1014.2</v>
      </c>
      <c r="N2206" s="116">
        <v>1029.25</v>
      </c>
      <c r="O2206" s="116">
        <v>1011.15</v>
      </c>
      <c r="P2206" s="116">
        <v>1017.25</v>
      </c>
      <c r="Q2206" s="116">
        <v>1014.2</v>
      </c>
      <c r="R2206">
        <v>2571533</v>
      </c>
    </row>
    <row r="2207" spans="1:18" x14ac:dyDescent="0.25">
      <c r="A2207" s="170">
        <v>45469</v>
      </c>
      <c r="B2207" s="116">
        <v>1023</v>
      </c>
      <c r="C2207" s="116">
        <v>1003.5</v>
      </c>
      <c r="D2207" s="116">
        <v>999</v>
      </c>
      <c r="E2207" s="116">
        <v>1011.15</v>
      </c>
      <c r="F2207" s="116">
        <v>1003.5</v>
      </c>
      <c r="G2207">
        <v>34448</v>
      </c>
      <c r="H2207" s="116"/>
      <c r="I2207" s="116"/>
      <c r="L2207" s="170">
        <v>45469</v>
      </c>
      <c r="M2207" s="116">
        <v>1005.1</v>
      </c>
      <c r="N2207" s="116">
        <v>1023</v>
      </c>
      <c r="O2207" s="116">
        <v>996.75</v>
      </c>
      <c r="P2207" s="116">
        <v>1012.95</v>
      </c>
      <c r="Q2207" s="116">
        <v>1005.1</v>
      </c>
      <c r="R2207">
        <v>3480521</v>
      </c>
    </row>
    <row r="2208" spans="1:18" x14ac:dyDescent="0.25">
      <c r="A2208" s="170">
        <v>45470</v>
      </c>
      <c r="B2208" s="116">
        <v>1017.6</v>
      </c>
      <c r="C2208" s="116">
        <v>1012.05</v>
      </c>
      <c r="D2208" s="116">
        <v>1005.95</v>
      </c>
      <c r="E2208" s="116">
        <v>1010</v>
      </c>
      <c r="F2208" s="116">
        <v>1012.05</v>
      </c>
      <c r="G2208">
        <v>19704</v>
      </c>
      <c r="H2208" s="116"/>
      <c r="I2208" s="116"/>
      <c r="L2208" s="170">
        <v>45470</v>
      </c>
      <c r="M2208" s="116">
        <v>1012.2</v>
      </c>
      <c r="N2208" s="116">
        <v>1018</v>
      </c>
      <c r="O2208" s="116">
        <v>1005.4</v>
      </c>
      <c r="P2208" s="116">
        <v>1010</v>
      </c>
      <c r="Q2208" s="116">
        <v>1012.2</v>
      </c>
      <c r="R2208">
        <v>3777139</v>
      </c>
    </row>
    <row r="2209" spans="1:18" x14ac:dyDescent="0.25">
      <c r="A2209" s="170">
        <v>45471</v>
      </c>
      <c r="B2209" s="116">
        <v>1018.4</v>
      </c>
      <c r="C2209" s="116">
        <v>997.95</v>
      </c>
      <c r="D2209" s="116">
        <v>992.05</v>
      </c>
      <c r="E2209" s="116">
        <v>1013.65</v>
      </c>
      <c r="F2209" s="116">
        <v>997.95</v>
      </c>
      <c r="G2209">
        <v>30627</v>
      </c>
      <c r="H2209" s="116"/>
      <c r="I2209" s="116"/>
      <c r="L2209" s="170">
        <v>45471</v>
      </c>
      <c r="M2209" s="116">
        <v>997.35</v>
      </c>
      <c r="N2209" s="116">
        <v>1017.5</v>
      </c>
      <c r="O2209" s="116">
        <v>990</v>
      </c>
      <c r="P2209" s="116">
        <v>1016.95</v>
      </c>
      <c r="Q2209" s="116">
        <v>997.35</v>
      </c>
      <c r="R2209">
        <v>795167</v>
      </c>
    </row>
    <row r="2210" spans="1:18" x14ac:dyDescent="0.25">
      <c r="A2210" s="170">
        <v>45474</v>
      </c>
      <c r="B2210" s="116">
        <v>1007</v>
      </c>
      <c r="C2210" s="116">
        <v>999.5</v>
      </c>
      <c r="D2210" s="116">
        <v>995.9</v>
      </c>
      <c r="E2210" s="116">
        <v>1001.3</v>
      </c>
      <c r="F2210" s="116">
        <v>999.5</v>
      </c>
      <c r="G2210">
        <v>97429</v>
      </c>
      <c r="H2210" s="116"/>
      <c r="I2210" s="116"/>
      <c r="L2210" s="170">
        <v>45474</v>
      </c>
      <c r="M2210" s="116">
        <v>999.2</v>
      </c>
      <c r="N2210" s="116">
        <v>1007.85</v>
      </c>
      <c r="O2210" s="116">
        <v>996.05</v>
      </c>
      <c r="P2210" s="116">
        <v>1003.65</v>
      </c>
      <c r="Q2210" s="116">
        <v>999.2</v>
      </c>
      <c r="R2210">
        <v>472079</v>
      </c>
    </row>
    <row r="2211" spans="1:18" x14ac:dyDescent="0.25">
      <c r="A2211" s="170">
        <v>45475</v>
      </c>
      <c r="B2211" s="116">
        <v>1062</v>
      </c>
      <c r="C2211" s="116">
        <v>1023.8</v>
      </c>
      <c r="D2211" s="116">
        <v>1000.75</v>
      </c>
      <c r="E2211" s="116">
        <v>1000.75</v>
      </c>
      <c r="F2211" s="116">
        <v>1023.8</v>
      </c>
      <c r="G2211">
        <v>352253</v>
      </c>
      <c r="H2211" s="116"/>
      <c r="I2211" s="116"/>
      <c r="L2211" s="170">
        <v>45475</v>
      </c>
      <c r="M2211" s="116">
        <v>1024.75</v>
      </c>
      <c r="N2211" s="116">
        <v>1063.3499999999999</v>
      </c>
      <c r="O2211" s="116">
        <v>1000.4</v>
      </c>
      <c r="P2211" s="116">
        <v>1005</v>
      </c>
      <c r="Q2211" s="116">
        <v>1024.75</v>
      </c>
      <c r="R2211">
        <v>2738036</v>
      </c>
    </row>
    <row r="2212" spans="1:18" x14ac:dyDescent="0.25">
      <c r="A2212" s="170">
        <v>45476</v>
      </c>
      <c r="B2212" s="116">
        <v>1040.6500000000001</v>
      </c>
      <c r="C2212" s="116">
        <v>1035.0999999999999</v>
      </c>
      <c r="D2212" s="116">
        <v>1020.2</v>
      </c>
      <c r="E2212" s="116">
        <v>1039.3499999999999</v>
      </c>
      <c r="F2212" s="116">
        <v>1035.0999999999999</v>
      </c>
      <c r="G2212">
        <v>35144</v>
      </c>
      <c r="H2212" s="116"/>
      <c r="I2212" s="116"/>
      <c r="L2212" s="170">
        <v>45476</v>
      </c>
      <c r="M2212" s="116">
        <v>1035.2</v>
      </c>
      <c r="N2212" s="116">
        <v>1040</v>
      </c>
      <c r="O2212" s="116">
        <v>1020</v>
      </c>
      <c r="P2212" s="116">
        <v>1034.95</v>
      </c>
      <c r="Q2212" s="116">
        <v>1035.2</v>
      </c>
      <c r="R2212">
        <v>970351</v>
      </c>
    </row>
    <row r="2213" spans="1:18" x14ac:dyDescent="0.25">
      <c r="A2213" s="170">
        <v>45477</v>
      </c>
      <c r="B2213" s="116">
        <v>1047.5</v>
      </c>
      <c r="C2213" s="116">
        <v>1024.8</v>
      </c>
      <c r="D2213" s="116">
        <v>1021</v>
      </c>
      <c r="E2213" s="116">
        <v>1035.2</v>
      </c>
      <c r="F2213" s="116">
        <v>1024.8</v>
      </c>
      <c r="G2213">
        <v>41732</v>
      </c>
      <c r="H2213" s="116"/>
      <c r="I2213" s="116"/>
      <c r="L2213" s="170">
        <v>45477</v>
      </c>
      <c r="M2213" s="116">
        <v>1025.8499999999999</v>
      </c>
      <c r="N2213" s="116">
        <v>1047.95</v>
      </c>
      <c r="O2213" s="116">
        <v>1020.1</v>
      </c>
      <c r="P2213" s="116">
        <v>1036</v>
      </c>
      <c r="Q2213" s="116">
        <v>1025.8499999999999</v>
      </c>
      <c r="R2213">
        <v>825442</v>
      </c>
    </row>
    <row r="2214" spans="1:18" x14ac:dyDescent="0.25">
      <c r="A2214" s="170">
        <v>45478</v>
      </c>
      <c r="B2214" s="116">
        <v>1025.2</v>
      </c>
      <c r="C2214" s="116">
        <v>1013.4</v>
      </c>
      <c r="D2214" s="116">
        <v>1010.2</v>
      </c>
      <c r="E2214" s="116">
        <v>1025</v>
      </c>
      <c r="F2214" s="116">
        <v>1013.4</v>
      </c>
      <c r="G2214">
        <v>33179</v>
      </c>
      <c r="H2214" s="116"/>
      <c r="I2214" s="116"/>
      <c r="L2214" s="170">
        <v>45478</v>
      </c>
      <c r="M2214" s="116">
        <v>1012.65</v>
      </c>
      <c r="N2214" s="116">
        <v>1025.8</v>
      </c>
      <c r="O2214" s="116">
        <v>1010</v>
      </c>
      <c r="P2214" s="116">
        <v>1025.8</v>
      </c>
      <c r="Q2214" s="116">
        <v>1012.65</v>
      </c>
      <c r="R2214">
        <v>659996</v>
      </c>
    </row>
    <row r="2215" spans="1:18" x14ac:dyDescent="0.25">
      <c r="A2215" s="170">
        <v>45481</v>
      </c>
      <c r="B2215" s="116">
        <v>1018.75</v>
      </c>
      <c r="C2215" s="116">
        <v>999.55</v>
      </c>
      <c r="D2215" s="116">
        <v>994.55</v>
      </c>
      <c r="E2215" s="116">
        <v>1007.2</v>
      </c>
      <c r="F2215" s="116">
        <v>999.55</v>
      </c>
      <c r="G2215">
        <v>140310</v>
      </c>
      <c r="H2215" s="116"/>
      <c r="I2215" s="116"/>
      <c r="L2215" s="170">
        <v>45481</v>
      </c>
      <c r="M2215" s="116">
        <v>998.4</v>
      </c>
      <c r="N2215" s="116">
        <v>1019.95</v>
      </c>
      <c r="O2215" s="116">
        <v>994.7</v>
      </c>
      <c r="P2215" s="116">
        <v>1010</v>
      </c>
      <c r="Q2215" s="116">
        <v>998.4</v>
      </c>
      <c r="R2215">
        <v>757659</v>
      </c>
    </row>
    <row r="2216" spans="1:18" x14ac:dyDescent="0.25">
      <c r="A2216" s="170">
        <v>45482</v>
      </c>
      <c r="B2216" s="116">
        <v>1033</v>
      </c>
      <c r="C2216" s="116">
        <v>1003.75</v>
      </c>
      <c r="D2216" s="116">
        <v>1001</v>
      </c>
      <c r="E2216" s="116">
        <v>1005</v>
      </c>
      <c r="F2216" s="116">
        <v>1003.75</v>
      </c>
      <c r="G2216">
        <v>114740</v>
      </c>
      <c r="H2216" s="116"/>
      <c r="I2216" s="116"/>
      <c r="L2216" s="170">
        <v>45482</v>
      </c>
      <c r="M2216" s="116">
        <v>1003.45</v>
      </c>
      <c r="N2216" s="116">
        <v>1033.2</v>
      </c>
      <c r="O2216" s="116">
        <v>1000</v>
      </c>
      <c r="P2216" s="116">
        <v>1005.75</v>
      </c>
      <c r="Q2216" s="116">
        <v>1003.45</v>
      </c>
      <c r="R2216">
        <v>901166</v>
      </c>
    </row>
    <row r="2217" spans="1:18" x14ac:dyDescent="0.25">
      <c r="A2217" s="170">
        <v>45483</v>
      </c>
      <c r="B2217" s="116">
        <v>1014</v>
      </c>
      <c r="C2217" s="116">
        <v>1003.85</v>
      </c>
      <c r="D2217" s="116">
        <v>985.5</v>
      </c>
      <c r="E2217" s="116">
        <v>1003.7</v>
      </c>
      <c r="F2217" s="116">
        <v>1003.85</v>
      </c>
      <c r="G2217">
        <v>101521</v>
      </c>
      <c r="H2217" s="116"/>
      <c r="I2217" s="116"/>
      <c r="L2217" s="170">
        <v>45483</v>
      </c>
      <c r="M2217" s="116">
        <v>1003.25</v>
      </c>
      <c r="N2217" s="116">
        <v>1013.95</v>
      </c>
      <c r="O2217" s="116">
        <v>985.4</v>
      </c>
      <c r="P2217" s="116">
        <v>1004.75</v>
      </c>
      <c r="Q2217" s="116">
        <v>1003.25</v>
      </c>
      <c r="R2217">
        <v>640805</v>
      </c>
    </row>
    <row r="2218" spans="1:18" x14ac:dyDescent="0.25">
      <c r="A2218" s="170">
        <v>45484</v>
      </c>
      <c r="B2218" s="116">
        <v>1011</v>
      </c>
      <c r="C2218" s="116">
        <v>1000.85</v>
      </c>
      <c r="D2218" s="116">
        <v>998.3</v>
      </c>
      <c r="E2218" s="116">
        <v>1003</v>
      </c>
      <c r="F2218" s="116">
        <v>1000.85</v>
      </c>
      <c r="G2218">
        <v>118218</v>
      </c>
      <c r="H2218" s="116"/>
      <c r="I2218" s="116"/>
      <c r="L2218" s="170">
        <v>45484</v>
      </c>
      <c r="M2218" s="116">
        <v>1001.2</v>
      </c>
      <c r="N2218" s="116">
        <v>1010.9</v>
      </c>
      <c r="O2218" s="116">
        <v>998.5</v>
      </c>
      <c r="P2218" s="116">
        <v>1002.9</v>
      </c>
      <c r="Q2218" s="116">
        <v>1001.2</v>
      </c>
      <c r="R2218">
        <v>381605</v>
      </c>
    </row>
    <row r="2219" spans="1:18" x14ac:dyDescent="0.25">
      <c r="A2219" s="170">
        <v>45485</v>
      </c>
      <c r="B2219" s="116">
        <v>1010.6</v>
      </c>
      <c r="C2219" s="116">
        <v>1005.2</v>
      </c>
      <c r="D2219" s="116">
        <v>1000.55</v>
      </c>
      <c r="E2219" s="116">
        <v>1001.95</v>
      </c>
      <c r="F2219" s="116">
        <v>1005.2</v>
      </c>
      <c r="G2219">
        <v>21824</v>
      </c>
      <c r="H2219" s="116"/>
      <c r="I2219" s="116"/>
      <c r="L2219" s="170">
        <v>45485</v>
      </c>
      <c r="M2219" s="116">
        <v>1004.8</v>
      </c>
      <c r="N2219" s="116">
        <v>1010.6</v>
      </c>
      <c r="O2219" s="116">
        <v>1000</v>
      </c>
      <c r="P2219" s="116">
        <v>1005</v>
      </c>
      <c r="Q2219" s="116">
        <v>1004.8</v>
      </c>
      <c r="R2219">
        <v>478408</v>
      </c>
    </row>
    <row r="2220" spans="1:18" x14ac:dyDescent="0.25">
      <c r="A2220" s="170">
        <v>45488</v>
      </c>
      <c r="B2220" s="116">
        <v>1024.7</v>
      </c>
      <c r="C2220" s="116">
        <v>1013.7</v>
      </c>
      <c r="D2220" s="116">
        <v>998.45</v>
      </c>
      <c r="E2220" s="116">
        <v>1004.05</v>
      </c>
      <c r="F2220" s="116">
        <v>1013.7</v>
      </c>
      <c r="G2220">
        <v>174777</v>
      </c>
      <c r="H2220" s="116"/>
      <c r="I2220" s="116"/>
      <c r="L2220" s="170">
        <v>45488</v>
      </c>
      <c r="M2220" s="116">
        <v>1013.3</v>
      </c>
      <c r="N2220" s="116">
        <v>1025.1500000000001</v>
      </c>
      <c r="O2220" s="116">
        <v>998.5</v>
      </c>
      <c r="P2220" s="116">
        <v>1006.5</v>
      </c>
      <c r="Q2220" s="116">
        <v>1013.3</v>
      </c>
      <c r="R2220">
        <v>972014</v>
      </c>
    </row>
    <row r="2221" spans="1:18" x14ac:dyDescent="0.25">
      <c r="A2221" s="170">
        <v>45489</v>
      </c>
      <c r="B2221" s="116">
        <v>1047.8</v>
      </c>
      <c r="C2221" s="116">
        <v>1022.3</v>
      </c>
      <c r="D2221" s="116">
        <v>1014.5</v>
      </c>
      <c r="E2221" s="116">
        <v>1014.5</v>
      </c>
      <c r="F2221" s="116">
        <v>1022.3</v>
      </c>
      <c r="G2221">
        <v>184730</v>
      </c>
      <c r="H2221" s="116"/>
      <c r="I2221" s="116"/>
      <c r="L2221" s="170">
        <v>45489</v>
      </c>
      <c r="M2221" s="116">
        <v>1022.25</v>
      </c>
      <c r="N2221" s="116">
        <v>1047.95</v>
      </c>
      <c r="O2221" s="116">
        <v>1018.5</v>
      </c>
      <c r="P2221" s="116">
        <v>1024.05</v>
      </c>
      <c r="Q2221" s="116">
        <v>1022.25</v>
      </c>
      <c r="R2221">
        <v>1149453</v>
      </c>
    </row>
    <row r="2222" spans="1:18" x14ac:dyDescent="0.25">
      <c r="A2222" s="170">
        <v>45491</v>
      </c>
      <c r="B2222" s="116">
        <v>1024</v>
      </c>
      <c r="C2222" s="116">
        <v>1009.75</v>
      </c>
      <c r="D2222" s="116">
        <v>1005</v>
      </c>
      <c r="E2222" s="116">
        <v>1017.5</v>
      </c>
      <c r="F2222" s="116">
        <v>1009.75</v>
      </c>
      <c r="G2222">
        <v>106869</v>
      </c>
      <c r="H2222" s="116"/>
      <c r="I2222" s="116"/>
      <c r="L2222" s="170">
        <v>45491</v>
      </c>
      <c r="M2222" s="116">
        <v>1010.45</v>
      </c>
      <c r="N2222" s="116">
        <v>1025</v>
      </c>
      <c r="O2222" s="116">
        <v>1007.3</v>
      </c>
      <c r="P2222" s="116">
        <v>1021.95</v>
      </c>
      <c r="Q2222" s="116">
        <v>1010.45</v>
      </c>
      <c r="R2222">
        <v>625350</v>
      </c>
    </row>
    <row r="2223" spans="1:18" x14ac:dyDescent="0.25">
      <c r="A2223" s="170">
        <v>45492</v>
      </c>
      <c r="B2223" s="116">
        <v>1019.2</v>
      </c>
      <c r="C2223" s="116">
        <v>1011.05</v>
      </c>
      <c r="D2223" s="116">
        <v>1002.35</v>
      </c>
      <c r="E2223" s="116">
        <v>1009</v>
      </c>
      <c r="F2223" s="116">
        <v>1011.05</v>
      </c>
      <c r="G2223">
        <v>36794</v>
      </c>
      <c r="H2223" s="116"/>
      <c r="I2223" s="116"/>
      <c r="L2223" s="170">
        <v>45492</v>
      </c>
      <c r="M2223" s="116">
        <v>1010.7</v>
      </c>
      <c r="N2223" s="116">
        <v>1020.25</v>
      </c>
      <c r="O2223" s="116">
        <v>1001.55</v>
      </c>
      <c r="P2223" s="116">
        <v>1008</v>
      </c>
      <c r="Q2223" s="116">
        <v>1010.7</v>
      </c>
      <c r="R2223">
        <v>884638</v>
      </c>
    </row>
    <row r="2224" spans="1:18" x14ac:dyDescent="0.25">
      <c r="A2224" s="170">
        <v>45495</v>
      </c>
      <c r="B2224" s="116">
        <v>1014.9</v>
      </c>
      <c r="C2224" s="116">
        <v>1010.45</v>
      </c>
      <c r="D2224" s="116">
        <v>985</v>
      </c>
      <c r="E2224" s="116">
        <v>1005.95</v>
      </c>
      <c r="F2224" s="116">
        <v>1010.45</v>
      </c>
      <c r="G2224">
        <v>106639</v>
      </c>
      <c r="H2224" s="116"/>
      <c r="I2224" s="116"/>
      <c r="L2224" s="170">
        <v>45495</v>
      </c>
      <c r="M2224" s="116">
        <v>1011.05</v>
      </c>
      <c r="N2224" s="116">
        <v>1015.3</v>
      </c>
      <c r="O2224" s="116">
        <v>982.5</v>
      </c>
      <c r="P2224" s="116">
        <v>1004.95</v>
      </c>
      <c r="Q2224" s="116">
        <v>1011.05</v>
      </c>
      <c r="R2224">
        <v>788623</v>
      </c>
    </row>
    <row r="2225" spans="1:18" x14ac:dyDescent="0.25">
      <c r="A2225" s="170">
        <v>45496</v>
      </c>
      <c r="B2225" s="116">
        <v>1033</v>
      </c>
      <c r="C2225" s="116">
        <v>1021.95</v>
      </c>
      <c r="D2225" s="116">
        <v>975</v>
      </c>
      <c r="E2225" s="116">
        <v>1005</v>
      </c>
      <c r="F2225" s="116">
        <v>1021.95</v>
      </c>
      <c r="G2225">
        <v>80139</v>
      </c>
      <c r="H2225" s="116"/>
      <c r="I2225" s="116"/>
      <c r="L2225" s="170">
        <v>45496</v>
      </c>
      <c r="M2225" s="116">
        <v>1023.8</v>
      </c>
      <c r="N2225" s="116">
        <v>1033.2</v>
      </c>
      <c r="O2225" s="116">
        <v>975</v>
      </c>
      <c r="P2225" s="116">
        <v>1010.1</v>
      </c>
      <c r="Q2225" s="116">
        <v>1023.8</v>
      </c>
      <c r="R2225">
        <v>1423981</v>
      </c>
    </row>
    <row r="2226" spans="1:18" x14ac:dyDescent="0.25">
      <c r="A2226" s="170">
        <v>45497</v>
      </c>
      <c r="B2226" s="116">
        <v>1047</v>
      </c>
      <c r="C2226" s="116">
        <v>1036.3499999999999</v>
      </c>
      <c r="D2226" s="116">
        <v>1023</v>
      </c>
      <c r="E2226" s="116">
        <v>1023.05</v>
      </c>
      <c r="F2226" s="116">
        <v>1036.3499999999999</v>
      </c>
      <c r="G2226">
        <v>53493</v>
      </c>
      <c r="H2226" s="116"/>
      <c r="I2226" s="116"/>
      <c r="L2226" s="170">
        <v>45497</v>
      </c>
      <c r="M2226" s="116">
        <v>1036.2</v>
      </c>
      <c r="N2226" s="116">
        <v>1047</v>
      </c>
      <c r="O2226" s="116">
        <v>1022</v>
      </c>
      <c r="P2226" s="116">
        <v>1025.9000000000001</v>
      </c>
      <c r="Q2226" s="116">
        <v>1036.2</v>
      </c>
      <c r="R2226">
        <v>928518</v>
      </c>
    </row>
    <row r="2227" spans="1:18" x14ac:dyDescent="0.25">
      <c r="A2227" s="170">
        <v>45498</v>
      </c>
      <c r="B2227" s="116">
        <v>1060</v>
      </c>
      <c r="C2227" s="116">
        <v>1048.95</v>
      </c>
      <c r="D2227" s="116">
        <v>1023.6</v>
      </c>
      <c r="E2227" s="116">
        <v>1025.95</v>
      </c>
      <c r="F2227" s="116">
        <v>1048.95</v>
      </c>
      <c r="G2227">
        <v>162622</v>
      </c>
      <c r="H2227" s="116"/>
      <c r="I2227" s="116"/>
      <c r="L2227" s="170">
        <v>45498</v>
      </c>
      <c r="M2227" s="116">
        <v>1050.1500000000001</v>
      </c>
      <c r="N2227" s="116">
        <v>1060.05</v>
      </c>
      <c r="O2227" s="116">
        <v>1025.05</v>
      </c>
      <c r="P2227" s="116">
        <v>1030.2</v>
      </c>
      <c r="Q2227" s="116">
        <v>1050.1500000000001</v>
      </c>
      <c r="R2227">
        <v>1144067</v>
      </c>
    </row>
    <row r="2228" spans="1:18" x14ac:dyDescent="0.25">
      <c r="A2228" s="170">
        <v>45499</v>
      </c>
      <c r="B2228" s="116">
        <v>1150</v>
      </c>
      <c r="C2228" s="116">
        <v>1052.5</v>
      </c>
      <c r="D2228" s="116">
        <v>1041.7</v>
      </c>
      <c r="E2228" s="116">
        <v>1051.05</v>
      </c>
      <c r="F2228" s="116">
        <v>1052.5</v>
      </c>
      <c r="G2228">
        <v>292290</v>
      </c>
      <c r="H2228" s="116"/>
      <c r="I2228" s="116"/>
      <c r="L2228" s="170">
        <v>45499</v>
      </c>
      <c r="M2228" s="116">
        <v>1051.95</v>
      </c>
      <c r="N2228" s="116">
        <v>1149.7</v>
      </c>
      <c r="O2228" s="116">
        <v>1040.05</v>
      </c>
      <c r="P2228" s="116">
        <v>1063.05</v>
      </c>
      <c r="Q2228" s="116">
        <v>1051.95</v>
      </c>
      <c r="R2228">
        <v>8182577</v>
      </c>
    </row>
    <row r="2229" spans="1:18" x14ac:dyDescent="0.25">
      <c r="A2229" s="170">
        <v>45502</v>
      </c>
      <c r="B2229" s="116">
        <v>1109.8499999999999</v>
      </c>
      <c r="C2229" s="116">
        <v>1052.25</v>
      </c>
      <c r="D2229" s="116">
        <v>1048.45</v>
      </c>
      <c r="E2229" s="116">
        <v>1056.05</v>
      </c>
      <c r="F2229" s="116">
        <v>1052.25</v>
      </c>
      <c r="G2229">
        <v>316840</v>
      </c>
      <c r="H2229" s="116"/>
      <c r="I2229" s="116"/>
      <c r="L2229" s="170">
        <v>45502</v>
      </c>
      <c r="M2229" s="116">
        <v>1051.95</v>
      </c>
      <c r="N2229" s="116">
        <v>1110</v>
      </c>
      <c r="O2229" s="116">
        <v>1047.8499999999999</v>
      </c>
      <c r="P2229" s="116">
        <v>1059.1500000000001</v>
      </c>
      <c r="Q2229" s="116">
        <v>1051.95</v>
      </c>
      <c r="R2229">
        <v>4773418</v>
      </c>
    </row>
    <row r="2230" spans="1:18" x14ac:dyDescent="0.25">
      <c r="A2230" s="170">
        <v>45503</v>
      </c>
      <c r="B2230" s="116">
        <v>1137</v>
      </c>
      <c r="C2230" s="116">
        <v>1125.4000000000001</v>
      </c>
      <c r="D2230" s="116">
        <v>1053.6500000000001</v>
      </c>
      <c r="E2230" s="116">
        <v>1067</v>
      </c>
      <c r="F2230" s="116">
        <v>1125.4000000000001</v>
      </c>
      <c r="G2230">
        <v>702304</v>
      </c>
      <c r="H2230" s="116"/>
      <c r="I2230" s="116"/>
      <c r="L2230" s="170">
        <v>45503</v>
      </c>
      <c r="M2230" s="116">
        <v>1124.9000000000001</v>
      </c>
      <c r="N2230" s="116">
        <v>1137</v>
      </c>
      <c r="O2230" s="116">
        <v>1054</v>
      </c>
      <c r="P2230" s="116">
        <v>1064.9000000000001</v>
      </c>
      <c r="Q2230" s="116">
        <v>1124.9000000000001</v>
      </c>
      <c r="R2230">
        <v>9156858</v>
      </c>
    </row>
    <row r="2231" spans="1:18" x14ac:dyDescent="0.25">
      <c r="A2231" s="170">
        <v>45504</v>
      </c>
      <c r="B2231" s="116">
        <v>1169.4000000000001</v>
      </c>
      <c r="C2231" s="116">
        <v>1137.5999999999999</v>
      </c>
      <c r="D2231" s="116">
        <v>1125</v>
      </c>
      <c r="E2231" s="116">
        <v>1150.05</v>
      </c>
      <c r="F2231" s="116">
        <v>1137.5999999999999</v>
      </c>
      <c r="G2231">
        <v>393698</v>
      </c>
      <c r="H2231" s="116"/>
      <c r="I2231" s="116"/>
      <c r="L2231" s="170">
        <v>45504</v>
      </c>
      <c r="M2231" s="116">
        <v>1138.05</v>
      </c>
      <c r="N2231" s="116">
        <v>1168.8</v>
      </c>
      <c r="O2231" s="116">
        <v>1125.25</v>
      </c>
      <c r="P2231" s="116">
        <v>1156</v>
      </c>
      <c r="Q2231" s="116">
        <v>1138.05</v>
      </c>
      <c r="R2231">
        <v>4660152</v>
      </c>
    </row>
    <row r="2232" spans="1:18" x14ac:dyDescent="0.25">
      <c r="A2232" s="170">
        <v>45505</v>
      </c>
      <c r="B2232" s="116">
        <v>1347.9</v>
      </c>
      <c r="C2232" s="116">
        <v>1274.55</v>
      </c>
      <c r="D2232" s="116">
        <v>1121</v>
      </c>
      <c r="E2232" s="116">
        <v>1137.4000000000001</v>
      </c>
      <c r="F2232" s="116">
        <v>1274.55</v>
      </c>
      <c r="G2232">
        <v>1463835</v>
      </c>
      <c r="H2232" s="116"/>
      <c r="I2232" s="116"/>
      <c r="L2232" s="170">
        <v>45505</v>
      </c>
      <c r="M2232" s="116">
        <v>1275.2</v>
      </c>
      <c r="N2232" s="116">
        <v>1348</v>
      </c>
      <c r="O2232" s="116">
        <v>1119.95</v>
      </c>
      <c r="P2232" s="116">
        <v>1120</v>
      </c>
      <c r="Q2232" s="116">
        <v>1275.2</v>
      </c>
      <c r="R2232">
        <v>30107717</v>
      </c>
    </row>
    <row r="2233" spans="1:18" x14ac:dyDescent="0.25">
      <c r="A2233" s="170">
        <v>45506</v>
      </c>
      <c r="B2233" s="116">
        <v>1309</v>
      </c>
      <c r="C2233" s="116">
        <v>1261</v>
      </c>
      <c r="D2233" s="116">
        <v>1231.05</v>
      </c>
      <c r="E2233" s="116">
        <v>1255</v>
      </c>
      <c r="F2233" s="116">
        <v>1261</v>
      </c>
      <c r="G2233">
        <v>511991</v>
      </c>
      <c r="H2233" s="116"/>
      <c r="I2233" s="116"/>
      <c r="L2233" s="170">
        <v>45506</v>
      </c>
      <c r="M2233" s="116">
        <v>1261.8</v>
      </c>
      <c r="N2233" s="116">
        <v>1309</v>
      </c>
      <c r="O2233" s="116">
        <v>1231.0999999999999</v>
      </c>
      <c r="P2233" s="116">
        <v>1250</v>
      </c>
      <c r="Q2233" s="116">
        <v>1261.8</v>
      </c>
      <c r="R2233">
        <v>9602722</v>
      </c>
    </row>
    <row r="2234" spans="1:18" x14ac:dyDescent="0.25">
      <c r="A2234" s="170">
        <v>45509</v>
      </c>
      <c r="B2234" s="116">
        <v>1231.1500000000001</v>
      </c>
      <c r="C2234" s="116">
        <v>1159.0999999999999</v>
      </c>
      <c r="D2234" s="116">
        <v>1152</v>
      </c>
      <c r="E2234" s="116">
        <v>1189</v>
      </c>
      <c r="F2234" s="116">
        <v>1159.0999999999999</v>
      </c>
      <c r="G2234">
        <v>338443</v>
      </c>
      <c r="H2234" s="116"/>
      <c r="I2234" s="116"/>
      <c r="L2234" s="170">
        <v>45509</v>
      </c>
      <c r="M2234" s="116">
        <v>1159.0999999999999</v>
      </c>
      <c r="N2234" s="116">
        <v>1231.95</v>
      </c>
      <c r="O2234" s="116">
        <v>1150.6500000000001</v>
      </c>
      <c r="P2234" s="116">
        <v>1200</v>
      </c>
      <c r="Q2234" s="116">
        <v>1159.0999999999999</v>
      </c>
      <c r="R2234">
        <v>6801861</v>
      </c>
    </row>
    <row r="2235" spans="1:18" x14ac:dyDescent="0.25">
      <c r="A2235" s="170">
        <v>45510</v>
      </c>
      <c r="B2235" s="116">
        <v>1181.8</v>
      </c>
      <c r="C2235" s="116">
        <v>1124</v>
      </c>
      <c r="D2235" s="116">
        <v>1093.8</v>
      </c>
      <c r="E2235" s="116">
        <v>1172.3</v>
      </c>
      <c r="F2235" s="116">
        <v>1124</v>
      </c>
      <c r="G2235">
        <v>653784</v>
      </c>
      <c r="H2235" s="116"/>
      <c r="I2235" s="116"/>
      <c r="L2235" s="170">
        <v>45510</v>
      </c>
      <c r="M2235" s="116">
        <v>1124.8499999999999</v>
      </c>
      <c r="N2235" s="116">
        <v>1183.4000000000001</v>
      </c>
      <c r="O2235" s="116">
        <v>1094.3</v>
      </c>
      <c r="P2235" s="116">
        <v>1171</v>
      </c>
      <c r="Q2235" s="116">
        <v>1124.8499999999999</v>
      </c>
      <c r="R2235">
        <v>11968412</v>
      </c>
    </row>
    <row r="2236" spans="1:18" x14ac:dyDescent="0.25">
      <c r="A2236" s="170">
        <v>45511</v>
      </c>
      <c r="B2236" s="116">
        <v>1170.75</v>
      </c>
      <c r="C2236" s="116">
        <v>1130.8</v>
      </c>
      <c r="D2236" s="116">
        <v>1125.0999999999999</v>
      </c>
      <c r="E2236" s="116">
        <v>1161.8499999999999</v>
      </c>
      <c r="F2236" s="116">
        <v>1130.8</v>
      </c>
      <c r="G2236">
        <v>159801</v>
      </c>
      <c r="H2236" s="116"/>
      <c r="I2236" s="116"/>
      <c r="L2236" s="170">
        <v>45511</v>
      </c>
      <c r="M2236" s="116">
        <v>1131.6500000000001</v>
      </c>
      <c r="N2236" s="116">
        <v>1170</v>
      </c>
      <c r="O2236" s="116">
        <v>1126.0999999999999</v>
      </c>
      <c r="P2236" s="116">
        <v>1160</v>
      </c>
      <c r="Q2236" s="116">
        <v>1131.6500000000001</v>
      </c>
      <c r="R2236">
        <v>3993218</v>
      </c>
    </row>
    <row r="2237" spans="1:18" x14ac:dyDescent="0.25">
      <c r="A2237" s="170">
        <v>45512</v>
      </c>
      <c r="B2237" s="116">
        <v>1134.2</v>
      </c>
      <c r="C2237" s="116">
        <v>1101.7</v>
      </c>
      <c r="D2237" s="116">
        <v>1096.1500000000001</v>
      </c>
      <c r="E2237" s="116">
        <v>1130.8</v>
      </c>
      <c r="F2237" s="116">
        <v>1101.7</v>
      </c>
      <c r="G2237">
        <v>87268</v>
      </c>
      <c r="H2237" s="116"/>
      <c r="I2237" s="116"/>
      <c r="L2237" s="170">
        <v>45512</v>
      </c>
      <c r="M2237" s="116">
        <v>1101.45</v>
      </c>
      <c r="N2237" s="116">
        <v>1135</v>
      </c>
      <c r="O2237" s="116">
        <v>1096.05</v>
      </c>
      <c r="P2237" s="116">
        <v>1132</v>
      </c>
      <c r="Q2237" s="116">
        <v>1101.45</v>
      </c>
      <c r="R2237">
        <v>2760169</v>
      </c>
    </row>
    <row r="2238" spans="1:18" x14ac:dyDescent="0.25">
      <c r="A2238" s="170">
        <v>45513</v>
      </c>
      <c r="B2238" s="116">
        <v>1132.05</v>
      </c>
      <c r="C2238" s="116">
        <v>1104.0999999999999</v>
      </c>
      <c r="D2238" s="116">
        <v>1100.3</v>
      </c>
      <c r="E2238" s="116">
        <v>1114.75</v>
      </c>
      <c r="F2238" s="116">
        <v>1104.0999999999999</v>
      </c>
      <c r="G2238">
        <v>158926</v>
      </c>
      <c r="H2238" s="116"/>
      <c r="I2238" s="116"/>
      <c r="L2238" s="170">
        <v>45513</v>
      </c>
      <c r="M2238" s="116">
        <v>1103.8</v>
      </c>
      <c r="N2238" s="116">
        <v>1131.9000000000001</v>
      </c>
      <c r="O2238" s="116">
        <v>1101.0999999999999</v>
      </c>
      <c r="P2238" s="116">
        <v>1110</v>
      </c>
      <c r="Q2238" s="116">
        <v>1103.8</v>
      </c>
      <c r="R2238">
        <v>2246263</v>
      </c>
    </row>
    <row r="2239" spans="1:18" x14ac:dyDescent="0.25">
      <c r="A2239" s="170">
        <v>45516</v>
      </c>
      <c r="B2239" s="116">
        <v>1082.7</v>
      </c>
      <c r="C2239" s="116">
        <v>1063.2</v>
      </c>
      <c r="D2239" s="116">
        <v>915.7</v>
      </c>
      <c r="E2239" s="116">
        <v>915.7</v>
      </c>
      <c r="F2239" s="116">
        <v>1063.2</v>
      </c>
      <c r="G2239">
        <v>750792</v>
      </c>
      <c r="H2239" s="116"/>
      <c r="I2239" s="116"/>
      <c r="L2239" s="170">
        <v>45516</v>
      </c>
      <c r="M2239" s="116">
        <v>1063</v>
      </c>
      <c r="N2239" s="116">
        <v>1082.95</v>
      </c>
      <c r="O2239" s="116">
        <v>1036.05</v>
      </c>
      <c r="P2239" s="116">
        <v>1072</v>
      </c>
      <c r="Q2239" s="116">
        <v>1063</v>
      </c>
      <c r="R2239">
        <v>6368619</v>
      </c>
    </row>
    <row r="2240" spans="1:18" x14ac:dyDescent="0.25">
      <c r="A2240" s="170">
        <v>45517</v>
      </c>
      <c r="B2240" s="116">
        <v>1130</v>
      </c>
      <c r="C2240" s="116">
        <v>1070.5999999999999</v>
      </c>
      <c r="D2240" s="116">
        <v>1067</v>
      </c>
      <c r="E2240" s="116">
        <v>1088.05</v>
      </c>
      <c r="F2240" s="116">
        <v>1070.5999999999999</v>
      </c>
      <c r="G2240">
        <v>538082</v>
      </c>
      <c r="H2240" s="116"/>
      <c r="I2240" s="116"/>
      <c r="L2240" s="170">
        <v>45517</v>
      </c>
      <c r="M2240" s="116">
        <v>1071.25</v>
      </c>
      <c r="N2240" s="116">
        <v>1129.9000000000001</v>
      </c>
      <c r="O2240" s="116">
        <v>1065.0999999999999</v>
      </c>
      <c r="P2240" s="116">
        <v>1092</v>
      </c>
      <c r="Q2240" s="116">
        <v>1071.25</v>
      </c>
      <c r="R2240">
        <v>5808191</v>
      </c>
    </row>
    <row r="2241" spans="1:18" x14ac:dyDescent="0.25">
      <c r="A2241" s="170">
        <v>45518</v>
      </c>
      <c r="B2241" s="116">
        <v>1121.1500000000001</v>
      </c>
      <c r="C2241" s="116">
        <v>1114.3</v>
      </c>
      <c r="D2241" s="116">
        <v>1070.55</v>
      </c>
      <c r="E2241" s="116">
        <v>1080</v>
      </c>
      <c r="F2241" s="116">
        <v>1114.3</v>
      </c>
      <c r="G2241">
        <v>237863</v>
      </c>
      <c r="H2241" s="116"/>
      <c r="I2241" s="116"/>
      <c r="L2241" s="170">
        <v>45518</v>
      </c>
      <c r="M2241" s="116">
        <v>1113.7</v>
      </c>
      <c r="N2241" s="116">
        <v>1119</v>
      </c>
      <c r="O2241" s="116">
        <v>1070.0999999999999</v>
      </c>
      <c r="P2241" s="116">
        <v>1082</v>
      </c>
      <c r="Q2241" s="116">
        <v>1113.7</v>
      </c>
      <c r="R2241">
        <v>3846943</v>
      </c>
    </row>
    <row r="2242" spans="1:18" x14ac:dyDescent="0.25">
      <c r="A2242" s="170">
        <v>45520</v>
      </c>
      <c r="B2242" s="116">
        <v>1137.55</v>
      </c>
      <c r="C2242" s="116">
        <v>1083.95</v>
      </c>
      <c r="D2242" s="116">
        <v>1073</v>
      </c>
      <c r="E2242" s="116">
        <v>1123.95</v>
      </c>
      <c r="F2242" s="116">
        <v>1083.95</v>
      </c>
      <c r="G2242">
        <v>218096</v>
      </c>
      <c r="H2242" s="116"/>
      <c r="I2242" s="116"/>
      <c r="L2242" s="170">
        <v>45520</v>
      </c>
      <c r="M2242" s="116">
        <v>1085.3</v>
      </c>
      <c r="N2242" s="116">
        <v>1138</v>
      </c>
      <c r="O2242" s="116">
        <v>1073.0999999999999</v>
      </c>
      <c r="P2242" s="116">
        <v>1126.9000000000001</v>
      </c>
      <c r="Q2242" s="116">
        <v>1085.3</v>
      </c>
      <c r="R2242">
        <v>3187004</v>
      </c>
    </row>
    <row r="2243" spans="1:18" x14ac:dyDescent="0.25">
      <c r="A2243" s="170">
        <v>45523</v>
      </c>
      <c r="B2243" s="116">
        <v>1111.3</v>
      </c>
      <c r="C2243" s="116">
        <v>1092.05</v>
      </c>
      <c r="D2243" s="116">
        <v>1088.9000000000001</v>
      </c>
      <c r="E2243" s="116">
        <v>1092.95</v>
      </c>
      <c r="F2243" s="116">
        <v>1092.05</v>
      </c>
      <c r="G2243">
        <v>78964</v>
      </c>
      <c r="H2243" s="116"/>
      <c r="I2243" s="116"/>
      <c r="L2243" s="170">
        <v>45523</v>
      </c>
      <c r="M2243" s="116">
        <v>1092.55</v>
      </c>
      <c r="N2243" s="116">
        <v>1111.9000000000001</v>
      </c>
      <c r="O2243" s="116">
        <v>1089.8</v>
      </c>
      <c r="P2243" s="116">
        <v>1089.8</v>
      </c>
      <c r="Q2243" s="116">
        <v>1092.55</v>
      </c>
      <c r="R2243">
        <v>1782102</v>
      </c>
    </row>
    <row r="2244" spans="1:18" x14ac:dyDescent="0.25">
      <c r="A2244" s="170">
        <v>45524</v>
      </c>
      <c r="B2244" s="116">
        <v>1109.95</v>
      </c>
      <c r="C2244" s="116">
        <v>1099.9000000000001</v>
      </c>
      <c r="D2244" s="116">
        <v>1091</v>
      </c>
      <c r="E2244" s="116">
        <v>1093.95</v>
      </c>
      <c r="F2244" s="116">
        <v>1099.9000000000001</v>
      </c>
      <c r="G2244">
        <v>47695</v>
      </c>
      <c r="H2244" s="116"/>
      <c r="I2244" s="116"/>
      <c r="L2244" s="170">
        <v>45524</v>
      </c>
      <c r="M2244" s="116">
        <v>1099.9000000000001</v>
      </c>
      <c r="N2244" s="116">
        <v>1110.25</v>
      </c>
      <c r="O2244" s="116">
        <v>1090.8</v>
      </c>
      <c r="P2244" s="116">
        <v>1097.8499999999999</v>
      </c>
      <c r="Q2244" s="116">
        <v>1099.9000000000001</v>
      </c>
      <c r="R2244">
        <v>1099089</v>
      </c>
    </row>
    <row r="2245" spans="1:18" x14ac:dyDescent="0.25">
      <c r="A2245" s="170">
        <v>45525</v>
      </c>
      <c r="B2245" s="116">
        <v>1115.5</v>
      </c>
      <c r="C2245" s="116">
        <v>1088.5999999999999</v>
      </c>
      <c r="D2245" s="116">
        <v>1075.3</v>
      </c>
      <c r="E2245" s="116">
        <v>1098</v>
      </c>
      <c r="F2245" s="116">
        <v>1088.5999999999999</v>
      </c>
      <c r="G2245">
        <v>142689</v>
      </c>
      <c r="H2245" s="116"/>
      <c r="I2245" s="116"/>
      <c r="L2245" s="170">
        <v>45525</v>
      </c>
      <c r="M2245" s="116">
        <v>1088.4000000000001</v>
      </c>
      <c r="N2245" s="116">
        <v>1115.5</v>
      </c>
      <c r="O2245" s="116">
        <v>1075</v>
      </c>
      <c r="P2245" s="116">
        <v>1099.7</v>
      </c>
      <c r="Q2245" s="116">
        <v>1088.4000000000001</v>
      </c>
      <c r="R2245">
        <v>2048993</v>
      </c>
    </row>
    <row r="2246" spans="1:18" x14ac:dyDescent="0.25">
      <c r="A2246" s="170">
        <v>45526</v>
      </c>
      <c r="B2246" s="116">
        <v>1099</v>
      </c>
      <c r="C2246" s="116">
        <v>1076.45</v>
      </c>
      <c r="D2246" s="116">
        <v>1073.75</v>
      </c>
      <c r="E2246" s="116">
        <v>1080.3</v>
      </c>
      <c r="F2246" s="116">
        <v>1076.45</v>
      </c>
      <c r="G2246">
        <v>165465</v>
      </c>
      <c r="H2246" s="116"/>
      <c r="I2246" s="116"/>
      <c r="L2246" s="170">
        <v>45526</v>
      </c>
      <c r="M2246" s="116">
        <v>1077.75</v>
      </c>
      <c r="N2246" s="116">
        <v>1099.9000000000001</v>
      </c>
      <c r="O2246" s="116">
        <v>1075</v>
      </c>
      <c r="P2246" s="116">
        <v>1092</v>
      </c>
      <c r="Q2246" s="116">
        <v>1077.75</v>
      </c>
      <c r="R2246">
        <v>1942688</v>
      </c>
    </row>
    <row r="2247" spans="1:18" x14ac:dyDescent="0.25">
      <c r="A2247" s="170">
        <v>45527</v>
      </c>
      <c r="B2247" s="116">
        <v>1084.95</v>
      </c>
      <c r="C2247" s="116">
        <v>1064.5999999999999</v>
      </c>
      <c r="D2247" s="116">
        <v>1060</v>
      </c>
      <c r="E2247" s="116">
        <v>1084.75</v>
      </c>
      <c r="F2247" s="116">
        <v>1064.5999999999999</v>
      </c>
      <c r="G2247">
        <v>104736</v>
      </c>
      <c r="H2247" s="116"/>
      <c r="I2247" s="116"/>
      <c r="L2247" s="170">
        <v>45527</v>
      </c>
      <c r="M2247" s="116">
        <v>1065.6500000000001</v>
      </c>
      <c r="N2247" s="116">
        <v>1086</v>
      </c>
      <c r="O2247" s="116">
        <v>1060</v>
      </c>
      <c r="P2247" s="116">
        <v>1081</v>
      </c>
      <c r="Q2247" s="116">
        <v>1065.6500000000001</v>
      </c>
      <c r="R2247">
        <v>1465165</v>
      </c>
    </row>
    <row r="2248" spans="1:18" x14ac:dyDescent="0.25">
      <c r="A2248" s="170">
        <v>45530</v>
      </c>
      <c r="B2248" s="116">
        <v>1076.0999999999999</v>
      </c>
      <c r="C2248" s="116">
        <v>1051.8499999999999</v>
      </c>
      <c r="D2248" s="116">
        <v>1041.75</v>
      </c>
      <c r="E2248" s="116">
        <v>1065</v>
      </c>
      <c r="F2248" s="116">
        <v>1051.8499999999999</v>
      </c>
      <c r="G2248">
        <v>52494</v>
      </c>
      <c r="H2248" s="116"/>
      <c r="I2248" s="116"/>
      <c r="L2248" s="170">
        <v>45530</v>
      </c>
      <c r="M2248" s="116">
        <v>1053.3499999999999</v>
      </c>
      <c r="N2248" s="116">
        <v>1076</v>
      </c>
      <c r="O2248" s="116">
        <v>1041.3499999999999</v>
      </c>
      <c r="P2248" s="116">
        <v>1066.55</v>
      </c>
      <c r="Q2248" s="116">
        <v>1053.3499999999999</v>
      </c>
      <c r="R2248">
        <v>1712349</v>
      </c>
    </row>
    <row r="2249" spans="1:18" x14ac:dyDescent="0.25">
      <c r="A2249" s="170">
        <v>45531</v>
      </c>
      <c r="B2249" s="116">
        <v>1061.6500000000001</v>
      </c>
      <c r="C2249" s="116">
        <v>1045.45</v>
      </c>
      <c r="D2249" s="116">
        <v>1043.7</v>
      </c>
      <c r="E2249" s="116">
        <v>1060.5</v>
      </c>
      <c r="F2249" s="116">
        <v>1045.45</v>
      </c>
      <c r="G2249">
        <v>37261</v>
      </c>
      <c r="H2249" s="116"/>
      <c r="I2249" s="116"/>
      <c r="L2249" s="170">
        <v>45531</v>
      </c>
      <c r="M2249" s="116">
        <v>1046.1500000000001</v>
      </c>
      <c r="N2249" s="116">
        <v>1062</v>
      </c>
      <c r="O2249" s="116">
        <v>1043.5</v>
      </c>
      <c r="P2249" s="116">
        <v>1055.1500000000001</v>
      </c>
      <c r="Q2249" s="116">
        <v>1046.1500000000001</v>
      </c>
      <c r="R2249">
        <v>1319608</v>
      </c>
    </row>
    <row r="2250" spans="1:18" x14ac:dyDescent="0.25">
      <c r="A2250" s="170">
        <v>45532</v>
      </c>
      <c r="B2250" s="116">
        <v>1051</v>
      </c>
      <c r="C2250" s="116">
        <v>1026.8</v>
      </c>
      <c r="D2250" s="116">
        <v>1022</v>
      </c>
      <c r="E2250" s="116">
        <v>1046.55</v>
      </c>
      <c r="F2250" s="116">
        <v>1026.8</v>
      </c>
      <c r="G2250">
        <v>56440</v>
      </c>
      <c r="H2250" s="116"/>
      <c r="I2250" s="116"/>
      <c r="L2250" s="170">
        <v>45532</v>
      </c>
      <c r="M2250" s="116">
        <v>1027.1500000000001</v>
      </c>
      <c r="N2250" s="116">
        <v>1050.9000000000001</v>
      </c>
      <c r="O2250" s="116">
        <v>1022.5</v>
      </c>
      <c r="P2250" s="116">
        <v>1050.9000000000001</v>
      </c>
      <c r="Q2250" s="116">
        <v>1027.1500000000001</v>
      </c>
      <c r="R2250">
        <v>1883409</v>
      </c>
    </row>
    <row r="2251" spans="1:18" x14ac:dyDescent="0.25">
      <c r="A2251" s="170">
        <v>45533</v>
      </c>
      <c r="B2251" s="116">
        <v>1030.7</v>
      </c>
      <c r="C2251" s="116">
        <v>1003.75</v>
      </c>
      <c r="D2251" s="116">
        <v>984.3</v>
      </c>
      <c r="E2251" s="116">
        <v>1030.7</v>
      </c>
      <c r="F2251" s="116">
        <v>1003.75</v>
      </c>
      <c r="G2251">
        <v>132433</v>
      </c>
      <c r="H2251" s="116"/>
      <c r="I2251" s="116"/>
      <c r="L2251" s="170">
        <v>45533</v>
      </c>
      <c r="M2251" s="116">
        <v>1004.1</v>
      </c>
      <c r="N2251" s="116">
        <v>1027</v>
      </c>
      <c r="O2251" s="116">
        <v>984</v>
      </c>
      <c r="P2251" s="116">
        <v>1025.5</v>
      </c>
      <c r="Q2251" s="116">
        <v>1004.1</v>
      </c>
      <c r="R2251">
        <v>6514855</v>
      </c>
    </row>
    <row r="2252" spans="1:18" x14ac:dyDescent="0.25">
      <c r="A2252" s="170">
        <v>45534</v>
      </c>
      <c r="B2252" s="116">
        <v>1023.15</v>
      </c>
      <c r="C2252" s="116">
        <v>1007.85</v>
      </c>
      <c r="D2252" s="116">
        <v>1000.45</v>
      </c>
      <c r="E2252" s="116">
        <v>1010.05</v>
      </c>
      <c r="F2252" s="116">
        <v>1007.85</v>
      </c>
      <c r="G2252">
        <v>62588</v>
      </c>
      <c r="H2252" s="116"/>
      <c r="I2252" s="116"/>
      <c r="L2252" s="170">
        <v>45534</v>
      </c>
      <c r="M2252" s="116">
        <v>1007.4</v>
      </c>
      <c r="N2252" s="116">
        <v>1022.9</v>
      </c>
      <c r="O2252" s="116">
        <v>1000.5</v>
      </c>
      <c r="P2252" s="116">
        <v>1012.7</v>
      </c>
      <c r="Q2252" s="116">
        <v>1007.4</v>
      </c>
      <c r="R2252">
        <v>2071206</v>
      </c>
    </row>
    <row r="2253" spans="1:18" x14ac:dyDescent="0.25">
      <c r="A2253" s="170">
        <v>45537</v>
      </c>
      <c r="B2253" s="116">
        <v>1049.95</v>
      </c>
      <c r="C2253" s="116">
        <v>1034.05</v>
      </c>
      <c r="D2253" s="116">
        <v>1003.4</v>
      </c>
      <c r="E2253" s="116">
        <v>1012.25</v>
      </c>
      <c r="F2253" s="116">
        <v>1034.05</v>
      </c>
      <c r="G2253">
        <v>260844</v>
      </c>
      <c r="H2253" s="116"/>
      <c r="I2253" s="116"/>
      <c r="L2253" s="170">
        <v>45537</v>
      </c>
      <c r="M2253" s="116">
        <v>1034.0999999999999</v>
      </c>
      <c r="N2253" s="116">
        <v>1049</v>
      </c>
      <c r="O2253" s="116">
        <v>1003.4</v>
      </c>
      <c r="P2253" s="116">
        <v>1017</v>
      </c>
      <c r="Q2253" s="116">
        <v>1034.0999999999999</v>
      </c>
      <c r="R2253">
        <v>2821331</v>
      </c>
    </row>
    <row r="2254" spans="1:18" x14ac:dyDescent="0.25">
      <c r="A2254" s="170">
        <v>45538</v>
      </c>
      <c r="B2254" s="116">
        <v>1046.8499999999999</v>
      </c>
      <c r="C2254" s="116">
        <v>1029.2</v>
      </c>
      <c r="D2254" s="116">
        <v>1020.5</v>
      </c>
      <c r="E2254" s="116">
        <v>1042.05</v>
      </c>
      <c r="F2254" s="116">
        <v>1029.2</v>
      </c>
      <c r="G2254">
        <v>62524</v>
      </c>
      <c r="H2254" s="116"/>
      <c r="I2254" s="116"/>
      <c r="L2254" s="170">
        <v>45538</v>
      </c>
      <c r="M2254" s="116">
        <v>1029.2</v>
      </c>
      <c r="N2254" s="116">
        <v>1046.0999999999999</v>
      </c>
      <c r="O2254" s="116">
        <v>1020.05</v>
      </c>
      <c r="P2254" s="116">
        <v>1045</v>
      </c>
      <c r="Q2254" s="116">
        <v>1029.2</v>
      </c>
      <c r="R2254">
        <v>1368306</v>
      </c>
    </row>
    <row r="2255" spans="1:18" x14ac:dyDescent="0.25">
      <c r="A2255" s="170">
        <v>45539</v>
      </c>
      <c r="B2255" s="116">
        <v>1038</v>
      </c>
      <c r="C2255" s="116">
        <v>1028.55</v>
      </c>
      <c r="D2255" s="116">
        <v>1010.9</v>
      </c>
      <c r="E2255" s="116">
        <v>1012.75</v>
      </c>
      <c r="F2255" s="116">
        <v>1028.55</v>
      </c>
      <c r="G2255">
        <v>117474</v>
      </c>
      <c r="H2255" s="116"/>
      <c r="I2255" s="116"/>
      <c r="L2255" s="170">
        <v>45539</v>
      </c>
      <c r="M2255" s="116">
        <v>1028.5999999999999</v>
      </c>
      <c r="N2255" s="116">
        <v>1038</v>
      </c>
      <c r="O2255" s="116">
        <v>1012</v>
      </c>
      <c r="P2255" s="116">
        <v>1015.7</v>
      </c>
      <c r="Q2255" s="116">
        <v>1028.5999999999999</v>
      </c>
      <c r="R2255">
        <v>1079051</v>
      </c>
    </row>
    <row r="2256" spans="1:18" x14ac:dyDescent="0.25">
      <c r="A2256" s="170">
        <v>45540</v>
      </c>
      <c r="B2256" s="116">
        <v>1037.8</v>
      </c>
      <c r="C2256" s="116">
        <v>1007.95</v>
      </c>
      <c r="D2256" s="116">
        <v>1002.95</v>
      </c>
      <c r="E2256" s="116">
        <v>1037.8</v>
      </c>
      <c r="F2256" s="116">
        <v>1007.95</v>
      </c>
      <c r="G2256">
        <v>35526</v>
      </c>
      <c r="H2256" s="116"/>
      <c r="I2256" s="116"/>
      <c r="L2256" s="170">
        <v>45540</v>
      </c>
      <c r="M2256" s="116">
        <v>1007.45</v>
      </c>
      <c r="N2256" s="116">
        <v>1037.8</v>
      </c>
      <c r="O2256" s="116">
        <v>1001.3</v>
      </c>
      <c r="P2256" s="116">
        <v>1035</v>
      </c>
      <c r="Q2256" s="116">
        <v>1007.45</v>
      </c>
      <c r="R2256">
        <v>1162678</v>
      </c>
    </row>
    <row r="2257" spans="1:18" x14ac:dyDescent="0.25">
      <c r="A2257" s="170">
        <v>45541</v>
      </c>
      <c r="B2257" s="116">
        <v>1013.9</v>
      </c>
      <c r="C2257" s="116">
        <v>985.5</v>
      </c>
      <c r="D2257" s="116">
        <v>982.75</v>
      </c>
      <c r="E2257" s="116">
        <v>1009.2</v>
      </c>
      <c r="F2257" s="116">
        <v>985.5</v>
      </c>
      <c r="G2257">
        <v>168900</v>
      </c>
      <c r="H2257" s="116"/>
      <c r="I2257" s="116"/>
      <c r="L2257" s="170">
        <v>45541</v>
      </c>
      <c r="M2257" s="116">
        <v>985.35</v>
      </c>
      <c r="N2257" s="116">
        <v>1012.5</v>
      </c>
      <c r="O2257" s="116">
        <v>983</v>
      </c>
      <c r="P2257" s="116">
        <v>1012.45</v>
      </c>
      <c r="Q2257" s="116">
        <v>985.35</v>
      </c>
      <c r="R2257">
        <v>1636983</v>
      </c>
    </row>
    <row r="2258" spans="1:18" x14ac:dyDescent="0.25">
      <c r="A2258" s="170">
        <v>45544</v>
      </c>
      <c r="B2258" s="116">
        <v>1009.15</v>
      </c>
      <c r="C2258" s="116">
        <v>1006.15</v>
      </c>
      <c r="D2258" s="116">
        <v>968.4</v>
      </c>
      <c r="E2258" s="116">
        <v>987</v>
      </c>
      <c r="F2258" s="116">
        <v>1006.15</v>
      </c>
      <c r="G2258">
        <v>230953</v>
      </c>
      <c r="H2258" s="116"/>
      <c r="I2258" s="116"/>
      <c r="L2258" s="170">
        <v>45544</v>
      </c>
      <c r="M2258" s="116">
        <v>1007.05</v>
      </c>
      <c r="N2258" s="116">
        <v>1009.15</v>
      </c>
      <c r="O2258" s="116">
        <v>968.3</v>
      </c>
      <c r="P2258" s="116">
        <v>985.3</v>
      </c>
      <c r="Q2258" s="116">
        <v>1007.05</v>
      </c>
      <c r="R2258">
        <v>2722062</v>
      </c>
    </row>
    <row r="2259" spans="1:18" x14ac:dyDescent="0.25">
      <c r="A2259" s="170">
        <v>45545</v>
      </c>
      <c r="B2259" s="116">
        <v>1019.8</v>
      </c>
      <c r="C2259" s="116">
        <v>1014</v>
      </c>
      <c r="D2259" s="116">
        <v>1001.8</v>
      </c>
      <c r="E2259" s="116">
        <v>1005</v>
      </c>
      <c r="F2259" s="116">
        <v>1014</v>
      </c>
      <c r="G2259">
        <v>31209</v>
      </c>
      <c r="H2259" s="116"/>
      <c r="I2259" s="116"/>
      <c r="L2259" s="170">
        <v>45545</v>
      </c>
      <c r="M2259" s="116">
        <v>1014</v>
      </c>
      <c r="N2259" s="116">
        <v>1020</v>
      </c>
      <c r="O2259" s="116">
        <v>1001.05</v>
      </c>
      <c r="P2259" s="116">
        <v>1001.05</v>
      </c>
      <c r="Q2259" s="116">
        <v>1014</v>
      </c>
      <c r="R2259">
        <v>1269824</v>
      </c>
    </row>
    <row r="2260" spans="1:18" x14ac:dyDescent="0.25">
      <c r="A2260" s="170">
        <v>45546</v>
      </c>
      <c r="B2260" s="116">
        <v>1013.95</v>
      </c>
      <c r="C2260" s="116">
        <v>999.15</v>
      </c>
      <c r="D2260" s="116">
        <v>991.5</v>
      </c>
      <c r="E2260" s="116">
        <v>1013.95</v>
      </c>
      <c r="F2260" s="116">
        <v>999.15</v>
      </c>
      <c r="G2260">
        <v>85535</v>
      </c>
      <c r="H2260" s="116"/>
      <c r="I2260" s="116"/>
      <c r="L2260" s="170">
        <v>45546</v>
      </c>
      <c r="M2260" s="116">
        <v>998.1</v>
      </c>
      <c r="N2260" s="116">
        <v>1012.85</v>
      </c>
      <c r="O2260" s="116">
        <v>990.9</v>
      </c>
      <c r="P2260" s="116">
        <v>1008.05</v>
      </c>
      <c r="Q2260" s="116">
        <v>998.1</v>
      </c>
      <c r="R2260">
        <v>628404</v>
      </c>
    </row>
    <row r="2261" spans="1:18" x14ac:dyDescent="0.25">
      <c r="A2261" s="170">
        <v>45547</v>
      </c>
      <c r="B2261" s="116">
        <v>1012</v>
      </c>
      <c r="C2261" s="116">
        <v>1007.85</v>
      </c>
      <c r="D2261" s="116">
        <v>990.1</v>
      </c>
      <c r="E2261" s="116">
        <v>999.5</v>
      </c>
      <c r="F2261" s="116">
        <v>1007.85</v>
      </c>
      <c r="G2261">
        <v>105694</v>
      </c>
      <c r="H2261" s="116"/>
      <c r="I2261" s="116"/>
      <c r="L2261" s="170">
        <v>45547</v>
      </c>
      <c r="M2261" s="116">
        <v>1008.2</v>
      </c>
      <c r="N2261" s="116">
        <v>1012</v>
      </c>
      <c r="O2261" s="116">
        <v>990</v>
      </c>
      <c r="P2261" s="116">
        <v>1004.1</v>
      </c>
      <c r="Q2261" s="116">
        <v>1008.2</v>
      </c>
      <c r="R2261">
        <v>692258</v>
      </c>
    </row>
    <row r="2262" spans="1:18" x14ac:dyDescent="0.25">
      <c r="A2262" s="170">
        <v>45548</v>
      </c>
      <c r="B2262" s="116">
        <v>1008.2</v>
      </c>
      <c r="C2262" s="116">
        <v>983.5</v>
      </c>
      <c r="D2262" s="116">
        <v>980.1</v>
      </c>
      <c r="E2262" s="116">
        <v>995</v>
      </c>
      <c r="F2262" s="116">
        <v>983.5</v>
      </c>
      <c r="G2262">
        <v>51528</v>
      </c>
      <c r="H2262" s="116"/>
      <c r="I2262" s="116"/>
      <c r="L2262" s="170">
        <v>45548</v>
      </c>
      <c r="M2262" s="116">
        <v>983.3</v>
      </c>
      <c r="N2262" s="116">
        <v>1009</v>
      </c>
      <c r="O2262" s="116">
        <v>980</v>
      </c>
      <c r="P2262" s="116">
        <v>991</v>
      </c>
      <c r="Q2262" s="116">
        <v>983.3</v>
      </c>
      <c r="R2262">
        <v>1639099</v>
      </c>
    </row>
    <row r="2263" spans="1:18" x14ac:dyDescent="0.25">
      <c r="A2263" s="170">
        <v>45551</v>
      </c>
      <c r="B2263" s="116">
        <v>1009.8</v>
      </c>
      <c r="C2263" s="116">
        <v>979.95</v>
      </c>
      <c r="D2263" s="116">
        <v>976.5</v>
      </c>
      <c r="E2263" s="116">
        <v>988.5</v>
      </c>
      <c r="F2263" s="116">
        <v>979.95</v>
      </c>
      <c r="G2263">
        <v>170213</v>
      </c>
      <c r="H2263" s="116"/>
      <c r="I2263" s="116"/>
      <c r="L2263" s="170">
        <v>45551</v>
      </c>
      <c r="M2263" s="116">
        <v>980.5</v>
      </c>
      <c r="N2263" s="116">
        <v>1010</v>
      </c>
      <c r="O2263" s="116">
        <v>978</v>
      </c>
      <c r="P2263" s="116">
        <v>990.5</v>
      </c>
      <c r="Q2263" s="116">
        <v>980.5</v>
      </c>
      <c r="R2263">
        <v>1787723</v>
      </c>
    </row>
    <row r="2264" spans="1:18" x14ac:dyDescent="0.25">
      <c r="A2264" s="170">
        <v>45552</v>
      </c>
      <c r="B2264" s="116">
        <v>994.8</v>
      </c>
      <c r="C2264" s="116">
        <v>988.9</v>
      </c>
      <c r="D2264" s="116">
        <v>976.25</v>
      </c>
      <c r="E2264" s="116">
        <v>989.55</v>
      </c>
      <c r="F2264" s="116">
        <v>988.9</v>
      </c>
      <c r="G2264">
        <v>44823</v>
      </c>
      <c r="H2264" s="116"/>
      <c r="I2264" s="116"/>
      <c r="L2264" s="170">
        <v>45552</v>
      </c>
      <c r="M2264" s="116">
        <v>989</v>
      </c>
      <c r="N2264" s="116">
        <v>995</v>
      </c>
      <c r="O2264" s="116">
        <v>976.15</v>
      </c>
      <c r="P2264" s="116">
        <v>985</v>
      </c>
      <c r="Q2264" s="116">
        <v>989</v>
      </c>
      <c r="R2264">
        <v>1320871</v>
      </c>
    </row>
    <row r="2265" spans="1:18" x14ac:dyDescent="0.25">
      <c r="A2265" s="170">
        <v>45553</v>
      </c>
      <c r="B2265" s="116">
        <v>993.35</v>
      </c>
      <c r="C2265" s="116">
        <v>979.25</v>
      </c>
      <c r="D2265" s="116">
        <v>977.1</v>
      </c>
      <c r="E2265" s="116">
        <v>988.9</v>
      </c>
      <c r="F2265" s="116">
        <v>979.25</v>
      </c>
      <c r="G2265">
        <v>37348</v>
      </c>
      <c r="H2265" s="116"/>
      <c r="I2265" s="116"/>
      <c r="L2265" s="170">
        <v>45553</v>
      </c>
      <c r="M2265" s="116">
        <v>979.9</v>
      </c>
      <c r="N2265" s="116">
        <v>993</v>
      </c>
      <c r="O2265" s="116">
        <v>977</v>
      </c>
      <c r="P2265" s="116">
        <v>988</v>
      </c>
      <c r="Q2265" s="116">
        <v>979.9</v>
      </c>
      <c r="R2265">
        <v>2847382</v>
      </c>
    </row>
    <row r="2266" spans="1:18" x14ac:dyDescent="0.25">
      <c r="A2266" s="170">
        <v>45554</v>
      </c>
      <c r="B2266" s="116">
        <v>998.25</v>
      </c>
      <c r="C2266" s="116">
        <v>979.45</v>
      </c>
      <c r="D2266" s="116">
        <v>967.25</v>
      </c>
      <c r="E2266" s="116">
        <v>991.75</v>
      </c>
      <c r="F2266" s="116">
        <v>979.45</v>
      </c>
      <c r="G2266">
        <v>42580</v>
      </c>
      <c r="H2266" s="116"/>
      <c r="I2266" s="116"/>
      <c r="L2266" s="170">
        <v>45554</v>
      </c>
      <c r="M2266" s="116">
        <v>979</v>
      </c>
      <c r="N2266" s="116">
        <v>998.45</v>
      </c>
      <c r="O2266" s="116">
        <v>967.05</v>
      </c>
      <c r="P2266" s="116">
        <v>993.1</v>
      </c>
      <c r="Q2266" s="116">
        <v>979</v>
      </c>
      <c r="R2266">
        <v>3414484</v>
      </c>
    </row>
    <row r="2267" spans="1:18" x14ac:dyDescent="0.25">
      <c r="A2267" s="170">
        <v>45555</v>
      </c>
      <c r="B2267" s="116">
        <v>1019.6</v>
      </c>
      <c r="C2267" s="116">
        <v>1006.95</v>
      </c>
      <c r="D2267" s="116">
        <v>976.3</v>
      </c>
      <c r="E2267" s="116">
        <v>978.65</v>
      </c>
      <c r="F2267" s="116">
        <v>1006.95</v>
      </c>
      <c r="G2267">
        <v>297081</v>
      </c>
      <c r="H2267" s="116"/>
      <c r="I2267" s="116"/>
      <c r="L2267" s="170">
        <v>45555</v>
      </c>
      <c r="M2267" s="116">
        <v>1007.15</v>
      </c>
      <c r="N2267" s="116">
        <v>1019.9</v>
      </c>
      <c r="O2267" s="116">
        <v>976.2</v>
      </c>
      <c r="P2267" s="116">
        <v>976.2</v>
      </c>
      <c r="Q2267" s="116">
        <v>1007.15</v>
      </c>
      <c r="R2267">
        <v>4788824</v>
      </c>
    </row>
    <row r="2268" spans="1:18" x14ac:dyDescent="0.25">
      <c r="A2268" s="170">
        <v>45558</v>
      </c>
      <c r="B2268" s="116">
        <v>1040</v>
      </c>
      <c r="C2268" s="116">
        <v>1026.8</v>
      </c>
      <c r="D2268" s="116">
        <v>1017.9</v>
      </c>
      <c r="E2268" s="116">
        <v>1026.6500000000001</v>
      </c>
      <c r="F2268" s="116">
        <v>1026.8</v>
      </c>
      <c r="G2268">
        <v>107990</v>
      </c>
      <c r="H2268" s="116"/>
      <c r="I2268" s="116"/>
      <c r="L2268" s="170">
        <v>45558</v>
      </c>
      <c r="M2268" s="116">
        <v>1025.95</v>
      </c>
      <c r="N2268" s="116">
        <v>1040</v>
      </c>
      <c r="O2268" s="116">
        <v>1017</v>
      </c>
      <c r="P2268" s="116">
        <v>1025.2</v>
      </c>
      <c r="Q2268" s="116">
        <v>1025.95</v>
      </c>
      <c r="R2268">
        <v>2323963</v>
      </c>
    </row>
    <row r="2269" spans="1:18" x14ac:dyDescent="0.25">
      <c r="A2269" s="170">
        <v>45559</v>
      </c>
      <c r="B2269" s="116">
        <v>1067</v>
      </c>
      <c r="C2269" s="116">
        <v>1049.5</v>
      </c>
      <c r="D2269" s="116">
        <v>1021.4</v>
      </c>
      <c r="E2269" s="116">
        <v>1031.95</v>
      </c>
      <c r="F2269" s="116">
        <v>1049.5</v>
      </c>
      <c r="G2269">
        <v>323446</v>
      </c>
      <c r="H2269" s="116"/>
      <c r="I2269" s="116"/>
      <c r="L2269" s="170">
        <v>45559</v>
      </c>
      <c r="M2269" s="116">
        <v>1051.1500000000001</v>
      </c>
      <c r="N2269" s="116">
        <v>1068</v>
      </c>
      <c r="O2269" s="116">
        <v>1021.45</v>
      </c>
      <c r="P2269" s="116">
        <v>1030</v>
      </c>
      <c r="Q2269" s="116">
        <v>1051.1500000000001</v>
      </c>
      <c r="R2269">
        <v>4131050</v>
      </c>
    </row>
    <row r="2270" spans="1:18" x14ac:dyDescent="0.25">
      <c r="A2270" s="170">
        <v>45560</v>
      </c>
      <c r="B2270" s="116">
        <v>1053.3499999999999</v>
      </c>
      <c r="C2270" s="116">
        <v>1045.45</v>
      </c>
      <c r="D2270" s="116">
        <v>1036.9000000000001</v>
      </c>
      <c r="E2270" s="116">
        <v>1051.75</v>
      </c>
      <c r="F2270" s="116">
        <v>1045.45</v>
      </c>
      <c r="G2270">
        <v>42964</v>
      </c>
      <c r="H2270" s="116"/>
      <c r="I2270" s="116"/>
      <c r="L2270" s="170">
        <v>45560</v>
      </c>
      <c r="M2270" s="116">
        <v>1044.2</v>
      </c>
      <c r="N2270" s="116">
        <v>1053.8499999999999</v>
      </c>
      <c r="O2270" s="116">
        <v>1036</v>
      </c>
      <c r="P2270" s="116">
        <v>1049</v>
      </c>
      <c r="Q2270" s="116">
        <v>1044.2</v>
      </c>
      <c r="R2270">
        <v>1091528</v>
      </c>
    </row>
    <row r="2271" spans="1:18" x14ac:dyDescent="0.25">
      <c r="A2271" s="170">
        <v>45561</v>
      </c>
      <c r="B2271" s="116">
        <v>1048.8</v>
      </c>
      <c r="C2271" s="116">
        <v>1036.45</v>
      </c>
      <c r="D2271" s="116">
        <v>1033.1500000000001</v>
      </c>
      <c r="E2271" s="116">
        <v>1040.1500000000001</v>
      </c>
      <c r="F2271" s="116">
        <v>1036.45</v>
      </c>
      <c r="G2271">
        <v>86366</v>
      </c>
      <c r="H2271" s="116"/>
      <c r="I2271" s="116"/>
      <c r="L2271" s="170">
        <v>45561</v>
      </c>
      <c r="M2271" s="116">
        <v>1036.7</v>
      </c>
      <c r="N2271" s="116">
        <v>1049.4000000000001</v>
      </c>
      <c r="O2271" s="116">
        <v>1033</v>
      </c>
      <c r="P2271" s="116">
        <v>1045</v>
      </c>
      <c r="Q2271" s="116">
        <v>1036.7</v>
      </c>
      <c r="R2271">
        <v>641975</v>
      </c>
    </row>
    <row r="2272" spans="1:18" x14ac:dyDescent="0.25">
      <c r="A2272" s="170">
        <v>45562</v>
      </c>
      <c r="B2272" s="116">
        <v>1055.8499999999999</v>
      </c>
      <c r="C2272" s="116">
        <v>1013.5</v>
      </c>
      <c r="D2272" s="116">
        <v>1002.75</v>
      </c>
      <c r="E2272" s="116">
        <v>1040.5999999999999</v>
      </c>
      <c r="F2272" s="116">
        <v>1013.5</v>
      </c>
      <c r="G2272">
        <v>69927</v>
      </c>
      <c r="H2272" s="116"/>
      <c r="I2272" s="116"/>
      <c r="L2272" s="170">
        <v>45562</v>
      </c>
      <c r="M2272" s="116">
        <v>1010.2</v>
      </c>
      <c r="N2272" s="116">
        <v>1056</v>
      </c>
      <c r="O2272" s="116">
        <v>1001.05</v>
      </c>
      <c r="P2272" s="116">
        <v>1036.0999999999999</v>
      </c>
      <c r="Q2272" s="116">
        <v>1010.2</v>
      </c>
      <c r="R2272">
        <v>1537355</v>
      </c>
    </row>
    <row r="2273" spans="1:18" x14ac:dyDescent="0.25">
      <c r="A2273" s="170">
        <v>45565</v>
      </c>
      <c r="B2273" s="116">
        <v>1018.75</v>
      </c>
      <c r="C2273" s="116">
        <v>1009.65</v>
      </c>
      <c r="D2273" s="116">
        <v>994</v>
      </c>
      <c r="E2273" s="116">
        <v>1018.75</v>
      </c>
      <c r="F2273" s="116">
        <v>1009.65</v>
      </c>
      <c r="G2273">
        <v>109641</v>
      </c>
      <c r="H2273" s="116"/>
      <c r="I2273" s="116"/>
      <c r="L2273" s="170">
        <v>45565</v>
      </c>
      <c r="M2273" s="116">
        <v>1009.65</v>
      </c>
      <c r="N2273" s="116">
        <v>1018.7</v>
      </c>
      <c r="O2273" s="116">
        <v>994</v>
      </c>
      <c r="P2273" s="116">
        <v>1009.9</v>
      </c>
      <c r="Q2273" s="116">
        <v>1009.65</v>
      </c>
      <c r="R2273">
        <v>1170771</v>
      </c>
    </row>
    <row r="2274" spans="1:18" x14ac:dyDescent="0.25">
      <c r="A2274" s="170">
        <v>45566</v>
      </c>
      <c r="B2274" s="116">
        <v>1053</v>
      </c>
      <c r="C2274" s="116">
        <v>1040.75</v>
      </c>
      <c r="D2274" s="116">
        <v>1009.65</v>
      </c>
      <c r="E2274" s="116">
        <v>1010.05</v>
      </c>
      <c r="F2274" s="116">
        <v>1040.75</v>
      </c>
      <c r="G2274">
        <v>282299</v>
      </c>
      <c r="H2274" s="116"/>
      <c r="I2274" s="116"/>
      <c r="L2274" s="170">
        <v>45566</v>
      </c>
      <c r="M2274" s="116">
        <v>1040.0999999999999</v>
      </c>
      <c r="N2274" s="116">
        <v>1053.45</v>
      </c>
      <c r="O2274" s="116">
        <v>1010</v>
      </c>
      <c r="P2274" s="116">
        <v>1013.95</v>
      </c>
      <c r="Q2274" s="116">
        <v>1040.0999999999999</v>
      </c>
      <c r="R2274">
        <v>4058979</v>
      </c>
    </row>
    <row r="2275" spans="1:18" x14ac:dyDescent="0.25">
      <c r="A2275" s="170">
        <v>45568</v>
      </c>
      <c r="B2275" s="116">
        <v>1039</v>
      </c>
      <c r="C2275" s="116">
        <v>1016.2</v>
      </c>
      <c r="D2275" s="116">
        <v>1010.3</v>
      </c>
      <c r="E2275" s="116">
        <v>1020.75</v>
      </c>
      <c r="F2275" s="116">
        <v>1016.2</v>
      </c>
      <c r="G2275">
        <v>152168</v>
      </c>
      <c r="H2275" s="116"/>
      <c r="I2275" s="116"/>
      <c r="L2275" s="170">
        <v>45568</v>
      </c>
      <c r="M2275" s="116">
        <v>1015.85</v>
      </c>
      <c r="N2275" s="116">
        <v>1039.7</v>
      </c>
      <c r="O2275" s="116">
        <v>1010</v>
      </c>
      <c r="P2275" s="116">
        <v>1023.8</v>
      </c>
      <c r="Q2275" s="116">
        <v>1015.85</v>
      </c>
      <c r="R2275">
        <v>983956</v>
      </c>
    </row>
    <row r="2276" spans="1:18" x14ac:dyDescent="0.25">
      <c r="A2276" s="170">
        <v>45569</v>
      </c>
      <c r="B2276" s="116">
        <v>1021.05</v>
      </c>
      <c r="C2276" s="116">
        <v>963.45</v>
      </c>
      <c r="D2276" s="116">
        <v>956</v>
      </c>
      <c r="E2276" s="116">
        <v>1015</v>
      </c>
      <c r="F2276" s="116">
        <v>963.45</v>
      </c>
      <c r="G2276">
        <v>366682</v>
      </c>
      <c r="H2276" s="116"/>
      <c r="I2276" s="116"/>
      <c r="L2276" s="170">
        <v>45569</v>
      </c>
      <c r="M2276" s="116">
        <v>962.75</v>
      </c>
      <c r="N2276" s="116">
        <v>1020.5</v>
      </c>
      <c r="O2276" s="116">
        <v>955</v>
      </c>
      <c r="P2276" s="116">
        <v>1016</v>
      </c>
      <c r="Q2276" s="116">
        <v>962.75</v>
      </c>
      <c r="R2276">
        <v>5174616</v>
      </c>
    </row>
    <row r="2277" spans="1:18" x14ac:dyDescent="0.25">
      <c r="A2277" s="170">
        <v>45572</v>
      </c>
      <c r="B2277" s="116">
        <v>982.4</v>
      </c>
      <c r="C2277" s="116">
        <v>932.9</v>
      </c>
      <c r="D2277" s="116">
        <v>921</v>
      </c>
      <c r="E2277" s="116">
        <v>977.95</v>
      </c>
      <c r="F2277" s="116">
        <v>932.9</v>
      </c>
      <c r="G2277">
        <v>327457</v>
      </c>
      <c r="H2277" s="116"/>
      <c r="I2277" s="116"/>
      <c r="L2277" s="170">
        <v>45572</v>
      </c>
      <c r="M2277" s="116">
        <v>934.2</v>
      </c>
      <c r="N2277" s="116">
        <v>982.7</v>
      </c>
      <c r="O2277" s="116">
        <v>920.8</v>
      </c>
      <c r="P2277" s="116">
        <v>976</v>
      </c>
      <c r="Q2277" s="116">
        <v>934.2</v>
      </c>
      <c r="R2277">
        <v>4321395</v>
      </c>
    </row>
    <row r="2278" spans="1:18" x14ac:dyDescent="0.25">
      <c r="A2278" s="170">
        <v>45573</v>
      </c>
      <c r="B2278" s="116">
        <v>1009.95</v>
      </c>
      <c r="C2278" s="116">
        <v>1007.45</v>
      </c>
      <c r="D2278" s="116">
        <v>915.95</v>
      </c>
      <c r="E2278" s="116">
        <v>934.95</v>
      </c>
      <c r="F2278" s="116">
        <v>1007.45</v>
      </c>
      <c r="G2278">
        <v>182895</v>
      </c>
      <c r="H2278" s="116"/>
      <c r="I2278" s="116"/>
      <c r="L2278" s="170">
        <v>45573</v>
      </c>
      <c r="M2278" s="116">
        <v>1007.3</v>
      </c>
      <c r="N2278" s="116">
        <v>1010</v>
      </c>
      <c r="O2278" s="116">
        <v>915</v>
      </c>
      <c r="P2278" s="116">
        <v>931</v>
      </c>
      <c r="Q2278" s="116">
        <v>1007.3</v>
      </c>
      <c r="R2278">
        <v>4982440</v>
      </c>
    </row>
    <row r="2279" spans="1:18" x14ac:dyDescent="0.25">
      <c r="A2279" s="170">
        <v>45574</v>
      </c>
      <c r="B2279" s="116">
        <v>1016</v>
      </c>
      <c r="C2279" s="116">
        <v>982.5</v>
      </c>
      <c r="D2279" s="116">
        <v>980</v>
      </c>
      <c r="E2279" s="116">
        <v>1016</v>
      </c>
      <c r="F2279" s="116">
        <v>982.5</v>
      </c>
      <c r="G2279">
        <v>132154</v>
      </c>
      <c r="H2279" s="116"/>
      <c r="I2279" s="116"/>
      <c r="L2279" s="170">
        <v>45574</v>
      </c>
      <c r="M2279" s="116">
        <v>983.3</v>
      </c>
      <c r="N2279" s="116">
        <v>1017.45</v>
      </c>
      <c r="O2279" s="116">
        <v>980.5</v>
      </c>
      <c r="P2279" s="116">
        <v>1015.8</v>
      </c>
      <c r="Q2279" s="116">
        <v>983.3</v>
      </c>
      <c r="R2279">
        <v>1752790</v>
      </c>
    </row>
    <row r="2280" spans="1:18" x14ac:dyDescent="0.25">
      <c r="A2280" s="170">
        <v>45575</v>
      </c>
      <c r="B2280" s="116">
        <v>1000.35</v>
      </c>
      <c r="C2280" s="116">
        <v>992.95</v>
      </c>
      <c r="D2280" s="116">
        <v>964</v>
      </c>
      <c r="E2280" s="116">
        <v>992.05</v>
      </c>
      <c r="F2280" s="116">
        <v>992.95</v>
      </c>
      <c r="G2280">
        <v>70351</v>
      </c>
      <c r="H2280" s="116"/>
      <c r="I2280" s="116"/>
      <c r="L2280" s="170">
        <v>45575</v>
      </c>
      <c r="M2280" s="116">
        <v>989.85</v>
      </c>
      <c r="N2280" s="116">
        <v>1001.6</v>
      </c>
      <c r="O2280" s="116">
        <v>963.6</v>
      </c>
      <c r="P2280" s="116">
        <v>992.95</v>
      </c>
      <c r="Q2280" s="116">
        <v>989.85</v>
      </c>
      <c r="R2280">
        <v>1981159</v>
      </c>
    </row>
    <row r="2281" spans="1:18" x14ac:dyDescent="0.25">
      <c r="A2281" s="170">
        <v>45576</v>
      </c>
      <c r="B2281" s="116">
        <v>999</v>
      </c>
      <c r="C2281" s="116">
        <v>977</v>
      </c>
      <c r="D2281" s="116">
        <v>975</v>
      </c>
      <c r="E2281" s="116">
        <v>997</v>
      </c>
      <c r="F2281" s="116">
        <v>977</v>
      </c>
      <c r="G2281">
        <v>85558</v>
      </c>
      <c r="H2281" s="116"/>
      <c r="I2281" s="116"/>
      <c r="L2281" s="170">
        <v>45576</v>
      </c>
      <c r="M2281" s="116">
        <v>976.8</v>
      </c>
      <c r="N2281" s="116">
        <v>999.05</v>
      </c>
      <c r="O2281" s="116">
        <v>974.7</v>
      </c>
      <c r="P2281" s="116">
        <v>997.9</v>
      </c>
      <c r="Q2281" s="116">
        <v>976.8</v>
      </c>
      <c r="R2281">
        <v>1055225</v>
      </c>
    </row>
    <row r="2282" spans="1:18" x14ac:dyDescent="0.25">
      <c r="A2282" s="170">
        <v>45579</v>
      </c>
      <c r="B2282" s="116">
        <v>1014.95</v>
      </c>
      <c r="C2282" s="116">
        <v>980.75</v>
      </c>
      <c r="D2282" s="116">
        <v>977.2</v>
      </c>
      <c r="E2282" s="116">
        <v>993.4</v>
      </c>
      <c r="F2282" s="116">
        <v>980.75</v>
      </c>
      <c r="G2282">
        <v>152126</v>
      </c>
      <c r="H2282" s="116"/>
      <c r="I2282" s="116"/>
      <c r="L2282" s="170">
        <v>45579</v>
      </c>
      <c r="M2282" s="116">
        <v>982.4</v>
      </c>
      <c r="N2282" s="116">
        <v>1014.8</v>
      </c>
      <c r="O2282" s="116">
        <v>977.1</v>
      </c>
      <c r="P2282" s="116">
        <v>994</v>
      </c>
      <c r="Q2282" s="116">
        <v>982.4</v>
      </c>
      <c r="R2282">
        <v>1363315</v>
      </c>
    </row>
    <row r="2283" spans="1:18" x14ac:dyDescent="0.25">
      <c r="A2283" s="170">
        <v>45580</v>
      </c>
      <c r="B2283" s="116">
        <v>1010</v>
      </c>
      <c r="C2283" s="116">
        <v>1004.15</v>
      </c>
      <c r="D2283" s="116">
        <v>974.5</v>
      </c>
      <c r="E2283" s="116">
        <v>982.4</v>
      </c>
      <c r="F2283" s="116">
        <v>1004.15</v>
      </c>
      <c r="G2283">
        <v>47937</v>
      </c>
      <c r="H2283" s="116"/>
      <c r="I2283" s="116"/>
      <c r="L2283" s="170">
        <v>45580</v>
      </c>
      <c r="M2283" s="116">
        <v>1004.7</v>
      </c>
      <c r="N2283" s="116">
        <v>1009</v>
      </c>
      <c r="O2283" s="116">
        <v>974.05</v>
      </c>
      <c r="P2283" s="116">
        <v>984.85</v>
      </c>
      <c r="Q2283" s="116">
        <v>1004.7</v>
      </c>
      <c r="R2283">
        <v>2474266</v>
      </c>
    </row>
    <row r="2284" spans="1:18" x14ac:dyDescent="0.25">
      <c r="A2284" s="170">
        <v>45581</v>
      </c>
      <c r="B2284" s="116">
        <v>1038.3</v>
      </c>
      <c r="C2284" s="116">
        <v>1033.1500000000001</v>
      </c>
      <c r="D2284" s="116">
        <v>1004.25</v>
      </c>
      <c r="E2284" s="116">
        <v>1009</v>
      </c>
      <c r="F2284" s="116">
        <v>1033.1500000000001</v>
      </c>
      <c r="G2284">
        <v>108684</v>
      </c>
      <c r="H2284" s="116"/>
      <c r="I2284" s="116"/>
      <c r="L2284" s="170">
        <v>45581</v>
      </c>
      <c r="M2284" s="116">
        <v>1032.6500000000001</v>
      </c>
      <c r="N2284" s="116">
        <v>1038.3499999999999</v>
      </c>
      <c r="O2284" s="116">
        <v>1003.2</v>
      </c>
      <c r="P2284" s="116">
        <v>1010.75</v>
      </c>
      <c r="Q2284" s="116">
        <v>1032.6500000000001</v>
      </c>
      <c r="R2284">
        <v>3045843</v>
      </c>
    </row>
    <row r="2285" spans="1:18" x14ac:dyDescent="0.25">
      <c r="A2285" s="170">
        <v>45582</v>
      </c>
      <c r="B2285" s="116">
        <v>1036.25</v>
      </c>
      <c r="C2285" s="116">
        <v>1020.6</v>
      </c>
      <c r="D2285" s="116">
        <v>1013.2</v>
      </c>
      <c r="E2285" s="116">
        <v>1031.95</v>
      </c>
      <c r="F2285" s="116">
        <v>1020.6</v>
      </c>
      <c r="G2285">
        <v>102408</v>
      </c>
      <c r="H2285" s="116"/>
      <c r="I2285" s="116"/>
      <c r="L2285" s="170">
        <v>45582</v>
      </c>
      <c r="M2285" s="116">
        <v>1021.65</v>
      </c>
      <c r="N2285" s="116">
        <v>1036.8499999999999</v>
      </c>
      <c r="O2285" s="116">
        <v>1015</v>
      </c>
      <c r="P2285" s="116">
        <v>1027.05</v>
      </c>
      <c r="Q2285" s="116">
        <v>1021.65</v>
      </c>
      <c r="R2285">
        <v>1487254</v>
      </c>
    </row>
    <row r="2286" spans="1:18" x14ac:dyDescent="0.25">
      <c r="A2286" s="170">
        <v>45583</v>
      </c>
      <c r="B2286" s="116">
        <v>1048.3</v>
      </c>
      <c r="C2286" s="116">
        <v>1044.8</v>
      </c>
      <c r="D2286" s="116">
        <v>1005</v>
      </c>
      <c r="E2286" s="116">
        <v>1020.55</v>
      </c>
      <c r="F2286" s="116">
        <v>1044.8</v>
      </c>
      <c r="G2286">
        <v>69440</v>
      </c>
      <c r="H2286" s="116"/>
      <c r="I2286" s="116"/>
      <c r="L2286" s="170">
        <v>45583</v>
      </c>
      <c r="M2286" s="116">
        <v>1043.3</v>
      </c>
      <c r="N2286" s="116">
        <v>1046</v>
      </c>
      <c r="O2286" s="116">
        <v>1004</v>
      </c>
      <c r="P2286" s="116">
        <v>1015.55</v>
      </c>
      <c r="Q2286" s="116">
        <v>1043.3</v>
      </c>
      <c r="R2286">
        <v>2162032</v>
      </c>
    </row>
    <row r="2287" spans="1:18" x14ac:dyDescent="0.25">
      <c r="A2287" s="170">
        <v>45586</v>
      </c>
      <c r="B2287" s="116">
        <v>1048.2</v>
      </c>
      <c r="C2287" s="116">
        <v>1017.45</v>
      </c>
      <c r="D2287" s="116">
        <v>1007.55</v>
      </c>
      <c r="E2287" s="116">
        <v>1042.05</v>
      </c>
      <c r="F2287" s="116">
        <v>1017.45</v>
      </c>
      <c r="G2287">
        <v>83064</v>
      </c>
      <c r="H2287" s="116"/>
      <c r="I2287" s="116"/>
      <c r="L2287" s="170">
        <v>45586</v>
      </c>
      <c r="M2287" s="116">
        <v>1017.55</v>
      </c>
      <c r="N2287" s="116">
        <v>1048.7</v>
      </c>
      <c r="O2287" s="116">
        <v>1008</v>
      </c>
      <c r="P2287" s="116">
        <v>1043.3</v>
      </c>
      <c r="Q2287" s="116">
        <v>1017.55</v>
      </c>
      <c r="R2287">
        <v>799922</v>
      </c>
    </row>
    <row r="2288" spans="1:18" x14ac:dyDescent="0.25">
      <c r="A2288" s="170">
        <v>45587</v>
      </c>
      <c r="B2288" s="116">
        <v>1043.5999999999999</v>
      </c>
      <c r="C2288" s="116">
        <v>1012.55</v>
      </c>
      <c r="D2288" s="116">
        <v>988</v>
      </c>
      <c r="E2288" s="116">
        <v>1011.05</v>
      </c>
      <c r="F2288" s="116">
        <v>1012.55</v>
      </c>
      <c r="G2288">
        <v>156705</v>
      </c>
      <c r="H2288" s="116"/>
      <c r="I2288" s="116"/>
      <c r="L2288" s="170">
        <v>45587</v>
      </c>
      <c r="M2288" s="116">
        <v>1009.85</v>
      </c>
      <c r="N2288" s="116">
        <v>1043.4000000000001</v>
      </c>
      <c r="O2288" s="116">
        <v>987</v>
      </c>
      <c r="P2288" s="116">
        <v>1017.5</v>
      </c>
      <c r="Q2288" s="116">
        <v>1009.85</v>
      </c>
      <c r="R2288">
        <v>3785445</v>
      </c>
    </row>
    <row r="2289" spans="1:18" x14ac:dyDescent="0.25">
      <c r="A2289" s="170">
        <v>45588</v>
      </c>
      <c r="B2289" s="116">
        <v>1009.95</v>
      </c>
      <c r="C2289" s="116">
        <v>981.9</v>
      </c>
      <c r="D2289" s="116">
        <v>965.75</v>
      </c>
      <c r="E2289" s="116">
        <v>1009.95</v>
      </c>
      <c r="F2289" s="116">
        <v>981.9</v>
      </c>
      <c r="G2289">
        <v>247429</v>
      </c>
      <c r="H2289" s="116"/>
      <c r="I2289" s="116"/>
      <c r="L2289" s="170">
        <v>45588</v>
      </c>
      <c r="M2289" s="116">
        <v>981.6</v>
      </c>
      <c r="N2289" s="116">
        <v>1008.95</v>
      </c>
      <c r="O2289" s="116">
        <v>965.4</v>
      </c>
      <c r="P2289" s="116">
        <v>1008.95</v>
      </c>
      <c r="Q2289" s="116">
        <v>981.6</v>
      </c>
      <c r="R2289">
        <v>3268890</v>
      </c>
    </row>
    <row r="2290" spans="1:18" x14ac:dyDescent="0.25">
      <c r="A2290" s="170">
        <v>45589</v>
      </c>
      <c r="B2290" s="116">
        <v>988.4</v>
      </c>
      <c r="C2290" s="116">
        <v>975.7</v>
      </c>
      <c r="D2290" s="116">
        <v>968.75</v>
      </c>
      <c r="E2290" s="116">
        <v>981.9</v>
      </c>
      <c r="F2290" s="116">
        <v>975.7</v>
      </c>
      <c r="G2290">
        <v>123446</v>
      </c>
      <c r="H2290" s="116"/>
      <c r="I2290" s="116"/>
      <c r="L2290" s="170">
        <v>45589</v>
      </c>
      <c r="M2290" s="116">
        <v>976.35</v>
      </c>
      <c r="N2290" s="116">
        <v>988.5</v>
      </c>
      <c r="O2290" s="116">
        <v>969</v>
      </c>
      <c r="P2290" s="116">
        <v>981.9</v>
      </c>
      <c r="Q2290" s="116">
        <v>976.35</v>
      </c>
      <c r="R2290">
        <v>1904115</v>
      </c>
    </row>
    <row r="2291" spans="1:18" x14ac:dyDescent="0.25">
      <c r="A2291" s="170">
        <v>45590</v>
      </c>
      <c r="B2291" s="116">
        <v>976.15</v>
      </c>
      <c r="C2291" s="116">
        <v>920.15</v>
      </c>
      <c r="D2291" s="116">
        <v>913.1</v>
      </c>
      <c r="E2291" s="116">
        <v>975</v>
      </c>
      <c r="F2291" s="116">
        <v>920.15</v>
      </c>
      <c r="G2291">
        <v>71924</v>
      </c>
      <c r="H2291" s="116"/>
      <c r="I2291" s="116"/>
      <c r="L2291" s="170">
        <v>45590</v>
      </c>
      <c r="M2291" s="116">
        <v>919.35</v>
      </c>
      <c r="N2291" s="116">
        <v>975.75</v>
      </c>
      <c r="O2291" s="116">
        <v>905.1</v>
      </c>
      <c r="P2291" s="116">
        <v>975</v>
      </c>
      <c r="Q2291" s="116">
        <v>919.35</v>
      </c>
      <c r="R2291">
        <v>1689777</v>
      </c>
    </row>
    <row r="2292" spans="1:18" x14ac:dyDescent="0.25">
      <c r="A2292" s="170">
        <v>45593</v>
      </c>
      <c r="B2292" s="116">
        <v>961.75</v>
      </c>
      <c r="C2292" s="116">
        <v>938.25</v>
      </c>
      <c r="D2292" s="116">
        <v>891.1</v>
      </c>
      <c r="E2292" s="116">
        <v>920.2</v>
      </c>
      <c r="F2292" s="116">
        <v>938.25</v>
      </c>
      <c r="G2292">
        <v>200378</v>
      </c>
      <c r="H2292" s="116"/>
      <c r="I2292" s="116"/>
      <c r="L2292" s="170">
        <v>45593</v>
      </c>
      <c r="M2292" s="116">
        <v>940</v>
      </c>
      <c r="N2292" s="116">
        <v>961.85</v>
      </c>
      <c r="O2292" s="116">
        <v>891.05</v>
      </c>
      <c r="P2292" s="116">
        <v>924.95</v>
      </c>
      <c r="Q2292" s="116">
        <v>940</v>
      </c>
      <c r="R2292">
        <v>2004705</v>
      </c>
    </row>
    <row r="2293" spans="1:18" x14ac:dyDescent="0.25">
      <c r="A2293" s="170">
        <v>45594</v>
      </c>
      <c r="B2293" s="116">
        <v>949.15</v>
      </c>
      <c r="C2293" s="116">
        <v>930.45</v>
      </c>
      <c r="D2293" s="116">
        <v>917.55</v>
      </c>
      <c r="E2293" s="116">
        <v>949</v>
      </c>
      <c r="F2293" s="116">
        <v>930.45</v>
      </c>
      <c r="G2293">
        <v>60539</v>
      </c>
      <c r="H2293" s="116"/>
      <c r="I2293" s="116"/>
      <c r="L2293" s="170">
        <v>45594</v>
      </c>
      <c r="M2293" s="116">
        <v>930.6</v>
      </c>
      <c r="N2293" s="116">
        <v>950.05</v>
      </c>
      <c r="O2293" s="116">
        <v>917.05</v>
      </c>
      <c r="P2293" s="116">
        <v>950</v>
      </c>
      <c r="Q2293" s="116">
        <v>930.6</v>
      </c>
      <c r="R2293">
        <v>2125174</v>
      </c>
    </row>
    <row r="2294" spans="1:18" x14ac:dyDescent="0.25">
      <c r="A2294" s="170">
        <v>45595</v>
      </c>
      <c r="B2294" s="116">
        <v>963.45</v>
      </c>
      <c r="C2294" s="116">
        <v>946.15</v>
      </c>
      <c r="D2294" s="116">
        <v>918</v>
      </c>
      <c r="E2294" s="116">
        <v>930.65</v>
      </c>
      <c r="F2294" s="116">
        <v>946.15</v>
      </c>
      <c r="G2294">
        <v>56676</v>
      </c>
      <c r="H2294" s="116"/>
      <c r="I2294" s="116"/>
      <c r="L2294" s="170">
        <v>45595</v>
      </c>
      <c r="M2294" s="116">
        <v>945.9</v>
      </c>
      <c r="N2294" s="116">
        <v>963.5</v>
      </c>
      <c r="O2294" s="116">
        <v>917.55</v>
      </c>
      <c r="P2294" s="116">
        <v>930</v>
      </c>
      <c r="Q2294" s="116">
        <v>945.9</v>
      </c>
      <c r="R2294">
        <v>1785038</v>
      </c>
    </row>
    <row r="2295" spans="1:18" x14ac:dyDescent="0.25">
      <c r="A2295" s="170">
        <v>45596</v>
      </c>
      <c r="B2295" s="116">
        <v>979.85</v>
      </c>
      <c r="C2295" s="116">
        <v>975.7</v>
      </c>
      <c r="D2295" s="116">
        <v>945.85</v>
      </c>
      <c r="E2295" s="116">
        <v>945.85</v>
      </c>
      <c r="F2295" s="116">
        <v>975.7</v>
      </c>
      <c r="G2295">
        <v>138046</v>
      </c>
      <c r="H2295" s="116"/>
      <c r="I2295" s="116"/>
      <c r="L2295" s="170">
        <v>45596</v>
      </c>
      <c r="M2295" s="116">
        <v>976.2</v>
      </c>
      <c r="N2295" s="116">
        <v>980</v>
      </c>
      <c r="O2295" s="116">
        <v>942</v>
      </c>
      <c r="P2295" s="116">
        <v>943</v>
      </c>
      <c r="Q2295" s="116">
        <v>976.2</v>
      </c>
      <c r="R2295">
        <v>1546658</v>
      </c>
    </row>
    <row r="2296" spans="1:18" x14ac:dyDescent="0.25">
      <c r="A2296" s="170">
        <v>45597</v>
      </c>
      <c r="B2296" s="116">
        <v>989.95</v>
      </c>
      <c r="C2296" s="116">
        <v>976.55</v>
      </c>
      <c r="D2296" s="116">
        <v>970.15</v>
      </c>
      <c r="E2296" s="116">
        <v>989.95</v>
      </c>
      <c r="F2296" s="116">
        <v>976.55</v>
      </c>
      <c r="G2296">
        <v>18007</v>
      </c>
      <c r="H2296" s="116"/>
      <c r="I2296" s="116"/>
      <c r="L2296" s="170">
        <v>45597</v>
      </c>
      <c r="M2296" s="116">
        <v>978.75</v>
      </c>
      <c r="N2296" s="116">
        <v>990</v>
      </c>
      <c r="O2296" s="116">
        <v>970.1</v>
      </c>
      <c r="P2296" s="116">
        <v>981.85</v>
      </c>
      <c r="Q2296" s="116">
        <v>978.75</v>
      </c>
      <c r="R2296">
        <v>143996</v>
      </c>
    </row>
    <row r="2297" spans="1:18" x14ac:dyDescent="0.25">
      <c r="A2297" s="170">
        <v>45600</v>
      </c>
      <c r="B2297" s="116">
        <v>983.95</v>
      </c>
      <c r="C2297" s="116">
        <v>965.4</v>
      </c>
      <c r="D2297" s="116">
        <v>961.65</v>
      </c>
      <c r="E2297" s="116">
        <v>983.95</v>
      </c>
      <c r="F2297" s="116">
        <v>965.4</v>
      </c>
      <c r="G2297">
        <v>30592</v>
      </c>
      <c r="H2297" s="116"/>
      <c r="I2297" s="116"/>
      <c r="L2297" s="170">
        <v>45600</v>
      </c>
      <c r="M2297" s="116">
        <v>964.8</v>
      </c>
      <c r="N2297" s="116">
        <v>979.9</v>
      </c>
      <c r="O2297" s="116">
        <v>961.2</v>
      </c>
      <c r="P2297" s="116">
        <v>978.95</v>
      </c>
      <c r="Q2297" s="116">
        <v>964.8</v>
      </c>
      <c r="R2297">
        <v>773086</v>
      </c>
    </row>
    <row r="2298" spans="1:18" x14ac:dyDescent="0.25">
      <c r="A2298" s="170">
        <v>45601</v>
      </c>
      <c r="B2298" s="116">
        <v>1024.6500000000001</v>
      </c>
      <c r="C2298" s="116">
        <v>1014.65</v>
      </c>
      <c r="D2298" s="116">
        <v>957</v>
      </c>
      <c r="E2298" s="116">
        <v>964.85</v>
      </c>
      <c r="F2298" s="116">
        <v>1014.65</v>
      </c>
      <c r="G2298">
        <v>984540</v>
      </c>
      <c r="H2298" s="116"/>
      <c r="I2298" s="116"/>
      <c r="L2298" s="170">
        <v>45601</v>
      </c>
      <c r="M2298" s="116">
        <v>1015</v>
      </c>
      <c r="N2298" s="116">
        <v>1024.9000000000001</v>
      </c>
      <c r="O2298" s="116">
        <v>956.35</v>
      </c>
      <c r="P2298" s="116">
        <v>968.9</v>
      </c>
      <c r="Q2298" s="116">
        <v>1015</v>
      </c>
      <c r="R2298">
        <v>2100961</v>
      </c>
    </row>
    <row r="2299" spans="1:18" x14ac:dyDescent="0.25">
      <c r="A2299" s="170">
        <v>45602</v>
      </c>
      <c r="B2299" s="116">
        <v>1090.6500000000001</v>
      </c>
      <c r="C2299" s="116">
        <v>1075.3</v>
      </c>
      <c r="D2299" s="116">
        <v>1009.75</v>
      </c>
      <c r="E2299" s="116">
        <v>1019.75</v>
      </c>
      <c r="F2299" s="116">
        <v>1075.3</v>
      </c>
      <c r="G2299">
        <v>211375</v>
      </c>
      <c r="H2299" s="116"/>
      <c r="I2299" s="116"/>
      <c r="L2299" s="170">
        <v>45602</v>
      </c>
      <c r="M2299" s="116">
        <v>1076.3</v>
      </c>
      <c r="N2299" s="116">
        <v>1090.95</v>
      </c>
      <c r="O2299" s="116">
        <v>1009</v>
      </c>
      <c r="P2299" s="116">
        <v>1015</v>
      </c>
      <c r="Q2299" s="116">
        <v>1076.3</v>
      </c>
      <c r="R2299">
        <v>5200238</v>
      </c>
    </row>
    <row r="2300" spans="1:18" x14ac:dyDescent="0.25">
      <c r="A2300" s="170">
        <v>45603</v>
      </c>
      <c r="B2300" s="116">
        <v>1014.95</v>
      </c>
      <c r="C2300" s="116">
        <v>963.8</v>
      </c>
      <c r="D2300" s="116">
        <v>956.2</v>
      </c>
      <c r="E2300" s="116">
        <v>1014.95</v>
      </c>
      <c r="F2300" s="116">
        <v>963.8</v>
      </c>
      <c r="G2300">
        <v>495019</v>
      </c>
      <c r="H2300" s="116"/>
      <c r="I2300" s="116"/>
      <c r="L2300" s="170">
        <v>45603</v>
      </c>
      <c r="M2300" s="116">
        <v>964.05</v>
      </c>
      <c r="N2300" s="116">
        <v>1015</v>
      </c>
      <c r="O2300" s="116">
        <v>956.3</v>
      </c>
      <c r="P2300" s="116">
        <v>1006.2</v>
      </c>
      <c r="Q2300" s="116">
        <v>964.05</v>
      </c>
      <c r="R2300">
        <v>10230730</v>
      </c>
    </row>
    <row r="2301" spans="1:18" x14ac:dyDescent="0.25">
      <c r="A2301" s="170">
        <v>45604</v>
      </c>
      <c r="B2301" s="116">
        <v>973.6</v>
      </c>
      <c r="C2301" s="116">
        <v>935.75</v>
      </c>
      <c r="D2301" s="116">
        <v>934</v>
      </c>
      <c r="E2301" s="116">
        <v>966.85</v>
      </c>
      <c r="F2301" s="116">
        <v>935.75</v>
      </c>
      <c r="G2301">
        <v>132655</v>
      </c>
      <c r="H2301" s="116"/>
      <c r="I2301" s="116"/>
      <c r="L2301" s="170">
        <v>45604</v>
      </c>
      <c r="M2301" s="116">
        <v>936.25</v>
      </c>
      <c r="N2301" s="116">
        <v>973.85</v>
      </c>
      <c r="O2301" s="116">
        <v>934</v>
      </c>
      <c r="P2301" s="116">
        <v>965</v>
      </c>
      <c r="Q2301" s="116">
        <v>936.25</v>
      </c>
      <c r="R2301">
        <v>2473648</v>
      </c>
    </row>
    <row r="2302" spans="1:18" x14ac:dyDescent="0.25">
      <c r="A2302" s="170">
        <v>45607</v>
      </c>
      <c r="B2302" s="116">
        <v>938</v>
      </c>
      <c r="C2302" s="116">
        <v>902.1</v>
      </c>
      <c r="D2302" s="116">
        <v>898</v>
      </c>
      <c r="E2302" s="116">
        <v>935.95</v>
      </c>
      <c r="F2302" s="116">
        <v>902.1</v>
      </c>
      <c r="G2302">
        <v>192046</v>
      </c>
      <c r="H2302" s="116"/>
      <c r="I2302" s="116"/>
      <c r="L2302" s="170">
        <v>45607</v>
      </c>
      <c r="M2302" s="116">
        <v>901.95</v>
      </c>
      <c r="N2302" s="116">
        <v>937.05</v>
      </c>
      <c r="O2302" s="116">
        <v>897</v>
      </c>
      <c r="P2302" s="116">
        <v>936.25</v>
      </c>
      <c r="Q2302" s="116">
        <v>901.95</v>
      </c>
      <c r="R2302">
        <v>3421527</v>
      </c>
    </row>
    <row r="2303" spans="1:18" x14ac:dyDescent="0.25">
      <c r="A2303" s="170">
        <v>45608</v>
      </c>
      <c r="B2303" s="116">
        <v>937.45</v>
      </c>
      <c r="C2303" s="116">
        <v>923.4</v>
      </c>
      <c r="D2303" s="116">
        <v>901.9</v>
      </c>
      <c r="E2303" s="116">
        <v>908.4</v>
      </c>
      <c r="F2303" s="116">
        <v>923.4</v>
      </c>
      <c r="G2303">
        <v>261255</v>
      </c>
      <c r="H2303" s="116"/>
      <c r="I2303" s="116"/>
      <c r="L2303" s="170">
        <v>45608</v>
      </c>
      <c r="M2303" s="116">
        <v>924.05</v>
      </c>
      <c r="N2303" s="116">
        <v>937.95</v>
      </c>
      <c r="O2303" s="116">
        <v>901.55</v>
      </c>
      <c r="P2303" s="116">
        <v>903.6</v>
      </c>
      <c r="Q2303" s="116">
        <v>924.05</v>
      </c>
      <c r="R2303">
        <v>3720874</v>
      </c>
    </row>
    <row r="2304" spans="1:18" x14ac:dyDescent="0.25">
      <c r="A2304" s="170">
        <v>45609</v>
      </c>
      <c r="B2304" s="116">
        <v>937.1</v>
      </c>
      <c r="C2304" s="116">
        <v>889.8</v>
      </c>
      <c r="D2304" s="116">
        <v>885.3</v>
      </c>
      <c r="E2304" s="116">
        <v>922.45</v>
      </c>
      <c r="F2304" s="116">
        <v>889.8</v>
      </c>
      <c r="G2304">
        <v>93467</v>
      </c>
      <c r="H2304" s="116"/>
      <c r="I2304" s="116"/>
      <c r="L2304" s="170">
        <v>45609</v>
      </c>
      <c r="M2304" s="116">
        <v>889.85</v>
      </c>
      <c r="N2304" s="116">
        <v>936.7</v>
      </c>
      <c r="O2304" s="116">
        <v>885.1</v>
      </c>
      <c r="P2304" s="116">
        <v>920</v>
      </c>
      <c r="Q2304" s="116">
        <v>889.85</v>
      </c>
      <c r="R2304">
        <v>2753677</v>
      </c>
    </row>
    <row r="2305" spans="1:18" x14ac:dyDescent="0.25">
      <c r="A2305" s="170">
        <v>45610</v>
      </c>
      <c r="B2305" s="116">
        <v>906.3</v>
      </c>
      <c r="C2305" s="116">
        <v>877.4</v>
      </c>
      <c r="D2305" s="116">
        <v>875.6</v>
      </c>
      <c r="E2305" s="116">
        <v>903.35</v>
      </c>
      <c r="F2305" s="116">
        <v>877.4</v>
      </c>
      <c r="G2305">
        <v>105689</v>
      </c>
      <c r="H2305" s="116"/>
      <c r="I2305" s="116"/>
      <c r="L2305" s="170">
        <v>45610</v>
      </c>
      <c r="M2305" s="116">
        <v>879.7</v>
      </c>
      <c r="N2305" s="116">
        <v>905.95</v>
      </c>
      <c r="O2305" s="116">
        <v>875.85</v>
      </c>
      <c r="P2305" s="116">
        <v>900</v>
      </c>
      <c r="Q2305" s="116">
        <v>879.7</v>
      </c>
      <c r="R2305">
        <v>1903461</v>
      </c>
    </row>
    <row r="2306" spans="1:18" x14ac:dyDescent="0.25">
      <c r="A2306" s="170">
        <v>45614</v>
      </c>
      <c r="B2306" s="116">
        <v>893.3</v>
      </c>
      <c r="C2306" s="116">
        <v>865.7</v>
      </c>
      <c r="D2306" s="116">
        <v>858</v>
      </c>
      <c r="E2306" s="116">
        <v>893.3</v>
      </c>
      <c r="F2306" s="116">
        <v>865.7</v>
      </c>
      <c r="G2306">
        <v>74256</v>
      </c>
      <c r="H2306" s="116"/>
      <c r="I2306" s="116"/>
      <c r="L2306" s="170">
        <v>45614</v>
      </c>
      <c r="M2306" s="116">
        <v>866.55</v>
      </c>
      <c r="N2306" s="116">
        <v>889</v>
      </c>
      <c r="O2306" s="116">
        <v>855</v>
      </c>
      <c r="P2306" s="116">
        <v>888</v>
      </c>
      <c r="Q2306" s="116">
        <v>866.55</v>
      </c>
      <c r="R2306">
        <v>1743209</v>
      </c>
    </row>
    <row r="2307" spans="1:18" x14ac:dyDescent="0.25">
      <c r="A2307" s="170">
        <v>45615</v>
      </c>
      <c r="B2307" s="116">
        <v>887</v>
      </c>
      <c r="C2307" s="116">
        <v>872.1</v>
      </c>
      <c r="D2307" s="116">
        <v>865.05</v>
      </c>
      <c r="E2307" s="116">
        <v>867</v>
      </c>
      <c r="F2307" s="116">
        <v>872.1</v>
      </c>
      <c r="G2307">
        <v>72161</v>
      </c>
      <c r="H2307" s="116"/>
      <c r="I2307" s="116"/>
      <c r="L2307" s="170">
        <v>45615</v>
      </c>
      <c r="M2307" s="116">
        <v>871.55</v>
      </c>
      <c r="N2307" s="116">
        <v>887.4</v>
      </c>
      <c r="O2307" s="116">
        <v>865.25</v>
      </c>
      <c r="P2307" s="116">
        <v>866.55</v>
      </c>
      <c r="Q2307" s="116">
        <v>871.55</v>
      </c>
      <c r="R2307">
        <v>1551260</v>
      </c>
    </row>
    <row r="2308" spans="1:18" x14ac:dyDescent="0.25">
      <c r="A2308" s="170">
        <v>45617</v>
      </c>
      <c r="B2308" s="116">
        <v>719.4</v>
      </c>
      <c r="C2308" s="116">
        <v>697.7</v>
      </c>
      <c r="D2308" s="116">
        <v>697.7</v>
      </c>
      <c r="E2308" s="116">
        <v>697.7</v>
      </c>
      <c r="F2308" s="116">
        <v>697.7</v>
      </c>
      <c r="G2308">
        <v>1398078</v>
      </c>
      <c r="H2308" s="116"/>
      <c r="I2308" s="116"/>
      <c r="L2308" s="170">
        <v>45617</v>
      </c>
      <c r="M2308" s="116">
        <v>697.25</v>
      </c>
      <c r="N2308" s="116">
        <v>724</v>
      </c>
      <c r="O2308" s="116">
        <v>697.25</v>
      </c>
      <c r="P2308" s="116">
        <v>697.25</v>
      </c>
      <c r="Q2308" s="116">
        <v>697.25</v>
      </c>
      <c r="R2308">
        <v>21316268</v>
      </c>
    </row>
    <row r="2309" spans="1:18" x14ac:dyDescent="0.25">
      <c r="A2309" s="170">
        <v>45618</v>
      </c>
      <c r="B2309" s="116">
        <v>695.5</v>
      </c>
      <c r="C2309" s="116">
        <v>649.4</v>
      </c>
      <c r="D2309" s="116">
        <v>628</v>
      </c>
      <c r="E2309" s="116">
        <v>650.1</v>
      </c>
      <c r="F2309" s="116">
        <v>649.4</v>
      </c>
      <c r="G2309">
        <v>1692963</v>
      </c>
      <c r="H2309" s="116"/>
      <c r="I2309" s="116"/>
      <c r="L2309" s="170">
        <v>45618</v>
      </c>
      <c r="M2309" s="116">
        <v>648.95000000000005</v>
      </c>
      <c r="N2309" s="116">
        <v>695</v>
      </c>
      <c r="O2309" s="116">
        <v>627.5</v>
      </c>
      <c r="P2309" s="116">
        <v>658.15</v>
      </c>
      <c r="Q2309" s="116">
        <v>648.95000000000005</v>
      </c>
      <c r="R2309">
        <v>22987433</v>
      </c>
    </row>
    <row r="2310" spans="1:18" x14ac:dyDescent="0.25">
      <c r="A2310" s="170">
        <v>45621</v>
      </c>
      <c r="B2310" s="116">
        <v>694.15</v>
      </c>
      <c r="C2310" s="116">
        <v>624.85</v>
      </c>
      <c r="D2310" s="116">
        <v>619.25</v>
      </c>
      <c r="E2310" s="116">
        <v>674</v>
      </c>
      <c r="F2310" s="116">
        <v>624.85</v>
      </c>
      <c r="G2310">
        <v>1162630</v>
      </c>
      <c r="H2310" s="116"/>
      <c r="I2310" s="116"/>
      <c r="L2310" s="170">
        <v>45621</v>
      </c>
      <c r="M2310" s="116">
        <v>625.20000000000005</v>
      </c>
      <c r="N2310" s="116">
        <v>694.2</v>
      </c>
      <c r="O2310" s="116">
        <v>620</v>
      </c>
      <c r="P2310" s="116">
        <v>678</v>
      </c>
      <c r="Q2310" s="116">
        <v>625.20000000000005</v>
      </c>
      <c r="R2310">
        <v>13113479</v>
      </c>
    </row>
    <row r="2311" spans="1:18" x14ac:dyDescent="0.25">
      <c r="A2311" s="170">
        <v>45622</v>
      </c>
      <c r="B2311" s="116">
        <v>637.35</v>
      </c>
      <c r="C2311" s="116">
        <v>601.15</v>
      </c>
      <c r="D2311" s="116">
        <v>593.15</v>
      </c>
      <c r="E2311" s="116">
        <v>637.35</v>
      </c>
      <c r="F2311" s="116">
        <v>601.15</v>
      </c>
      <c r="G2311">
        <v>339724</v>
      </c>
      <c r="H2311" s="116"/>
      <c r="I2311" s="116"/>
      <c r="L2311" s="170">
        <v>45622</v>
      </c>
      <c r="M2311" s="116">
        <v>600.75</v>
      </c>
      <c r="N2311" s="116">
        <v>637.75</v>
      </c>
      <c r="O2311" s="116">
        <v>593.04999999999995</v>
      </c>
      <c r="P2311" s="116">
        <v>637.75</v>
      </c>
      <c r="Q2311" s="116">
        <v>600.75</v>
      </c>
      <c r="R2311">
        <v>7755657</v>
      </c>
    </row>
    <row r="2312" spans="1:18" x14ac:dyDescent="0.25">
      <c r="A2312" s="170">
        <v>45623</v>
      </c>
      <c r="B2312" s="116">
        <v>661.25</v>
      </c>
      <c r="C2312" s="116">
        <v>661.25</v>
      </c>
      <c r="D2312" s="116">
        <v>588.25</v>
      </c>
      <c r="E2312" s="116">
        <v>601.95000000000005</v>
      </c>
      <c r="F2312" s="116">
        <v>661.25</v>
      </c>
      <c r="G2312">
        <v>982647</v>
      </c>
      <c r="H2312" s="116"/>
      <c r="I2312" s="116"/>
      <c r="L2312" s="170">
        <v>45623</v>
      </c>
      <c r="M2312" s="116">
        <v>660.8</v>
      </c>
      <c r="N2312" s="116">
        <v>660.8</v>
      </c>
      <c r="O2312" s="116">
        <v>588</v>
      </c>
      <c r="P2312" s="116">
        <v>601.1</v>
      </c>
      <c r="Q2312" s="116">
        <v>660.8</v>
      </c>
      <c r="R2312">
        <v>9030869</v>
      </c>
    </row>
    <row r="2313" spans="1:18" x14ac:dyDescent="0.25">
      <c r="A2313" s="170">
        <v>45624</v>
      </c>
      <c r="B2313" s="116">
        <v>727.35</v>
      </c>
      <c r="C2313" s="116">
        <v>727.35</v>
      </c>
      <c r="D2313" s="116">
        <v>687.2</v>
      </c>
      <c r="E2313" s="116">
        <v>694</v>
      </c>
      <c r="F2313" s="116">
        <v>727.35</v>
      </c>
      <c r="G2313">
        <v>1489501</v>
      </c>
      <c r="H2313" s="116"/>
      <c r="I2313" s="116"/>
      <c r="L2313" s="170">
        <v>45624</v>
      </c>
      <c r="M2313" s="116">
        <v>726.85</v>
      </c>
      <c r="N2313" s="116">
        <v>726.85</v>
      </c>
      <c r="O2313" s="116">
        <v>685</v>
      </c>
      <c r="P2313" s="116">
        <v>689.9</v>
      </c>
      <c r="Q2313" s="116">
        <v>726.85</v>
      </c>
      <c r="R2313">
        <v>9255642</v>
      </c>
    </row>
    <row r="2314" spans="1:18" x14ac:dyDescent="0.25">
      <c r="A2314" s="170">
        <v>45625</v>
      </c>
      <c r="B2314" s="116">
        <v>869.4</v>
      </c>
      <c r="C2314" s="116">
        <v>840.55</v>
      </c>
      <c r="D2314" s="116">
        <v>745</v>
      </c>
      <c r="E2314" s="116">
        <v>756.85</v>
      </c>
      <c r="F2314" s="116">
        <v>840.55</v>
      </c>
      <c r="G2314">
        <v>2435842</v>
      </c>
      <c r="H2314" s="116"/>
      <c r="I2314" s="116"/>
      <c r="L2314" s="170">
        <v>45625</v>
      </c>
      <c r="M2314" s="116">
        <v>840.5</v>
      </c>
      <c r="N2314" s="116">
        <v>869.75</v>
      </c>
      <c r="O2314" s="116">
        <v>742</v>
      </c>
      <c r="P2314" s="116">
        <v>748</v>
      </c>
      <c r="Q2314" s="116">
        <v>840.5</v>
      </c>
      <c r="R2314">
        <v>30918520</v>
      </c>
    </row>
    <row r="2315" spans="1:18" x14ac:dyDescent="0.25">
      <c r="A2315" s="170">
        <v>45628</v>
      </c>
      <c r="B2315" s="116">
        <v>855</v>
      </c>
      <c r="C2315" s="116">
        <v>806.6</v>
      </c>
      <c r="D2315" s="116">
        <v>801.3</v>
      </c>
      <c r="E2315" s="116">
        <v>847</v>
      </c>
      <c r="F2315" s="116">
        <v>806.6</v>
      </c>
      <c r="G2315">
        <v>806769</v>
      </c>
      <c r="H2315" s="116"/>
      <c r="I2315" s="116"/>
      <c r="L2315" s="170">
        <v>45628</v>
      </c>
      <c r="M2315" s="116">
        <v>807</v>
      </c>
      <c r="N2315" s="116">
        <v>855.85</v>
      </c>
      <c r="O2315" s="116">
        <v>802.5</v>
      </c>
      <c r="P2315" s="116">
        <v>844.9</v>
      </c>
      <c r="Q2315" s="116">
        <v>807</v>
      </c>
      <c r="R2315">
        <v>8433923</v>
      </c>
    </row>
    <row r="2316" spans="1:18" x14ac:dyDescent="0.25">
      <c r="A2316" s="170">
        <v>45629</v>
      </c>
      <c r="B2316" s="116">
        <v>828.9</v>
      </c>
      <c r="C2316" s="116">
        <v>801.8</v>
      </c>
      <c r="D2316" s="116">
        <v>797.6</v>
      </c>
      <c r="E2316" s="116">
        <v>808</v>
      </c>
      <c r="F2316" s="116">
        <v>801.8</v>
      </c>
      <c r="G2316">
        <v>168843</v>
      </c>
      <c r="H2316" s="116"/>
      <c r="I2316" s="116"/>
      <c r="L2316" s="170">
        <v>45629</v>
      </c>
      <c r="M2316" s="116">
        <v>801.85</v>
      </c>
      <c r="N2316" s="116">
        <v>829</v>
      </c>
      <c r="O2316" s="116">
        <v>798</v>
      </c>
      <c r="P2316" s="116">
        <v>807.05</v>
      </c>
      <c r="Q2316" s="116">
        <v>801.85</v>
      </c>
      <c r="R2316">
        <v>4239248</v>
      </c>
    </row>
    <row r="2317" spans="1:18" x14ac:dyDescent="0.25">
      <c r="A2317" s="170">
        <v>45630</v>
      </c>
      <c r="B2317" s="116">
        <v>828</v>
      </c>
      <c r="C2317" s="116">
        <v>816.2</v>
      </c>
      <c r="D2317" s="116">
        <v>796.65</v>
      </c>
      <c r="E2317" s="116">
        <v>812</v>
      </c>
      <c r="F2317" s="116">
        <v>816.2</v>
      </c>
      <c r="G2317">
        <v>159009</v>
      </c>
      <c r="H2317" s="116"/>
      <c r="I2317" s="116"/>
      <c r="L2317" s="170">
        <v>45630</v>
      </c>
      <c r="M2317" s="116">
        <v>813.45</v>
      </c>
      <c r="N2317" s="116">
        <v>828</v>
      </c>
      <c r="O2317" s="116">
        <v>797</v>
      </c>
      <c r="P2317" s="116">
        <v>820.05</v>
      </c>
      <c r="Q2317" s="116">
        <v>813.45</v>
      </c>
      <c r="R2317">
        <v>4086092</v>
      </c>
    </row>
    <row r="2318" spans="1:18" x14ac:dyDescent="0.25">
      <c r="A2318" s="170">
        <v>45631</v>
      </c>
      <c r="B2318" s="116">
        <v>829</v>
      </c>
      <c r="C2318" s="116">
        <v>822.5</v>
      </c>
      <c r="D2318" s="116">
        <v>806</v>
      </c>
      <c r="E2318" s="116">
        <v>826.75</v>
      </c>
      <c r="F2318" s="116">
        <v>822.5</v>
      </c>
      <c r="G2318">
        <v>320735</v>
      </c>
      <c r="H2318" s="116"/>
      <c r="I2318" s="116"/>
      <c r="L2318" s="170">
        <v>45631</v>
      </c>
      <c r="M2318" s="116">
        <v>822.8</v>
      </c>
      <c r="N2318" s="116">
        <v>830</v>
      </c>
      <c r="O2318" s="116">
        <v>806</v>
      </c>
      <c r="P2318" s="116">
        <v>829.1</v>
      </c>
      <c r="Q2318" s="116">
        <v>822.8</v>
      </c>
      <c r="R2318">
        <v>3190458</v>
      </c>
    </row>
    <row r="2319" spans="1:18" x14ac:dyDescent="0.25">
      <c r="A2319" s="170">
        <v>45632</v>
      </c>
      <c r="B2319" s="116">
        <v>830.15</v>
      </c>
      <c r="C2319" s="116">
        <v>807.95</v>
      </c>
      <c r="D2319" s="116">
        <v>806</v>
      </c>
      <c r="E2319" s="116">
        <v>826.95</v>
      </c>
      <c r="F2319" s="116">
        <v>807.95</v>
      </c>
      <c r="G2319">
        <v>84702</v>
      </c>
      <c r="H2319" s="116"/>
      <c r="I2319" s="116"/>
      <c r="L2319" s="170">
        <v>45632</v>
      </c>
      <c r="M2319" s="116">
        <v>808.35</v>
      </c>
      <c r="N2319" s="116">
        <v>830</v>
      </c>
      <c r="O2319" s="116">
        <v>805.3</v>
      </c>
      <c r="P2319" s="116">
        <v>826</v>
      </c>
      <c r="Q2319" s="116">
        <v>808.35</v>
      </c>
      <c r="R2319">
        <v>1763438</v>
      </c>
    </row>
    <row r="2320" spans="1:18" x14ac:dyDescent="0.25">
      <c r="A2320" s="170">
        <v>45635</v>
      </c>
      <c r="B2320" s="116">
        <v>813.7</v>
      </c>
      <c r="C2320" s="116">
        <v>803.45</v>
      </c>
      <c r="D2320" s="116">
        <v>796.4</v>
      </c>
      <c r="E2320" s="116">
        <v>809</v>
      </c>
      <c r="F2320" s="116">
        <v>803.45</v>
      </c>
      <c r="G2320">
        <v>56299</v>
      </c>
      <c r="H2320" s="116"/>
      <c r="I2320" s="116"/>
      <c r="L2320" s="170">
        <v>45635</v>
      </c>
      <c r="M2320" s="116">
        <v>803.45</v>
      </c>
      <c r="N2320" s="116">
        <v>814</v>
      </c>
      <c r="O2320" s="116">
        <v>797</v>
      </c>
      <c r="P2320" s="116">
        <v>808.35</v>
      </c>
      <c r="Q2320" s="116">
        <v>803.45</v>
      </c>
      <c r="R2320">
        <v>1461945</v>
      </c>
    </row>
    <row r="2321" spans="1:18" x14ac:dyDescent="0.25">
      <c r="A2321" s="170">
        <v>45636</v>
      </c>
      <c r="B2321" s="116">
        <v>806</v>
      </c>
      <c r="C2321" s="116">
        <v>784.45</v>
      </c>
      <c r="D2321" s="116">
        <v>775.05</v>
      </c>
      <c r="E2321" s="116">
        <v>803.5</v>
      </c>
      <c r="F2321" s="116">
        <v>784.45</v>
      </c>
      <c r="G2321">
        <v>183442</v>
      </c>
      <c r="H2321" s="116"/>
      <c r="I2321" s="116"/>
      <c r="L2321" s="170">
        <v>45636</v>
      </c>
      <c r="M2321" s="116">
        <v>784.55</v>
      </c>
      <c r="N2321" s="116">
        <v>806</v>
      </c>
      <c r="O2321" s="116">
        <v>775.8</v>
      </c>
      <c r="P2321" s="116">
        <v>805.45</v>
      </c>
      <c r="Q2321" s="116">
        <v>784.55</v>
      </c>
      <c r="R2321">
        <v>1881212</v>
      </c>
    </row>
    <row r="2322" spans="1:18" x14ac:dyDescent="0.25">
      <c r="A2322" s="170">
        <v>45637</v>
      </c>
      <c r="B2322" s="116">
        <v>797</v>
      </c>
      <c r="C2322" s="116">
        <v>792.35</v>
      </c>
      <c r="D2322" s="116">
        <v>773.05</v>
      </c>
      <c r="E2322" s="116">
        <v>784.55</v>
      </c>
      <c r="F2322" s="116">
        <v>792.35</v>
      </c>
      <c r="G2322">
        <v>54591</v>
      </c>
      <c r="H2322" s="116"/>
      <c r="I2322" s="116"/>
      <c r="L2322" s="170">
        <v>45637</v>
      </c>
      <c r="M2322" s="116">
        <v>791.5</v>
      </c>
      <c r="N2322" s="116">
        <v>797</v>
      </c>
      <c r="O2322" s="116">
        <v>773</v>
      </c>
      <c r="P2322" s="116">
        <v>784.55</v>
      </c>
      <c r="Q2322" s="116">
        <v>791.5</v>
      </c>
      <c r="R2322">
        <v>1601918</v>
      </c>
    </row>
    <row r="2323" spans="1:18" x14ac:dyDescent="0.25">
      <c r="A2323" s="170">
        <v>45638</v>
      </c>
      <c r="B2323" s="116">
        <v>832.45</v>
      </c>
      <c r="C2323" s="116">
        <v>817.35</v>
      </c>
      <c r="D2323" s="116">
        <v>784</v>
      </c>
      <c r="E2323" s="116">
        <v>788.1</v>
      </c>
      <c r="F2323" s="116">
        <v>817.35</v>
      </c>
      <c r="G2323">
        <v>536160</v>
      </c>
      <c r="H2323" s="116"/>
      <c r="I2323" s="116"/>
      <c r="L2323" s="170">
        <v>45638</v>
      </c>
      <c r="M2323" s="116">
        <v>818.15</v>
      </c>
      <c r="N2323" s="116">
        <v>832.8</v>
      </c>
      <c r="O2323" s="116">
        <v>783.25</v>
      </c>
      <c r="P2323" s="116">
        <v>788</v>
      </c>
      <c r="Q2323" s="116">
        <v>818.15</v>
      </c>
      <c r="R2323">
        <v>7753669</v>
      </c>
    </row>
    <row r="2324" spans="1:18" x14ac:dyDescent="0.25">
      <c r="A2324" s="170">
        <v>45639</v>
      </c>
      <c r="B2324" s="116">
        <v>837.6</v>
      </c>
      <c r="C2324" s="116">
        <v>831.65</v>
      </c>
      <c r="D2324" s="116">
        <v>807.9</v>
      </c>
      <c r="E2324" s="116">
        <v>820</v>
      </c>
      <c r="F2324" s="116">
        <v>831.65</v>
      </c>
      <c r="G2324">
        <v>88061</v>
      </c>
      <c r="H2324" s="116"/>
      <c r="I2324" s="116"/>
      <c r="L2324" s="170">
        <v>45639</v>
      </c>
      <c r="M2324" s="116">
        <v>832.4</v>
      </c>
      <c r="N2324" s="116">
        <v>837.5</v>
      </c>
      <c r="O2324" s="116">
        <v>807</v>
      </c>
      <c r="P2324" s="116">
        <v>818.9</v>
      </c>
      <c r="Q2324" s="116">
        <v>832.4</v>
      </c>
      <c r="R2324">
        <v>3750259</v>
      </c>
    </row>
    <row r="2325" spans="1:18" x14ac:dyDescent="0.25">
      <c r="A2325" s="170">
        <v>45642</v>
      </c>
      <c r="B2325" s="116">
        <v>830.85</v>
      </c>
      <c r="C2325" s="116">
        <v>811.1</v>
      </c>
      <c r="D2325" s="116">
        <v>809</v>
      </c>
      <c r="E2325" s="116">
        <v>830.85</v>
      </c>
      <c r="F2325" s="116">
        <v>811.1</v>
      </c>
      <c r="G2325">
        <v>67590</v>
      </c>
      <c r="H2325" s="116"/>
      <c r="I2325" s="116"/>
      <c r="L2325" s="170">
        <v>45642</v>
      </c>
      <c r="M2325" s="116">
        <v>811.9</v>
      </c>
      <c r="N2325" s="116">
        <v>830.9</v>
      </c>
      <c r="O2325" s="116">
        <v>809</v>
      </c>
      <c r="P2325" s="116">
        <v>830</v>
      </c>
      <c r="Q2325" s="116">
        <v>811.9</v>
      </c>
      <c r="R2325">
        <v>1588379</v>
      </c>
    </row>
    <row r="2326" spans="1:18" x14ac:dyDescent="0.25">
      <c r="A2326" s="170">
        <v>45643</v>
      </c>
      <c r="B2326" s="116">
        <v>825.95</v>
      </c>
      <c r="C2326" s="116">
        <v>813.55</v>
      </c>
      <c r="D2326" s="116">
        <v>806</v>
      </c>
      <c r="E2326" s="116">
        <v>808.45</v>
      </c>
      <c r="F2326" s="116">
        <v>813.55</v>
      </c>
      <c r="G2326">
        <v>61957</v>
      </c>
      <c r="H2326" s="116"/>
      <c r="I2326" s="116"/>
      <c r="L2326" s="170">
        <v>45643</v>
      </c>
      <c r="M2326" s="116">
        <v>813.35</v>
      </c>
      <c r="N2326" s="116">
        <v>825.5</v>
      </c>
      <c r="O2326" s="116">
        <v>806.4</v>
      </c>
      <c r="P2326" s="116">
        <v>811.5</v>
      </c>
      <c r="Q2326" s="116">
        <v>813.35</v>
      </c>
      <c r="R2326">
        <v>1352971</v>
      </c>
    </row>
    <row r="2327" spans="1:18" x14ac:dyDescent="0.25">
      <c r="A2327" s="170">
        <v>45644</v>
      </c>
      <c r="B2327" s="116">
        <v>819.5</v>
      </c>
      <c r="C2327" s="116">
        <v>793.55</v>
      </c>
      <c r="D2327" s="116">
        <v>790.5</v>
      </c>
      <c r="E2327" s="116">
        <v>814.05</v>
      </c>
      <c r="F2327" s="116">
        <v>793.55</v>
      </c>
      <c r="G2327">
        <v>118372</v>
      </c>
      <c r="H2327" s="116"/>
      <c r="I2327" s="116"/>
      <c r="L2327" s="170">
        <v>45644</v>
      </c>
      <c r="M2327" s="116">
        <v>793.85</v>
      </c>
      <c r="N2327" s="116">
        <v>818.75</v>
      </c>
      <c r="O2327" s="116">
        <v>790.2</v>
      </c>
      <c r="P2327" s="116">
        <v>815.9</v>
      </c>
      <c r="Q2327" s="116">
        <v>793.85</v>
      </c>
      <c r="R2327">
        <v>1503369</v>
      </c>
    </row>
    <row r="2328" spans="1:18" x14ac:dyDescent="0.25">
      <c r="A2328" s="170">
        <v>45645</v>
      </c>
      <c r="B2328" s="116">
        <v>799.5</v>
      </c>
      <c r="C2328" s="116">
        <v>796.05</v>
      </c>
      <c r="D2328" s="116">
        <v>770.45</v>
      </c>
      <c r="E2328" s="116">
        <v>777.65</v>
      </c>
      <c r="F2328" s="116">
        <v>796.05</v>
      </c>
      <c r="G2328">
        <v>37156</v>
      </c>
      <c r="H2328" s="116"/>
      <c r="I2328" s="116"/>
      <c r="L2328" s="170">
        <v>45645</v>
      </c>
      <c r="M2328" s="116">
        <v>796</v>
      </c>
      <c r="N2328" s="116">
        <v>799.5</v>
      </c>
      <c r="O2328" s="116">
        <v>770.05</v>
      </c>
      <c r="P2328" s="116">
        <v>775</v>
      </c>
      <c r="Q2328" s="116">
        <v>796</v>
      </c>
      <c r="R2328">
        <v>978345</v>
      </c>
    </row>
    <row r="2329" spans="1:18" x14ac:dyDescent="0.25">
      <c r="A2329" s="170">
        <v>45646</v>
      </c>
      <c r="B2329" s="116">
        <v>812.25</v>
      </c>
      <c r="C2329" s="116">
        <v>767.75</v>
      </c>
      <c r="D2329" s="116">
        <v>762.25</v>
      </c>
      <c r="E2329" s="116">
        <v>796.45</v>
      </c>
      <c r="F2329" s="116">
        <v>767.75</v>
      </c>
      <c r="G2329">
        <v>176631</v>
      </c>
      <c r="H2329" s="116"/>
      <c r="I2329" s="116"/>
      <c r="L2329" s="170">
        <v>45646</v>
      </c>
      <c r="M2329" s="116">
        <v>767.55</v>
      </c>
      <c r="N2329" s="116">
        <v>812.6</v>
      </c>
      <c r="O2329" s="116">
        <v>761.85</v>
      </c>
      <c r="P2329" s="116">
        <v>799</v>
      </c>
      <c r="Q2329" s="116">
        <v>767.55</v>
      </c>
      <c r="R2329">
        <v>1799045</v>
      </c>
    </row>
    <row r="2330" spans="1:18" x14ac:dyDescent="0.25">
      <c r="A2330" s="170">
        <v>45649</v>
      </c>
      <c r="B2330" s="116">
        <v>784</v>
      </c>
      <c r="C2330" s="116">
        <v>773.65</v>
      </c>
      <c r="D2330" s="116">
        <v>765.1</v>
      </c>
      <c r="E2330" s="116">
        <v>779.05</v>
      </c>
      <c r="F2330" s="116">
        <v>773.65</v>
      </c>
      <c r="G2330">
        <v>168844</v>
      </c>
      <c r="H2330" s="116"/>
      <c r="I2330" s="116"/>
      <c r="L2330" s="170">
        <v>45649</v>
      </c>
      <c r="M2330" s="116">
        <v>773.3</v>
      </c>
      <c r="N2330" s="116">
        <v>783.85</v>
      </c>
      <c r="O2330" s="116">
        <v>765.3</v>
      </c>
      <c r="P2330" s="116">
        <v>781.35</v>
      </c>
      <c r="Q2330" s="116">
        <v>773.3</v>
      </c>
      <c r="R2330">
        <v>971855</v>
      </c>
    </row>
    <row r="2331" spans="1:18" x14ac:dyDescent="0.25">
      <c r="A2331" s="170">
        <v>45650</v>
      </c>
      <c r="B2331" s="116">
        <v>789.45</v>
      </c>
      <c r="C2331" s="116">
        <v>771.25</v>
      </c>
      <c r="D2331" s="116">
        <v>766.1</v>
      </c>
      <c r="E2331" s="116">
        <v>775</v>
      </c>
      <c r="F2331" s="116">
        <v>771.25</v>
      </c>
      <c r="G2331">
        <v>116599</v>
      </c>
      <c r="H2331" s="116"/>
      <c r="I2331" s="116"/>
      <c r="L2331" s="170">
        <v>45650</v>
      </c>
      <c r="M2331" s="116">
        <v>771.3</v>
      </c>
      <c r="N2331" s="116">
        <v>789.95</v>
      </c>
      <c r="O2331" s="116">
        <v>766.05</v>
      </c>
      <c r="P2331" s="116">
        <v>775</v>
      </c>
      <c r="Q2331" s="116">
        <v>771.3</v>
      </c>
      <c r="R2331">
        <v>986887</v>
      </c>
    </row>
    <row r="2332" spans="1:18" x14ac:dyDescent="0.25">
      <c r="A2332" s="170">
        <v>45652</v>
      </c>
      <c r="B2332" s="116">
        <v>800.85</v>
      </c>
      <c r="C2332" s="116">
        <v>791.85</v>
      </c>
      <c r="D2332" s="116">
        <v>770</v>
      </c>
      <c r="E2332" s="116">
        <v>777.35</v>
      </c>
      <c r="F2332" s="116">
        <v>791.85</v>
      </c>
      <c r="G2332">
        <v>88927</v>
      </c>
      <c r="H2332" s="116"/>
      <c r="I2332" s="116"/>
      <c r="L2332" s="170">
        <v>45652</v>
      </c>
      <c r="M2332" s="116">
        <v>792.3</v>
      </c>
      <c r="N2332" s="116">
        <v>800.8</v>
      </c>
      <c r="O2332" s="116">
        <v>769</v>
      </c>
      <c r="P2332" s="116">
        <v>773.1</v>
      </c>
      <c r="Q2332" s="116">
        <v>792.3</v>
      </c>
      <c r="R2332">
        <v>1941859</v>
      </c>
    </row>
    <row r="2333" spans="1:18" x14ac:dyDescent="0.25">
      <c r="A2333" s="170">
        <v>45653</v>
      </c>
      <c r="B2333" s="116">
        <v>814.85</v>
      </c>
      <c r="C2333" s="116">
        <v>806.3</v>
      </c>
      <c r="D2333" s="116">
        <v>791.7</v>
      </c>
      <c r="E2333" s="116">
        <v>799</v>
      </c>
      <c r="F2333" s="116">
        <v>806.3</v>
      </c>
      <c r="G2333">
        <v>66873</v>
      </c>
      <c r="H2333" s="116"/>
      <c r="I2333" s="116"/>
      <c r="L2333" s="170">
        <v>45653</v>
      </c>
      <c r="M2333" s="116">
        <v>805.95</v>
      </c>
      <c r="N2333" s="116">
        <v>814.95</v>
      </c>
      <c r="O2333" s="116">
        <v>791</v>
      </c>
      <c r="P2333" s="116">
        <v>798.95</v>
      </c>
      <c r="Q2333" s="116">
        <v>805.95</v>
      </c>
      <c r="R2333">
        <v>1699411</v>
      </c>
    </row>
    <row r="2334" spans="1:18" x14ac:dyDescent="0.25">
      <c r="A2334" s="170">
        <v>45656</v>
      </c>
      <c r="B2334" s="116">
        <v>830.8</v>
      </c>
      <c r="C2334" s="116">
        <v>826.1</v>
      </c>
      <c r="D2334" s="116">
        <v>805</v>
      </c>
      <c r="E2334" s="116">
        <v>806.35</v>
      </c>
      <c r="F2334" s="116">
        <v>826.1</v>
      </c>
      <c r="G2334">
        <v>262079</v>
      </c>
      <c r="H2334" s="116"/>
      <c r="I2334" s="116"/>
      <c r="L2334" s="170">
        <v>45656</v>
      </c>
      <c r="M2334" s="116">
        <v>826.25</v>
      </c>
      <c r="N2334" s="116">
        <v>830.5</v>
      </c>
      <c r="O2334" s="116">
        <v>805.25</v>
      </c>
      <c r="P2334" s="116">
        <v>808.55</v>
      </c>
      <c r="Q2334" s="116">
        <v>826.25</v>
      </c>
      <c r="R2334">
        <v>5993093</v>
      </c>
    </row>
    <row r="2335" spans="1:18" x14ac:dyDescent="0.25">
      <c r="A2335" s="170">
        <v>45657</v>
      </c>
      <c r="B2335" s="116">
        <v>820</v>
      </c>
      <c r="C2335" s="116">
        <v>806.4</v>
      </c>
      <c r="D2335" s="116">
        <v>800.2</v>
      </c>
      <c r="E2335" s="116">
        <v>815.25</v>
      </c>
      <c r="F2335" s="116">
        <v>806.4</v>
      </c>
      <c r="G2335">
        <v>65611</v>
      </c>
      <c r="H2335" s="116"/>
      <c r="I2335" s="116"/>
      <c r="L2335" s="170">
        <v>45657</v>
      </c>
      <c r="M2335" s="116">
        <v>806.2</v>
      </c>
      <c r="N2335" s="116">
        <v>820</v>
      </c>
      <c r="O2335" s="116">
        <v>800</v>
      </c>
      <c r="P2335" s="116">
        <v>818.4</v>
      </c>
      <c r="Q2335" s="116">
        <v>806.2</v>
      </c>
      <c r="R2335">
        <v>1187100</v>
      </c>
    </row>
    <row r="2336" spans="1:18" x14ac:dyDescent="0.25">
      <c r="A2336" s="170">
        <v>45658</v>
      </c>
      <c r="B2336" s="116">
        <v>820</v>
      </c>
      <c r="C2336" s="116">
        <v>805.25</v>
      </c>
      <c r="D2336" s="116">
        <v>801.3</v>
      </c>
      <c r="E2336" s="116">
        <v>808.4</v>
      </c>
      <c r="F2336" s="116">
        <v>805.25</v>
      </c>
      <c r="G2336">
        <v>128702</v>
      </c>
      <c r="H2336" s="116"/>
      <c r="I2336" s="116"/>
      <c r="L2336" s="170">
        <v>45658</v>
      </c>
      <c r="M2336" s="116">
        <v>805.45</v>
      </c>
      <c r="N2336" s="116">
        <v>819.9</v>
      </c>
      <c r="O2336" s="116">
        <v>800.95</v>
      </c>
      <c r="P2336" s="116">
        <v>808.8</v>
      </c>
      <c r="Q2336" s="116">
        <v>805.45</v>
      </c>
      <c r="R2336">
        <v>1104434</v>
      </c>
    </row>
    <row r="2337" spans="1:18" x14ac:dyDescent="0.25">
      <c r="A2337" s="170">
        <v>45659</v>
      </c>
      <c r="B2337" s="116">
        <v>811.75</v>
      </c>
      <c r="C2337" s="116">
        <v>808.5</v>
      </c>
      <c r="D2337" s="116">
        <v>793.75</v>
      </c>
      <c r="E2337" s="116">
        <v>809.95</v>
      </c>
      <c r="F2337" s="116">
        <v>808.5</v>
      </c>
      <c r="G2337">
        <v>45565</v>
      </c>
      <c r="H2337" s="116"/>
      <c r="I2337" s="116"/>
      <c r="L2337" s="170">
        <v>45659</v>
      </c>
      <c r="M2337" s="116">
        <v>809.05</v>
      </c>
      <c r="N2337" s="116">
        <v>810.85</v>
      </c>
      <c r="O2337" s="116">
        <v>793.5</v>
      </c>
      <c r="P2337" s="116">
        <v>808</v>
      </c>
      <c r="Q2337" s="116">
        <v>809.05</v>
      </c>
      <c r="R2337">
        <v>877729</v>
      </c>
    </row>
    <row r="2338" spans="1:18" x14ac:dyDescent="0.25">
      <c r="A2338" s="170">
        <v>45660</v>
      </c>
      <c r="B2338" s="116">
        <v>830.9</v>
      </c>
      <c r="C2338" s="116">
        <v>819.85</v>
      </c>
      <c r="D2338" s="116">
        <v>809.1</v>
      </c>
      <c r="E2338" s="116">
        <v>809.1</v>
      </c>
      <c r="F2338" s="116">
        <v>819.85</v>
      </c>
      <c r="G2338">
        <v>114067</v>
      </c>
      <c r="H2338" s="116"/>
      <c r="I2338" s="116"/>
      <c r="L2338" s="170">
        <v>45660</v>
      </c>
      <c r="M2338" s="116">
        <v>821.25</v>
      </c>
      <c r="N2338" s="116">
        <v>831</v>
      </c>
      <c r="O2338" s="116">
        <v>810</v>
      </c>
      <c r="P2338" s="116">
        <v>810.85</v>
      </c>
      <c r="Q2338" s="116">
        <v>821.25</v>
      </c>
      <c r="R2338">
        <v>2550810</v>
      </c>
    </row>
    <row r="2339" spans="1:18" x14ac:dyDescent="0.25">
      <c r="A2339" s="170">
        <v>45663</v>
      </c>
      <c r="B2339" s="116">
        <v>818</v>
      </c>
      <c r="C2339" s="116">
        <v>769.25</v>
      </c>
      <c r="D2339" s="116">
        <v>765.25</v>
      </c>
      <c r="E2339" s="116">
        <v>817.95</v>
      </c>
      <c r="F2339" s="116">
        <v>769.25</v>
      </c>
      <c r="G2339">
        <v>138622</v>
      </c>
      <c r="H2339" s="116"/>
      <c r="I2339" s="116"/>
      <c r="L2339" s="170">
        <v>45663</v>
      </c>
      <c r="M2339" s="116">
        <v>768.6</v>
      </c>
      <c r="N2339" s="116">
        <v>819</v>
      </c>
      <c r="O2339" s="116">
        <v>765.1</v>
      </c>
      <c r="P2339" s="116">
        <v>815.05</v>
      </c>
      <c r="Q2339" s="116">
        <v>768.6</v>
      </c>
      <c r="R2339">
        <v>2710372</v>
      </c>
    </row>
    <row r="2340" spans="1:18" x14ac:dyDescent="0.25">
      <c r="A2340" s="170">
        <v>45664</v>
      </c>
      <c r="B2340" s="116">
        <v>791.85</v>
      </c>
      <c r="C2340" s="116">
        <v>780.85</v>
      </c>
      <c r="D2340" s="116">
        <v>774.95</v>
      </c>
      <c r="E2340" s="116">
        <v>780.15</v>
      </c>
      <c r="F2340" s="116">
        <v>780.85</v>
      </c>
      <c r="G2340">
        <v>165874</v>
      </c>
      <c r="H2340" s="116"/>
      <c r="I2340" s="116"/>
      <c r="L2340" s="170">
        <v>45664</v>
      </c>
      <c r="M2340" s="116">
        <v>781.55</v>
      </c>
      <c r="N2340" s="116">
        <v>792.4</v>
      </c>
      <c r="O2340" s="116">
        <v>773.8</v>
      </c>
      <c r="P2340" s="116">
        <v>777</v>
      </c>
      <c r="Q2340" s="116">
        <v>781.55</v>
      </c>
      <c r="R2340">
        <v>1188943</v>
      </c>
    </row>
    <row r="2341" spans="1:18" x14ac:dyDescent="0.25">
      <c r="A2341" s="170">
        <v>45665</v>
      </c>
      <c r="B2341" s="116">
        <v>785.3</v>
      </c>
      <c r="C2341" s="116">
        <v>770.25</v>
      </c>
      <c r="D2341" s="116">
        <v>761.75</v>
      </c>
      <c r="E2341" s="116">
        <v>780.45</v>
      </c>
      <c r="F2341" s="116">
        <v>770.25</v>
      </c>
      <c r="G2341">
        <v>42419</v>
      </c>
      <c r="H2341" s="116"/>
      <c r="I2341" s="116"/>
      <c r="L2341" s="170">
        <v>45665</v>
      </c>
      <c r="M2341" s="116">
        <v>770.2</v>
      </c>
      <c r="N2341" s="116">
        <v>784.85</v>
      </c>
      <c r="O2341" s="116">
        <v>761.4</v>
      </c>
      <c r="P2341" s="116">
        <v>781.95</v>
      </c>
      <c r="Q2341" s="116">
        <v>770.2</v>
      </c>
      <c r="R2341">
        <v>869142</v>
      </c>
    </row>
    <row r="2342" spans="1:18" x14ac:dyDescent="0.25">
      <c r="A2342" s="170">
        <v>45666</v>
      </c>
      <c r="B2342" s="116">
        <v>775.45</v>
      </c>
      <c r="C2342" s="116">
        <v>751.5</v>
      </c>
      <c r="D2342" s="116">
        <v>750</v>
      </c>
      <c r="E2342" s="116">
        <v>771.05</v>
      </c>
      <c r="F2342" s="116">
        <v>751.5</v>
      </c>
      <c r="G2342">
        <v>144233</v>
      </c>
      <c r="H2342" s="116"/>
      <c r="I2342" s="116"/>
      <c r="L2342" s="170">
        <v>45666</v>
      </c>
      <c r="M2342" s="116">
        <v>751.5</v>
      </c>
      <c r="N2342" s="116">
        <v>776</v>
      </c>
      <c r="O2342" s="116">
        <v>749.2</v>
      </c>
      <c r="P2342" s="116">
        <v>775.65</v>
      </c>
      <c r="Q2342" s="116">
        <v>751.5</v>
      </c>
      <c r="R2342">
        <v>770057</v>
      </c>
    </row>
    <row r="2343" spans="1:18" x14ac:dyDescent="0.25">
      <c r="A2343" s="170">
        <v>45667</v>
      </c>
      <c r="B2343" s="116">
        <v>753.05</v>
      </c>
      <c r="C2343" s="116">
        <v>729.65</v>
      </c>
      <c r="D2343" s="116">
        <v>726.65</v>
      </c>
      <c r="E2343" s="116">
        <v>752.55</v>
      </c>
      <c r="F2343" s="116">
        <v>729.65</v>
      </c>
      <c r="G2343">
        <v>192849</v>
      </c>
      <c r="H2343" s="116"/>
      <c r="I2343" s="116"/>
      <c r="L2343" s="170">
        <v>45667</v>
      </c>
      <c r="M2343" s="116">
        <v>729.25</v>
      </c>
      <c r="N2343" s="116">
        <v>754.7</v>
      </c>
      <c r="O2343" s="116">
        <v>726.35</v>
      </c>
      <c r="P2343" s="116">
        <v>751.5</v>
      </c>
      <c r="Q2343" s="116">
        <v>729.25</v>
      </c>
      <c r="R2343">
        <v>1204613</v>
      </c>
    </row>
    <row r="2344" spans="1:18" x14ac:dyDescent="0.25">
      <c r="A2344" s="170">
        <v>45670</v>
      </c>
      <c r="B2344" s="116">
        <v>724.2</v>
      </c>
      <c r="C2344" s="116">
        <v>688.45</v>
      </c>
      <c r="D2344" s="116">
        <v>682.05</v>
      </c>
      <c r="E2344" s="116">
        <v>720</v>
      </c>
      <c r="F2344" s="116">
        <v>688.45</v>
      </c>
      <c r="G2344">
        <v>223412</v>
      </c>
      <c r="H2344" s="116"/>
      <c r="I2344" s="116"/>
      <c r="L2344" s="170">
        <v>45670</v>
      </c>
      <c r="M2344" s="116">
        <v>688.75</v>
      </c>
      <c r="N2344" s="116">
        <v>724.5</v>
      </c>
      <c r="O2344" s="116">
        <v>682.45</v>
      </c>
      <c r="P2344" s="116">
        <v>719</v>
      </c>
      <c r="Q2344" s="116">
        <v>688.75</v>
      </c>
      <c r="R2344">
        <v>1424633</v>
      </c>
    </row>
    <row r="2345" spans="1:18" x14ac:dyDescent="0.25">
      <c r="A2345" s="170">
        <v>45671</v>
      </c>
      <c r="B2345" s="116">
        <v>787.5</v>
      </c>
      <c r="C2345" s="116">
        <v>771.5</v>
      </c>
      <c r="D2345" s="116">
        <v>700</v>
      </c>
      <c r="E2345" s="116">
        <v>701.15</v>
      </c>
      <c r="F2345" s="116">
        <v>771.5</v>
      </c>
      <c r="G2345">
        <v>386785</v>
      </c>
      <c r="H2345" s="116"/>
      <c r="I2345" s="116"/>
      <c r="L2345" s="170">
        <v>45671</v>
      </c>
      <c r="M2345" s="116">
        <v>771.3</v>
      </c>
      <c r="N2345" s="116">
        <v>787.7</v>
      </c>
      <c r="O2345" s="116">
        <v>700.1</v>
      </c>
      <c r="P2345" s="116">
        <v>702.95</v>
      </c>
      <c r="Q2345" s="116">
        <v>771.3</v>
      </c>
      <c r="R2345">
        <v>9525701</v>
      </c>
    </row>
    <row r="2346" spans="1:18" x14ac:dyDescent="0.25">
      <c r="A2346" s="170">
        <v>45672</v>
      </c>
      <c r="B2346" s="116">
        <v>800.55</v>
      </c>
      <c r="C2346" s="116">
        <v>780.2</v>
      </c>
      <c r="D2346" s="116">
        <v>773.25</v>
      </c>
      <c r="E2346" s="116">
        <v>783.95</v>
      </c>
      <c r="F2346" s="116">
        <v>780.2</v>
      </c>
      <c r="G2346">
        <v>295252</v>
      </c>
      <c r="H2346" s="116"/>
      <c r="I2346" s="116"/>
      <c r="L2346" s="170">
        <v>45672</v>
      </c>
      <c r="M2346" s="116">
        <v>780.15</v>
      </c>
      <c r="N2346" s="116">
        <v>800.9</v>
      </c>
      <c r="O2346" s="116">
        <v>773.5</v>
      </c>
      <c r="P2346" s="116">
        <v>783.65</v>
      </c>
      <c r="Q2346" s="116">
        <v>780.15</v>
      </c>
      <c r="R2346">
        <v>3599461</v>
      </c>
    </row>
    <row r="2347" spans="1:18" x14ac:dyDescent="0.25">
      <c r="A2347" s="170">
        <v>45673</v>
      </c>
      <c r="B2347" s="116">
        <v>832</v>
      </c>
      <c r="C2347" s="116">
        <v>792.25</v>
      </c>
      <c r="D2347" s="116">
        <v>786.75</v>
      </c>
      <c r="E2347" s="116">
        <v>811.55</v>
      </c>
      <c r="F2347" s="116">
        <v>792.25</v>
      </c>
      <c r="G2347">
        <v>255308</v>
      </c>
      <c r="H2347" s="116"/>
      <c r="I2347" s="116"/>
      <c r="L2347" s="170">
        <v>45673</v>
      </c>
      <c r="M2347" s="116">
        <v>792.5</v>
      </c>
      <c r="N2347" s="116">
        <v>833.15</v>
      </c>
      <c r="O2347" s="116">
        <v>786.55</v>
      </c>
      <c r="P2347" s="116">
        <v>817.95</v>
      </c>
      <c r="Q2347" s="116">
        <v>792.5</v>
      </c>
      <c r="R2347">
        <v>2448865</v>
      </c>
    </row>
    <row r="2348" spans="1:18" x14ac:dyDescent="0.25">
      <c r="A2348" s="170">
        <v>45674</v>
      </c>
      <c r="B2348" s="116">
        <v>808.5</v>
      </c>
      <c r="C2348" s="116">
        <v>805.65</v>
      </c>
      <c r="D2348" s="116">
        <v>786.35</v>
      </c>
      <c r="E2348" s="116">
        <v>798.3</v>
      </c>
      <c r="F2348" s="116">
        <v>805.65</v>
      </c>
      <c r="G2348">
        <v>103143</v>
      </c>
      <c r="H2348" s="116"/>
      <c r="I2348" s="116"/>
      <c r="L2348" s="170">
        <v>45674</v>
      </c>
      <c r="M2348" s="116">
        <v>805.15</v>
      </c>
      <c r="N2348" s="116">
        <v>808.65</v>
      </c>
      <c r="O2348" s="116">
        <v>786</v>
      </c>
      <c r="P2348" s="116">
        <v>796</v>
      </c>
      <c r="Q2348" s="116">
        <v>805.15</v>
      </c>
      <c r="R2348">
        <v>2391368</v>
      </c>
    </row>
    <row r="2349" spans="1:18" x14ac:dyDescent="0.25">
      <c r="A2349" s="170">
        <v>45677</v>
      </c>
      <c r="B2349" s="116">
        <v>828.15</v>
      </c>
      <c r="C2349" s="116">
        <v>815.65</v>
      </c>
      <c r="D2349" s="116">
        <v>801.2</v>
      </c>
      <c r="E2349" s="116">
        <v>817.6</v>
      </c>
      <c r="F2349" s="116">
        <v>815.65</v>
      </c>
      <c r="G2349">
        <v>183850</v>
      </c>
      <c r="H2349" s="116"/>
      <c r="I2349" s="116"/>
      <c r="L2349" s="170">
        <v>45677</v>
      </c>
      <c r="M2349" s="116">
        <v>815.75</v>
      </c>
      <c r="N2349" s="116">
        <v>828.7</v>
      </c>
      <c r="O2349" s="116">
        <v>801.15</v>
      </c>
      <c r="P2349" s="116">
        <v>815</v>
      </c>
      <c r="Q2349" s="116">
        <v>815.75</v>
      </c>
      <c r="R2349">
        <v>2108088</v>
      </c>
    </row>
    <row r="2350" spans="1:18" x14ac:dyDescent="0.25">
      <c r="A2350" s="170">
        <v>45678</v>
      </c>
      <c r="B2350" s="116">
        <v>826</v>
      </c>
      <c r="C2350" s="116">
        <v>813.35</v>
      </c>
      <c r="D2350" s="116">
        <v>803.2</v>
      </c>
      <c r="E2350" s="116">
        <v>819.95</v>
      </c>
      <c r="F2350" s="116">
        <v>813.35</v>
      </c>
      <c r="G2350">
        <v>165730</v>
      </c>
      <c r="H2350" s="116"/>
      <c r="I2350" s="116"/>
      <c r="L2350" s="170">
        <v>45678</v>
      </c>
      <c r="M2350" s="116">
        <v>813.35</v>
      </c>
      <c r="N2350" s="116">
        <v>826.65</v>
      </c>
      <c r="O2350" s="116">
        <v>803.2</v>
      </c>
      <c r="P2350" s="116">
        <v>819</v>
      </c>
      <c r="Q2350" s="116">
        <v>813.35</v>
      </c>
      <c r="R2350">
        <v>3026174</v>
      </c>
    </row>
    <row r="2351" spans="1:18" x14ac:dyDescent="0.25">
      <c r="A2351" s="170">
        <v>45679</v>
      </c>
      <c r="B2351" s="116">
        <v>826</v>
      </c>
      <c r="C2351" s="116">
        <v>801.15</v>
      </c>
      <c r="D2351" s="116">
        <v>780.2</v>
      </c>
      <c r="E2351" s="116">
        <v>825.85</v>
      </c>
      <c r="F2351" s="116">
        <v>801.15</v>
      </c>
      <c r="G2351">
        <v>260517</v>
      </c>
      <c r="H2351" s="116"/>
      <c r="I2351" s="116"/>
      <c r="L2351" s="170">
        <v>45679</v>
      </c>
      <c r="M2351" s="116">
        <v>802.8</v>
      </c>
      <c r="N2351" s="116">
        <v>827.35</v>
      </c>
      <c r="O2351" s="116">
        <v>785.1</v>
      </c>
      <c r="P2351" s="116">
        <v>825</v>
      </c>
      <c r="Q2351" s="116">
        <v>802.8</v>
      </c>
      <c r="R2351">
        <v>2316536</v>
      </c>
    </row>
    <row r="2352" spans="1:18" x14ac:dyDescent="0.25">
      <c r="A2352" s="170">
        <v>45680</v>
      </c>
      <c r="B2352" s="116">
        <v>826.3</v>
      </c>
      <c r="C2352" s="116">
        <v>810.75</v>
      </c>
      <c r="D2352" s="116">
        <v>791.85</v>
      </c>
      <c r="E2352" s="116">
        <v>799.85</v>
      </c>
      <c r="F2352" s="116">
        <v>810.75</v>
      </c>
      <c r="G2352">
        <v>277799</v>
      </c>
      <c r="H2352" s="116"/>
      <c r="I2352" s="116"/>
      <c r="L2352" s="170">
        <v>45680</v>
      </c>
      <c r="M2352" s="116">
        <v>808.8</v>
      </c>
      <c r="N2352" s="116">
        <v>826.6</v>
      </c>
      <c r="O2352" s="116">
        <v>791.35</v>
      </c>
      <c r="P2352" s="116">
        <v>795.1</v>
      </c>
      <c r="Q2352" s="116">
        <v>808.8</v>
      </c>
      <c r="R2352">
        <v>3765979</v>
      </c>
    </row>
    <row r="2353" spans="1:18" x14ac:dyDescent="0.25">
      <c r="A2353" s="170">
        <v>45681</v>
      </c>
      <c r="B2353" s="116">
        <v>815</v>
      </c>
      <c r="C2353" s="116">
        <v>789.95</v>
      </c>
      <c r="D2353" s="116">
        <v>781.05</v>
      </c>
      <c r="E2353" s="116">
        <v>815</v>
      </c>
      <c r="F2353" s="116">
        <v>789.95</v>
      </c>
      <c r="G2353">
        <v>328311</v>
      </c>
      <c r="H2353" s="116"/>
      <c r="I2353" s="116"/>
      <c r="L2353" s="170">
        <v>45681</v>
      </c>
      <c r="M2353" s="116">
        <v>790.45</v>
      </c>
      <c r="N2353" s="116">
        <v>816</v>
      </c>
      <c r="O2353" s="116">
        <v>781</v>
      </c>
      <c r="P2353" s="116">
        <v>814</v>
      </c>
      <c r="Q2353" s="116">
        <v>790.45</v>
      </c>
      <c r="R2353">
        <v>2773445</v>
      </c>
    </row>
    <row r="2354" spans="1:18" x14ac:dyDescent="0.25">
      <c r="A2354" s="170">
        <v>45684</v>
      </c>
      <c r="B2354" s="116">
        <v>781.25</v>
      </c>
      <c r="C2354" s="116">
        <v>756.65</v>
      </c>
      <c r="D2354" s="116">
        <v>751</v>
      </c>
      <c r="E2354" s="116">
        <v>780.6</v>
      </c>
      <c r="F2354" s="116">
        <v>756.65</v>
      </c>
      <c r="G2354">
        <v>83004</v>
      </c>
      <c r="H2354" s="116"/>
      <c r="I2354" s="116"/>
      <c r="L2354" s="170">
        <v>45684</v>
      </c>
      <c r="M2354" s="116">
        <v>755.65</v>
      </c>
      <c r="N2354" s="116">
        <v>781.3</v>
      </c>
      <c r="O2354" s="116">
        <v>750.8</v>
      </c>
      <c r="P2354" s="116">
        <v>779.25</v>
      </c>
      <c r="Q2354" s="116">
        <v>755.65</v>
      </c>
      <c r="R2354">
        <v>2319145</v>
      </c>
    </row>
    <row r="2355" spans="1:18" x14ac:dyDescent="0.25">
      <c r="A2355" s="170">
        <v>45685</v>
      </c>
      <c r="B2355" s="116">
        <v>769</v>
      </c>
      <c r="C2355" s="116">
        <v>747.55</v>
      </c>
      <c r="D2355" s="116">
        <v>735.35</v>
      </c>
      <c r="E2355" s="116">
        <v>756.65</v>
      </c>
      <c r="F2355" s="116">
        <v>747.55</v>
      </c>
      <c r="G2355">
        <v>218526</v>
      </c>
      <c r="H2355" s="116"/>
      <c r="I2355" s="116"/>
      <c r="L2355" s="170">
        <v>45685</v>
      </c>
      <c r="M2355" s="116">
        <v>747.6</v>
      </c>
      <c r="N2355" s="116">
        <v>769.9</v>
      </c>
      <c r="O2355" s="116">
        <v>735.3</v>
      </c>
      <c r="P2355" s="116">
        <v>753</v>
      </c>
      <c r="Q2355" s="116">
        <v>747.6</v>
      </c>
      <c r="R2355">
        <v>1860951</v>
      </c>
    </row>
    <row r="2356" spans="1:18" x14ac:dyDescent="0.25">
      <c r="A2356" s="170">
        <v>45686</v>
      </c>
      <c r="B2356" s="116">
        <v>759</v>
      </c>
      <c r="C2356" s="116">
        <v>745.15</v>
      </c>
      <c r="D2356" s="116">
        <v>738.3</v>
      </c>
      <c r="E2356" s="116">
        <v>750.05</v>
      </c>
      <c r="F2356" s="116">
        <v>745.15</v>
      </c>
      <c r="G2356">
        <v>87980</v>
      </c>
      <c r="H2356" s="116"/>
      <c r="I2356" s="116"/>
      <c r="L2356" s="170">
        <v>45686</v>
      </c>
      <c r="M2356" s="116">
        <v>744.7</v>
      </c>
      <c r="N2356" s="116">
        <v>759.75</v>
      </c>
      <c r="O2356" s="116">
        <v>738.1</v>
      </c>
      <c r="P2356" s="116">
        <v>750.95</v>
      </c>
      <c r="Q2356" s="116">
        <v>744.7</v>
      </c>
      <c r="R2356">
        <v>1398816</v>
      </c>
    </row>
    <row r="2357" spans="1:18" x14ac:dyDescent="0.25">
      <c r="A2357" s="170">
        <v>45687</v>
      </c>
      <c r="B2357" s="116">
        <v>760.15</v>
      </c>
      <c r="C2357" s="116">
        <v>739.85</v>
      </c>
      <c r="D2357" s="116">
        <v>727.65</v>
      </c>
      <c r="E2357" s="116">
        <v>750</v>
      </c>
      <c r="F2357" s="116">
        <v>739.85</v>
      </c>
      <c r="G2357">
        <v>153331</v>
      </c>
      <c r="H2357" s="116"/>
      <c r="I2357" s="116"/>
      <c r="L2357" s="170">
        <v>45687</v>
      </c>
      <c r="M2357" s="116">
        <v>740.25</v>
      </c>
      <c r="N2357" s="116">
        <v>760.3</v>
      </c>
      <c r="O2357" s="116">
        <v>728.3</v>
      </c>
      <c r="P2357" s="116">
        <v>751.95</v>
      </c>
      <c r="Q2357" s="116">
        <v>740.25</v>
      </c>
      <c r="R2357">
        <v>1380777</v>
      </c>
    </row>
    <row r="2358" spans="1:18" x14ac:dyDescent="0.25">
      <c r="A2358" s="170">
        <v>45688</v>
      </c>
      <c r="B2358" s="116">
        <v>763.1</v>
      </c>
      <c r="C2358" s="116">
        <v>753.1</v>
      </c>
      <c r="D2358" s="116">
        <v>737.85</v>
      </c>
      <c r="E2358" s="116">
        <v>753.65</v>
      </c>
      <c r="F2358" s="116">
        <v>753.1</v>
      </c>
      <c r="G2358">
        <v>94622</v>
      </c>
      <c r="H2358" s="116"/>
      <c r="I2358" s="116"/>
      <c r="L2358" s="170">
        <v>45688</v>
      </c>
      <c r="M2358" s="116">
        <v>748.35</v>
      </c>
      <c r="N2358" s="116">
        <v>763.3</v>
      </c>
      <c r="O2358" s="116">
        <v>737.85</v>
      </c>
      <c r="P2358" s="116">
        <v>748.9</v>
      </c>
      <c r="Q2358" s="116">
        <v>748.35</v>
      </c>
      <c r="R2358">
        <v>3073984</v>
      </c>
    </row>
    <row r="2359" spans="1:18" x14ac:dyDescent="0.25">
      <c r="A2359" s="170">
        <v>45689</v>
      </c>
      <c r="B2359" s="116">
        <v>769.2</v>
      </c>
      <c r="C2359" s="116">
        <v>745.95</v>
      </c>
      <c r="D2359" s="116">
        <v>731.65</v>
      </c>
      <c r="E2359" s="116">
        <v>759.85</v>
      </c>
      <c r="F2359" s="116">
        <v>745.95</v>
      </c>
      <c r="G2359">
        <v>178194</v>
      </c>
      <c r="H2359" s="116"/>
      <c r="I2359" s="116"/>
      <c r="L2359" s="170">
        <v>45689</v>
      </c>
      <c r="M2359" s="116">
        <v>746.05</v>
      </c>
      <c r="N2359" s="116">
        <v>767.9</v>
      </c>
      <c r="O2359" s="116">
        <v>732</v>
      </c>
      <c r="P2359" s="116">
        <v>756</v>
      </c>
      <c r="Q2359" s="116">
        <v>746.05</v>
      </c>
      <c r="R2359">
        <v>1126229</v>
      </c>
    </row>
    <row r="2360" spans="1:18" x14ac:dyDescent="0.25">
      <c r="A2360" s="170">
        <v>45691</v>
      </c>
      <c r="B2360" s="116">
        <v>742.45</v>
      </c>
      <c r="C2360" s="116">
        <v>728.7</v>
      </c>
      <c r="D2360" s="116">
        <v>726.15</v>
      </c>
      <c r="E2360" s="116">
        <v>735.8</v>
      </c>
      <c r="F2360" s="116">
        <v>728.7</v>
      </c>
      <c r="G2360">
        <v>45412</v>
      </c>
      <c r="H2360" s="116"/>
      <c r="I2360" s="116"/>
      <c r="L2360" s="170">
        <v>45691</v>
      </c>
      <c r="M2360" s="116">
        <v>728.15</v>
      </c>
      <c r="N2360" s="116">
        <v>742.7</v>
      </c>
      <c r="O2360" s="116">
        <v>725.35</v>
      </c>
      <c r="P2360" s="116">
        <v>740</v>
      </c>
      <c r="Q2360" s="116">
        <v>728.15</v>
      </c>
      <c r="R2360">
        <v>861101</v>
      </c>
    </row>
    <row r="2361" spans="1:18" x14ac:dyDescent="0.25">
      <c r="A2361" s="170">
        <v>45692</v>
      </c>
      <c r="B2361" s="116">
        <v>754.4</v>
      </c>
      <c r="C2361" s="116">
        <v>751.6</v>
      </c>
      <c r="D2361" s="116">
        <v>730.1</v>
      </c>
      <c r="E2361" s="116">
        <v>730.1</v>
      </c>
      <c r="F2361" s="116">
        <v>751.6</v>
      </c>
      <c r="G2361">
        <v>130295</v>
      </c>
      <c r="H2361" s="116"/>
      <c r="I2361" s="116"/>
      <c r="L2361" s="170">
        <v>45692</v>
      </c>
      <c r="M2361" s="116">
        <v>751.8</v>
      </c>
      <c r="N2361" s="116">
        <v>753.45</v>
      </c>
      <c r="O2361" s="116">
        <v>731</v>
      </c>
      <c r="P2361" s="116">
        <v>734.9</v>
      </c>
      <c r="Q2361" s="116">
        <v>751.8</v>
      </c>
      <c r="R2361">
        <v>1007055</v>
      </c>
    </row>
    <row r="2362" spans="1:18" x14ac:dyDescent="0.25">
      <c r="A2362" s="170">
        <v>45693</v>
      </c>
      <c r="B2362" s="116">
        <v>782.6</v>
      </c>
      <c r="C2362" s="116">
        <v>775.5</v>
      </c>
      <c r="D2362" s="116">
        <v>751.6</v>
      </c>
      <c r="E2362" s="116">
        <v>760</v>
      </c>
      <c r="F2362" s="116">
        <v>775.5</v>
      </c>
      <c r="G2362">
        <v>81215</v>
      </c>
      <c r="H2362" s="116"/>
      <c r="I2362" s="116"/>
      <c r="L2362" s="170">
        <v>45693</v>
      </c>
      <c r="M2362" s="116">
        <v>775.5</v>
      </c>
      <c r="N2362" s="116">
        <v>782.7</v>
      </c>
      <c r="O2362" s="116">
        <v>751.8</v>
      </c>
      <c r="P2362" s="116">
        <v>752</v>
      </c>
      <c r="Q2362" s="116">
        <v>775.5</v>
      </c>
      <c r="R2362">
        <v>1664111</v>
      </c>
    </row>
    <row r="2363" spans="1:18" x14ac:dyDescent="0.25">
      <c r="A2363" s="170">
        <v>45694</v>
      </c>
      <c r="B2363" s="116">
        <v>788</v>
      </c>
      <c r="C2363" s="116">
        <v>772.35</v>
      </c>
      <c r="D2363" s="116">
        <v>767.6</v>
      </c>
      <c r="E2363" s="116">
        <v>780</v>
      </c>
      <c r="F2363" s="116">
        <v>772.35</v>
      </c>
      <c r="G2363">
        <v>138964</v>
      </c>
      <c r="H2363" s="116"/>
      <c r="I2363" s="116"/>
      <c r="L2363" s="170">
        <v>45694</v>
      </c>
      <c r="M2363" s="116">
        <v>773.15</v>
      </c>
      <c r="N2363" s="116">
        <v>788.2</v>
      </c>
      <c r="O2363" s="116">
        <v>767.15</v>
      </c>
      <c r="P2363" s="116">
        <v>780.9</v>
      </c>
      <c r="Q2363" s="116">
        <v>773.15</v>
      </c>
      <c r="R2363">
        <v>1009247</v>
      </c>
    </row>
    <row r="2364" spans="1:18" x14ac:dyDescent="0.25">
      <c r="A2364" s="170">
        <v>45695</v>
      </c>
      <c r="B2364" s="116">
        <v>782.35</v>
      </c>
      <c r="C2364" s="116">
        <v>773.95</v>
      </c>
      <c r="D2364" s="116">
        <v>759.65</v>
      </c>
      <c r="E2364" s="116">
        <v>772.5</v>
      </c>
      <c r="F2364" s="116">
        <v>773.95</v>
      </c>
      <c r="G2364">
        <v>34446</v>
      </c>
      <c r="H2364" s="116"/>
      <c r="I2364" s="116"/>
      <c r="L2364" s="170">
        <v>45695</v>
      </c>
      <c r="M2364" s="116">
        <v>773.4</v>
      </c>
      <c r="N2364" s="116">
        <v>782.9</v>
      </c>
      <c r="O2364" s="116">
        <v>759.2</v>
      </c>
      <c r="P2364" s="116">
        <v>773.95</v>
      </c>
      <c r="Q2364" s="116">
        <v>773.4</v>
      </c>
      <c r="R2364">
        <v>771037</v>
      </c>
    </row>
    <row r="2365" spans="1:18" x14ac:dyDescent="0.25">
      <c r="A2365" s="170">
        <v>45698</v>
      </c>
      <c r="B2365" s="116">
        <v>777.85</v>
      </c>
      <c r="C2365" s="116">
        <v>740.6</v>
      </c>
      <c r="D2365" s="116">
        <v>738.25</v>
      </c>
      <c r="E2365" s="116">
        <v>775</v>
      </c>
      <c r="F2365" s="116">
        <v>740.6</v>
      </c>
      <c r="G2365">
        <v>129188</v>
      </c>
      <c r="H2365" s="116"/>
      <c r="I2365" s="116"/>
      <c r="L2365" s="170">
        <v>45698</v>
      </c>
      <c r="M2365" s="116">
        <v>741.7</v>
      </c>
      <c r="N2365" s="116">
        <v>777</v>
      </c>
      <c r="O2365" s="116">
        <v>738.05</v>
      </c>
      <c r="P2365" s="116">
        <v>776.9</v>
      </c>
      <c r="Q2365" s="116">
        <v>741.7</v>
      </c>
      <c r="R2365">
        <v>1132859</v>
      </c>
    </row>
    <row r="2366" spans="1:18" x14ac:dyDescent="0.25">
      <c r="A2366" s="170">
        <v>45699</v>
      </c>
      <c r="B2366" s="116">
        <v>763</v>
      </c>
      <c r="C2366" s="116">
        <v>732.2</v>
      </c>
      <c r="D2366" s="116">
        <v>725.95</v>
      </c>
      <c r="E2366" s="116">
        <v>741.7</v>
      </c>
      <c r="F2366" s="116">
        <v>732.2</v>
      </c>
      <c r="G2366">
        <v>83719</v>
      </c>
      <c r="H2366" s="116"/>
      <c r="I2366" s="116"/>
      <c r="L2366" s="170">
        <v>45699</v>
      </c>
      <c r="M2366" s="116">
        <v>732.05</v>
      </c>
      <c r="N2366" s="116">
        <v>763.6</v>
      </c>
      <c r="O2366" s="116">
        <v>725.2</v>
      </c>
      <c r="P2366" s="116">
        <v>741.8</v>
      </c>
      <c r="Q2366" s="116">
        <v>732.05</v>
      </c>
      <c r="R2366">
        <v>1530185</v>
      </c>
    </row>
    <row r="2367" spans="1:18" x14ac:dyDescent="0.25">
      <c r="A2367" s="170">
        <v>45700</v>
      </c>
      <c r="B2367" s="116">
        <v>760</v>
      </c>
      <c r="C2367" s="116">
        <v>757.15</v>
      </c>
      <c r="D2367" s="116">
        <v>728.05</v>
      </c>
      <c r="E2367" s="116">
        <v>733.05</v>
      </c>
      <c r="F2367" s="116">
        <v>757.15</v>
      </c>
      <c r="G2367">
        <v>304805</v>
      </c>
      <c r="H2367" s="116"/>
      <c r="I2367" s="116"/>
      <c r="L2367" s="170">
        <v>45700</v>
      </c>
      <c r="M2367" s="116">
        <v>756.8</v>
      </c>
      <c r="N2367" s="116">
        <v>760</v>
      </c>
      <c r="O2367" s="116">
        <v>728.65</v>
      </c>
      <c r="P2367" s="116">
        <v>738</v>
      </c>
      <c r="Q2367" s="116">
        <v>756.8</v>
      </c>
      <c r="R2367">
        <v>3137758</v>
      </c>
    </row>
    <row r="2368" spans="1:18" x14ac:dyDescent="0.25">
      <c r="A2368" s="170">
        <v>45701</v>
      </c>
      <c r="B2368" s="116">
        <v>777.7</v>
      </c>
      <c r="C2368" s="116">
        <v>742.65</v>
      </c>
      <c r="D2368" s="116">
        <v>740.3</v>
      </c>
      <c r="E2368" s="116">
        <v>742.05</v>
      </c>
      <c r="F2368" s="116">
        <v>742.65</v>
      </c>
      <c r="G2368">
        <v>175618</v>
      </c>
      <c r="H2368" s="116"/>
      <c r="I2368" s="116"/>
      <c r="L2368" s="170">
        <v>45701</v>
      </c>
      <c r="M2368" s="116">
        <v>744</v>
      </c>
      <c r="N2368" s="116">
        <v>777.8</v>
      </c>
      <c r="O2368" s="116">
        <v>740</v>
      </c>
      <c r="P2368" s="116">
        <v>760.2</v>
      </c>
      <c r="Q2368" s="116">
        <v>744</v>
      </c>
      <c r="R2368">
        <v>1310157</v>
      </c>
    </row>
    <row r="2369" spans="1:18" x14ac:dyDescent="0.25">
      <c r="A2369" s="170">
        <v>45702</v>
      </c>
      <c r="B2369" s="116">
        <v>751.75</v>
      </c>
      <c r="C2369" s="116">
        <v>707.6</v>
      </c>
      <c r="D2369" s="116">
        <v>697.05</v>
      </c>
      <c r="E2369" s="116">
        <v>745.55</v>
      </c>
      <c r="F2369" s="116">
        <v>707.6</v>
      </c>
      <c r="G2369">
        <v>186466</v>
      </c>
      <c r="H2369" s="116"/>
      <c r="I2369" s="116"/>
      <c r="L2369" s="170">
        <v>45702</v>
      </c>
      <c r="M2369" s="116">
        <v>708.4</v>
      </c>
      <c r="N2369" s="116">
        <v>751.1</v>
      </c>
      <c r="O2369" s="116">
        <v>696.75</v>
      </c>
      <c r="P2369" s="116">
        <v>747.45</v>
      </c>
      <c r="Q2369" s="116">
        <v>708.4</v>
      </c>
      <c r="R2369">
        <v>1779389</v>
      </c>
    </row>
    <row r="2370" spans="1:18" x14ac:dyDescent="0.25">
      <c r="A2370" s="170">
        <v>45705</v>
      </c>
      <c r="B2370" s="116">
        <v>709</v>
      </c>
      <c r="C2370" s="116">
        <v>702.1</v>
      </c>
      <c r="D2370" s="116">
        <v>677.4</v>
      </c>
      <c r="E2370" s="116">
        <v>700.05</v>
      </c>
      <c r="F2370" s="116">
        <v>702.1</v>
      </c>
      <c r="G2370">
        <v>86220</v>
      </c>
      <c r="H2370" s="116"/>
      <c r="I2370" s="116"/>
      <c r="L2370" s="170">
        <v>45705</v>
      </c>
      <c r="M2370" s="116">
        <v>702</v>
      </c>
      <c r="N2370" s="116">
        <v>708.75</v>
      </c>
      <c r="O2370" s="116">
        <v>677.4</v>
      </c>
      <c r="P2370" s="116">
        <v>703.85</v>
      </c>
      <c r="Q2370" s="116">
        <v>702</v>
      </c>
      <c r="R2370">
        <v>2394243</v>
      </c>
    </row>
    <row r="2371" spans="1:18" x14ac:dyDescent="0.25">
      <c r="A2371" s="170">
        <v>45706</v>
      </c>
      <c r="B2371" s="116">
        <v>705</v>
      </c>
      <c r="C2371" s="116">
        <v>676.25</v>
      </c>
      <c r="D2371" s="116">
        <v>668.1</v>
      </c>
      <c r="E2371" s="116">
        <v>705</v>
      </c>
      <c r="F2371" s="116">
        <v>676.25</v>
      </c>
      <c r="G2371">
        <v>212826</v>
      </c>
      <c r="H2371" s="116"/>
      <c r="I2371" s="116"/>
      <c r="L2371" s="170">
        <v>45706</v>
      </c>
      <c r="M2371" s="116">
        <v>677.15</v>
      </c>
      <c r="N2371" s="116">
        <v>706.8</v>
      </c>
      <c r="O2371" s="116">
        <v>668</v>
      </c>
      <c r="P2371" s="116">
        <v>706.8</v>
      </c>
      <c r="Q2371" s="116">
        <v>677.15</v>
      </c>
      <c r="R2371">
        <v>2968321</v>
      </c>
    </row>
    <row r="2372" spans="1:18" x14ac:dyDescent="0.25">
      <c r="A2372" s="170">
        <v>45707</v>
      </c>
      <c r="B2372" s="116">
        <v>681.75</v>
      </c>
      <c r="C2372" s="116">
        <v>670.8</v>
      </c>
      <c r="D2372" s="116">
        <v>660</v>
      </c>
      <c r="E2372" s="116">
        <v>668.95</v>
      </c>
      <c r="F2372" s="116">
        <v>670.8</v>
      </c>
      <c r="G2372">
        <v>63272</v>
      </c>
      <c r="H2372" s="116"/>
      <c r="I2372" s="116"/>
      <c r="L2372" s="170">
        <v>45707</v>
      </c>
      <c r="M2372" s="116">
        <v>670.65</v>
      </c>
      <c r="N2372" s="116">
        <v>681.9</v>
      </c>
      <c r="O2372" s="116">
        <v>660</v>
      </c>
      <c r="P2372" s="116">
        <v>667.1</v>
      </c>
      <c r="Q2372" s="116">
        <v>670.65</v>
      </c>
      <c r="R2372">
        <v>1883969</v>
      </c>
    </row>
    <row r="2373" spans="1:18" x14ac:dyDescent="0.25">
      <c r="A2373" s="170">
        <v>45708</v>
      </c>
      <c r="B2373" s="116">
        <v>686.5</v>
      </c>
      <c r="C2373" s="116">
        <v>677.75</v>
      </c>
      <c r="D2373" s="116">
        <v>661.45</v>
      </c>
      <c r="E2373" s="116">
        <v>668.35</v>
      </c>
      <c r="F2373" s="116">
        <v>677.75</v>
      </c>
      <c r="G2373">
        <v>126115</v>
      </c>
      <c r="H2373" s="116"/>
      <c r="I2373" s="116"/>
      <c r="L2373" s="170">
        <v>45708</v>
      </c>
      <c r="M2373" s="116">
        <v>678</v>
      </c>
      <c r="N2373" s="116">
        <v>686.5</v>
      </c>
      <c r="O2373" s="116">
        <v>662.35</v>
      </c>
      <c r="P2373" s="116">
        <v>669.9</v>
      </c>
      <c r="Q2373" s="116">
        <v>678</v>
      </c>
      <c r="R2373">
        <v>1271876</v>
      </c>
    </row>
    <row r="2374" spans="1:18" x14ac:dyDescent="0.25">
      <c r="A2374" s="170">
        <v>45709</v>
      </c>
      <c r="B2374" s="116">
        <v>696</v>
      </c>
      <c r="C2374" s="116">
        <v>669.6</v>
      </c>
      <c r="D2374" s="116">
        <v>666.85</v>
      </c>
      <c r="E2374" s="116">
        <v>681.05</v>
      </c>
      <c r="F2374" s="116">
        <v>669.6</v>
      </c>
      <c r="G2374">
        <v>96016</v>
      </c>
      <c r="H2374" s="116"/>
      <c r="I2374" s="116"/>
      <c r="L2374" s="170">
        <v>45709</v>
      </c>
      <c r="M2374" s="116">
        <v>670.95</v>
      </c>
      <c r="N2374" s="116">
        <v>695.7</v>
      </c>
      <c r="O2374" s="116">
        <v>667.2</v>
      </c>
      <c r="P2374" s="116">
        <v>680.95</v>
      </c>
      <c r="Q2374" s="116">
        <v>670.95</v>
      </c>
      <c r="R2374">
        <v>1211108</v>
      </c>
    </row>
    <row r="2375" spans="1:18" x14ac:dyDescent="0.25">
      <c r="A2375" s="170">
        <v>45712</v>
      </c>
      <c r="B2375" s="116">
        <v>680.5</v>
      </c>
      <c r="C2375" s="116">
        <v>669.3</v>
      </c>
      <c r="D2375" s="116">
        <v>656.55</v>
      </c>
      <c r="E2375" s="116">
        <v>670.95</v>
      </c>
      <c r="F2375" s="116">
        <v>669.3</v>
      </c>
      <c r="G2375">
        <v>34371</v>
      </c>
      <c r="H2375" s="116"/>
      <c r="I2375" s="116"/>
      <c r="L2375" s="170">
        <v>45712</v>
      </c>
      <c r="M2375" s="116">
        <v>669.6</v>
      </c>
      <c r="N2375" s="116">
        <v>680.7</v>
      </c>
      <c r="O2375" s="116">
        <v>656.65</v>
      </c>
      <c r="P2375" s="116">
        <v>670</v>
      </c>
      <c r="Q2375" s="116">
        <v>669.6</v>
      </c>
      <c r="R2375">
        <v>1237728</v>
      </c>
    </row>
    <row r="2376" spans="1:18" x14ac:dyDescent="0.25">
      <c r="A2376" s="170">
        <v>45713</v>
      </c>
      <c r="B2376" s="116">
        <v>686.9</v>
      </c>
      <c r="C2376" s="116">
        <v>670</v>
      </c>
      <c r="D2376" s="116">
        <v>665.4</v>
      </c>
      <c r="E2376" s="116">
        <v>666.4</v>
      </c>
      <c r="F2376" s="116">
        <v>670</v>
      </c>
      <c r="G2376">
        <v>50278</v>
      </c>
      <c r="H2376" s="116"/>
      <c r="I2376" s="116"/>
      <c r="L2376" s="170">
        <v>45713</v>
      </c>
      <c r="M2376" s="116">
        <v>669.7</v>
      </c>
      <c r="N2376" s="116">
        <v>686.35</v>
      </c>
      <c r="O2376" s="116">
        <v>665.7</v>
      </c>
      <c r="P2376" s="116">
        <v>672.3</v>
      </c>
      <c r="Q2376" s="116">
        <v>669.7</v>
      </c>
      <c r="R2376">
        <v>1654419</v>
      </c>
    </row>
    <row r="2377" spans="1:18" x14ac:dyDescent="0.25">
      <c r="A2377" s="170">
        <v>45715</v>
      </c>
      <c r="B2377" s="116">
        <v>678</v>
      </c>
      <c r="C2377" s="116">
        <v>661.05</v>
      </c>
      <c r="D2377" s="116">
        <v>658.35</v>
      </c>
      <c r="E2377" s="116">
        <v>675.95</v>
      </c>
      <c r="F2377" s="116">
        <v>661.05</v>
      </c>
      <c r="G2377">
        <v>122775</v>
      </c>
      <c r="H2377" s="116"/>
      <c r="I2377" s="116"/>
      <c r="L2377" s="170">
        <v>45715</v>
      </c>
      <c r="M2377" s="116">
        <v>661.7</v>
      </c>
      <c r="N2377" s="116">
        <v>678.45</v>
      </c>
      <c r="O2377" s="116">
        <v>660</v>
      </c>
      <c r="P2377" s="116">
        <v>673.5</v>
      </c>
      <c r="Q2377" s="116">
        <v>661.7</v>
      </c>
      <c r="R2377">
        <v>1109229</v>
      </c>
    </row>
    <row r="2378" spans="1:18" x14ac:dyDescent="0.25">
      <c r="A2378" s="170">
        <v>45716</v>
      </c>
      <c r="B2378" s="116">
        <v>673.75</v>
      </c>
      <c r="C2378" s="116">
        <v>651.04999999999995</v>
      </c>
      <c r="D2378" s="116">
        <v>648</v>
      </c>
      <c r="E2378" s="116">
        <v>660.05</v>
      </c>
      <c r="F2378" s="116">
        <v>651.04999999999995</v>
      </c>
      <c r="G2378">
        <v>130112</v>
      </c>
      <c r="H2378" s="116"/>
      <c r="I2378" s="116"/>
      <c r="L2378" s="170">
        <v>45716</v>
      </c>
      <c r="M2378" s="116">
        <v>650.9</v>
      </c>
      <c r="N2378" s="116">
        <v>673.35</v>
      </c>
      <c r="O2378" s="116">
        <v>648.04999999999995</v>
      </c>
      <c r="P2378" s="116">
        <v>661.7</v>
      </c>
      <c r="Q2378" s="116">
        <v>650.9</v>
      </c>
      <c r="R2378">
        <v>1766312</v>
      </c>
    </row>
    <row r="2379" spans="1:18" x14ac:dyDescent="0.25">
      <c r="A2379" s="170">
        <v>45719</v>
      </c>
      <c r="B2379" s="116">
        <v>664.2</v>
      </c>
      <c r="C2379" s="116">
        <v>653.95000000000005</v>
      </c>
      <c r="D2379" s="116">
        <v>639.35</v>
      </c>
      <c r="E2379" s="116">
        <v>652.20000000000005</v>
      </c>
      <c r="F2379" s="116">
        <v>653.95000000000005</v>
      </c>
      <c r="G2379">
        <v>276403</v>
      </c>
      <c r="H2379" s="116"/>
      <c r="I2379" s="116"/>
      <c r="L2379" s="170">
        <v>45719</v>
      </c>
      <c r="M2379" s="116">
        <v>654.04999999999995</v>
      </c>
      <c r="N2379" s="116">
        <v>664.05</v>
      </c>
      <c r="O2379" s="116">
        <v>639.45000000000005</v>
      </c>
      <c r="P2379" s="116">
        <v>652.54999999999995</v>
      </c>
      <c r="Q2379" s="116">
        <v>654.04999999999995</v>
      </c>
      <c r="R2379">
        <v>1160382</v>
      </c>
    </row>
    <row r="2380" spans="1:18" x14ac:dyDescent="0.25">
      <c r="A2380" s="170">
        <v>45720</v>
      </c>
      <c r="B2380" s="116">
        <v>660.5</v>
      </c>
      <c r="C2380" s="116">
        <v>646.25</v>
      </c>
      <c r="D2380" s="116">
        <v>644</v>
      </c>
      <c r="E2380" s="116">
        <v>648.70000000000005</v>
      </c>
      <c r="F2380" s="116">
        <v>646.25</v>
      </c>
      <c r="G2380">
        <v>65445</v>
      </c>
      <c r="H2380" s="116"/>
      <c r="I2380" s="116"/>
      <c r="L2380" s="170">
        <v>45720</v>
      </c>
      <c r="M2380" s="116">
        <v>646.65</v>
      </c>
      <c r="N2380" s="116">
        <v>660.6</v>
      </c>
      <c r="O2380" s="116">
        <v>641.15</v>
      </c>
      <c r="P2380" s="116">
        <v>649.45000000000005</v>
      </c>
      <c r="Q2380" s="116">
        <v>646.65</v>
      </c>
      <c r="R2380">
        <v>1074477</v>
      </c>
    </row>
    <row r="2381" spans="1:18" x14ac:dyDescent="0.25">
      <c r="A2381" s="170">
        <v>45721</v>
      </c>
      <c r="B2381" s="116">
        <v>730.2</v>
      </c>
      <c r="C2381" s="116">
        <v>710.8</v>
      </c>
      <c r="D2381" s="116">
        <v>645.35</v>
      </c>
      <c r="E2381" s="116">
        <v>655.75</v>
      </c>
      <c r="F2381" s="116">
        <v>710.8</v>
      </c>
      <c r="G2381">
        <v>216769</v>
      </c>
      <c r="H2381" s="116"/>
      <c r="I2381" s="116"/>
      <c r="L2381" s="170">
        <v>45721</v>
      </c>
      <c r="M2381" s="116">
        <v>709.45</v>
      </c>
      <c r="N2381" s="116">
        <v>731.5</v>
      </c>
      <c r="O2381" s="116">
        <v>646</v>
      </c>
      <c r="P2381" s="116">
        <v>647</v>
      </c>
      <c r="Q2381" s="116">
        <v>709.45</v>
      </c>
      <c r="R2381">
        <v>6265335</v>
      </c>
    </row>
    <row r="2382" spans="1:18" x14ac:dyDescent="0.25">
      <c r="A2382" s="170">
        <v>45722</v>
      </c>
      <c r="B2382" s="116">
        <v>745.95</v>
      </c>
      <c r="C2382" s="116">
        <v>732.35</v>
      </c>
      <c r="D2382" s="116">
        <v>706.8</v>
      </c>
      <c r="E2382" s="116">
        <v>722.95</v>
      </c>
      <c r="F2382" s="116">
        <v>732.35</v>
      </c>
      <c r="G2382">
        <v>1332548</v>
      </c>
      <c r="H2382" s="116"/>
      <c r="I2382" s="116"/>
      <c r="L2382" s="170">
        <v>45722</v>
      </c>
      <c r="M2382" s="116">
        <v>733.25</v>
      </c>
      <c r="N2382" s="116">
        <v>746.6</v>
      </c>
      <c r="O2382" s="116">
        <v>707.6</v>
      </c>
      <c r="P2382" s="116">
        <v>719</v>
      </c>
      <c r="Q2382" s="116">
        <v>733.25</v>
      </c>
      <c r="R2382">
        <v>4897354</v>
      </c>
    </row>
    <row r="2383" spans="1:18" x14ac:dyDescent="0.25">
      <c r="A2383" s="170">
        <v>45723</v>
      </c>
      <c r="B2383" s="116">
        <v>753.55</v>
      </c>
      <c r="C2383" s="116">
        <v>747.5</v>
      </c>
      <c r="D2383" s="116">
        <v>723.5</v>
      </c>
      <c r="E2383" s="116">
        <v>733</v>
      </c>
      <c r="F2383" s="116">
        <v>747.5</v>
      </c>
      <c r="G2383">
        <v>113765</v>
      </c>
      <c r="H2383" s="116"/>
      <c r="I2383" s="116"/>
      <c r="L2383" s="170">
        <v>45723</v>
      </c>
      <c r="M2383" s="116">
        <v>747.6</v>
      </c>
      <c r="N2383" s="116">
        <v>753.9</v>
      </c>
      <c r="O2383" s="116">
        <v>724</v>
      </c>
      <c r="P2383" s="116">
        <v>730</v>
      </c>
      <c r="Q2383" s="116">
        <v>747.6</v>
      </c>
      <c r="R2383">
        <v>2622387</v>
      </c>
    </row>
    <row r="2384" spans="1:18" x14ac:dyDescent="0.25">
      <c r="A2384" s="170">
        <v>45726</v>
      </c>
      <c r="B2384" s="116">
        <v>790.05</v>
      </c>
      <c r="C2384" s="116">
        <v>758.95</v>
      </c>
      <c r="D2384" s="116">
        <v>738.3</v>
      </c>
      <c r="E2384" s="116">
        <v>747.95</v>
      </c>
      <c r="F2384" s="116">
        <v>758.95</v>
      </c>
      <c r="G2384">
        <v>203519</v>
      </c>
      <c r="H2384" s="116"/>
      <c r="I2384" s="116"/>
      <c r="L2384" s="170">
        <v>45726</v>
      </c>
      <c r="M2384" s="116">
        <v>759.1</v>
      </c>
      <c r="N2384" s="116">
        <v>790</v>
      </c>
      <c r="O2384" s="116">
        <v>738</v>
      </c>
      <c r="P2384" s="116">
        <v>747</v>
      </c>
      <c r="Q2384" s="116">
        <v>759.1</v>
      </c>
      <c r="R2384">
        <v>6861685</v>
      </c>
    </row>
    <row r="2385" spans="1:18" x14ac:dyDescent="0.25">
      <c r="A2385" s="170">
        <v>45727</v>
      </c>
      <c r="B2385" s="116">
        <v>768.15</v>
      </c>
      <c r="C2385" s="116">
        <v>762.75</v>
      </c>
      <c r="D2385" s="116">
        <v>742.1</v>
      </c>
      <c r="E2385" s="116">
        <v>745</v>
      </c>
      <c r="F2385" s="116">
        <v>762.75</v>
      </c>
      <c r="G2385">
        <v>133329</v>
      </c>
      <c r="H2385" s="116"/>
      <c r="I2385" s="116"/>
      <c r="L2385" s="170">
        <v>45727</v>
      </c>
      <c r="M2385" s="116">
        <v>761.05</v>
      </c>
      <c r="N2385" s="116">
        <v>768</v>
      </c>
      <c r="O2385" s="116">
        <v>742</v>
      </c>
      <c r="P2385" s="116">
        <v>745</v>
      </c>
      <c r="Q2385" s="116">
        <v>761.05</v>
      </c>
      <c r="R2385">
        <v>2785862</v>
      </c>
    </row>
    <row r="2386" spans="1:18" x14ac:dyDescent="0.25">
      <c r="A2386" s="170">
        <v>45728</v>
      </c>
      <c r="B2386" s="116">
        <v>785</v>
      </c>
      <c r="C2386" s="116">
        <v>782</v>
      </c>
      <c r="D2386" s="116">
        <v>743.95</v>
      </c>
      <c r="E2386" s="116">
        <v>765.3</v>
      </c>
      <c r="F2386" s="116">
        <v>782</v>
      </c>
      <c r="G2386">
        <v>244614</v>
      </c>
      <c r="H2386" s="116"/>
      <c r="I2386" s="116"/>
      <c r="L2386" s="170">
        <v>45728</v>
      </c>
      <c r="M2386" s="116">
        <v>781.75</v>
      </c>
      <c r="N2386" s="116">
        <v>784.9</v>
      </c>
      <c r="O2386" s="116">
        <v>744.05</v>
      </c>
      <c r="P2386" s="116">
        <v>765</v>
      </c>
      <c r="Q2386" s="116">
        <v>781.75</v>
      </c>
      <c r="R2386">
        <v>2734197</v>
      </c>
    </row>
    <row r="2387" spans="1:18" x14ac:dyDescent="0.25">
      <c r="A2387" s="170">
        <v>45729</v>
      </c>
      <c r="B2387" s="116">
        <v>795.45</v>
      </c>
      <c r="C2387" s="116">
        <v>782.7</v>
      </c>
      <c r="D2387" s="116">
        <v>776.3</v>
      </c>
      <c r="E2387" s="116">
        <v>780.4</v>
      </c>
      <c r="F2387" s="116">
        <v>782.7</v>
      </c>
      <c r="G2387">
        <v>201432</v>
      </c>
      <c r="H2387" s="116"/>
      <c r="I2387" s="116"/>
      <c r="L2387" s="170">
        <v>45729</v>
      </c>
      <c r="M2387" s="116">
        <v>783.2</v>
      </c>
      <c r="N2387" s="116">
        <v>795.95</v>
      </c>
      <c r="O2387" s="116">
        <v>776.85</v>
      </c>
      <c r="P2387" s="116">
        <v>783.8</v>
      </c>
      <c r="Q2387" s="116">
        <v>783.2</v>
      </c>
      <c r="R2387">
        <v>2201144</v>
      </c>
    </row>
    <row r="2388" spans="1:18" x14ac:dyDescent="0.25">
      <c r="A2388" s="170">
        <v>45733</v>
      </c>
      <c r="B2388" s="116">
        <v>801.6</v>
      </c>
      <c r="C2388" s="116">
        <v>795</v>
      </c>
      <c r="D2388" s="116">
        <v>775.4</v>
      </c>
      <c r="E2388" s="116">
        <v>775.4</v>
      </c>
      <c r="F2388" s="116">
        <v>795</v>
      </c>
      <c r="G2388">
        <v>80168</v>
      </c>
      <c r="H2388" s="116"/>
      <c r="I2388" s="116"/>
      <c r="L2388" s="170">
        <v>45733</v>
      </c>
      <c r="M2388" s="116">
        <v>795.05</v>
      </c>
      <c r="N2388" s="116">
        <v>801.15</v>
      </c>
      <c r="O2388" s="116">
        <v>776.8</v>
      </c>
      <c r="P2388" s="116">
        <v>779.8</v>
      </c>
      <c r="Q2388" s="116">
        <v>795.05</v>
      </c>
      <c r="R2388">
        <v>1850753</v>
      </c>
    </row>
    <row r="2389" spans="1:18" x14ac:dyDescent="0.25">
      <c r="A2389" s="170">
        <v>45734</v>
      </c>
      <c r="B2389" s="116">
        <v>807.25</v>
      </c>
      <c r="C2389" s="116">
        <v>798.45</v>
      </c>
      <c r="D2389" s="116">
        <v>786.5</v>
      </c>
      <c r="E2389" s="116">
        <v>800.05</v>
      </c>
      <c r="F2389" s="116">
        <v>798.45</v>
      </c>
      <c r="G2389">
        <v>51976</v>
      </c>
      <c r="H2389" s="116"/>
      <c r="I2389" s="116"/>
      <c r="L2389" s="170">
        <v>45734</v>
      </c>
      <c r="M2389" s="116">
        <v>798.55</v>
      </c>
      <c r="N2389" s="116">
        <v>807.8</v>
      </c>
      <c r="O2389" s="116">
        <v>786.3</v>
      </c>
      <c r="P2389" s="116">
        <v>800.7</v>
      </c>
      <c r="Q2389" s="116">
        <v>798.55</v>
      </c>
      <c r="R2389">
        <v>1344527</v>
      </c>
    </row>
    <row r="2390" spans="1:18" x14ac:dyDescent="0.25">
      <c r="A2390" s="170">
        <v>45735</v>
      </c>
      <c r="B2390" s="116">
        <v>820.5</v>
      </c>
      <c r="C2390" s="116">
        <v>813.55</v>
      </c>
      <c r="D2390" s="116">
        <v>799.8</v>
      </c>
      <c r="E2390" s="116">
        <v>803.45</v>
      </c>
      <c r="F2390" s="116">
        <v>813.55</v>
      </c>
      <c r="G2390">
        <v>48491</v>
      </c>
      <c r="H2390" s="116"/>
      <c r="I2390" s="116"/>
      <c r="L2390" s="170">
        <v>45735</v>
      </c>
      <c r="M2390" s="116">
        <v>813.9</v>
      </c>
      <c r="N2390" s="116">
        <v>820.65</v>
      </c>
      <c r="O2390" s="116">
        <v>799.15</v>
      </c>
      <c r="P2390" s="116">
        <v>801.1</v>
      </c>
      <c r="Q2390" s="116">
        <v>813.9</v>
      </c>
      <c r="R2390">
        <v>1417575</v>
      </c>
    </row>
    <row r="2391" spans="1:18" x14ac:dyDescent="0.25">
      <c r="A2391" s="170">
        <v>45736</v>
      </c>
      <c r="B2391" s="116">
        <v>822.2</v>
      </c>
      <c r="C2391" s="116">
        <v>815.3</v>
      </c>
      <c r="D2391" s="116">
        <v>790</v>
      </c>
      <c r="E2391" s="116">
        <v>819.1</v>
      </c>
      <c r="F2391" s="116">
        <v>815.3</v>
      </c>
      <c r="G2391">
        <v>69857</v>
      </c>
      <c r="H2391" s="116"/>
      <c r="I2391" s="116"/>
      <c r="L2391" s="170">
        <v>45736</v>
      </c>
      <c r="M2391" s="116">
        <v>815.1</v>
      </c>
      <c r="N2391" s="116">
        <v>823</v>
      </c>
      <c r="O2391" s="116">
        <v>800.9</v>
      </c>
      <c r="P2391" s="116">
        <v>820</v>
      </c>
      <c r="Q2391" s="116">
        <v>815.1</v>
      </c>
      <c r="R2391">
        <v>1286932</v>
      </c>
    </row>
    <row r="2392" spans="1:18" x14ac:dyDescent="0.25">
      <c r="A2392" s="170">
        <v>45737</v>
      </c>
      <c r="B2392" s="116">
        <v>846.15</v>
      </c>
      <c r="C2392" s="116">
        <v>831.45</v>
      </c>
      <c r="D2392" s="116">
        <v>811.25</v>
      </c>
      <c r="E2392" s="116">
        <v>815.3</v>
      </c>
      <c r="F2392" s="116">
        <v>831.45</v>
      </c>
      <c r="G2392">
        <v>259276</v>
      </c>
      <c r="H2392" s="116"/>
      <c r="I2392" s="116"/>
      <c r="L2392" s="170">
        <v>45737</v>
      </c>
      <c r="M2392" s="116">
        <v>831.7</v>
      </c>
      <c r="N2392" s="116">
        <v>846.95</v>
      </c>
      <c r="O2392" s="116">
        <v>811.85</v>
      </c>
      <c r="P2392" s="116">
        <v>815</v>
      </c>
      <c r="Q2392" s="116">
        <v>831.7</v>
      </c>
      <c r="R2392">
        <v>2711820</v>
      </c>
    </row>
    <row r="2393" spans="1:18" x14ac:dyDescent="0.25">
      <c r="A2393" s="170">
        <v>45740</v>
      </c>
      <c r="B2393" s="116">
        <v>844.95</v>
      </c>
      <c r="C2393" s="116">
        <v>819.75</v>
      </c>
      <c r="D2393" s="116">
        <v>817.5</v>
      </c>
      <c r="E2393" s="116">
        <v>844.95</v>
      </c>
      <c r="F2393" s="116">
        <v>819.75</v>
      </c>
      <c r="G2393">
        <v>93420</v>
      </c>
      <c r="H2393" s="116"/>
      <c r="I2393" s="116"/>
      <c r="L2393" s="170">
        <v>45740</v>
      </c>
      <c r="M2393" s="116">
        <v>820.25</v>
      </c>
      <c r="N2393" s="116">
        <v>844.7</v>
      </c>
      <c r="O2393" s="116">
        <v>817.55</v>
      </c>
      <c r="P2393" s="116">
        <v>838.75</v>
      </c>
      <c r="Q2393" s="116">
        <v>820.25</v>
      </c>
      <c r="R2393">
        <v>1808999</v>
      </c>
    </row>
    <row r="2394" spans="1:18" x14ac:dyDescent="0.25">
      <c r="A2394" s="170">
        <v>45741</v>
      </c>
      <c r="B2394" s="116">
        <v>838.5</v>
      </c>
      <c r="C2394" s="116">
        <v>816.5</v>
      </c>
      <c r="D2394" s="116">
        <v>812</v>
      </c>
      <c r="E2394" s="116">
        <v>823.8</v>
      </c>
      <c r="F2394" s="116">
        <v>816.5</v>
      </c>
      <c r="G2394">
        <v>88853</v>
      </c>
      <c r="H2394" s="116"/>
      <c r="I2394" s="116"/>
      <c r="L2394" s="170">
        <v>45741</v>
      </c>
      <c r="M2394" s="116">
        <v>816.55</v>
      </c>
      <c r="N2394" s="116">
        <v>838.9</v>
      </c>
      <c r="O2394" s="116">
        <v>812.35</v>
      </c>
      <c r="P2394" s="116">
        <v>822</v>
      </c>
      <c r="Q2394" s="116">
        <v>816.55</v>
      </c>
      <c r="R2394">
        <v>2713855</v>
      </c>
    </row>
    <row r="2395" spans="1:18" x14ac:dyDescent="0.25">
      <c r="A2395" s="170">
        <v>45742</v>
      </c>
      <c r="B2395" s="116">
        <v>832.4</v>
      </c>
      <c r="C2395" s="116">
        <v>802.9</v>
      </c>
      <c r="D2395" s="116">
        <v>801.1</v>
      </c>
      <c r="E2395" s="116">
        <v>817.5</v>
      </c>
      <c r="F2395" s="116">
        <v>802.9</v>
      </c>
      <c r="G2395">
        <v>60252</v>
      </c>
      <c r="H2395" s="116"/>
      <c r="I2395" s="116"/>
      <c r="L2395" s="170">
        <v>45742</v>
      </c>
      <c r="M2395" s="116">
        <v>803</v>
      </c>
      <c r="N2395" s="116">
        <v>832.6</v>
      </c>
      <c r="O2395" s="116">
        <v>800.5</v>
      </c>
      <c r="P2395" s="116">
        <v>817.05</v>
      </c>
      <c r="Q2395" s="116">
        <v>803</v>
      </c>
      <c r="R2395">
        <v>2042407</v>
      </c>
    </row>
    <row r="2396" spans="1:18" x14ac:dyDescent="0.25">
      <c r="A2396" s="170">
        <v>45743</v>
      </c>
      <c r="B2396" s="116">
        <v>881.4</v>
      </c>
      <c r="C2396" s="116">
        <v>873.85</v>
      </c>
      <c r="D2396" s="116">
        <v>795.2</v>
      </c>
      <c r="E2396" s="116">
        <v>796.6</v>
      </c>
      <c r="F2396" s="116">
        <v>873.85</v>
      </c>
      <c r="G2396">
        <v>551379</v>
      </c>
      <c r="H2396" s="116"/>
      <c r="I2396" s="116"/>
      <c r="L2396" s="170">
        <v>45743</v>
      </c>
      <c r="M2396" s="116">
        <v>872.85</v>
      </c>
      <c r="N2396" s="116">
        <v>882.45</v>
      </c>
      <c r="O2396" s="116">
        <v>796.05</v>
      </c>
      <c r="P2396" s="116">
        <v>803</v>
      </c>
      <c r="Q2396" s="116">
        <v>872.85</v>
      </c>
      <c r="R2396">
        <v>8208182</v>
      </c>
    </row>
    <row r="2397" spans="1:18" x14ac:dyDescent="0.25">
      <c r="A2397" s="170">
        <v>45744</v>
      </c>
      <c r="B2397" s="116">
        <v>894.5</v>
      </c>
      <c r="C2397" s="116">
        <v>871.5</v>
      </c>
      <c r="D2397" s="116">
        <v>863.6</v>
      </c>
      <c r="E2397" s="116">
        <v>873.8</v>
      </c>
      <c r="F2397" s="116">
        <v>871.5</v>
      </c>
      <c r="G2397">
        <v>513095</v>
      </c>
      <c r="H2397" s="116"/>
      <c r="I2397" s="116"/>
      <c r="L2397" s="170">
        <v>45744</v>
      </c>
      <c r="M2397" s="116">
        <v>872</v>
      </c>
      <c r="N2397" s="116">
        <v>894.9</v>
      </c>
      <c r="O2397" s="116">
        <v>864</v>
      </c>
      <c r="P2397" s="116">
        <v>872.85</v>
      </c>
      <c r="Q2397" s="116">
        <v>872</v>
      </c>
      <c r="R2397">
        <v>3727492</v>
      </c>
    </row>
    <row r="2398" spans="1:18" x14ac:dyDescent="0.25">
      <c r="A2398" s="170">
        <v>45748</v>
      </c>
      <c r="B2398" s="116">
        <v>884</v>
      </c>
      <c r="C2398" s="116">
        <v>867.1</v>
      </c>
      <c r="D2398" s="116">
        <v>854.7</v>
      </c>
      <c r="E2398" s="116">
        <v>854.7</v>
      </c>
      <c r="F2398" s="116">
        <v>867.1</v>
      </c>
      <c r="G2398">
        <v>85467</v>
      </c>
      <c r="H2398" s="116"/>
      <c r="I2398" s="116"/>
      <c r="L2398" s="170">
        <v>45748</v>
      </c>
      <c r="M2398" s="116">
        <v>866.35</v>
      </c>
      <c r="N2398" s="116">
        <v>884.9</v>
      </c>
      <c r="O2398" s="116">
        <v>856.1</v>
      </c>
      <c r="P2398" s="116">
        <v>857.4</v>
      </c>
      <c r="Q2398" s="116">
        <v>866.35</v>
      </c>
      <c r="R2398">
        <v>1899810</v>
      </c>
    </row>
    <row r="2399" spans="1:18" x14ac:dyDescent="0.25">
      <c r="A2399" s="170">
        <v>45749</v>
      </c>
      <c r="B2399" s="116">
        <v>871</v>
      </c>
      <c r="C2399" s="116">
        <v>867.75</v>
      </c>
      <c r="D2399" s="116">
        <v>839.85</v>
      </c>
      <c r="E2399" s="116">
        <v>866.3</v>
      </c>
      <c r="F2399" s="116">
        <v>867.75</v>
      </c>
      <c r="G2399">
        <v>157741</v>
      </c>
      <c r="H2399" s="116"/>
      <c r="I2399" s="116"/>
      <c r="L2399" s="170">
        <v>45749</v>
      </c>
      <c r="M2399" s="116">
        <v>867.9</v>
      </c>
      <c r="N2399" s="116">
        <v>871</v>
      </c>
      <c r="O2399" s="116">
        <v>839.3</v>
      </c>
      <c r="P2399" s="116">
        <v>864.7</v>
      </c>
      <c r="Q2399" s="116">
        <v>867.9</v>
      </c>
      <c r="R2399">
        <v>1554834</v>
      </c>
    </row>
    <row r="2400" spans="1:18" x14ac:dyDescent="0.25">
      <c r="A2400" s="170">
        <v>45750</v>
      </c>
      <c r="B2400" s="116">
        <v>900.65</v>
      </c>
      <c r="C2400" s="116">
        <v>885.1</v>
      </c>
      <c r="D2400" s="116">
        <v>854.5</v>
      </c>
      <c r="E2400" s="116">
        <v>864.6</v>
      </c>
      <c r="F2400" s="116">
        <v>885.1</v>
      </c>
      <c r="G2400">
        <v>138000</v>
      </c>
      <c r="H2400" s="116"/>
      <c r="I2400" s="116"/>
      <c r="L2400" s="170">
        <v>45750</v>
      </c>
      <c r="M2400" s="116">
        <v>884.35</v>
      </c>
      <c r="N2400" s="116">
        <v>901</v>
      </c>
      <c r="O2400" s="116">
        <v>855</v>
      </c>
      <c r="P2400" s="116">
        <v>855</v>
      </c>
      <c r="Q2400" s="116">
        <v>884.35</v>
      </c>
      <c r="R2400">
        <v>2165750</v>
      </c>
    </row>
    <row r="2401" spans="1:18" x14ac:dyDescent="0.25">
      <c r="A2401" s="170">
        <v>45751</v>
      </c>
      <c r="B2401" s="116">
        <v>884.35</v>
      </c>
      <c r="C2401" s="116">
        <v>859.35</v>
      </c>
      <c r="D2401" s="116">
        <v>852.7</v>
      </c>
      <c r="E2401" s="116">
        <v>884.35</v>
      </c>
      <c r="F2401" s="116">
        <v>859.35</v>
      </c>
      <c r="G2401">
        <v>175455</v>
      </c>
      <c r="H2401" s="116"/>
      <c r="I2401" s="116"/>
      <c r="L2401" s="170">
        <v>45751</v>
      </c>
      <c r="M2401" s="116">
        <v>859.4</v>
      </c>
      <c r="N2401" s="116">
        <v>884.7</v>
      </c>
      <c r="O2401" s="116">
        <v>852.1</v>
      </c>
      <c r="P2401" s="116">
        <v>881.1</v>
      </c>
      <c r="Q2401" s="116">
        <v>859.4</v>
      </c>
      <c r="R2401">
        <v>1475762</v>
      </c>
    </row>
    <row r="2402" spans="1:18" x14ac:dyDescent="0.25">
      <c r="A2402" s="170">
        <v>45754</v>
      </c>
      <c r="B2402" s="116">
        <v>822.65</v>
      </c>
      <c r="C2402" s="116">
        <v>815.4</v>
      </c>
      <c r="D2402" s="116">
        <v>778.1</v>
      </c>
      <c r="E2402" s="116">
        <v>790.95</v>
      </c>
      <c r="F2402" s="116">
        <v>815.4</v>
      </c>
      <c r="G2402">
        <v>161035</v>
      </c>
      <c r="H2402" s="116"/>
      <c r="I2402" s="116"/>
      <c r="L2402" s="170">
        <v>45754</v>
      </c>
      <c r="M2402" s="116">
        <v>815.05</v>
      </c>
      <c r="N2402" s="116">
        <v>822.2</v>
      </c>
      <c r="O2402" s="116">
        <v>780.5</v>
      </c>
      <c r="P2402" s="116">
        <v>780.5</v>
      </c>
      <c r="Q2402" s="116">
        <v>815.05</v>
      </c>
      <c r="R2402">
        <v>2669587</v>
      </c>
    </row>
    <row r="2403" spans="1:18" x14ac:dyDescent="0.25">
      <c r="A2403" s="170">
        <v>45755</v>
      </c>
      <c r="B2403" s="116">
        <v>848.2</v>
      </c>
      <c r="C2403" s="116">
        <v>841.75</v>
      </c>
      <c r="D2403" s="116">
        <v>827.25</v>
      </c>
      <c r="E2403" s="116">
        <v>837.5</v>
      </c>
      <c r="F2403" s="116">
        <v>841.75</v>
      </c>
      <c r="G2403">
        <v>153484</v>
      </c>
      <c r="H2403" s="116"/>
      <c r="I2403" s="116"/>
      <c r="L2403" s="170">
        <v>45755</v>
      </c>
      <c r="M2403" s="116">
        <v>841.15</v>
      </c>
      <c r="N2403" s="116">
        <v>847.85</v>
      </c>
      <c r="O2403" s="116">
        <v>826.85</v>
      </c>
      <c r="P2403" s="116">
        <v>835</v>
      </c>
      <c r="Q2403" s="116">
        <v>841.15</v>
      </c>
      <c r="R2403">
        <v>1707784</v>
      </c>
    </row>
    <row r="2404" spans="1:18" x14ac:dyDescent="0.25">
      <c r="A2404" s="170">
        <v>45756</v>
      </c>
      <c r="B2404" s="116">
        <v>844.5</v>
      </c>
      <c r="C2404" s="116">
        <v>835.35</v>
      </c>
      <c r="D2404" s="116">
        <v>827.3</v>
      </c>
      <c r="E2404" s="116">
        <v>833.2</v>
      </c>
      <c r="F2404" s="116">
        <v>835.35</v>
      </c>
      <c r="G2404">
        <v>88415</v>
      </c>
      <c r="H2404" s="116"/>
      <c r="I2404" s="116"/>
      <c r="L2404" s="170">
        <v>45756</v>
      </c>
      <c r="M2404" s="116">
        <v>837.4</v>
      </c>
      <c r="N2404" s="116">
        <v>845</v>
      </c>
      <c r="O2404" s="116">
        <v>827.6</v>
      </c>
      <c r="P2404" s="116">
        <v>835.35</v>
      </c>
      <c r="Q2404" s="116">
        <v>837.4</v>
      </c>
      <c r="R2404">
        <v>1026681</v>
      </c>
    </row>
    <row r="2405" spans="1:18" x14ac:dyDescent="0.25">
      <c r="A2405" s="170">
        <v>45758</v>
      </c>
      <c r="B2405" s="116">
        <v>860.7</v>
      </c>
      <c r="C2405" s="116">
        <v>844.2</v>
      </c>
      <c r="D2405" s="116">
        <v>834</v>
      </c>
      <c r="E2405" s="116">
        <v>860</v>
      </c>
      <c r="F2405" s="116">
        <v>844.2</v>
      </c>
      <c r="G2405">
        <v>124040</v>
      </c>
      <c r="H2405" s="116"/>
      <c r="I2405" s="116"/>
      <c r="L2405" s="170">
        <v>45758</v>
      </c>
      <c r="M2405" s="116">
        <v>844.8</v>
      </c>
      <c r="N2405" s="116">
        <v>863.35</v>
      </c>
      <c r="O2405" s="116">
        <v>833.75</v>
      </c>
      <c r="P2405" s="116">
        <v>860.7</v>
      </c>
      <c r="Q2405" s="116">
        <v>844.8</v>
      </c>
      <c r="R2405">
        <v>1878535</v>
      </c>
    </row>
    <row r="2406" spans="1:18" x14ac:dyDescent="0.25">
      <c r="A2406" s="170">
        <v>45762</v>
      </c>
      <c r="B2406" s="116">
        <v>889.9</v>
      </c>
      <c r="C2406" s="116">
        <v>887.8</v>
      </c>
      <c r="D2406" s="116">
        <v>852</v>
      </c>
      <c r="E2406" s="116">
        <v>859.8</v>
      </c>
      <c r="F2406" s="116">
        <v>887.8</v>
      </c>
      <c r="G2406">
        <v>99892</v>
      </c>
      <c r="H2406" s="116"/>
      <c r="I2406" s="116"/>
      <c r="L2406" s="170">
        <v>45762</v>
      </c>
      <c r="M2406" s="116">
        <v>887.4</v>
      </c>
      <c r="N2406" s="116">
        <v>889.6</v>
      </c>
      <c r="O2406" s="116">
        <v>851.45</v>
      </c>
      <c r="P2406" s="116">
        <v>855.65</v>
      </c>
      <c r="Q2406" s="116">
        <v>887.4</v>
      </c>
      <c r="R2406">
        <v>2537147</v>
      </c>
    </row>
    <row r="2407" spans="1:18" x14ac:dyDescent="0.25">
      <c r="A2407" s="170">
        <v>45763</v>
      </c>
      <c r="B2407" s="116">
        <v>903</v>
      </c>
      <c r="C2407" s="116">
        <v>895.1</v>
      </c>
      <c r="D2407" s="116">
        <v>880.3</v>
      </c>
      <c r="E2407" s="116">
        <v>880.3</v>
      </c>
      <c r="F2407" s="116">
        <v>895.1</v>
      </c>
      <c r="G2407">
        <v>178734</v>
      </c>
      <c r="H2407" s="116"/>
      <c r="I2407" s="116"/>
      <c r="L2407" s="170">
        <v>45763</v>
      </c>
      <c r="M2407" s="116">
        <v>895.15</v>
      </c>
      <c r="N2407" s="116">
        <v>903</v>
      </c>
      <c r="O2407" s="116">
        <v>881.05</v>
      </c>
      <c r="P2407" s="116">
        <v>884.9</v>
      </c>
      <c r="Q2407" s="116">
        <v>895.15</v>
      </c>
      <c r="R2407">
        <v>2669664</v>
      </c>
    </row>
    <row r="2408" spans="1:18" x14ac:dyDescent="0.25">
      <c r="A2408" s="170">
        <v>45764</v>
      </c>
      <c r="B2408" s="116">
        <v>937.45</v>
      </c>
      <c r="C2408" s="116">
        <v>914.2</v>
      </c>
      <c r="D2408" s="116">
        <v>892.75</v>
      </c>
      <c r="E2408" s="116">
        <v>894.4</v>
      </c>
      <c r="F2408" s="116">
        <v>914.2</v>
      </c>
      <c r="G2408">
        <v>230164</v>
      </c>
      <c r="H2408" s="116"/>
      <c r="I2408" s="116"/>
      <c r="L2408" s="170">
        <v>45764</v>
      </c>
      <c r="M2408" s="116">
        <v>914.15</v>
      </c>
      <c r="N2408" s="116">
        <v>937</v>
      </c>
      <c r="O2408" s="116">
        <v>891.65</v>
      </c>
      <c r="P2408" s="116">
        <v>896.05</v>
      </c>
      <c r="Q2408" s="116">
        <v>914.15</v>
      </c>
      <c r="R2408">
        <v>3849304</v>
      </c>
    </row>
    <row r="2409" spans="1:18" x14ac:dyDescent="0.25">
      <c r="A2409" s="170">
        <v>45768</v>
      </c>
      <c r="B2409" s="116">
        <v>949</v>
      </c>
      <c r="C2409" s="116">
        <v>937.4</v>
      </c>
      <c r="D2409" s="116">
        <v>915.4</v>
      </c>
      <c r="E2409" s="116">
        <v>924.95</v>
      </c>
      <c r="F2409" s="116">
        <v>937.4</v>
      </c>
      <c r="G2409">
        <v>215693</v>
      </c>
      <c r="H2409" s="116"/>
      <c r="I2409" s="116"/>
      <c r="L2409" s="170">
        <v>45768</v>
      </c>
      <c r="M2409" s="116">
        <v>937.5</v>
      </c>
      <c r="N2409" s="116">
        <v>949</v>
      </c>
      <c r="O2409" s="116">
        <v>915.45</v>
      </c>
      <c r="P2409" s="116">
        <v>924</v>
      </c>
      <c r="Q2409" s="116">
        <v>937.5</v>
      </c>
      <c r="R2409">
        <v>2153406</v>
      </c>
    </row>
    <row r="2410" spans="1:18" x14ac:dyDescent="0.25">
      <c r="A2410" s="170">
        <v>45769</v>
      </c>
      <c r="B2410" s="116">
        <v>944.5</v>
      </c>
      <c r="C2410" s="116">
        <v>929.6</v>
      </c>
      <c r="D2410" s="116">
        <v>925.7</v>
      </c>
      <c r="E2410" s="116">
        <v>944.5</v>
      </c>
      <c r="F2410" s="116">
        <v>929.6</v>
      </c>
      <c r="G2410">
        <v>97370</v>
      </c>
      <c r="H2410" s="116"/>
      <c r="I2410" s="116"/>
      <c r="L2410" s="170">
        <v>45769</v>
      </c>
      <c r="M2410" s="116">
        <v>929.6</v>
      </c>
      <c r="N2410" s="116">
        <v>942.75</v>
      </c>
      <c r="O2410" s="116">
        <v>926</v>
      </c>
      <c r="P2410" s="116">
        <v>941.9</v>
      </c>
      <c r="Q2410" s="116">
        <v>929.6</v>
      </c>
      <c r="R2410">
        <v>1654173</v>
      </c>
    </row>
    <row r="2411" spans="1:18" x14ac:dyDescent="0.25">
      <c r="A2411" s="170">
        <v>45770</v>
      </c>
      <c r="B2411" s="116">
        <v>942</v>
      </c>
      <c r="C2411" s="116">
        <v>938.75</v>
      </c>
      <c r="D2411" s="116">
        <v>901.5</v>
      </c>
      <c r="E2411" s="116">
        <v>930.05</v>
      </c>
      <c r="F2411" s="116">
        <v>938.75</v>
      </c>
      <c r="G2411">
        <v>317441</v>
      </c>
      <c r="H2411" s="116"/>
      <c r="I2411" s="116"/>
      <c r="L2411" s="170">
        <v>45770</v>
      </c>
      <c r="M2411" s="116">
        <v>938.8</v>
      </c>
      <c r="N2411" s="116">
        <v>942.15</v>
      </c>
      <c r="O2411" s="116">
        <v>901.6</v>
      </c>
      <c r="P2411" s="116">
        <v>935.7</v>
      </c>
      <c r="Q2411" s="116">
        <v>938.8</v>
      </c>
      <c r="R2411">
        <v>2500136</v>
      </c>
    </row>
    <row r="2412" spans="1:18" x14ac:dyDescent="0.25">
      <c r="A2412" s="170">
        <v>45771</v>
      </c>
      <c r="B2412" s="116">
        <v>972.45</v>
      </c>
      <c r="C2412" s="116">
        <v>962.05</v>
      </c>
      <c r="D2412" s="116">
        <v>935.1</v>
      </c>
      <c r="E2412" s="116">
        <v>937.35</v>
      </c>
      <c r="F2412" s="116">
        <v>962.05</v>
      </c>
      <c r="G2412">
        <v>192633</v>
      </c>
      <c r="H2412" s="116"/>
      <c r="I2412" s="116"/>
      <c r="L2412" s="170">
        <v>45771</v>
      </c>
      <c r="M2412" s="116">
        <v>961.7</v>
      </c>
      <c r="N2412" s="116">
        <v>971.7</v>
      </c>
      <c r="O2412" s="116">
        <v>935</v>
      </c>
      <c r="P2412" s="116">
        <v>940</v>
      </c>
      <c r="Q2412" s="116">
        <v>961.7</v>
      </c>
      <c r="R2412">
        <v>3695638</v>
      </c>
    </row>
    <row r="2413" spans="1:18" x14ac:dyDescent="0.25">
      <c r="A2413" s="170">
        <v>45772</v>
      </c>
      <c r="B2413" s="116">
        <v>981.95</v>
      </c>
      <c r="C2413" s="116">
        <v>913.15</v>
      </c>
      <c r="D2413" s="116">
        <v>907</v>
      </c>
      <c r="E2413" s="116">
        <v>981.95</v>
      </c>
      <c r="F2413" s="116">
        <v>913.15</v>
      </c>
      <c r="G2413">
        <v>656084</v>
      </c>
      <c r="H2413" s="116"/>
      <c r="I2413" s="116"/>
      <c r="L2413" s="170">
        <v>45772</v>
      </c>
      <c r="M2413" s="116">
        <v>914.35</v>
      </c>
      <c r="N2413" s="116">
        <v>981</v>
      </c>
      <c r="O2413" s="116">
        <v>905.9</v>
      </c>
      <c r="P2413" s="116">
        <v>978</v>
      </c>
      <c r="Q2413" s="116">
        <v>914.35</v>
      </c>
      <c r="R2413">
        <v>5736784</v>
      </c>
    </row>
    <row r="2414" spans="1:18" x14ac:dyDescent="0.25">
      <c r="A2414" s="170">
        <v>45775</v>
      </c>
      <c r="B2414" s="116">
        <v>941.5</v>
      </c>
      <c r="C2414" s="116">
        <v>924.65</v>
      </c>
      <c r="D2414" s="116">
        <v>903.25</v>
      </c>
      <c r="E2414" s="116">
        <v>919.75</v>
      </c>
      <c r="F2414" s="116">
        <v>924.65</v>
      </c>
      <c r="G2414">
        <v>178496</v>
      </c>
      <c r="H2414" s="116"/>
      <c r="I2414" s="116"/>
      <c r="L2414" s="170">
        <v>45775</v>
      </c>
      <c r="M2414" s="116">
        <v>925.3</v>
      </c>
      <c r="N2414" s="116">
        <v>941.6</v>
      </c>
      <c r="O2414" s="116">
        <v>904</v>
      </c>
      <c r="P2414" s="116">
        <v>914</v>
      </c>
      <c r="Q2414" s="116">
        <v>925.3</v>
      </c>
      <c r="R2414">
        <v>2404027</v>
      </c>
    </row>
    <row r="2415" spans="1:18" x14ac:dyDescent="0.25">
      <c r="A2415" s="170">
        <v>45776</v>
      </c>
      <c r="B2415" s="116">
        <v>939.4</v>
      </c>
      <c r="C2415" s="116">
        <v>917.7</v>
      </c>
      <c r="D2415" s="116">
        <v>912.75</v>
      </c>
      <c r="E2415" s="116">
        <v>927.05</v>
      </c>
      <c r="F2415" s="116">
        <v>917.7</v>
      </c>
      <c r="G2415">
        <v>92603</v>
      </c>
      <c r="H2415" s="116"/>
      <c r="I2415" s="116"/>
      <c r="L2415" s="170">
        <v>45776</v>
      </c>
      <c r="M2415" s="116">
        <v>917.65</v>
      </c>
      <c r="N2415" s="116">
        <v>939.85</v>
      </c>
      <c r="O2415" s="116">
        <v>912.05</v>
      </c>
      <c r="P2415" s="116">
        <v>929.9</v>
      </c>
      <c r="Q2415" s="116">
        <v>917.65</v>
      </c>
      <c r="R2415">
        <v>1466481</v>
      </c>
    </row>
    <row r="2416" spans="1:18" x14ac:dyDescent="0.25">
      <c r="A2416" s="170">
        <v>45777</v>
      </c>
      <c r="B2416" s="116">
        <v>923.65</v>
      </c>
      <c r="C2416" s="116">
        <v>898.5</v>
      </c>
      <c r="D2416" s="116">
        <v>893.15</v>
      </c>
      <c r="E2416" s="116">
        <v>923.65</v>
      </c>
      <c r="F2416" s="116">
        <v>898.5</v>
      </c>
      <c r="G2416">
        <v>193625</v>
      </c>
      <c r="H2416" s="116"/>
      <c r="I2416" s="116"/>
      <c r="L2416" s="170">
        <v>45777</v>
      </c>
      <c r="M2416" s="116">
        <v>899.65</v>
      </c>
      <c r="N2416" s="116">
        <v>919.7</v>
      </c>
      <c r="O2416" s="116">
        <v>892</v>
      </c>
      <c r="P2416" s="116">
        <v>919.7</v>
      </c>
      <c r="Q2416" s="116">
        <v>899.65</v>
      </c>
      <c r="R2416">
        <v>1191673</v>
      </c>
    </row>
    <row r="2417" spans="1:18" x14ac:dyDescent="0.25">
      <c r="A2417" s="170">
        <v>45779</v>
      </c>
      <c r="B2417" s="116">
        <v>929.7</v>
      </c>
      <c r="C2417" s="116">
        <v>906.6</v>
      </c>
      <c r="D2417" s="116">
        <v>901.75</v>
      </c>
      <c r="E2417" s="116">
        <v>902.75</v>
      </c>
      <c r="F2417" s="116">
        <v>906.6</v>
      </c>
      <c r="G2417">
        <v>98128</v>
      </c>
      <c r="H2417" s="116"/>
      <c r="I2417" s="116"/>
      <c r="L2417" s="170">
        <v>45779</v>
      </c>
      <c r="M2417" s="116">
        <v>907.15</v>
      </c>
      <c r="N2417" s="116">
        <v>929.85</v>
      </c>
      <c r="O2417" s="116">
        <v>900.05</v>
      </c>
      <c r="P2417" s="116">
        <v>900.05</v>
      </c>
      <c r="Q2417" s="116">
        <v>907.15</v>
      </c>
      <c r="R2417">
        <v>2065515</v>
      </c>
    </row>
    <row r="2418" spans="1:18" x14ac:dyDescent="0.25">
      <c r="A2418" s="170">
        <v>45782</v>
      </c>
      <c r="B2418" s="116">
        <v>980.55</v>
      </c>
      <c r="C2418" s="116">
        <v>936.55</v>
      </c>
      <c r="D2418" s="116">
        <v>908.35</v>
      </c>
      <c r="E2418" s="116">
        <v>910.1</v>
      </c>
      <c r="F2418" s="116">
        <v>936.55</v>
      </c>
      <c r="G2418">
        <v>388093</v>
      </c>
      <c r="H2418" s="116"/>
      <c r="I2418" s="116"/>
      <c r="L2418" s="170">
        <v>45782</v>
      </c>
      <c r="M2418" s="116">
        <v>937.2</v>
      </c>
      <c r="N2418" s="116">
        <v>980.85</v>
      </c>
      <c r="O2418" s="116">
        <v>909.95</v>
      </c>
      <c r="P2418" s="116">
        <v>911</v>
      </c>
      <c r="Q2418" s="116">
        <v>937.2</v>
      </c>
      <c r="R2418">
        <v>5711254</v>
      </c>
    </row>
    <row r="2419" spans="1:18" x14ac:dyDescent="0.25">
      <c r="A2419" s="170">
        <v>45783</v>
      </c>
      <c r="B2419" s="116">
        <v>942</v>
      </c>
      <c r="C2419" s="116">
        <v>907.2</v>
      </c>
      <c r="D2419" s="116">
        <v>901</v>
      </c>
      <c r="E2419" s="116">
        <v>937.9</v>
      </c>
      <c r="F2419" s="116">
        <v>907.2</v>
      </c>
      <c r="G2419">
        <v>127976</v>
      </c>
      <c r="H2419" s="116"/>
      <c r="I2419" s="116"/>
      <c r="L2419" s="170">
        <v>45783</v>
      </c>
      <c r="M2419" s="116">
        <v>907.4</v>
      </c>
      <c r="N2419" s="116">
        <v>941.5</v>
      </c>
      <c r="O2419" s="116">
        <v>901.1</v>
      </c>
      <c r="P2419" s="116">
        <v>939</v>
      </c>
      <c r="Q2419" s="116">
        <v>907.4</v>
      </c>
      <c r="R2419">
        <v>2569364</v>
      </c>
    </row>
    <row r="2420" spans="1:18" x14ac:dyDescent="0.25">
      <c r="A2420" s="170">
        <v>45784</v>
      </c>
      <c r="B2420" s="116">
        <v>907</v>
      </c>
      <c r="C2420" s="116">
        <v>871.35</v>
      </c>
      <c r="D2420" s="116">
        <v>865.05</v>
      </c>
      <c r="E2420" s="116">
        <v>866.15</v>
      </c>
      <c r="F2420" s="116">
        <v>871.35</v>
      </c>
      <c r="G2420">
        <v>167397</v>
      </c>
      <c r="H2420" s="116"/>
      <c r="I2420" s="116"/>
      <c r="L2420" s="170">
        <v>45784</v>
      </c>
      <c r="M2420" s="116">
        <v>871.6</v>
      </c>
      <c r="N2420" s="116">
        <v>907</v>
      </c>
      <c r="O2420" s="116">
        <v>865.1</v>
      </c>
      <c r="P2420" s="116">
        <v>878</v>
      </c>
      <c r="Q2420" s="116">
        <v>871.6</v>
      </c>
      <c r="R2420">
        <v>5712060</v>
      </c>
    </row>
    <row r="2421" spans="1:18" x14ac:dyDescent="0.25">
      <c r="A2421" s="170">
        <v>45785</v>
      </c>
      <c r="B2421" s="116">
        <v>886.3</v>
      </c>
      <c r="C2421" s="116">
        <v>837.75</v>
      </c>
      <c r="D2421" s="116">
        <v>826.6</v>
      </c>
      <c r="E2421" s="116">
        <v>879.55</v>
      </c>
      <c r="F2421" s="116">
        <v>837.75</v>
      </c>
      <c r="G2421">
        <v>158865</v>
      </c>
      <c r="H2421" s="116"/>
      <c r="I2421" s="116"/>
      <c r="L2421" s="170">
        <v>45785</v>
      </c>
      <c r="M2421" s="116">
        <v>839</v>
      </c>
      <c r="N2421" s="116">
        <v>886.7</v>
      </c>
      <c r="O2421" s="116">
        <v>826.3</v>
      </c>
      <c r="P2421" s="116">
        <v>880.05</v>
      </c>
      <c r="Q2421" s="116">
        <v>839</v>
      </c>
      <c r="R2421">
        <v>3262818</v>
      </c>
    </row>
    <row r="2422" spans="1:18" x14ac:dyDescent="0.25">
      <c r="A2422" s="170">
        <v>45786</v>
      </c>
      <c r="B2422" s="116">
        <v>835</v>
      </c>
      <c r="C2422" s="116">
        <v>826.4</v>
      </c>
      <c r="D2422" s="116">
        <v>802.2</v>
      </c>
      <c r="E2422" s="116">
        <v>802.2</v>
      </c>
      <c r="F2422" s="116">
        <v>826.4</v>
      </c>
      <c r="G2422">
        <v>156604</v>
      </c>
      <c r="H2422" s="116"/>
      <c r="I2422" s="116"/>
      <c r="L2422" s="170">
        <v>45786</v>
      </c>
      <c r="M2422" s="116">
        <v>827.1</v>
      </c>
      <c r="N2422" s="116">
        <v>834.6</v>
      </c>
      <c r="O2422" s="116">
        <v>806.1</v>
      </c>
      <c r="P2422" s="116">
        <v>811</v>
      </c>
      <c r="Q2422" s="116">
        <v>827.1</v>
      </c>
      <c r="R2422">
        <v>2639860</v>
      </c>
    </row>
    <row r="2423" spans="1:18" x14ac:dyDescent="0.25">
      <c r="A2423" s="170">
        <v>45789</v>
      </c>
      <c r="B2423" s="116">
        <v>897.45</v>
      </c>
      <c r="C2423" s="116">
        <v>893.75</v>
      </c>
      <c r="D2423" s="116">
        <v>850.15</v>
      </c>
      <c r="E2423" s="116">
        <v>850.15</v>
      </c>
      <c r="F2423" s="116">
        <v>893.75</v>
      </c>
      <c r="G2423">
        <v>188170</v>
      </c>
      <c r="H2423" s="116"/>
      <c r="I2423" s="116"/>
      <c r="L2423" s="170">
        <v>45789</v>
      </c>
      <c r="M2423" s="116">
        <v>894.3</v>
      </c>
      <c r="N2423" s="116">
        <v>897.65</v>
      </c>
      <c r="O2423" s="116">
        <v>851.05</v>
      </c>
      <c r="P2423" s="116">
        <v>860</v>
      </c>
      <c r="Q2423" s="116">
        <v>894.3</v>
      </c>
      <c r="R2423">
        <v>3286835</v>
      </c>
    </row>
    <row r="2424" spans="1:18" x14ac:dyDescent="0.25">
      <c r="A2424" s="170">
        <v>45790</v>
      </c>
      <c r="B2424" s="116">
        <v>909.9</v>
      </c>
      <c r="C2424" s="116">
        <v>903.7</v>
      </c>
      <c r="D2424" s="116">
        <v>886</v>
      </c>
      <c r="E2424" s="116">
        <v>892.95</v>
      </c>
      <c r="F2424" s="116">
        <v>903.7</v>
      </c>
      <c r="G2424">
        <v>152310</v>
      </c>
      <c r="H2424" s="116"/>
      <c r="I2424" s="116"/>
      <c r="L2424" s="170">
        <v>45790</v>
      </c>
      <c r="M2424" s="116">
        <v>904.2</v>
      </c>
      <c r="N2424" s="116">
        <v>908.9</v>
      </c>
      <c r="O2424" s="116">
        <v>885.25</v>
      </c>
      <c r="P2424" s="116">
        <v>890</v>
      </c>
      <c r="Q2424" s="116">
        <v>904.2</v>
      </c>
      <c r="R2424">
        <v>2246532</v>
      </c>
    </row>
    <row r="2425" spans="1:18" x14ac:dyDescent="0.25">
      <c r="A2425" s="170">
        <v>45791</v>
      </c>
      <c r="B2425" s="116">
        <v>904.65</v>
      </c>
      <c r="C2425" s="116">
        <v>891.2</v>
      </c>
      <c r="D2425" s="116">
        <v>885.9</v>
      </c>
      <c r="E2425" s="116">
        <v>904.2</v>
      </c>
      <c r="F2425" s="116">
        <v>891.2</v>
      </c>
      <c r="G2425">
        <v>157233</v>
      </c>
      <c r="H2425" s="116"/>
      <c r="I2425" s="116"/>
      <c r="L2425" s="170">
        <v>45791</v>
      </c>
      <c r="M2425" s="116">
        <v>890.8</v>
      </c>
      <c r="N2425" s="116">
        <v>903.95</v>
      </c>
      <c r="O2425" s="116">
        <v>886</v>
      </c>
      <c r="P2425" s="116">
        <v>903.95</v>
      </c>
      <c r="Q2425" s="116">
        <v>890.8</v>
      </c>
      <c r="R2425">
        <v>1929234</v>
      </c>
    </row>
    <row r="2426" spans="1:18" x14ac:dyDescent="0.25">
      <c r="A2426" s="170">
        <v>45792</v>
      </c>
      <c r="B2426" s="116">
        <v>913.35</v>
      </c>
      <c r="C2426" s="116">
        <v>910.15</v>
      </c>
      <c r="D2426" s="116">
        <v>883.95</v>
      </c>
      <c r="E2426" s="116">
        <v>891.6</v>
      </c>
      <c r="F2426" s="116">
        <v>910.15</v>
      </c>
      <c r="G2426">
        <v>218008</v>
      </c>
      <c r="H2426" s="116"/>
      <c r="I2426" s="116"/>
      <c r="L2426" s="170">
        <v>45792</v>
      </c>
      <c r="M2426" s="116">
        <v>910.8</v>
      </c>
      <c r="N2426" s="116">
        <v>913.55</v>
      </c>
      <c r="O2426" s="116">
        <v>884.05</v>
      </c>
      <c r="P2426" s="116">
        <v>894.95</v>
      </c>
      <c r="Q2426" s="116">
        <v>910.8</v>
      </c>
      <c r="R2426">
        <v>1755815</v>
      </c>
    </row>
    <row r="2427" spans="1:18" x14ac:dyDescent="0.25">
      <c r="A2427" s="170">
        <v>45793</v>
      </c>
      <c r="B2427" s="116">
        <v>934.2</v>
      </c>
      <c r="C2427" s="116">
        <v>915.6</v>
      </c>
      <c r="D2427" s="116">
        <v>909.8</v>
      </c>
      <c r="E2427" s="116">
        <v>910.8</v>
      </c>
      <c r="F2427" s="116">
        <v>915.6</v>
      </c>
      <c r="G2427">
        <v>125817</v>
      </c>
      <c r="H2427" s="116"/>
      <c r="I2427" s="116"/>
      <c r="L2427" s="170">
        <v>45793</v>
      </c>
      <c r="M2427" s="116">
        <v>915.05</v>
      </c>
      <c r="N2427" s="116">
        <v>934.75</v>
      </c>
      <c r="O2427" s="116">
        <v>908.05</v>
      </c>
      <c r="P2427" s="116">
        <v>912.1</v>
      </c>
      <c r="Q2427" s="116">
        <v>915.05</v>
      </c>
      <c r="R2427">
        <v>2288025</v>
      </c>
    </row>
    <row r="2428" spans="1:18" x14ac:dyDescent="0.25">
      <c r="A2428" s="170">
        <v>45796</v>
      </c>
      <c r="B2428" s="116">
        <v>920.7</v>
      </c>
      <c r="C2428" s="116">
        <v>888.55</v>
      </c>
      <c r="D2428" s="116">
        <v>886</v>
      </c>
      <c r="E2428" s="116">
        <v>920.7</v>
      </c>
      <c r="F2428" s="116">
        <v>888.55</v>
      </c>
      <c r="G2428">
        <v>261665</v>
      </c>
      <c r="H2428" s="116"/>
      <c r="I2428" s="116"/>
      <c r="L2428" s="170">
        <v>45796</v>
      </c>
      <c r="M2428" s="116">
        <v>888.9</v>
      </c>
      <c r="N2428" s="116">
        <v>920.8</v>
      </c>
      <c r="O2428" s="116">
        <v>886</v>
      </c>
      <c r="P2428" s="116">
        <v>920</v>
      </c>
      <c r="Q2428" s="116">
        <v>888.9</v>
      </c>
      <c r="R2428">
        <v>2120510</v>
      </c>
    </row>
    <row r="2429" spans="1:18" x14ac:dyDescent="0.25">
      <c r="A2429" s="170">
        <v>45797</v>
      </c>
      <c r="B2429" s="116">
        <v>897.6</v>
      </c>
      <c r="C2429" s="116">
        <v>869.2</v>
      </c>
      <c r="D2429" s="116">
        <v>867</v>
      </c>
      <c r="E2429" s="116">
        <v>891.3</v>
      </c>
      <c r="F2429" s="116">
        <v>869.2</v>
      </c>
      <c r="G2429">
        <v>67400</v>
      </c>
      <c r="H2429" s="116"/>
      <c r="I2429" s="116"/>
      <c r="L2429" s="170">
        <v>45797</v>
      </c>
      <c r="M2429" s="116">
        <v>869.75</v>
      </c>
      <c r="N2429" s="116">
        <v>897.55</v>
      </c>
      <c r="O2429" s="116">
        <v>866.55</v>
      </c>
      <c r="P2429" s="116">
        <v>894.45</v>
      </c>
      <c r="Q2429" s="116">
        <v>869.75</v>
      </c>
      <c r="R2429">
        <v>1301836</v>
      </c>
    </row>
    <row r="2430" spans="1:18" x14ac:dyDescent="0.25">
      <c r="A2430" s="170">
        <v>45798</v>
      </c>
      <c r="B2430" s="116">
        <v>880.1</v>
      </c>
      <c r="C2430" s="116">
        <v>872.6</v>
      </c>
      <c r="D2430" s="116">
        <v>860.25</v>
      </c>
      <c r="E2430" s="116">
        <v>866.35</v>
      </c>
      <c r="F2430" s="116">
        <v>872.6</v>
      </c>
      <c r="G2430">
        <v>41311</v>
      </c>
      <c r="H2430" s="116"/>
      <c r="I2430" s="116"/>
      <c r="L2430" s="170">
        <v>45798</v>
      </c>
      <c r="M2430" s="116">
        <v>872.15</v>
      </c>
      <c r="N2430" s="116">
        <v>881</v>
      </c>
      <c r="O2430" s="116">
        <v>860.5</v>
      </c>
      <c r="P2430" s="116">
        <v>869.9</v>
      </c>
      <c r="Q2430" s="116">
        <v>872.15</v>
      </c>
      <c r="R2430">
        <v>1239047</v>
      </c>
    </row>
    <row r="2431" spans="1:18" x14ac:dyDescent="0.25">
      <c r="A2431" s="170">
        <v>45799</v>
      </c>
      <c r="B2431" s="116">
        <v>886</v>
      </c>
      <c r="C2431" s="116">
        <v>878.75</v>
      </c>
      <c r="D2431" s="116">
        <v>865.5</v>
      </c>
      <c r="E2431" s="116">
        <v>873.25</v>
      </c>
      <c r="F2431" s="116">
        <v>878.75</v>
      </c>
      <c r="G2431">
        <v>149407</v>
      </c>
      <c r="H2431" s="116"/>
      <c r="I2431" s="116"/>
      <c r="L2431" s="170">
        <v>45799</v>
      </c>
      <c r="M2431" s="116">
        <v>879</v>
      </c>
      <c r="N2431" s="116">
        <v>886.4</v>
      </c>
      <c r="O2431" s="116">
        <v>864.35</v>
      </c>
      <c r="P2431" s="116">
        <v>869</v>
      </c>
      <c r="Q2431" s="116">
        <v>879</v>
      </c>
      <c r="R2431">
        <v>1121955</v>
      </c>
    </row>
    <row r="2432" spans="1:18" x14ac:dyDescent="0.25">
      <c r="A2432" s="170">
        <v>45800</v>
      </c>
      <c r="B2432" s="116">
        <v>882.55</v>
      </c>
      <c r="C2432" s="116">
        <v>876.5</v>
      </c>
      <c r="D2432" s="116">
        <v>871.4</v>
      </c>
      <c r="E2432" s="116">
        <v>882.55</v>
      </c>
      <c r="F2432" s="116">
        <v>876.5</v>
      </c>
      <c r="G2432">
        <v>33914</v>
      </c>
      <c r="H2432" s="116"/>
      <c r="I2432" s="116"/>
      <c r="L2432" s="170">
        <v>45800</v>
      </c>
      <c r="M2432" s="116">
        <v>876.55</v>
      </c>
      <c r="N2432" s="116">
        <v>884.5</v>
      </c>
      <c r="O2432" s="116">
        <v>871.1</v>
      </c>
      <c r="P2432" s="116">
        <v>884.5</v>
      </c>
      <c r="Q2432" s="116">
        <v>876.55</v>
      </c>
      <c r="R2432">
        <v>816889</v>
      </c>
    </row>
    <row r="2433" spans="1:18" x14ac:dyDescent="0.25">
      <c r="A2433" s="170">
        <v>45803</v>
      </c>
      <c r="B2433" s="116">
        <v>890.95</v>
      </c>
      <c r="C2433" s="116">
        <v>879.05</v>
      </c>
      <c r="D2433" s="116">
        <v>876</v>
      </c>
      <c r="E2433" s="116">
        <v>876.55</v>
      </c>
      <c r="F2433" s="116">
        <v>879.05</v>
      </c>
      <c r="G2433">
        <v>41257</v>
      </c>
      <c r="H2433" s="116"/>
      <c r="I2433" s="116"/>
      <c r="L2433" s="170">
        <v>45803</v>
      </c>
      <c r="M2433" s="116">
        <v>878.7</v>
      </c>
      <c r="N2433" s="116">
        <v>891</v>
      </c>
      <c r="O2433" s="116">
        <v>875.9</v>
      </c>
      <c r="P2433" s="116">
        <v>877.95</v>
      </c>
      <c r="Q2433" s="116">
        <v>878.7</v>
      </c>
      <c r="R2433">
        <v>966027</v>
      </c>
    </row>
    <row r="2434" spans="1:18" x14ac:dyDescent="0.25">
      <c r="A2434" s="170">
        <v>45804</v>
      </c>
      <c r="B2434" s="116">
        <v>889.9</v>
      </c>
      <c r="C2434" s="116">
        <v>878.8</v>
      </c>
      <c r="D2434" s="116">
        <v>874.45</v>
      </c>
      <c r="E2434" s="116">
        <v>879.4</v>
      </c>
      <c r="F2434" s="116">
        <v>878.8</v>
      </c>
      <c r="G2434">
        <v>153322</v>
      </c>
      <c r="H2434" s="116"/>
      <c r="I2434" s="116"/>
      <c r="L2434" s="170">
        <v>45804</v>
      </c>
      <c r="M2434" s="116">
        <v>879.15</v>
      </c>
      <c r="N2434" s="116">
        <v>890.4</v>
      </c>
      <c r="O2434" s="116">
        <v>874.25</v>
      </c>
      <c r="P2434" s="116">
        <v>880</v>
      </c>
      <c r="Q2434" s="116">
        <v>879.15</v>
      </c>
      <c r="R2434">
        <v>1772369</v>
      </c>
    </row>
    <row r="2435" spans="1:18" x14ac:dyDescent="0.25">
      <c r="A2435" s="170">
        <v>45805</v>
      </c>
      <c r="B2435" s="116">
        <v>890.1</v>
      </c>
      <c r="C2435" s="116">
        <v>869.35</v>
      </c>
      <c r="D2435" s="116">
        <v>866</v>
      </c>
      <c r="E2435" s="116">
        <v>881</v>
      </c>
      <c r="F2435" s="116">
        <v>869.35</v>
      </c>
      <c r="G2435">
        <v>45001</v>
      </c>
      <c r="H2435" s="116"/>
      <c r="I2435" s="116"/>
      <c r="L2435" s="170">
        <v>45805</v>
      </c>
      <c r="M2435" s="116">
        <v>869</v>
      </c>
      <c r="N2435" s="116">
        <v>890.85</v>
      </c>
      <c r="O2435" s="116">
        <v>865.75</v>
      </c>
      <c r="P2435" s="116">
        <v>881.8</v>
      </c>
      <c r="Q2435" s="116">
        <v>869</v>
      </c>
      <c r="R2435">
        <v>990253</v>
      </c>
    </row>
    <row r="2436" spans="1:18" x14ac:dyDescent="0.25">
      <c r="A2436" s="170">
        <v>45806</v>
      </c>
      <c r="B2436" s="116">
        <v>898</v>
      </c>
      <c r="C2436" s="116">
        <v>881.1</v>
      </c>
      <c r="D2436" s="116">
        <v>869.7</v>
      </c>
      <c r="E2436" s="116">
        <v>885.95</v>
      </c>
      <c r="F2436" s="116">
        <v>881.1</v>
      </c>
      <c r="G2436">
        <v>280071</v>
      </c>
      <c r="H2436" s="116"/>
      <c r="I2436" s="116"/>
      <c r="L2436" s="170">
        <v>45806</v>
      </c>
      <c r="M2436" s="116">
        <v>880.95</v>
      </c>
      <c r="N2436" s="116">
        <v>898.2</v>
      </c>
      <c r="O2436" s="116">
        <v>869.4</v>
      </c>
      <c r="P2436" s="116">
        <v>877.7</v>
      </c>
      <c r="Q2436" s="116">
        <v>880.95</v>
      </c>
      <c r="R2436">
        <v>2045238</v>
      </c>
    </row>
    <row r="2437" spans="1:18" x14ac:dyDescent="0.25">
      <c r="A2437" s="170">
        <v>45807</v>
      </c>
      <c r="B2437" s="116">
        <v>889</v>
      </c>
      <c r="C2437" s="116">
        <v>867.65</v>
      </c>
      <c r="D2437" s="116">
        <v>861.3</v>
      </c>
      <c r="E2437" s="116">
        <v>881.7</v>
      </c>
      <c r="F2437" s="116">
        <v>867.65</v>
      </c>
      <c r="G2437">
        <v>157781</v>
      </c>
      <c r="H2437" s="116"/>
      <c r="I2437" s="116"/>
      <c r="L2437" s="170">
        <v>45807</v>
      </c>
      <c r="M2437" s="116">
        <v>867.2</v>
      </c>
      <c r="N2437" s="116">
        <v>889.45</v>
      </c>
      <c r="O2437" s="116">
        <v>862</v>
      </c>
      <c r="P2437" s="116">
        <v>881.05</v>
      </c>
      <c r="Q2437" s="116">
        <v>867.2</v>
      </c>
      <c r="R2437">
        <v>1258500</v>
      </c>
    </row>
    <row r="2438" spans="1:18" x14ac:dyDescent="0.25">
      <c r="A2438" s="170">
        <v>45810</v>
      </c>
      <c r="B2438" s="116">
        <v>888</v>
      </c>
      <c r="C2438" s="116">
        <v>875</v>
      </c>
      <c r="D2438" s="116">
        <v>872.5</v>
      </c>
      <c r="E2438" s="116">
        <v>877.75</v>
      </c>
      <c r="F2438" s="116">
        <v>875</v>
      </c>
      <c r="G2438">
        <v>173023</v>
      </c>
      <c r="H2438" s="116"/>
      <c r="I2438" s="116"/>
      <c r="L2438" s="170">
        <v>45810</v>
      </c>
      <c r="M2438" s="116">
        <v>874.85</v>
      </c>
      <c r="N2438" s="116">
        <v>888.2</v>
      </c>
      <c r="O2438" s="116">
        <v>872.05</v>
      </c>
      <c r="P2438" s="116">
        <v>874.8</v>
      </c>
      <c r="Q2438" s="116">
        <v>874.85</v>
      </c>
      <c r="R2438">
        <v>1911879</v>
      </c>
    </row>
    <row r="2439" spans="1:18" x14ac:dyDescent="0.25">
      <c r="A2439" s="170">
        <v>45811</v>
      </c>
      <c r="B2439" s="116">
        <v>875.1</v>
      </c>
      <c r="C2439" s="116">
        <v>855.95</v>
      </c>
      <c r="D2439" s="116">
        <v>854.4</v>
      </c>
      <c r="E2439" s="116">
        <v>875.05</v>
      </c>
      <c r="F2439" s="116">
        <v>855.95</v>
      </c>
      <c r="G2439">
        <v>189665</v>
      </c>
      <c r="H2439" s="116"/>
      <c r="I2439" s="116"/>
      <c r="L2439" s="170">
        <v>45811</v>
      </c>
      <c r="M2439" s="116">
        <v>856.55</v>
      </c>
      <c r="N2439" s="116">
        <v>877.75</v>
      </c>
      <c r="O2439" s="116">
        <v>854</v>
      </c>
      <c r="P2439" s="116">
        <v>876.55</v>
      </c>
      <c r="Q2439" s="116">
        <v>856.55</v>
      </c>
      <c r="R2439">
        <v>5811649</v>
      </c>
    </row>
    <row r="2440" spans="1:18" x14ac:dyDescent="0.25">
      <c r="A2440" s="170">
        <v>45812</v>
      </c>
      <c r="B2440" s="116">
        <v>872.8</v>
      </c>
      <c r="C2440" s="116">
        <v>866.55</v>
      </c>
      <c r="D2440" s="116">
        <v>851.8</v>
      </c>
      <c r="E2440" s="116">
        <v>856.75</v>
      </c>
      <c r="F2440" s="116">
        <v>866.55</v>
      </c>
      <c r="G2440">
        <v>96240</v>
      </c>
      <c r="H2440" s="116"/>
      <c r="I2440" s="116"/>
      <c r="L2440" s="170">
        <v>45812</v>
      </c>
      <c r="M2440" s="116">
        <v>866</v>
      </c>
      <c r="N2440" s="116">
        <v>873.5</v>
      </c>
      <c r="O2440" s="116">
        <v>851.55</v>
      </c>
      <c r="P2440" s="116">
        <v>860.5</v>
      </c>
      <c r="Q2440" s="116">
        <v>866</v>
      </c>
      <c r="R2440">
        <v>5947467</v>
      </c>
    </row>
    <row r="2441" spans="1:18" x14ac:dyDescent="0.25">
      <c r="A2441" s="170">
        <v>45813</v>
      </c>
      <c r="B2441" s="116">
        <v>882.65</v>
      </c>
      <c r="C2441" s="116">
        <v>872.05</v>
      </c>
      <c r="D2441" s="116">
        <v>863.8</v>
      </c>
      <c r="E2441" s="116">
        <v>867</v>
      </c>
      <c r="F2441" s="116">
        <v>872.05</v>
      </c>
      <c r="G2441">
        <v>177254</v>
      </c>
      <c r="H2441" s="116"/>
      <c r="I2441" s="116"/>
      <c r="L2441" s="170">
        <v>45813</v>
      </c>
      <c r="M2441" s="116">
        <v>872.2</v>
      </c>
      <c r="N2441" s="116">
        <v>883</v>
      </c>
      <c r="O2441" s="116">
        <v>864.05</v>
      </c>
      <c r="P2441" s="116">
        <v>869.95</v>
      </c>
      <c r="Q2441" s="116">
        <v>872.2</v>
      </c>
      <c r="R2441">
        <v>5723306</v>
      </c>
    </row>
    <row r="2442" spans="1:18" x14ac:dyDescent="0.25">
      <c r="A2442" s="170">
        <v>45814</v>
      </c>
      <c r="B2442" s="116">
        <v>892.05</v>
      </c>
      <c r="C2442" s="116">
        <v>884.25</v>
      </c>
      <c r="D2442" s="116">
        <v>872.85</v>
      </c>
      <c r="E2442" s="116">
        <v>872.85</v>
      </c>
      <c r="F2442" s="116">
        <v>884.25</v>
      </c>
      <c r="G2442">
        <v>89383</v>
      </c>
      <c r="H2442" s="116"/>
      <c r="I2442" s="116"/>
      <c r="L2442" s="170">
        <v>45814</v>
      </c>
      <c r="M2442" s="116">
        <v>884.1</v>
      </c>
      <c r="N2442" s="116">
        <v>892.5</v>
      </c>
      <c r="O2442" s="116">
        <v>872.45</v>
      </c>
      <c r="P2442" s="116">
        <v>875.65</v>
      </c>
      <c r="Q2442" s="116">
        <v>884.1</v>
      </c>
      <c r="R2442">
        <v>6679702</v>
      </c>
    </row>
    <row r="2443" spans="1:18" x14ac:dyDescent="0.25">
      <c r="A2443" s="170">
        <v>45817</v>
      </c>
      <c r="B2443" s="116">
        <v>908</v>
      </c>
      <c r="C2443" s="116">
        <v>901.55</v>
      </c>
      <c r="D2443" s="116">
        <v>875.6</v>
      </c>
      <c r="E2443" s="116">
        <v>886.75</v>
      </c>
      <c r="F2443" s="116">
        <v>901.55</v>
      </c>
      <c r="G2443">
        <v>274355</v>
      </c>
      <c r="H2443" s="116"/>
      <c r="I2443" s="116"/>
      <c r="L2443" s="170">
        <v>45817</v>
      </c>
      <c r="M2443" s="116">
        <v>901.4</v>
      </c>
      <c r="N2443" s="116">
        <v>908.4</v>
      </c>
      <c r="O2443" s="116">
        <v>876</v>
      </c>
      <c r="P2443" s="116">
        <v>888.5</v>
      </c>
      <c r="Q2443" s="116">
        <v>901.4</v>
      </c>
      <c r="R2443">
        <v>6802393</v>
      </c>
    </row>
    <row r="2444" spans="1:18" x14ac:dyDescent="0.25">
      <c r="A2444" s="170">
        <v>45818</v>
      </c>
      <c r="B2444" s="116">
        <v>920.7</v>
      </c>
      <c r="C2444" s="116">
        <v>915.65</v>
      </c>
      <c r="D2444" s="116">
        <v>896.5</v>
      </c>
      <c r="E2444" s="116">
        <v>909.7</v>
      </c>
      <c r="F2444" s="116">
        <v>915.65</v>
      </c>
      <c r="G2444">
        <v>375720</v>
      </c>
      <c r="H2444" s="116"/>
      <c r="I2444" s="116"/>
      <c r="L2444" s="170">
        <v>45818</v>
      </c>
      <c r="M2444" s="116">
        <v>915.5</v>
      </c>
      <c r="N2444" s="116">
        <v>921</v>
      </c>
      <c r="O2444" s="116">
        <v>896.45</v>
      </c>
      <c r="P2444" s="116">
        <v>907.15</v>
      </c>
      <c r="Q2444" s="116">
        <v>915.5</v>
      </c>
      <c r="R2444">
        <v>8134942</v>
      </c>
    </row>
    <row r="2445" spans="1:18" x14ac:dyDescent="0.25">
      <c r="A2445" s="170">
        <v>45819</v>
      </c>
      <c r="B2445" s="116">
        <v>924.15</v>
      </c>
      <c r="C2445" s="116">
        <v>905.55</v>
      </c>
      <c r="D2445" s="116">
        <v>895</v>
      </c>
      <c r="E2445" s="116">
        <v>916.35</v>
      </c>
      <c r="F2445" s="116">
        <v>905.55</v>
      </c>
      <c r="G2445">
        <v>192798</v>
      </c>
      <c r="H2445" s="116"/>
      <c r="I2445" s="116"/>
      <c r="L2445" s="170">
        <v>45819</v>
      </c>
      <c r="M2445" s="116">
        <v>904.5</v>
      </c>
      <c r="N2445" s="116">
        <v>924.35</v>
      </c>
      <c r="O2445" s="116">
        <v>895</v>
      </c>
      <c r="P2445" s="116">
        <v>919.85</v>
      </c>
      <c r="Q2445" s="116">
        <v>904.5</v>
      </c>
      <c r="R2445">
        <v>5473555</v>
      </c>
    </row>
    <row r="2446" spans="1:18" x14ac:dyDescent="0.25">
      <c r="A2446" s="170">
        <v>45820</v>
      </c>
      <c r="B2446" s="116">
        <v>911.65</v>
      </c>
      <c r="C2446" s="116">
        <v>877.35</v>
      </c>
      <c r="D2446" s="116">
        <v>869.05</v>
      </c>
      <c r="E2446" s="116">
        <v>911.65</v>
      </c>
      <c r="F2446" s="116">
        <v>877.35</v>
      </c>
      <c r="G2446">
        <v>151912</v>
      </c>
      <c r="H2446" s="116"/>
      <c r="I2446" s="116"/>
      <c r="L2446" s="170">
        <v>45820</v>
      </c>
      <c r="M2446" s="116">
        <v>876.95</v>
      </c>
      <c r="N2446" s="116">
        <v>909.95</v>
      </c>
      <c r="O2446" s="116">
        <v>868.05</v>
      </c>
      <c r="P2446" s="116">
        <v>908.4</v>
      </c>
      <c r="Q2446" s="116">
        <v>876.95</v>
      </c>
      <c r="R2446">
        <v>3852260</v>
      </c>
    </row>
    <row r="2447" spans="1:18" x14ac:dyDescent="0.25">
      <c r="A2447" s="170">
        <v>45821</v>
      </c>
      <c r="B2447" s="116">
        <v>871.55</v>
      </c>
      <c r="C2447" s="116">
        <v>861.6</v>
      </c>
      <c r="D2447" s="116">
        <v>851.55</v>
      </c>
      <c r="E2447" s="116">
        <v>857.1</v>
      </c>
      <c r="F2447" s="116">
        <v>861.6</v>
      </c>
      <c r="G2447">
        <v>188223</v>
      </c>
      <c r="H2447" s="116"/>
      <c r="I2447" s="116"/>
      <c r="L2447" s="170">
        <v>45821</v>
      </c>
      <c r="M2447" s="116">
        <v>861</v>
      </c>
      <c r="N2447" s="116">
        <v>871.75</v>
      </c>
      <c r="O2447" s="116">
        <v>851.7</v>
      </c>
      <c r="P2447" s="116">
        <v>860</v>
      </c>
      <c r="Q2447" s="116">
        <v>861</v>
      </c>
      <c r="R2447">
        <v>4262332</v>
      </c>
    </row>
    <row r="2448" spans="1:18" x14ac:dyDescent="0.25">
      <c r="A2448" s="170">
        <v>45824</v>
      </c>
      <c r="B2448" s="116">
        <v>870.8</v>
      </c>
      <c r="C2448" s="116">
        <v>865.55</v>
      </c>
      <c r="D2448" s="116">
        <v>849</v>
      </c>
      <c r="E2448" s="116">
        <v>855.25</v>
      </c>
      <c r="F2448" s="116">
        <v>865.55</v>
      </c>
      <c r="G2448">
        <v>169210</v>
      </c>
      <c r="H2448" s="116"/>
      <c r="I2448" s="116"/>
      <c r="L2448" s="170">
        <v>45824</v>
      </c>
      <c r="M2448" s="116">
        <v>865.7</v>
      </c>
      <c r="N2448" s="116">
        <v>871</v>
      </c>
      <c r="O2448" s="116">
        <v>849.45</v>
      </c>
      <c r="P2448" s="116">
        <v>861</v>
      </c>
      <c r="Q2448" s="116">
        <v>865.7</v>
      </c>
      <c r="R2448">
        <v>2424281</v>
      </c>
    </row>
    <row r="2449" spans="1:18" x14ac:dyDescent="0.25">
      <c r="A2449" s="170">
        <v>45825</v>
      </c>
      <c r="B2449" s="116">
        <v>868</v>
      </c>
      <c r="C2449" s="116">
        <v>848.9</v>
      </c>
      <c r="D2449" s="116">
        <v>845.8</v>
      </c>
      <c r="E2449" s="116">
        <v>868</v>
      </c>
      <c r="F2449" s="116">
        <v>848.9</v>
      </c>
      <c r="G2449">
        <v>55410</v>
      </c>
      <c r="H2449" s="116"/>
      <c r="I2449" s="116"/>
      <c r="L2449" s="170">
        <v>45825</v>
      </c>
      <c r="M2449" s="116">
        <v>848.85</v>
      </c>
      <c r="N2449" s="116">
        <v>867.35</v>
      </c>
      <c r="O2449" s="116">
        <v>846.05</v>
      </c>
      <c r="P2449" s="116">
        <v>866</v>
      </c>
      <c r="Q2449" s="116">
        <v>848.85</v>
      </c>
      <c r="R2449">
        <v>1247192</v>
      </c>
    </row>
    <row r="2450" spans="1:18" x14ac:dyDescent="0.25">
      <c r="A2450" s="170">
        <v>45826</v>
      </c>
      <c r="B2450" s="116">
        <v>858.25</v>
      </c>
      <c r="C2450" s="116">
        <v>843.3</v>
      </c>
      <c r="D2450" s="116">
        <v>834.95</v>
      </c>
      <c r="E2450" s="116">
        <v>849.9</v>
      </c>
      <c r="F2450" s="116">
        <v>843.3</v>
      </c>
      <c r="G2450">
        <v>107676</v>
      </c>
      <c r="H2450" s="116"/>
      <c r="I2450" s="116"/>
      <c r="L2450" s="170">
        <v>45826</v>
      </c>
      <c r="M2450" s="116">
        <v>846.45</v>
      </c>
      <c r="N2450" s="116">
        <v>858.55</v>
      </c>
      <c r="O2450" s="116">
        <v>834.6</v>
      </c>
      <c r="P2450" s="116">
        <v>848.95</v>
      </c>
      <c r="Q2450" s="116">
        <v>846.45</v>
      </c>
      <c r="R2450">
        <v>1943400</v>
      </c>
    </row>
    <row r="2451" spans="1:18" x14ac:dyDescent="0.25">
      <c r="A2451" s="170">
        <v>45827</v>
      </c>
      <c r="B2451" s="116">
        <v>848.65</v>
      </c>
      <c r="C2451" s="116">
        <v>823.8</v>
      </c>
      <c r="D2451" s="116">
        <v>818.1</v>
      </c>
      <c r="E2451" s="116">
        <v>848.65</v>
      </c>
      <c r="F2451" s="116">
        <v>823.8</v>
      </c>
      <c r="G2451">
        <v>73908</v>
      </c>
      <c r="H2451" s="116"/>
      <c r="I2451" s="116"/>
      <c r="L2451" s="170">
        <v>45827</v>
      </c>
      <c r="M2451" s="116">
        <v>823.6</v>
      </c>
      <c r="N2451" s="116">
        <v>849.05</v>
      </c>
      <c r="O2451" s="116">
        <v>818</v>
      </c>
      <c r="P2451" s="116">
        <v>845</v>
      </c>
      <c r="Q2451" s="116">
        <v>823.6</v>
      </c>
      <c r="R2451">
        <v>1666745</v>
      </c>
    </row>
    <row r="2452" spans="1:18" x14ac:dyDescent="0.25">
      <c r="A2452" s="170">
        <v>45828</v>
      </c>
      <c r="B2452" s="116">
        <v>840.2</v>
      </c>
      <c r="C2452" s="116">
        <v>828.4</v>
      </c>
      <c r="D2452" s="116">
        <v>823.85</v>
      </c>
      <c r="E2452" s="116">
        <v>823.85</v>
      </c>
      <c r="F2452" s="116">
        <v>828.4</v>
      </c>
      <c r="G2452">
        <v>89652</v>
      </c>
      <c r="H2452" s="116"/>
      <c r="I2452" s="116"/>
      <c r="L2452" s="170">
        <v>45828</v>
      </c>
      <c r="M2452" s="116">
        <v>828.1</v>
      </c>
      <c r="N2452" s="116">
        <v>840.9</v>
      </c>
      <c r="O2452" s="116">
        <v>823.35</v>
      </c>
      <c r="P2452" s="116">
        <v>826</v>
      </c>
      <c r="Q2452" s="116">
        <v>828.1</v>
      </c>
      <c r="R2452">
        <v>6345674</v>
      </c>
    </row>
    <row r="2453" spans="1:18" x14ac:dyDescent="0.25">
      <c r="A2453" s="170">
        <v>45831</v>
      </c>
      <c r="B2453" s="116">
        <v>842.65</v>
      </c>
      <c r="C2453" s="116">
        <v>837.6</v>
      </c>
      <c r="D2453" s="116">
        <v>816.8</v>
      </c>
      <c r="E2453" s="116">
        <v>820.25</v>
      </c>
      <c r="F2453" s="116">
        <v>837.6</v>
      </c>
      <c r="G2453">
        <v>118831</v>
      </c>
      <c r="H2453" s="116"/>
      <c r="I2453" s="116"/>
      <c r="L2453" s="170">
        <v>45831</v>
      </c>
      <c r="M2453" s="116">
        <v>837.2</v>
      </c>
      <c r="N2453" s="116">
        <v>842.55</v>
      </c>
      <c r="O2453" s="116">
        <v>817.8</v>
      </c>
      <c r="P2453" s="116">
        <v>817.95</v>
      </c>
      <c r="Q2453" s="116">
        <v>837.2</v>
      </c>
      <c r="R2453">
        <v>1079104</v>
      </c>
    </row>
    <row r="2454" spans="1:18" x14ac:dyDescent="0.25">
      <c r="A2454" s="170">
        <v>45832</v>
      </c>
      <c r="B2454" s="116">
        <v>866.45</v>
      </c>
      <c r="C2454" s="116">
        <v>851.8</v>
      </c>
      <c r="D2454" s="116">
        <v>848.7</v>
      </c>
      <c r="E2454" s="116">
        <v>850.5</v>
      </c>
      <c r="F2454" s="116">
        <v>851.8</v>
      </c>
      <c r="G2454">
        <v>141175</v>
      </c>
      <c r="H2454" s="116"/>
      <c r="I2454" s="116"/>
      <c r="L2454" s="170">
        <v>45832</v>
      </c>
      <c r="M2454" s="116">
        <v>851.85</v>
      </c>
      <c r="N2454" s="116">
        <v>866.6</v>
      </c>
      <c r="O2454" s="116">
        <v>848</v>
      </c>
      <c r="P2454" s="116">
        <v>852</v>
      </c>
      <c r="Q2454" s="116">
        <v>851.85</v>
      </c>
      <c r="R2454">
        <v>1922183</v>
      </c>
    </row>
    <row r="2455" spans="1:18" x14ac:dyDescent="0.25">
      <c r="A2455" s="170">
        <v>45833</v>
      </c>
      <c r="B2455" s="116">
        <v>863.8</v>
      </c>
      <c r="C2455" s="116">
        <v>850.55</v>
      </c>
      <c r="D2455" s="116">
        <v>847.4</v>
      </c>
      <c r="E2455" s="116">
        <v>855.8</v>
      </c>
      <c r="F2455" s="116">
        <v>850.55</v>
      </c>
      <c r="G2455">
        <v>76260</v>
      </c>
      <c r="H2455" s="116"/>
      <c r="I2455" s="116"/>
      <c r="L2455" s="170">
        <v>45833</v>
      </c>
      <c r="M2455" s="116">
        <v>850.2</v>
      </c>
      <c r="N2455" s="116">
        <v>863.7</v>
      </c>
      <c r="O2455" s="116">
        <v>847.05</v>
      </c>
      <c r="P2455" s="116">
        <v>856.35</v>
      </c>
      <c r="Q2455" s="116">
        <v>850.2</v>
      </c>
      <c r="R2455">
        <v>2316935</v>
      </c>
    </row>
    <row r="2456" spans="1:18" x14ac:dyDescent="0.25">
      <c r="A2456" s="170">
        <v>45834</v>
      </c>
      <c r="B2456" s="116">
        <v>866.3</v>
      </c>
      <c r="C2456" s="116">
        <v>864.7</v>
      </c>
      <c r="D2456" s="116">
        <v>850.9</v>
      </c>
      <c r="E2456" s="116">
        <v>850.9</v>
      </c>
      <c r="F2456" s="116">
        <v>864.7</v>
      </c>
      <c r="G2456">
        <v>119686</v>
      </c>
      <c r="H2456" s="116"/>
      <c r="I2456" s="116"/>
      <c r="L2456" s="170">
        <v>45834</v>
      </c>
      <c r="M2456" s="116">
        <v>864.75</v>
      </c>
      <c r="N2456" s="116">
        <v>866.5</v>
      </c>
      <c r="O2456" s="116">
        <v>851</v>
      </c>
      <c r="P2456" s="116">
        <v>854.25</v>
      </c>
      <c r="Q2456" s="116">
        <v>864.75</v>
      </c>
      <c r="R2456">
        <v>2717149</v>
      </c>
    </row>
    <row r="2457" spans="1:18" x14ac:dyDescent="0.25">
      <c r="A2457" s="170">
        <v>45835</v>
      </c>
      <c r="B2457" s="116">
        <v>900.65</v>
      </c>
      <c r="C2457" s="116">
        <v>883.55</v>
      </c>
      <c r="D2457" s="116">
        <v>860.3</v>
      </c>
      <c r="E2457" s="116">
        <v>860.3</v>
      </c>
      <c r="F2457" s="116">
        <v>883.55</v>
      </c>
      <c r="G2457">
        <v>140037</v>
      </c>
      <c r="H2457" s="116"/>
      <c r="I2457" s="116"/>
      <c r="L2457" s="170">
        <v>45835</v>
      </c>
      <c r="M2457" s="116">
        <v>883.7</v>
      </c>
      <c r="N2457" s="116">
        <v>900.85</v>
      </c>
      <c r="O2457" s="116">
        <v>863</v>
      </c>
      <c r="P2457" s="116">
        <v>865</v>
      </c>
      <c r="Q2457" s="116">
        <v>883.7</v>
      </c>
      <c r="R2457">
        <v>3118143</v>
      </c>
    </row>
    <row r="2458" spans="1:18" x14ac:dyDescent="0.25">
      <c r="A2458" s="170">
        <v>45838</v>
      </c>
      <c r="B2458" s="116">
        <v>889.4</v>
      </c>
      <c r="C2458" s="116">
        <v>881.8</v>
      </c>
      <c r="D2458" s="116">
        <v>875</v>
      </c>
      <c r="E2458" s="116">
        <v>889.4</v>
      </c>
      <c r="F2458" s="116">
        <v>881.8</v>
      </c>
      <c r="G2458">
        <v>37739</v>
      </c>
      <c r="H2458" s="116"/>
      <c r="I2458" s="116"/>
      <c r="L2458" s="170">
        <v>45838</v>
      </c>
      <c r="M2458" s="116">
        <v>881.75</v>
      </c>
      <c r="N2458" s="116">
        <v>887.45</v>
      </c>
      <c r="O2458" s="116">
        <v>874.7</v>
      </c>
      <c r="P2458" s="116">
        <v>886</v>
      </c>
      <c r="Q2458" s="116">
        <v>881.75</v>
      </c>
      <c r="R2458">
        <v>1673237</v>
      </c>
    </row>
    <row r="2459" spans="1:18" x14ac:dyDescent="0.25">
      <c r="A2459" s="170">
        <v>45839</v>
      </c>
      <c r="B2459" s="116">
        <v>892</v>
      </c>
      <c r="C2459" s="116">
        <v>872.35</v>
      </c>
      <c r="D2459" s="116">
        <v>871</v>
      </c>
      <c r="E2459" s="116">
        <v>883.05</v>
      </c>
      <c r="F2459" s="116">
        <v>872.35</v>
      </c>
      <c r="G2459">
        <v>102573</v>
      </c>
      <c r="H2459" s="116"/>
      <c r="I2459" s="116"/>
      <c r="L2459" s="170">
        <v>45839</v>
      </c>
      <c r="M2459" s="116">
        <v>872.4</v>
      </c>
      <c r="N2459" s="116">
        <v>892.3</v>
      </c>
      <c r="O2459" s="116">
        <v>871</v>
      </c>
      <c r="P2459" s="116">
        <v>884</v>
      </c>
      <c r="Q2459" s="116">
        <v>872.4</v>
      </c>
      <c r="R2459">
        <v>1874380</v>
      </c>
    </row>
    <row r="2460" spans="1:18" x14ac:dyDescent="0.25">
      <c r="A2460" s="170">
        <v>45840</v>
      </c>
      <c r="B2460" s="116">
        <v>888</v>
      </c>
      <c r="C2460" s="116">
        <v>878.75</v>
      </c>
      <c r="D2460" s="116">
        <v>870</v>
      </c>
      <c r="E2460" s="116">
        <v>875</v>
      </c>
      <c r="F2460" s="116">
        <v>878.75</v>
      </c>
      <c r="G2460">
        <v>37319</v>
      </c>
      <c r="H2460" s="116"/>
      <c r="I2460" s="116"/>
      <c r="L2460" s="170">
        <v>45840</v>
      </c>
      <c r="M2460" s="116">
        <v>878.8</v>
      </c>
      <c r="N2460" s="116">
        <v>888.85</v>
      </c>
      <c r="O2460" s="116">
        <v>869.4</v>
      </c>
      <c r="P2460" s="116">
        <v>876</v>
      </c>
      <c r="Q2460" s="116">
        <v>878.8</v>
      </c>
      <c r="R2460">
        <v>2946152</v>
      </c>
    </row>
    <row r="2461" spans="1:18" x14ac:dyDescent="0.25">
      <c r="A2461" s="170">
        <v>45841</v>
      </c>
      <c r="B2461" s="116">
        <v>881.9</v>
      </c>
      <c r="C2461" s="116">
        <v>875.8</v>
      </c>
      <c r="D2461" s="116">
        <v>867.65</v>
      </c>
      <c r="E2461" s="116">
        <v>878.8</v>
      </c>
      <c r="F2461" s="116">
        <v>875.8</v>
      </c>
      <c r="G2461">
        <v>34880</v>
      </c>
      <c r="H2461" s="116"/>
      <c r="I2461" s="116"/>
      <c r="L2461" s="170">
        <v>45841</v>
      </c>
      <c r="M2461" s="116">
        <v>875.25</v>
      </c>
      <c r="N2461" s="116">
        <v>882.15</v>
      </c>
      <c r="O2461" s="116">
        <v>867.55</v>
      </c>
      <c r="P2461" s="116">
        <v>878.85</v>
      </c>
      <c r="Q2461" s="116">
        <v>875.25</v>
      </c>
      <c r="R2461">
        <v>3905266</v>
      </c>
    </row>
    <row r="2462" spans="1:18" x14ac:dyDescent="0.25">
      <c r="A2462" s="170">
        <v>45842</v>
      </c>
      <c r="B2462" s="116">
        <v>884</v>
      </c>
      <c r="C2462" s="116">
        <v>876.7</v>
      </c>
      <c r="D2462" s="116">
        <v>867.5</v>
      </c>
      <c r="E2462" s="116">
        <v>878</v>
      </c>
      <c r="F2462" s="116">
        <v>876.7</v>
      </c>
      <c r="G2462">
        <v>111437</v>
      </c>
      <c r="H2462" s="116"/>
      <c r="I2462" s="116"/>
      <c r="L2462" s="170">
        <v>45842</v>
      </c>
      <c r="M2462" s="116">
        <v>877.2</v>
      </c>
      <c r="N2462" s="116">
        <v>884</v>
      </c>
      <c r="O2462" s="116">
        <v>867.15</v>
      </c>
      <c r="P2462" s="116">
        <v>875.8</v>
      </c>
      <c r="Q2462" s="116">
        <v>877.2</v>
      </c>
      <c r="R2462">
        <v>4081958</v>
      </c>
    </row>
    <row r="2463" spans="1:18" x14ac:dyDescent="0.25">
      <c r="A2463" s="170">
        <v>45845</v>
      </c>
      <c r="B2463" s="116">
        <v>887.35</v>
      </c>
      <c r="C2463" s="116">
        <v>883.1</v>
      </c>
      <c r="D2463" s="116">
        <v>871.45</v>
      </c>
      <c r="E2463" s="116">
        <v>871.45</v>
      </c>
      <c r="F2463" s="116">
        <v>883.1</v>
      </c>
      <c r="G2463">
        <v>46549</v>
      </c>
      <c r="H2463" s="116"/>
      <c r="I2463" s="116"/>
      <c r="L2463" s="170">
        <v>45845</v>
      </c>
      <c r="M2463" s="116">
        <v>883.35</v>
      </c>
      <c r="N2463" s="116">
        <v>887.55</v>
      </c>
      <c r="O2463" s="116">
        <v>871.05</v>
      </c>
      <c r="P2463" s="116">
        <v>876</v>
      </c>
      <c r="Q2463" s="116">
        <v>883.35</v>
      </c>
      <c r="R2463">
        <v>3740997</v>
      </c>
    </row>
    <row r="2464" spans="1:18" x14ac:dyDescent="0.25">
      <c r="A2464" s="170">
        <v>45846</v>
      </c>
      <c r="B2464" s="116">
        <v>892.25</v>
      </c>
      <c r="C2464" s="116">
        <v>881.05</v>
      </c>
      <c r="D2464" s="116">
        <v>876.5</v>
      </c>
      <c r="E2464" s="116">
        <v>885.2</v>
      </c>
      <c r="F2464" s="116">
        <v>881.05</v>
      </c>
      <c r="G2464">
        <v>61669</v>
      </c>
      <c r="H2464" s="116"/>
      <c r="I2464" s="116"/>
      <c r="L2464" s="170">
        <v>45846</v>
      </c>
      <c r="M2464" s="116">
        <v>881.25</v>
      </c>
      <c r="N2464" s="116">
        <v>892.5</v>
      </c>
      <c r="O2464" s="116">
        <v>876</v>
      </c>
      <c r="P2464" s="116">
        <v>886</v>
      </c>
      <c r="Q2464" s="116">
        <v>881.25</v>
      </c>
      <c r="R2464">
        <v>2733928</v>
      </c>
    </row>
    <row r="2465" spans="1:18" x14ac:dyDescent="0.25">
      <c r="A2465" s="170">
        <v>45847</v>
      </c>
      <c r="B2465" s="116">
        <v>904.8</v>
      </c>
      <c r="C2465" s="116">
        <v>890.45</v>
      </c>
      <c r="D2465" s="116">
        <v>885.6</v>
      </c>
      <c r="E2465" s="116">
        <v>888.75</v>
      </c>
      <c r="F2465" s="116">
        <v>890.45</v>
      </c>
      <c r="G2465">
        <v>68250</v>
      </c>
      <c r="H2465" s="116"/>
      <c r="I2465" s="116"/>
      <c r="L2465" s="170">
        <v>45847</v>
      </c>
      <c r="M2465" s="116">
        <v>890.15</v>
      </c>
      <c r="N2465" s="116">
        <v>904.5</v>
      </c>
      <c r="O2465" s="116">
        <v>885.55</v>
      </c>
      <c r="P2465" s="116">
        <v>886.7</v>
      </c>
      <c r="Q2465" s="116">
        <v>890.15</v>
      </c>
      <c r="R2465">
        <v>3094384</v>
      </c>
    </row>
    <row r="2466" spans="1:18" x14ac:dyDescent="0.25">
      <c r="A2466" s="170">
        <v>45848</v>
      </c>
      <c r="B2466" s="116">
        <v>907.6</v>
      </c>
      <c r="C2466" s="116">
        <v>890.3</v>
      </c>
      <c r="D2466" s="116">
        <v>887.2</v>
      </c>
      <c r="E2466" s="116">
        <v>892</v>
      </c>
      <c r="F2466" s="116">
        <v>890.3</v>
      </c>
      <c r="G2466">
        <v>112986</v>
      </c>
      <c r="H2466" s="116"/>
      <c r="I2466" s="116"/>
      <c r="L2466" s="170">
        <v>45848</v>
      </c>
      <c r="M2466" s="116">
        <v>891.05</v>
      </c>
      <c r="N2466" s="116">
        <v>907.7</v>
      </c>
      <c r="O2466" s="116">
        <v>887</v>
      </c>
      <c r="P2466" s="116">
        <v>893.9</v>
      </c>
      <c r="Q2466" s="116">
        <v>891.05</v>
      </c>
      <c r="R2466">
        <v>1367248</v>
      </c>
    </row>
    <row r="2467" spans="1:18" x14ac:dyDescent="0.25">
      <c r="A2467" s="170">
        <v>45849</v>
      </c>
      <c r="B2467" s="116">
        <v>897.25</v>
      </c>
      <c r="C2467" s="116">
        <v>873.7</v>
      </c>
      <c r="D2467" s="116">
        <v>868.5</v>
      </c>
      <c r="E2467" s="116">
        <v>897.25</v>
      </c>
      <c r="F2467" s="116">
        <v>873.7</v>
      </c>
      <c r="G2467">
        <v>37049</v>
      </c>
      <c r="H2467" s="116"/>
      <c r="I2467" s="116"/>
      <c r="L2467" s="170">
        <v>45849</v>
      </c>
      <c r="M2467" s="116">
        <v>874.05</v>
      </c>
      <c r="N2467" s="116">
        <v>895.55</v>
      </c>
      <c r="O2467" s="116">
        <v>869.1</v>
      </c>
      <c r="P2467" s="116">
        <v>894</v>
      </c>
      <c r="Q2467" s="116">
        <v>874.05</v>
      </c>
      <c r="R2467">
        <v>989521</v>
      </c>
    </row>
    <row r="2468" spans="1:18" x14ac:dyDescent="0.25">
      <c r="A2468" s="170">
        <v>45852</v>
      </c>
      <c r="B2468" s="116">
        <v>885.9</v>
      </c>
      <c r="C2468" s="116">
        <v>880</v>
      </c>
      <c r="D2468" s="116">
        <v>867.95</v>
      </c>
      <c r="E2468" s="116">
        <v>879</v>
      </c>
      <c r="F2468" s="116">
        <v>880</v>
      </c>
      <c r="G2468">
        <v>32686</v>
      </c>
      <c r="H2468" s="116"/>
      <c r="I2468" s="116"/>
      <c r="L2468" s="170">
        <v>45852</v>
      </c>
      <c r="M2468" s="116">
        <v>880.5</v>
      </c>
      <c r="N2468" s="116">
        <v>886.55</v>
      </c>
      <c r="O2468" s="116">
        <v>867.3</v>
      </c>
      <c r="P2468" s="116">
        <v>876.8</v>
      </c>
      <c r="Q2468" s="116">
        <v>880.5</v>
      </c>
      <c r="R2468">
        <v>857740</v>
      </c>
    </row>
    <row r="2469" spans="1:18" x14ac:dyDescent="0.25">
      <c r="A2469" s="170">
        <v>45853</v>
      </c>
      <c r="B2469" s="116">
        <v>886.55</v>
      </c>
      <c r="C2469" s="116">
        <v>879.85</v>
      </c>
      <c r="D2469" s="116">
        <v>873.8</v>
      </c>
      <c r="E2469" s="116">
        <v>880.05</v>
      </c>
      <c r="F2469" s="116">
        <v>879.85</v>
      </c>
      <c r="G2469">
        <v>30621</v>
      </c>
      <c r="H2469" s="116"/>
      <c r="I2469" s="116"/>
      <c r="L2469" s="170">
        <v>45853</v>
      </c>
      <c r="M2469" s="116">
        <v>879.75</v>
      </c>
      <c r="N2469" s="116">
        <v>887.8</v>
      </c>
      <c r="O2469" s="116">
        <v>873.3</v>
      </c>
      <c r="P2469" s="116">
        <v>881</v>
      </c>
      <c r="Q2469" s="116">
        <v>879.75</v>
      </c>
      <c r="R2469">
        <v>767520</v>
      </c>
    </row>
    <row r="2470" spans="1:18" x14ac:dyDescent="0.25">
      <c r="A2470" s="170">
        <v>45854</v>
      </c>
      <c r="B2470" s="116">
        <v>886.5</v>
      </c>
      <c r="C2470" s="116">
        <v>876.55</v>
      </c>
      <c r="D2470" s="116">
        <v>876</v>
      </c>
      <c r="E2470" s="116">
        <v>880</v>
      </c>
      <c r="F2470" s="116">
        <v>876.55</v>
      </c>
      <c r="G2470">
        <v>76972</v>
      </c>
      <c r="H2470" s="116"/>
      <c r="I2470" s="116"/>
      <c r="L2470" s="170">
        <v>45854</v>
      </c>
      <c r="M2470" s="116">
        <v>876.6</v>
      </c>
      <c r="N2470" s="116">
        <v>886.85</v>
      </c>
      <c r="O2470" s="116">
        <v>875.05</v>
      </c>
      <c r="P2470" s="116">
        <v>880.5</v>
      </c>
      <c r="Q2470" s="116">
        <v>876.6</v>
      </c>
      <c r="R2470">
        <v>593638</v>
      </c>
    </row>
    <row r="2471" spans="1:18" x14ac:dyDescent="0.25">
      <c r="A2471" s="170">
        <v>45855</v>
      </c>
      <c r="B2471" s="116">
        <v>884</v>
      </c>
      <c r="C2471" s="116">
        <v>873.25</v>
      </c>
      <c r="D2471" s="116">
        <v>872.5</v>
      </c>
      <c r="E2471" s="116">
        <v>880</v>
      </c>
      <c r="F2471" s="116">
        <v>873.25</v>
      </c>
      <c r="G2471">
        <v>27885</v>
      </c>
      <c r="H2471" s="116"/>
      <c r="I2471" s="116"/>
      <c r="L2471" s="170">
        <v>45855</v>
      </c>
      <c r="M2471" s="116">
        <v>873.35</v>
      </c>
      <c r="N2471" s="116">
        <v>884</v>
      </c>
      <c r="O2471" s="116">
        <v>872</v>
      </c>
      <c r="P2471" s="116">
        <v>879.95</v>
      </c>
      <c r="Q2471" s="116">
        <v>873.35</v>
      </c>
      <c r="R2471">
        <v>614709</v>
      </c>
    </row>
    <row r="2472" spans="1:18" x14ac:dyDescent="0.25">
      <c r="A2472" s="170">
        <v>45856</v>
      </c>
      <c r="B2472" s="116">
        <v>883</v>
      </c>
      <c r="C2472" s="116">
        <v>870.4</v>
      </c>
      <c r="D2472" s="116">
        <v>866.2</v>
      </c>
      <c r="E2472" s="116">
        <v>873.3</v>
      </c>
      <c r="F2472" s="116">
        <v>870.4</v>
      </c>
      <c r="G2472">
        <v>38959</v>
      </c>
      <c r="H2472" s="116"/>
      <c r="I2472" s="116"/>
      <c r="L2472" s="170">
        <v>45856</v>
      </c>
      <c r="M2472" s="116">
        <v>869.35</v>
      </c>
      <c r="N2472" s="116">
        <v>882.95</v>
      </c>
      <c r="O2472" s="116">
        <v>867</v>
      </c>
      <c r="P2472" s="116">
        <v>876.9</v>
      </c>
      <c r="Q2472" s="116">
        <v>869.35</v>
      </c>
      <c r="R2472">
        <v>1444579</v>
      </c>
    </row>
    <row r="2473" spans="1:18" x14ac:dyDescent="0.25">
      <c r="A2473" s="170">
        <v>45859</v>
      </c>
      <c r="B2473" s="116">
        <v>880.5</v>
      </c>
      <c r="C2473" s="116">
        <v>872.85</v>
      </c>
      <c r="D2473" s="116">
        <v>862.95</v>
      </c>
      <c r="E2473" s="116">
        <v>870.55</v>
      </c>
      <c r="F2473" s="116">
        <v>872.85</v>
      </c>
      <c r="G2473">
        <v>81894</v>
      </c>
      <c r="H2473" s="116"/>
      <c r="I2473" s="116"/>
      <c r="L2473" s="170">
        <v>45859</v>
      </c>
      <c r="M2473" s="116">
        <v>871.65</v>
      </c>
      <c r="N2473" s="116">
        <v>881</v>
      </c>
      <c r="O2473" s="116">
        <v>862.1</v>
      </c>
      <c r="P2473" s="116">
        <v>870.95</v>
      </c>
      <c r="Q2473" s="116">
        <v>871.65</v>
      </c>
      <c r="R2473">
        <v>833172</v>
      </c>
    </row>
    <row r="2474" spans="1:18" x14ac:dyDescent="0.25">
      <c r="A2474" s="170">
        <v>45860</v>
      </c>
      <c r="B2474" s="116">
        <v>879.95</v>
      </c>
      <c r="C2474" s="116">
        <v>867.3</v>
      </c>
      <c r="D2474" s="116">
        <v>864.8</v>
      </c>
      <c r="E2474" s="116">
        <v>873.15</v>
      </c>
      <c r="F2474" s="116">
        <v>867.3</v>
      </c>
      <c r="G2474">
        <v>70726</v>
      </c>
      <c r="H2474" s="116"/>
      <c r="I2474" s="116"/>
      <c r="L2474" s="170">
        <v>45860</v>
      </c>
      <c r="M2474" s="116">
        <v>867.2</v>
      </c>
      <c r="N2474" s="116">
        <v>879.8</v>
      </c>
      <c r="O2474" s="116">
        <v>864.2</v>
      </c>
      <c r="P2474" s="116">
        <v>876</v>
      </c>
      <c r="Q2474" s="116">
        <v>867.2</v>
      </c>
      <c r="R2474">
        <v>650289</v>
      </c>
    </row>
    <row r="2475" spans="1:18" x14ac:dyDescent="0.25">
      <c r="A2475" s="170">
        <v>45861</v>
      </c>
      <c r="B2475" s="116">
        <v>873.95</v>
      </c>
      <c r="C2475" s="116">
        <v>863.05</v>
      </c>
      <c r="D2475" s="116">
        <v>861.4</v>
      </c>
      <c r="E2475" s="116">
        <v>873.95</v>
      </c>
      <c r="F2475" s="116">
        <v>863.05</v>
      </c>
      <c r="G2475">
        <v>81129</v>
      </c>
      <c r="H2475" s="116"/>
      <c r="I2475" s="116"/>
      <c r="L2475" s="170">
        <v>45861</v>
      </c>
      <c r="M2475" s="116">
        <v>863.1</v>
      </c>
      <c r="N2475" s="116">
        <v>874.1</v>
      </c>
      <c r="O2475" s="116">
        <v>861.5</v>
      </c>
      <c r="P2475" s="116">
        <v>871.7</v>
      </c>
      <c r="Q2475" s="116">
        <v>863.1</v>
      </c>
      <c r="R2475">
        <v>724832</v>
      </c>
    </row>
    <row r="2476" spans="1:18" x14ac:dyDescent="0.25">
      <c r="A2476" s="170">
        <v>45862</v>
      </c>
      <c r="B2476" s="116">
        <v>869.95</v>
      </c>
      <c r="C2476" s="116">
        <v>849.4</v>
      </c>
      <c r="D2476" s="116">
        <v>844.1</v>
      </c>
      <c r="E2476" s="116">
        <v>869.95</v>
      </c>
      <c r="F2476" s="116">
        <v>849.4</v>
      </c>
      <c r="G2476">
        <v>130345</v>
      </c>
      <c r="H2476" s="116"/>
      <c r="I2476" s="116"/>
      <c r="L2476" s="170">
        <v>45862</v>
      </c>
      <c r="M2476" s="116">
        <v>849.05</v>
      </c>
      <c r="N2476" s="116">
        <v>868</v>
      </c>
      <c r="O2476" s="116">
        <v>844.05</v>
      </c>
      <c r="P2476" s="116">
        <v>868</v>
      </c>
      <c r="Q2476" s="116">
        <v>849.05</v>
      </c>
      <c r="R2476">
        <v>2179235</v>
      </c>
    </row>
    <row r="2477" spans="1:18" x14ac:dyDescent="0.25">
      <c r="A2477" s="170">
        <v>45863</v>
      </c>
      <c r="B2477" s="116">
        <v>858.3</v>
      </c>
      <c r="C2477" s="116">
        <v>817.45</v>
      </c>
      <c r="D2477" s="116">
        <v>812.4</v>
      </c>
      <c r="E2477" s="116">
        <v>858.3</v>
      </c>
      <c r="F2477" s="116">
        <v>817.45</v>
      </c>
      <c r="G2477">
        <v>214901</v>
      </c>
      <c r="H2477" s="116"/>
      <c r="I2477" s="116"/>
      <c r="L2477" s="170">
        <v>45863</v>
      </c>
      <c r="M2477" s="116">
        <v>817.15</v>
      </c>
      <c r="N2477" s="116">
        <v>856.7</v>
      </c>
      <c r="O2477" s="116">
        <v>812.15</v>
      </c>
      <c r="P2477" s="116">
        <v>853.35</v>
      </c>
      <c r="Q2477" s="116">
        <v>817.15</v>
      </c>
      <c r="R2477">
        <v>1813942</v>
      </c>
    </row>
    <row r="2478" spans="1:18" x14ac:dyDescent="0.25">
      <c r="A2478" s="170">
        <v>45866</v>
      </c>
      <c r="B2478" s="116">
        <v>827.85</v>
      </c>
      <c r="C2478" s="116">
        <v>815.95</v>
      </c>
      <c r="D2478" s="116">
        <v>813.05</v>
      </c>
      <c r="E2478" s="116">
        <v>816.05</v>
      </c>
      <c r="F2478" s="116">
        <v>815.95</v>
      </c>
      <c r="G2478">
        <v>116311</v>
      </c>
      <c r="H2478" s="116"/>
      <c r="I2478" s="116"/>
      <c r="L2478" s="170">
        <v>45866</v>
      </c>
      <c r="M2478" s="116">
        <v>815.95</v>
      </c>
      <c r="N2478" s="116">
        <v>827.8</v>
      </c>
      <c r="O2478" s="116">
        <v>813</v>
      </c>
      <c r="P2478" s="116">
        <v>819.7</v>
      </c>
      <c r="Q2478" s="116">
        <v>815.95</v>
      </c>
      <c r="R2478">
        <v>831296</v>
      </c>
    </row>
    <row r="2479" spans="1:18" x14ac:dyDescent="0.25">
      <c r="A2479" s="170">
        <v>45867</v>
      </c>
      <c r="B2479" s="116">
        <v>834.35</v>
      </c>
      <c r="C2479" s="116">
        <v>829.25</v>
      </c>
      <c r="D2479" s="116">
        <v>800.05</v>
      </c>
      <c r="E2479" s="116">
        <v>819.95</v>
      </c>
      <c r="F2479" s="116">
        <v>829.25</v>
      </c>
      <c r="G2479">
        <v>174904</v>
      </c>
      <c r="H2479" s="116"/>
      <c r="I2479" s="116"/>
      <c r="L2479" s="170">
        <v>45867</v>
      </c>
      <c r="M2479" s="116">
        <v>826.95</v>
      </c>
      <c r="N2479" s="116">
        <v>830.55</v>
      </c>
      <c r="O2479" s="116">
        <v>800.35</v>
      </c>
      <c r="P2479" s="116">
        <v>819</v>
      </c>
      <c r="Q2479" s="116">
        <v>826.95</v>
      </c>
      <c r="R2479">
        <v>1171033</v>
      </c>
    </row>
    <row r="2480" spans="1:18" x14ac:dyDescent="0.25">
      <c r="A2480" s="170">
        <v>45868</v>
      </c>
      <c r="B2480" s="116">
        <v>835</v>
      </c>
      <c r="C2480" s="116">
        <v>823.85</v>
      </c>
      <c r="D2480" s="116">
        <v>821.6</v>
      </c>
      <c r="E2480" s="116">
        <v>835</v>
      </c>
      <c r="F2480" s="116">
        <v>823.85</v>
      </c>
      <c r="G2480">
        <v>49755</v>
      </c>
      <c r="H2480" s="116"/>
      <c r="I2480" s="116"/>
      <c r="L2480" s="170">
        <v>45868</v>
      </c>
      <c r="M2480" s="116">
        <v>823.9</v>
      </c>
      <c r="N2480" s="116">
        <v>834</v>
      </c>
      <c r="O2480" s="116">
        <v>821.65</v>
      </c>
      <c r="P2480" s="116">
        <v>834</v>
      </c>
      <c r="Q2480" s="116">
        <v>823.9</v>
      </c>
      <c r="R2480">
        <v>438934</v>
      </c>
    </row>
    <row r="2481" spans="1:18" x14ac:dyDescent="0.25">
      <c r="A2481" s="170">
        <v>45869</v>
      </c>
      <c r="B2481" s="116">
        <v>820</v>
      </c>
      <c r="C2481" s="116">
        <v>808.35</v>
      </c>
      <c r="D2481" s="116">
        <v>806.1</v>
      </c>
      <c r="E2481" s="116">
        <v>812.2</v>
      </c>
      <c r="F2481" s="116">
        <v>808.35</v>
      </c>
      <c r="G2481">
        <v>53233</v>
      </c>
      <c r="H2481" s="116"/>
      <c r="I2481" s="116"/>
      <c r="L2481" s="170">
        <v>45869</v>
      </c>
      <c r="M2481" s="116">
        <v>808.4</v>
      </c>
      <c r="N2481" s="116">
        <v>821.45</v>
      </c>
      <c r="O2481" s="116">
        <v>806.55</v>
      </c>
      <c r="P2481" s="116">
        <v>812.05</v>
      </c>
      <c r="Q2481" s="116">
        <v>808.4</v>
      </c>
      <c r="R2481">
        <v>1026102</v>
      </c>
    </row>
    <row r="2482" spans="1:18" x14ac:dyDescent="0.25">
      <c r="A2482" s="170">
        <v>45870</v>
      </c>
      <c r="B2482" s="116">
        <v>817.05</v>
      </c>
      <c r="C2482" s="116">
        <v>793.15</v>
      </c>
      <c r="D2482" s="116">
        <v>791.25</v>
      </c>
      <c r="E2482" s="116">
        <v>812.5</v>
      </c>
      <c r="F2482" s="116">
        <v>793.15</v>
      </c>
      <c r="G2482">
        <v>42369</v>
      </c>
      <c r="H2482" s="116"/>
      <c r="I2482" s="116"/>
      <c r="L2482" s="170">
        <v>45870</v>
      </c>
      <c r="M2482" s="116">
        <v>793.05</v>
      </c>
      <c r="N2482" s="116">
        <v>817.6</v>
      </c>
      <c r="O2482" s="116">
        <v>791.1</v>
      </c>
      <c r="P2482" s="116">
        <v>810.1</v>
      </c>
      <c r="Q2482" s="116">
        <v>793.05</v>
      </c>
      <c r="R2482">
        <v>945768</v>
      </c>
    </row>
    <row r="2483" spans="1:18" x14ac:dyDescent="0.25">
      <c r="A2483" s="170">
        <v>45873</v>
      </c>
      <c r="B2483" s="116">
        <v>802.7</v>
      </c>
      <c r="C2483" s="116">
        <v>799.75</v>
      </c>
      <c r="D2483" s="116">
        <v>793.6</v>
      </c>
      <c r="E2483" s="116">
        <v>802.2</v>
      </c>
      <c r="F2483" s="116">
        <v>799.75</v>
      </c>
      <c r="G2483">
        <v>63717</v>
      </c>
      <c r="H2483" s="116"/>
      <c r="I2483" s="116"/>
      <c r="L2483" s="170">
        <v>45873</v>
      </c>
      <c r="M2483" s="116">
        <v>799.55</v>
      </c>
      <c r="N2483" s="116">
        <v>803.2</v>
      </c>
      <c r="O2483" s="116">
        <v>793.05</v>
      </c>
      <c r="P2483" s="116">
        <v>796.95</v>
      </c>
      <c r="Q2483" s="116">
        <v>799.55</v>
      </c>
      <c r="R2483">
        <v>909667</v>
      </c>
    </row>
    <row r="2484" spans="1:18" x14ac:dyDescent="0.25">
      <c r="A2484" s="170">
        <v>45874</v>
      </c>
      <c r="B2484" s="116">
        <v>804.35</v>
      </c>
      <c r="C2484" s="116">
        <v>802.4</v>
      </c>
      <c r="D2484" s="116">
        <v>782.7</v>
      </c>
      <c r="E2484" s="116">
        <v>802.15</v>
      </c>
      <c r="F2484" s="116">
        <v>802.4</v>
      </c>
      <c r="G2484">
        <v>79485</v>
      </c>
      <c r="H2484" s="116"/>
      <c r="I2484" s="116"/>
      <c r="L2484" s="170">
        <v>45874</v>
      </c>
      <c r="M2484" s="116">
        <v>802.05</v>
      </c>
      <c r="N2484" s="116">
        <v>804.7</v>
      </c>
      <c r="O2484" s="116">
        <v>782.1</v>
      </c>
      <c r="P2484" s="116">
        <v>803.2</v>
      </c>
      <c r="Q2484" s="116">
        <v>802.05</v>
      </c>
      <c r="R2484">
        <v>1100031</v>
      </c>
    </row>
    <row r="2485" spans="1:18" x14ac:dyDescent="0.25">
      <c r="A2485" s="170">
        <v>45875</v>
      </c>
      <c r="B2485" s="116">
        <v>802.45</v>
      </c>
      <c r="C2485" s="116">
        <v>790.65</v>
      </c>
      <c r="D2485" s="116">
        <v>780</v>
      </c>
      <c r="E2485" s="116">
        <v>801.1</v>
      </c>
      <c r="F2485" s="116">
        <v>790.65</v>
      </c>
      <c r="G2485">
        <v>11846873</v>
      </c>
      <c r="H2485" s="116"/>
      <c r="I2485" s="116"/>
      <c r="L2485" s="170">
        <v>45875</v>
      </c>
      <c r="M2485" s="116">
        <v>791.1</v>
      </c>
      <c r="N2485" s="116">
        <v>802.15</v>
      </c>
      <c r="O2485" s="116">
        <v>779.05</v>
      </c>
      <c r="P2485" s="116">
        <v>802.1</v>
      </c>
      <c r="Q2485" s="116">
        <v>791.1</v>
      </c>
      <c r="R2485">
        <v>15323608</v>
      </c>
    </row>
    <row r="2486" spans="1:18" x14ac:dyDescent="0.25">
      <c r="A2486" s="170">
        <v>45876</v>
      </c>
      <c r="B2486" s="116">
        <v>796.15</v>
      </c>
      <c r="C2486" s="116">
        <v>794.45</v>
      </c>
      <c r="D2486" s="116">
        <v>769.35</v>
      </c>
      <c r="E2486" s="116">
        <v>790.6</v>
      </c>
      <c r="F2486" s="116">
        <v>794.45</v>
      </c>
      <c r="G2486">
        <v>130272</v>
      </c>
      <c r="H2486" s="116"/>
      <c r="I2486" s="116"/>
      <c r="L2486" s="170">
        <v>45876</v>
      </c>
      <c r="M2486" s="116">
        <v>794.6</v>
      </c>
      <c r="N2486" s="116">
        <v>796.2</v>
      </c>
      <c r="O2486" s="116">
        <v>769.05</v>
      </c>
      <c r="P2486" s="116">
        <v>788</v>
      </c>
      <c r="Q2486" s="116">
        <v>794.6</v>
      </c>
      <c r="R2486">
        <v>2218077</v>
      </c>
    </row>
    <row r="2487" spans="1:18" x14ac:dyDescent="0.25">
      <c r="A2487" s="170">
        <v>45877</v>
      </c>
      <c r="B2487" s="116">
        <v>806.1</v>
      </c>
      <c r="C2487" s="116">
        <v>789.95</v>
      </c>
      <c r="D2487" s="116">
        <v>787.5</v>
      </c>
      <c r="E2487" s="116">
        <v>790</v>
      </c>
      <c r="F2487" s="116">
        <v>789.95</v>
      </c>
      <c r="G2487">
        <v>46109</v>
      </c>
      <c r="H2487" s="116"/>
      <c r="I2487" s="116"/>
      <c r="L2487" s="170">
        <v>45877</v>
      </c>
      <c r="M2487" s="116">
        <v>790.15</v>
      </c>
      <c r="N2487" s="116">
        <v>806.35</v>
      </c>
      <c r="O2487" s="116">
        <v>786.4</v>
      </c>
      <c r="P2487" s="116">
        <v>794.65</v>
      </c>
      <c r="Q2487" s="116">
        <v>790.15</v>
      </c>
      <c r="R2487">
        <v>7822530</v>
      </c>
    </row>
    <row r="2488" spans="1:18" x14ac:dyDescent="0.25">
      <c r="A2488" s="170">
        <v>45880</v>
      </c>
      <c r="B2488" s="116">
        <v>799.85</v>
      </c>
      <c r="C2488" s="116">
        <v>792</v>
      </c>
      <c r="D2488" s="116">
        <v>785.75</v>
      </c>
      <c r="E2488" s="116">
        <v>789.05</v>
      </c>
      <c r="F2488" s="116">
        <v>792</v>
      </c>
      <c r="G2488">
        <v>115660</v>
      </c>
      <c r="H2488" s="116"/>
      <c r="I2488" s="116"/>
      <c r="L2488" s="170">
        <v>45880</v>
      </c>
      <c r="M2488" s="116">
        <v>792</v>
      </c>
      <c r="N2488" s="116">
        <v>799.95</v>
      </c>
      <c r="O2488" s="116">
        <v>785.8</v>
      </c>
      <c r="P2488" s="116">
        <v>788</v>
      </c>
      <c r="Q2488" s="116">
        <v>792</v>
      </c>
      <c r="R2488">
        <v>950117</v>
      </c>
    </row>
    <row r="2489" spans="1:18" x14ac:dyDescent="0.25">
      <c r="A2489" s="170">
        <v>45881</v>
      </c>
      <c r="B2489" s="116">
        <v>800.9</v>
      </c>
      <c r="C2489" s="116">
        <v>786.6</v>
      </c>
      <c r="D2489" s="116">
        <v>784.5</v>
      </c>
      <c r="E2489" s="116">
        <v>798.75</v>
      </c>
      <c r="F2489" s="116">
        <v>786.6</v>
      </c>
      <c r="G2489">
        <v>53763</v>
      </c>
      <c r="H2489" s="116"/>
      <c r="I2489" s="116"/>
      <c r="L2489" s="170">
        <v>45881</v>
      </c>
      <c r="M2489" s="116">
        <v>786.75</v>
      </c>
      <c r="N2489" s="116">
        <v>801.15</v>
      </c>
      <c r="O2489" s="116">
        <v>784.3</v>
      </c>
      <c r="P2489" s="116">
        <v>793</v>
      </c>
      <c r="Q2489" s="116">
        <v>786.75</v>
      </c>
      <c r="R2489">
        <v>658384</v>
      </c>
    </row>
    <row r="2490" spans="1:18" x14ac:dyDescent="0.25">
      <c r="A2490" s="170">
        <v>45882</v>
      </c>
      <c r="B2490" s="116">
        <v>795.6</v>
      </c>
      <c r="C2490" s="116">
        <v>786.35</v>
      </c>
      <c r="D2490" s="116">
        <v>782.05</v>
      </c>
      <c r="E2490" s="116">
        <v>794</v>
      </c>
      <c r="F2490" s="116">
        <v>786.35</v>
      </c>
      <c r="G2490">
        <v>27441</v>
      </c>
      <c r="H2490" s="116"/>
      <c r="I2490" s="116"/>
      <c r="L2490" s="170">
        <v>45882</v>
      </c>
      <c r="M2490" s="116">
        <v>786.3</v>
      </c>
      <c r="N2490" s="116">
        <v>795.65</v>
      </c>
      <c r="O2490" s="116">
        <v>782</v>
      </c>
      <c r="P2490" s="116">
        <v>793</v>
      </c>
      <c r="Q2490" s="116">
        <v>786.3</v>
      </c>
      <c r="R2490">
        <v>536807</v>
      </c>
    </row>
    <row r="2491" spans="1:18" x14ac:dyDescent="0.25">
      <c r="A2491" s="170">
        <v>45883</v>
      </c>
      <c r="B2491" s="116">
        <v>791.5</v>
      </c>
      <c r="C2491" s="116">
        <v>775.3</v>
      </c>
      <c r="D2491" s="116">
        <v>774.5</v>
      </c>
      <c r="E2491" s="116">
        <v>788.15</v>
      </c>
      <c r="F2491" s="116">
        <v>775.3</v>
      </c>
      <c r="G2491">
        <v>3433059</v>
      </c>
      <c r="H2491" s="116"/>
      <c r="I2491" s="116"/>
      <c r="L2491" s="170">
        <v>45883</v>
      </c>
      <c r="M2491" s="116">
        <v>775.8</v>
      </c>
      <c r="N2491" s="116">
        <v>791.9</v>
      </c>
      <c r="O2491" s="116">
        <v>774.45</v>
      </c>
      <c r="P2491" s="116">
        <v>788.15</v>
      </c>
      <c r="Q2491" s="116">
        <v>775.8</v>
      </c>
      <c r="R2491">
        <v>6581262</v>
      </c>
    </row>
    <row r="2492" spans="1:18" x14ac:dyDescent="0.25">
      <c r="A2492" s="170">
        <v>45887</v>
      </c>
      <c r="B2492" s="116">
        <v>821</v>
      </c>
      <c r="C2492" s="116">
        <v>818.35</v>
      </c>
      <c r="D2492" s="116">
        <v>784</v>
      </c>
      <c r="E2492" s="116">
        <v>785.8</v>
      </c>
      <c r="F2492" s="116">
        <v>818.35</v>
      </c>
      <c r="G2492">
        <v>69119</v>
      </c>
      <c r="H2492" s="116"/>
      <c r="I2492" s="116"/>
      <c r="L2492" s="170">
        <v>45887</v>
      </c>
      <c r="M2492" s="116">
        <v>818.75</v>
      </c>
      <c r="N2492" s="116">
        <v>821.65</v>
      </c>
      <c r="O2492" s="116">
        <v>783</v>
      </c>
      <c r="P2492" s="116">
        <v>787</v>
      </c>
      <c r="Q2492" s="116">
        <v>818.75</v>
      </c>
      <c r="R2492">
        <v>1776385</v>
      </c>
    </row>
    <row r="2493" spans="1:18" x14ac:dyDescent="0.25">
      <c r="A2493" s="170">
        <v>45888</v>
      </c>
      <c r="B2493" s="116">
        <v>831.2</v>
      </c>
      <c r="C2493" s="116">
        <v>828.2</v>
      </c>
      <c r="D2493" s="116">
        <v>813.5</v>
      </c>
      <c r="E2493" s="116">
        <v>818.35</v>
      </c>
      <c r="F2493" s="116">
        <v>828.2</v>
      </c>
      <c r="G2493">
        <v>41441</v>
      </c>
      <c r="H2493" s="116"/>
      <c r="I2493" s="116"/>
      <c r="L2493" s="170">
        <v>45888</v>
      </c>
      <c r="M2493" s="116">
        <v>828.2</v>
      </c>
      <c r="N2493" s="116">
        <v>831.9</v>
      </c>
      <c r="O2493" s="116">
        <v>813.05</v>
      </c>
      <c r="P2493" s="116">
        <v>818.75</v>
      </c>
      <c r="Q2493" s="116">
        <v>828.2</v>
      </c>
      <c r="R2493">
        <v>967227</v>
      </c>
    </row>
    <row r="2494" spans="1:18" x14ac:dyDescent="0.25">
      <c r="A2494" s="170">
        <v>45889</v>
      </c>
      <c r="B2494" s="116">
        <v>834.05</v>
      </c>
      <c r="C2494" s="116">
        <v>824.25</v>
      </c>
      <c r="D2494" s="116">
        <v>822.25</v>
      </c>
      <c r="E2494" s="116">
        <v>834.05</v>
      </c>
      <c r="F2494" s="116">
        <v>824.25</v>
      </c>
      <c r="G2494">
        <v>56189</v>
      </c>
      <c r="H2494" s="116"/>
      <c r="I2494" s="116"/>
      <c r="L2494" s="170">
        <v>45889</v>
      </c>
      <c r="M2494" s="116">
        <v>824.2</v>
      </c>
      <c r="N2494" s="116">
        <v>831.65</v>
      </c>
      <c r="O2494" s="116">
        <v>822.2</v>
      </c>
      <c r="P2494" s="116">
        <v>828.2</v>
      </c>
      <c r="Q2494" s="116">
        <v>824.2</v>
      </c>
      <c r="R2494">
        <v>381123</v>
      </c>
    </row>
    <row r="2495" spans="1:18" x14ac:dyDescent="0.25">
      <c r="A2495" s="170">
        <v>45890</v>
      </c>
      <c r="B2495" s="116">
        <v>828.85</v>
      </c>
      <c r="C2495" s="116">
        <v>815</v>
      </c>
      <c r="D2495" s="116">
        <v>812</v>
      </c>
      <c r="E2495" s="116">
        <v>824.25</v>
      </c>
      <c r="F2495" s="116">
        <v>815</v>
      </c>
      <c r="G2495">
        <v>69162</v>
      </c>
      <c r="H2495" s="116"/>
      <c r="I2495" s="116"/>
      <c r="L2495" s="170">
        <v>45890</v>
      </c>
      <c r="M2495" s="116">
        <v>815.15</v>
      </c>
      <c r="N2495" s="116">
        <v>829.2</v>
      </c>
      <c r="O2495" s="116">
        <v>812</v>
      </c>
      <c r="P2495" s="116">
        <v>825</v>
      </c>
      <c r="Q2495" s="116">
        <v>815.15</v>
      </c>
      <c r="R2495">
        <v>558969</v>
      </c>
    </row>
    <row r="2496" spans="1:18" x14ac:dyDescent="0.25">
      <c r="A2496" s="170">
        <v>45891</v>
      </c>
      <c r="B2496" s="116">
        <v>815</v>
      </c>
      <c r="C2496" s="116">
        <v>799.4</v>
      </c>
      <c r="D2496" s="116">
        <v>796</v>
      </c>
      <c r="E2496" s="116">
        <v>813.95</v>
      </c>
      <c r="F2496" s="116">
        <v>799.4</v>
      </c>
      <c r="G2496">
        <v>21145</v>
      </c>
      <c r="H2496" s="116"/>
      <c r="I2496" s="116"/>
      <c r="L2496" s="170">
        <v>45891</v>
      </c>
      <c r="M2496" s="116">
        <v>800.15</v>
      </c>
      <c r="N2496" s="116">
        <v>816</v>
      </c>
      <c r="O2496" s="116">
        <v>795.2</v>
      </c>
      <c r="P2496" s="116">
        <v>815.15</v>
      </c>
      <c r="Q2496" s="116">
        <v>800.15</v>
      </c>
      <c r="R2496">
        <v>537046</v>
      </c>
    </row>
    <row r="2497" spans="1:18" x14ac:dyDescent="0.25">
      <c r="A2497" s="170">
        <v>45894</v>
      </c>
      <c r="B2497" s="116">
        <v>807.3</v>
      </c>
      <c r="C2497" s="116">
        <v>805.25</v>
      </c>
      <c r="D2497" s="116">
        <v>795</v>
      </c>
      <c r="E2497" s="116">
        <v>801.05</v>
      </c>
      <c r="F2497" s="116">
        <v>805.25</v>
      </c>
      <c r="G2497">
        <v>23788</v>
      </c>
      <c r="H2497" s="116"/>
      <c r="I2497" s="116"/>
      <c r="L2497" s="170">
        <v>45894</v>
      </c>
      <c r="M2497" s="116">
        <v>805.75</v>
      </c>
      <c r="N2497" s="116">
        <v>807.85</v>
      </c>
      <c r="O2497" s="116">
        <v>795.05</v>
      </c>
      <c r="P2497" s="116">
        <v>805</v>
      </c>
      <c r="Q2497" s="116">
        <v>805.75</v>
      </c>
      <c r="R2497">
        <v>718727</v>
      </c>
    </row>
    <row r="2498" spans="1:18" x14ac:dyDescent="0.25">
      <c r="A2498" s="170">
        <v>45895</v>
      </c>
      <c r="B2498" s="116">
        <v>804.15</v>
      </c>
      <c r="C2498" s="116">
        <v>788.95</v>
      </c>
      <c r="D2498" s="116">
        <v>787.2</v>
      </c>
      <c r="E2498" s="116">
        <v>798.05</v>
      </c>
      <c r="F2498" s="116">
        <v>788.95</v>
      </c>
      <c r="G2498">
        <v>16051</v>
      </c>
      <c r="H2498" s="116"/>
      <c r="I2498" s="116"/>
      <c r="L2498" s="170">
        <v>45895</v>
      </c>
      <c r="M2498" s="116">
        <v>788.65</v>
      </c>
      <c r="N2498" s="116">
        <v>803.45</v>
      </c>
      <c r="O2498" s="116">
        <v>787.75</v>
      </c>
      <c r="P2498" s="116">
        <v>801.1</v>
      </c>
      <c r="Q2498" s="116">
        <v>788.65</v>
      </c>
      <c r="R2498">
        <v>501821</v>
      </c>
    </row>
    <row r="2499" spans="1:18" x14ac:dyDescent="0.25">
      <c r="A2499" s="170">
        <v>45897</v>
      </c>
      <c r="B2499" s="116">
        <v>792.8</v>
      </c>
      <c r="C2499" s="116">
        <v>770.5</v>
      </c>
      <c r="D2499" s="116">
        <v>767.3</v>
      </c>
      <c r="E2499" s="116">
        <v>783.3</v>
      </c>
      <c r="F2499" s="116">
        <v>770.5</v>
      </c>
      <c r="G2499">
        <v>86870</v>
      </c>
      <c r="H2499" s="116"/>
      <c r="I2499" s="116"/>
      <c r="L2499" s="170">
        <v>45897</v>
      </c>
      <c r="M2499" s="116">
        <v>770.95</v>
      </c>
      <c r="N2499" s="116">
        <v>793</v>
      </c>
      <c r="O2499" s="116">
        <v>767.3</v>
      </c>
      <c r="P2499" s="116">
        <v>786</v>
      </c>
      <c r="Q2499" s="116">
        <v>770.95</v>
      </c>
      <c r="R2499">
        <v>891046</v>
      </c>
    </row>
    <row r="2500" spans="1:18" x14ac:dyDescent="0.25">
      <c r="A2500" s="170">
        <v>45898</v>
      </c>
      <c r="B2500" s="116">
        <v>777.15</v>
      </c>
      <c r="C2500" s="116">
        <v>763.7</v>
      </c>
      <c r="D2500" s="116">
        <v>759.7</v>
      </c>
      <c r="E2500" s="116">
        <v>774</v>
      </c>
      <c r="F2500" s="116">
        <v>763.7</v>
      </c>
      <c r="G2500">
        <v>45438</v>
      </c>
      <c r="H2500" s="116"/>
      <c r="I2500" s="116"/>
      <c r="L2500" s="170">
        <v>45898</v>
      </c>
      <c r="M2500" s="116">
        <v>764.15</v>
      </c>
      <c r="N2500" s="116">
        <v>776.4</v>
      </c>
      <c r="O2500" s="116">
        <v>759.25</v>
      </c>
      <c r="P2500" s="116">
        <v>775.4</v>
      </c>
      <c r="Q2500" s="116">
        <v>764.15</v>
      </c>
      <c r="R2500">
        <v>1341814</v>
      </c>
    </row>
    <row r="2501" spans="1:18" x14ac:dyDescent="0.25">
      <c r="A2501" s="170">
        <v>45901</v>
      </c>
      <c r="B2501" s="116">
        <v>778.65</v>
      </c>
      <c r="C2501" s="116">
        <v>766.75</v>
      </c>
      <c r="D2501" s="116">
        <v>763.7</v>
      </c>
      <c r="E2501" s="116">
        <v>778.65</v>
      </c>
      <c r="F2501" s="116">
        <v>766.75</v>
      </c>
      <c r="G2501">
        <v>30728</v>
      </c>
      <c r="H2501" s="116"/>
      <c r="I2501" s="116"/>
      <c r="L2501" s="170">
        <v>45901</v>
      </c>
      <c r="M2501" s="116">
        <v>766.65</v>
      </c>
      <c r="N2501" s="116">
        <v>777.6</v>
      </c>
      <c r="O2501" s="116">
        <v>763.3</v>
      </c>
      <c r="P2501" s="116">
        <v>770.15</v>
      </c>
      <c r="Q2501" s="116">
        <v>766.65</v>
      </c>
      <c r="R2501">
        <v>891853</v>
      </c>
    </row>
    <row r="2502" spans="1:18" x14ac:dyDescent="0.25">
      <c r="A2502" s="170">
        <v>45902</v>
      </c>
      <c r="B2502" s="116">
        <v>773.75</v>
      </c>
      <c r="C2502" s="116">
        <v>763.1</v>
      </c>
      <c r="D2502" s="116">
        <v>761.35</v>
      </c>
      <c r="E2502" s="116">
        <v>773.75</v>
      </c>
      <c r="F2502" s="116">
        <v>763.1</v>
      </c>
      <c r="G2502">
        <v>59243</v>
      </c>
      <c r="H2502" s="116"/>
      <c r="I2502" s="116"/>
      <c r="L2502" s="170">
        <v>45902</v>
      </c>
      <c r="M2502" s="116">
        <v>763.05</v>
      </c>
      <c r="N2502" s="116">
        <v>772.95</v>
      </c>
      <c r="O2502" s="116">
        <v>761.2</v>
      </c>
      <c r="P2502" s="116">
        <v>772.9</v>
      </c>
      <c r="Q2502" s="116">
        <v>763.05</v>
      </c>
      <c r="R2502">
        <v>567133</v>
      </c>
    </row>
    <row r="2503" spans="1:18" x14ac:dyDescent="0.25">
      <c r="A2503" s="170">
        <v>45903</v>
      </c>
      <c r="B2503" s="116">
        <v>770.25</v>
      </c>
      <c r="C2503" s="116">
        <v>763.75</v>
      </c>
      <c r="D2503" s="116">
        <v>760.1</v>
      </c>
      <c r="E2503" s="116">
        <v>770.25</v>
      </c>
      <c r="F2503" s="116">
        <v>763.75</v>
      </c>
      <c r="G2503">
        <v>59257</v>
      </c>
      <c r="H2503" s="116"/>
      <c r="I2503" s="116"/>
      <c r="L2503" s="170">
        <v>45903</v>
      </c>
      <c r="M2503" s="116">
        <v>763.7</v>
      </c>
      <c r="N2503" s="116">
        <v>768.9</v>
      </c>
      <c r="O2503" s="116">
        <v>760.1</v>
      </c>
      <c r="P2503" s="116">
        <v>768.9</v>
      </c>
      <c r="Q2503" s="116">
        <v>763.7</v>
      </c>
      <c r="R2503">
        <v>565805</v>
      </c>
    </row>
    <row r="2504" spans="1:18" x14ac:dyDescent="0.25">
      <c r="A2504" s="170">
        <v>45904</v>
      </c>
      <c r="B2504" s="116">
        <v>778.8</v>
      </c>
      <c r="C2504" s="116">
        <v>758.25</v>
      </c>
      <c r="D2504" s="116">
        <v>756.7</v>
      </c>
      <c r="E2504" s="116">
        <v>778.8</v>
      </c>
      <c r="F2504" s="116">
        <v>758.25</v>
      </c>
      <c r="G2504">
        <v>74647</v>
      </c>
      <c r="H2504" s="116"/>
      <c r="I2504" s="116"/>
      <c r="L2504" s="170">
        <v>45904</v>
      </c>
      <c r="M2504" s="116">
        <v>758.35</v>
      </c>
      <c r="N2504" s="116">
        <v>775.25</v>
      </c>
      <c r="O2504" s="116">
        <v>757</v>
      </c>
      <c r="P2504" s="116">
        <v>771</v>
      </c>
      <c r="Q2504" s="116">
        <v>758.35</v>
      </c>
      <c r="R2504">
        <v>514778</v>
      </c>
    </row>
    <row r="2505" spans="1:18" x14ac:dyDescent="0.25">
      <c r="A2505" s="170">
        <v>45905</v>
      </c>
      <c r="B2505" s="116">
        <v>761.4</v>
      </c>
      <c r="C2505" s="116">
        <v>755.8</v>
      </c>
      <c r="D2505" s="116">
        <v>745.45</v>
      </c>
      <c r="E2505" s="116">
        <v>759.85</v>
      </c>
      <c r="F2505" s="116">
        <v>755.8</v>
      </c>
      <c r="G2505">
        <v>50184</v>
      </c>
      <c r="H2505" s="116"/>
      <c r="I2505" s="116"/>
      <c r="L2505" s="170">
        <v>45905</v>
      </c>
      <c r="M2505" s="116">
        <v>755.95</v>
      </c>
      <c r="N2505" s="116">
        <v>761.45</v>
      </c>
      <c r="O2505" s="116">
        <v>744.9</v>
      </c>
      <c r="P2505" s="116">
        <v>759</v>
      </c>
      <c r="Q2505" s="116">
        <v>755.95</v>
      </c>
      <c r="R2505">
        <v>880798</v>
      </c>
    </row>
    <row r="2506" spans="1:18" x14ac:dyDescent="0.25">
      <c r="A2506" s="170">
        <v>45908</v>
      </c>
      <c r="B2506" s="116">
        <v>777.65</v>
      </c>
      <c r="C2506" s="116">
        <v>776.05</v>
      </c>
      <c r="D2506" s="116">
        <v>758</v>
      </c>
      <c r="E2506" s="116">
        <v>760</v>
      </c>
      <c r="F2506" s="116">
        <v>776.05</v>
      </c>
      <c r="G2506">
        <v>59066</v>
      </c>
      <c r="H2506" s="116"/>
      <c r="I2506" s="116"/>
      <c r="L2506" s="170">
        <v>45908</v>
      </c>
      <c r="M2506" s="116">
        <v>776.25</v>
      </c>
      <c r="N2506" s="116">
        <v>777.95</v>
      </c>
      <c r="O2506" s="116">
        <v>757.65</v>
      </c>
      <c r="P2506" s="116">
        <v>760</v>
      </c>
      <c r="Q2506" s="116">
        <v>776.25</v>
      </c>
      <c r="R2506">
        <v>769043</v>
      </c>
    </row>
    <row r="2507" spans="1:18" x14ac:dyDescent="0.25">
      <c r="A2507" s="170">
        <v>45909</v>
      </c>
      <c r="B2507" s="116">
        <v>795.85</v>
      </c>
      <c r="C2507" s="116">
        <v>794.3</v>
      </c>
      <c r="D2507" s="116">
        <v>773.5</v>
      </c>
      <c r="E2507" s="116">
        <v>778.05</v>
      </c>
      <c r="F2507" s="116">
        <v>794.3</v>
      </c>
      <c r="G2507">
        <v>41168</v>
      </c>
      <c r="H2507" s="116"/>
      <c r="I2507" s="116"/>
      <c r="L2507" s="170">
        <v>45909</v>
      </c>
      <c r="M2507" s="116">
        <v>794.15</v>
      </c>
      <c r="N2507" s="116">
        <v>795.8</v>
      </c>
      <c r="O2507" s="116">
        <v>773.55</v>
      </c>
      <c r="P2507" s="116">
        <v>780.1</v>
      </c>
      <c r="Q2507" s="116">
        <v>794.15</v>
      </c>
      <c r="R2507">
        <v>1363001</v>
      </c>
    </row>
    <row r="2508" spans="1:18" x14ac:dyDescent="0.25">
      <c r="A2508" s="170">
        <v>45910</v>
      </c>
      <c r="B2508" s="116">
        <v>816.55</v>
      </c>
      <c r="C2508" s="116">
        <v>811.55</v>
      </c>
      <c r="D2508" s="116">
        <v>791.15</v>
      </c>
      <c r="E2508" s="116">
        <v>796.9</v>
      </c>
      <c r="F2508" s="116">
        <v>811.55</v>
      </c>
      <c r="G2508">
        <v>110497</v>
      </c>
      <c r="H2508" s="116"/>
      <c r="I2508" s="116"/>
      <c r="L2508" s="170">
        <v>45910</v>
      </c>
      <c r="M2508" s="116">
        <v>811.75</v>
      </c>
      <c r="N2508" s="116">
        <v>816.55</v>
      </c>
      <c r="O2508" s="116">
        <v>792.05</v>
      </c>
      <c r="P2508" s="116">
        <v>794.15</v>
      </c>
      <c r="Q2508" s="116">
        <v>811.75</v>
      </c>
      <c r="R2508">
        <v>1040743</v>
      </c>
    </row>
    <row r="2509" spans="1:18" x14ac:dyDescent="0.25">
      <c r="A2509" s="170">
        <v>45911</v>
      </c>
      <c r="B2509" s="116">
        <v>838</v>
      </c>
      <c r="C2509" s="116">
        <v>813.5</v>
      </c>
      <c r="D2509" s="116">
        <v>812.3</v>
      </c>
      <c r="E2509" s="116">
        <v>813.05</v>
      </c>
      <c r="F2509" s="116">
        <v>813.5</v>
      </c>
      <c r="G2509">
        <v>75222</v>
      </c>
      <c r="H2509" s="116"/>
      <c r="I2509" s="116"/>
      <c r="L2509" s="170">
        <v>45911</v>
      </c>
      <c r="M2509" s="116">
        <v>813.7</v>
      </c>
      <c r="N2509" s="116">
        <v>838.5</v>
      </c>
      <c r="O2509" s="116">
        <v>811.6</v>
      </c>
      <c r="P2509" s="116">
        <v>814</v>
      </c>
      <c r="Q2509" s="116">
        <v>813.7</v>
      </c>
      <c r="R2509">
        <v>1366037</v>
      </c>
    </row>
    <row r="2510" spans="1:18" x14ac:dyDescent="0.25">
      <c r="A2510" s="170">
        <v>45912</v>
      </c>
      <c r="B2510" s="116">
        <v>831.3</v>
      </c>
      <c r="C2510" s="116">
        <v>829.8</v>
      </c>
      <c r="D2510" s="116">
        <v>813</v>
      </c>
      <c r="E2510" s="116">
        <v>814.1</v>
      </c>
      <c r="F2510" s="116">
        <v>829.8</v>
      </c>
      <c r="G2510">
        <v>44538</v>
      </c>
      <c r="H2510" s="116"/>
      <c r="I2510" s="116"/>
      <c r="L2510" s="170">
        <v>45912</v>
      </c>
      <c r="M2510" s="116">
        <v>829.9</v>
      </c>
      <c r="N2510" s="116">
        <v>831.3</v>
      </c>
      <c r="O2510" s="116">
        <v>812.6</v>
      </c>
      <c r="P2510" s="116">
        <v>817.35</v>
      </c>
      <c r="Q2510" s="116">
        <v>829.9</v>
      </c>
      <c r="R2510">
        <v>1214068</v>
      </c>
    </row>
    <row r="2511" spans="1:18" x14ac:dyDescent="0.25">
      <c r="A2511" s="170">
        <v>45915</v>
      </c>
      <c r="B2511" s="116">
        <v>843.35</v>
      </c>
      <c r="C2511" s="116">
        <v>837.55</v>
      </c>
      <c r="D2511" s="116">
        <v>830.05</v>
      </c>
      <c r="E2511" s="116">
        <v>836.2</v>
      </c>
      <c r="F2511" s="116">
        <v>837.55</v>
      </c>
      <c r="G2511">
        <v>44357</v>
      </c>
      <c r="H2511" s="116"/>
      <c r="I2511" s="116"/>
      <c r="L2511" s="170">
        <v>45915</v>
      </c>
      <c r="M2511" s="116">
        <v>837.15</v>
      </c>
      <c r="N2511" s="116">
        <v>843.4</v>
      </c>
      <c r="O2511" s="116">
        <v>830.05</v>
      </c>
      <c r="P2511" s="116">
        <v>834</v>
      </c>
      <c r="Q2511" s="116">
        <v>837.15</v>
      </c>
      <c r="R2511">
        <v>1406308</v>
      </c>
    </row>
    <row r="2512" spans="1:18" x14ac:dyDescent="0.25">
      <c r="A2512" s="170">
        <v>45916</v>
      </c>
      <c r="B2512" s="116">
        <v>845.5</v>
      </c>
      <c r="C2512" s="116">
        <v>835.9</v>
      </c>
      <c r="D2512" s="116">
        <v>831.5</v>
      </c>
      <c r="E2512" s="116">
        <v>837.9</v>
      </c>
      <c r="F2512" s="116">
        <v>835.9</v>
      </c>
      <c r="G2512">
        <v>48999</v>
      </c>
      <c r="H2512" s="116"/>
      <c r="I2512" s="116"/>
      <c r="L2512" s="170">
        <v>45916</v>
      </c>
      <c r="M2512" s="116">
        <v>836.55</v>
      </c>
      <c r="N2512" s="116">
        <v>846</v>
      </c>
      <c r="O2512" s="116">
        <v>831.6</v>
      </c>
      <c r="P2512" s="116">
        <v>840.85</v>
      </c>
      <c r="Q2512" s="116">
        <v>836.55</v>
      </c>
      <c r="R2512">
        <v>718132</v>
      </c>
    </row>
    <row r="2513" spans="1:18" x14ac:dyDescent="0.25">
      <c r="A2513" s="170">
        <v>45917</v>
      </c>
      <c r="B2513" s="116">
        <v>840</v>
      </c>
      <c r="C2513" s="116">
        <v>826.4</v>
      </c>
      <c r="D2513" s="116">
        <v>825.4</v>
      </c>
      <c r="E2513" s="116">
        <v>836.35</v>
      </c>
      <c r="F2513" s="116">
        <v>826.4</v>
      </c>
      <c r="G2513">
        <v>22067</v>
      </c>
      <c r="H2513" s="116"/>
      <c r="I2513" s="116"/>
      <c r="L2513" s="170">
        <v>45917</v>
      </c>
      <c r="M2513" s="116">
        <v>826.45</v>
      </c>
      <c r="N2513" s="116">
        <v>840.05</v>
      </c>
      <c r="O2513" s="116">
        <v>825.25</v>
      </c>
      <c r="P2513" s="116">
        <v>840</v>
      </c>
      <c r="Q2513" s="116">
        <v>826.45</v>
      </c>
      <c r="R2513">
        <v>489102</v>
      </c>
    </row>
    <row r="2514" spans="1:18" x14ac:dyDescent="0.25">
      <c r="A2514" s="170">
        <v>45918</v>
      </c>
      <c r="B2514" s="116">
        <v>846.3</v>
      </c>
      <c r="C2514" s="116">
        <v>837.95</v>
      </c>
      <c r="D2514" s="116">
        <v>824.8</v>
      </c>
      <c r="E2514" s="116">
        <v>827.05</v>
      </c>
      <c r="F2514" s="116">
        <v>837.95</v>
      </c>
      <c r="G2514">
        <v>51719</v>
      </c>
      <c r="H2514" s="116"/>
      <c r="I2514" s="116"/>
      <c r="L2514" s="170">
        <v>45918</v>
      </c>
      <c r="M2514" s="116">
        <v>837.6</v>
      </c>
      <c r="N2514" s="116">
        <v>845.8</v>
      </c>
      <c r="O2514" s="116">
        <v>824.3</v>
      </c>
      <c r="P2514" s="116">
        <v>827.05</v>
      </c>
      <c r="Q2514" s="116">
        <v>837.6</v>
      </c>
      <c r="R2514">
        <v>971044</v>
      </c>
    </row>
    <row r="2515" spans="1:18" x14ac:dyDescent="0.25">
      <c r="A2515" s="170">
        <v>45919</v>
      </c>
      <c r="B2515" s="116">
        <v>898.95</v>
      </c>
      <c r="C2515" s="116">
        <v>877.3</v>
      </c>
      <c r="D2515" s="116">
        <v>855</v>
      </c>
      <c r="E2515" s="116">
        <v>879.65</v>
      </c>
      <c r="F2515" s="116">
        <v>877.3</v>
      </c>
      <c r="G2515">
        <v>778885</v>
      </c>
      <c r="H2515" s="116"/>
      <c r="I2515" s="116"/>
      <c r="L2515" s="170">
        <v>45919</v>
      </c>
      <c r="M2515" s="116">
        <v>877.15</v>
      </c>
      <c r="N2515" s="116">
        <v>899</v>
      </c>
      <c r="O2515" s="116">
        <v>855.2</v>
      </c>
      <c r="P2515" s="116">
        <v>865</v>
      </c>
      <c r="Q2515" s="116">
        <v>877.15</v>
      </c>
      <c r="R2515">
        <v>8119554</v>
      </c>
    </row>
    <row r="2516" spans="1:18" x14ac:dyDescent="0.25">
      <c r="A2516" s="170">
        <v>45922</v>
      </c>
      <c r="B2516" s="116">
        <v>957.95</v>
      </c>
      <c r="C2516" s="116">
        <v>938.15</v>
      </c>
      <c r="D2516" s="116">
        <v>873.7</v>
      </c>
      <c r="E2516" s="116">
        <v>879.05</v>
      </c>
      <c r="F2516" s="116">
        <v>938.15</v>
      </c>
      <c r="G2516">
        <v>1972629</v>
      </c>
      <c r="H2516" s="116"/>
      <c r="I2516" s="116"/>
      <c r="L2516" s="170">
        <v>45922</v>
      </c>
      <c r="M2516" s="116">
        <v>937.4</v>
      </c>
      <c r="N2516" s="116">
        <v>957.9</v>
      </c>
      <c r="O2516" s="116">
        <v>873.45</v>
      </c>
      <c r="P2516" s="116">
        <v>881.45</v>
      </c>
      <c r="Q2516" s="116">
        <v>937.4</v>
      </c>
      <c r="R2516">
        <v>17999962</v>
      </c>
    </row>
    <row r="2517" spans="1:18" x14ac:dyDescent="0.25">
      <c r="A2517" s="170">
        <v>45923</v>
      </c>
      <c r="B2517" s="116">
        <v>956.95</v>
      </c>
      <c r="C2517" s="116">
        <v>924.95</v>
      </c>
      <c r="D2517" s="116">
        <v>914.35</v>
      </c>
      <c r="E2517" s="116">
        <v>956.95</v>
      </c>
      <c r="F2517" s="116">
        <v>924.95</v>
      </c>
      <c r="G2517">
        <v>416406</v>
      </c>
      <c r="H2517" s="116"/>
      <c r="I2517" s="116"/>
      <c r="L2517" s="170">
        <v>45923</v>
      </c>
      <c r="M2517" s="116">
        <v>925.1</v>
      </c>
      <c r="N2517" s="116">
        <v>949.2</v>
      </c>
      <c r="O2517" s="116">
        <v>915.05</v>
      </c>
      <c r="P2517" s="116">
        <v>941.5</v>
      </c>
      <c r="Q2517" s="116">
        <v>925.1</v>
      </c>
      <c r="R2517">
        <v>4308383</v>
      </c>
    </row>
    <row r="2518" spans="1:18" x14ac:dyDescent="0.25">
      <c r="A2518" s="170">
        <v>45924</v>
      </c>
      <c r="B2518" s="116">
        <v>924.1</v>
      </c>
      <c r="C2518" s="116">
        <v>889.4</v>
      </c>
      <c r="D2518" s="116">
        <v>887</v>
      </c>
      <c r="E2518" s="116">
        <v>922</v>
      </c>
      <c r="F2518" s="116">
        <v>889.4</v>
      </c>
      <c r="G2518">
        <v>150500</v>
      </c>
      <c r="H2518" s="116"/>
      <c r="I2518" s="116"/>
      <c r="L2518" s="170">
        <v>45924</v>
      </c>
      <c r="M2518" s="116">
        <v>889</v>
      </c>
      <c r="N2518" s="116">
        <v>924.8</v>
      </c>
      <c r="O2518" s="116">
        <v>887.05</v>
      </c>
      <c r="P2518" s="116">
        <v>920.9</v>
      </c>
      <c r="Q2518" s="116">
        <v>889</v>
      </c>
      <c r="R2518">
        <v>2938215</v>
      </c>
    </row>
    <row r="2519" spans="1:18" x14ac:dyDescent="0.25">
      <c r="A2519" s="170">
        <v>45925</v>
      </c>
      <c r="B2519" s="116">
        <v>906.65</v>
      </c>
      <c r="C2519" s="116">
        <v>893.95</v>
      </c>
      <c r="D2519" s="116">
        <v>880.4</v>
      </c>
      <c r="E2519" s="116">
        <v>890</v>
      </c>
      <c r="F2519" s="116">
        <v>893.95</v>
      </c>
      <c r="G2519">
        <v>199689</v>
      </c>
      <c r="H2519" s="116"/>
      <c r="I2519" s="116"/>
      <c r="L2519" s="170">
        <v>45925</v>
      </c>
      <c r="M2519" s="116">
        <v>894.2</v>
      </c>
      <c r="N2519" s="116">
        <v>907</v>
      </c>
      <c r="O2519" s="116">
        <v>881.1</v>
      </c>
      <c r="P2519" s="116">
        <v>889</v>
      </c>
      <c r="Q2519" s="116">
        <v>894.2</v>
      </c>
      <c r="R2519">
        <v>2438224</v>
      </c>
    </row>
    <row r="2520" spans="1:18" x14ac:dyDescent="0.25">
      <c r="A2520" s="170">
        <v>45926</v>
      </c>
      <c r="B2520" s="116">
        <v>899.2</v>
      </c>
      <c r="C2520" s="116">
        <v>879.25</v>
      </c>
      <c r="D2520" s="116">
        <v>874.55</v>
      </c>
      <c r="E2520" s="116">
        <v>895.15</v>
      </c>
      <c r="F2520" s="116">
        <v>879.25</v>
      </c>
      <c r="G2520">
        <v>104608</v>
      </c>
      <c r="H2520" s="116"/>
      <c r="I2520" s="116"/>
      <c r="L2520" s="170">
        <v>45926</v>
      </c>
      <c r="M2520" s="116">
        <v>879.2</v>
      </c>
      <c r="N2520" s="116">
        <v>899.65</v>
      </c>
      <c r="O2520" s="116">
        <v>875</v>
      </c>
      <c r="P2520" s="116">
        <v>898</v>
      </c>
      <c r="Q2520" s="116">
        <v>879.2</v>
      </c>
      <c r="R2520">
        <v>1824641</v>
      </c>
    </row>
    <row r="2521" spans="1:18" x14ac:dyDescent="0.25">
      <c r="A2521" s="170">
        <v>45929</v>
      </c>
      <c r="B2521" s="116">
        <v>886.75</v>
      </c>
      <c r="C2521" s="116">
        <v>871.45</v>
      </c>
      <c r="D2521" s="116">
        <v>869.1</v>
      </c>
      <c r="E2521" s="116">
        <v>879.25</v>
      </c>
      <c r="F2521" s="116">
        <v>871.45</v>
      </c>
      <c r="G2521">
        <v>105909</v>
      </c>
      <c r="H2521" s="116"/>
      <c r="I2521" s="116"/>
      <c r="L2521" s="170">
        <v>45929</v>
      </c>
      <c r="M2521" s="116">
        <v>871.75</v>
      </c>
      <c r="N2521" s="116">
        <v>887.3</v>
      </c>
      <c r="O2521" s="116">
        <v>869.5</v>
      </c>
      <c r="P2521" s="116">
        <v>880.05</v>
      </c>
      <c r="Q2521" s="116">
        <v>871.75</v>
      </c>
      <c r="R2521">
        <v>1053287</v>
      </c>
    </row>
    <row r="2522" spans="1:18" x14ac:dyDescent="0.25">
      <c r="A2522" s="170">
        <v>45930</v>
      </c>
      <c r="B2522" s="116">
        <v>876.55</v>
      </c>
      <c r="C2522" s="116">
        <v>871.6</v>
      </c>
      <c r="D2522" s="116">
        <v>860.15</v>
      </c>
      <c r="E2522" s="116">
        <v>870.45</v>
      </c>
      <c r="F2522" s="116">
        <v>871.6</v>
      </c>
      <c r="G2522">
        <v>46428</v>
      </c>
      <c r="H2522" s="116"/>
      <c r="I2522" s="116"/>
      <c r="L2522" s="170">
        <v>45930</v>
      </c>
      <c r="M2522" s="116">
        <v>872.25</v>
      </c>
      <c r="N2522" s="116">
        <v>876.5</v>
      </c>
      <c r="O2522" s="116">
        <v>860.4</v>
      </c>
      <c r="P2522" s="116">
        <v>872.95</v>
      </c>
      <c r="Q2522" s="116">
        <v>872.25</v>
      </c>
      <c r="R2522">
        <v>795182</v>
      </c>
    </row>
    <row r="2523" spans="1:18" x14ac:dyDescent="0.25">
      <c r="A2523" s="170">
        <v>45931</v>
      </c>
      <c r="B2523" s="116">
        <v>899.45</v>
      </c>
      <c r="C2523" s="116">
        <v>896.15</v>
      </c>
      <c r="D2523" s="116">
        <v>869.6</v>
      </c>
      <c r="E2523" s="116">
        <v>869.6</v>
      </c>
      <c r="F2523" s="116">
        <v>896.15</v>
      </c>
      <c r="G2523">
        <v>55622</v>
      </c>
      <c r="H2523" s="116"/>
      <c r="I2523" s="116"/>
      <c r="L2523" s="170">
        <v>45931</v>
      </c>
      <c r="M2523" s="116">
        <v>896.35</v>
      </c>
      <c r="N2523" s="116">
        <v>900</v>
      </c>
      <c r="O2523" s="116">
        <v>870.1</v>
      </c>
      <c r="P2523" s="116">
        <v>876.4</v>
      </c>
      <c r="Q2523" s="116">
        <v>896.35</v>
      </c>
      <c r="R2523">
        <v>1049954</v>
      </c>
    </row>
    <row r="2524" spans="1:18" x14ac:dyDescent="0.25">
      <c r="A2524" s="170">
        <v>45933</v>
      </c>
      <c r="B2524" s="116">
        <v>919.9</v>
      </c>
      <c r="C2524" s="116">
        <v>916.3</v>
      </c>
      <c r="D2524" s="116">
        <v>892.8</v>
      </c>
      <c r="E2524" s="116">
        <v>896.7</v>
      </c>
      <c r="F2524" s="116">
        <v>916.3</v>
      </c>
      <c r="G2524">
        <v>67455</v>
      </c>
      <c r="H2524" s="116"/>
      <c r="I2524" s="116"/>
      <c r="L2524" s="170">
        <v>45933</v>
      </c>
      <c r="M2524" s="116">
        <v>916.35</v>
      </c>
      <c r="N2524" s="116">
        <v>920</v>
      </c>
      <c r="O2524" s="116">
        <v>892.3</v>
      </c>
      <c r="P2524" s="116">
        <v>898.5</v>
      </c>
      <c r="Q2524" s="116">
        <v>916.35</v>
      </c>
      <c r="R2524">
        <v>1376240</v>
      </c>
    </row>
    <row r="2525" spans="1:18" x14ac:dyDescent="0.25">
      <c r="A2525" s="170">
        <v>45936</v>
      </c>
      <c r="B2525" s="116">
        <v>928.45</v>
      </c>
      <c r="C2525" s="116">
        <v>926.45</v>
      </c>
      <c r="D2525" s="116">
        <v>913.2</v>
      </c>
      <c r="E2525" s="116">
        <v>917</v>
      </c>
      <c r="F2525" s="116">
        <v>926.45</v>
      </c>
      <c r="G2525">
        <v>47103</v>
      </c>
      <c r="H2525" s="116"/>
      <c r="I2525" s="116"/>
      <c r="L2525" s="170">
        <v>45936</v>
      </c>
      <c r="M2525" s="116">
        <v>926.65</v>
      </c>
      <c r="N2525" s="116">
        <v>928.7</v>
      </c>
      <c r="O2525" s="116">
        <v>913.2</v>
      </c>
      <c r="P2525" s="116">
        <v>918</v>
      </c>
      <c r="Q2525" s="116">
        <v>926.65</v>
      </c>
      <c r="R2525">
        <v>1046097</v>
      </c>
    </row>
    <row r="2526" spans="1:18" x14ac:dyDescent="0.25">
      <c r="A2526" s="170">
        <v>45937</v>
      </c>
      <c r="B2526" s="116">
        <v>945</v>
      </c>
      <c r="C2526" s="116">
        <v>919.05</v>
      </c>
      <c r="D2526" s="116">
        <v>916.6</v>
      </c>
      <c r="E2526" s="116">
        <v>926.75</v>
      </c>
      <c r="F2526" s="116">
        <v>919.05</v>
      </c>
      <c r="G2526">
        <v>57354</v>
      </c>
      <c r="H2526" s="116"/>
      <c r="I2526" s="116"/>
      <c r="L2526" s="170">
        <v>45937</v>
      </c>
      <c r="M2526" s="116">
        <v>919</v>
      </c>
      <c r="N2526" s="116">
        <v>945.05</v>
      </c>
      <c r="O2526" s="116">
        <v>917</v>
      </c>
      <c r="P2526" s="116">
        <v>927</v>
      </c>
      <c r="Q2526" s="116">
        <v>919</v>
      </c>
      <c r="R2526">
        <v>1341521</v>
      </c>
    </row>
    <row r="2527" spans="1:18" x14ac:dyDescent="0.25">
      <c r="A2527" s="170">
        <v>45938</v>
      </c>
      <c r="B2527" s="116">
        <v>925.95</v>
      </c>
      <c r="C2527" s="116">
        <v>913.85</v>
      </c>
      <c r="D2527" s="116">
        <v>908.7</v>
      </c>
      <c r="E2527" s="116">
        <v>922.9</v>
      </c>
      <c r="F2527" s="116">
        <v>913.85</v>
      </c>
      <c r="G2527">
        <v>75864</v>
      </c>
      <c r="H2527" s="116"/>
      <c r="I2527" s="116"/>
      <c r="L2527" s="170">
        <v>45938</v>
      </c>
      <c r="M2527" s="116">
        <v>914</v>
      </c>
      <c r="N2527" s="116">
        <v>926.9</v>
      </c>
      <c r="O2527" s="116">
        <v>908.15</v>
      </c>
      <c r="P2527" s="116">
        <v>923.45</v>
      </c>
      <c r="Q2527" s="116">
        <v>914</v>
      </c>
      <c r="R2527">
        <v>662712</v>
      </c>
    </row>
    <row r="2528" spans="1:18" x14ac:dyDescent="0.25">
      <c r="A2528" s="170">
        <v>45939</v>
      </c>
      <c r="B2528" s="116">
        <v>938.7</v>
      </c>
      <c r="C2528" s="116">
        <v>932.15</v>
      </c>
      <c r="D2528" s="116">
        <v>915.05</v>
      </c>
      <c r="E2528" s="116">
        <v>917.85</v>
      </c>
      <c r="F2528" s="116">
        <v>932.15</v>
      </c>
      <c r="G2528">
        <v>93607</v>
      </c>
      <c r="H2528" s="116"/>
      <c r="I2528" s="116"/>
      <c r="L2528" s="170">
        <v>45939</v>
      </c>
      <c r="M2528" s="116">
        <v>931.95</v>
      </c>
      <c r="N2528" s="116">
        <v>938.8</v>
      </c>
      <c r="O2528" s="116">
        <v>913.7</v>
      </c>
      <c r="P2528" s="116">
        <v>918</v>
      </c>
      <c r="Q2528" s="116">
        <v>931.95</v>
      </c>
      <c r="R2528">
        <v>2119876</v>
      </c>
    </row>
    <row r="2529" spans="1:18" x14ac:dyDescent="0.25">
      <c r="A2529" s="170">
        <v>45940</v>
      </c>
      <c r="B2529" s="116">
        <v>932.1</v>
      </c>
      <c r="C2529" s="116">
        <v>925.9</v>
      </c>
      <c r="D2529" s="116">
        <v>915</v>
      </c>
      <c r="E2529" s="116">
        <v>930.9</v>
      </c>
      <c r="F2529" s="116">
        <v>925.9</v>
      </c>
      <c r="G2529">
        <v>78760</v>
      </c>
      <c r="H2529" s="116"/>
      <c r="I2529" s="116"/>
      <c r="L2529" s="170">
        <v>45940</v>
      </c>
      <c r="M2529" s="116">
        <v>925.85</v>
      </c>
      <c r="N2529" s="116">
        <v>932.95</v>
      </c>
      <c r="O2529" s="116">
        <v>915</v>
      </c>
      <c r="P2529" s="116">
        <v>931.85</v>
      </c>
      <c r="Q2529" s="116">
        <v>925.85</v>
      </c>
      <c r="R2529">
        <v>974648</v>
      </c>
    </row>
    <row r="2530" spans="1:18" x14ac:dyDescent="0.25">
      <c r="A2530" s="170">
        <v>45943</v>
      </c>
      <c r="B2530" s="116">
        <v>942.85</v>
      </c>
      <c r="C2530" s="116">
        <v>936.95</v>
      </c>
      <c r="D2530" s="116">
        <v>921</v>
      </c>
      <c r="E2530" s="116">
        <v>922.4</v>
      </c>
      <c r="F2530" s="116">
        <v>936.95</v>
      </c>
      <c r="G2530">
        <v>150441</v>
      </c>
      <c r="H2530" s="116"/>
      <c r="I2530" s="116"/>
      <c r="L2530" s="170">
        <v>45943</v>
      </c>
      <c r="M2530" s="116">
        <v>937.65</v>
      </c>
      <c r="N2530" s="116">
        <v>942.8</v>
      </c>
      <c r="O2530" s="116">
        <v>920.85</v>
      </c>
      <c r="P2530" s="116">
        <v>925.85</v>
      </c>
      <c r="Q2530" s="116">
        <v>937.65</v>
      </c>
      <c r="R2530">
        <v>1291551</v>
      </c>
    </row>
    <row r="2531" spans="1:18" x14ac:dyDescent="0.25">
      <c r="A2531" s="170">
        <v>45944</v>
      </c>
      <c r="B2531" s="116">
        <v>941.4</v>
      </c>
      <c r="C2531" s="116">
        <v>933.35</v>
      </c>
      <c r="D2531" s="116">
        <v>919.9</v>
      </c>
      <c r="E2531" s="116">
        <v>936.95</v>
      </c>
      <c r="F2531" s="116">
        <v>933.35</v>
      </c>
      <c r="G2531">
        <v>46401</v>
      </c>
      <c r="H2531" s="116"/>
      <c r="I2531" s="116"/>
      <c r="L2531" s="170">
        <v>45944</v>
      </c>
      <c r="M2531" s="116">
        <v>933.75</v>
      </c>
      <c r="N2531" s="116">
        <v>942</v>
      </c>
      <c r="O2531" s="116">
        <v>919.3</v>
      </c>
      <c r="P2531" s="116">
        <v>937.65</v>
      </c>
      <c r="Q2531" s="116">
        <v>933.75</v>
      </c>
      <c r="R2531">
        <v>1252636</v>
      </c>
    </row>
    <row r="2532" spans="1:18" x14ac:dyDescent="0.25">
      <c r="A2532" s="170">
        <v>45945</v>
      </c>
      <c r="B2532" s="116">
        <v>949.55</v>
      </c>
      <c r="C2532" s="116">
        <v>945.35</v>
      </c>
      <c r="D2532" s="116">
        <v>921</v>
      </c>
      <c r="E2532" s="116">
        <v>932</v>
      </c>
      <c r="F2532" s="116">
        <v>945.35</v>
      </c>
      <c r="G2532">
        <v>39367</v>
      </c>
      <c r="H2532" s="116"/>
      <c r="I2532" s="116"/>
      <c r="L2532" s="170">
        <v>45945</v>
      </c>
      <c r="M2532" s="116">
        <v>944.2</v>
      </c>
      <c r="N2532" s="116">
        <v>949</v>
      </c>
      <c r="O2532" s="116">
        <v>920.5</v>
      </c>
      <c r="P2532" s="116">
        <v>930.75</v>
      </c>
      <c r="Q2532" s="116">
        <v>944.2</v>
      </c>
      <c r="R2532">
        <v>1555720</v>
      </c>
    </row>
    <row r="2533" spans="1:18" x14ac:dyDescent="0.25">
      <c r="A2533" s="170">
        <v>45946</v>
      </c>
      <c r="B2533" s="116">
        <v>959.35</v>
      </c>
      <c r="C2533" s="116">
        <v>947.1</v>
      </c>
      <c r="D2533" s="116">
        <v>944.45</v>
      </c>
      <c r="E2533" s="116">
        <v>947</v>
      </c>
      <c r="F2533" s="116">
        <v>947.1</v>
      </c>
      <c r="G2533">
        <v>127327</v>
      </c>
      <c r="H2533" s="116"/>
      <c r="I2533" s="116"/>
      <c r="L2533" s="170">
        <v>45946</v>
      </c>
      <c r="M2533" s="116">
        <v>947.95</v>
      </c>
      <c r="N2533" s="116">
        <v>959</v>
      </c>
      <c r="O2533" s="116">
        <v>945</v>
      </c>
      <c r="P2533" s="116">
        <v>947.45</v>
      </c>
      <c r="Q2533" s="116">
        <v>947.95</v>
      </c>
      <c r="R2533">
        <v>1243155</v>
      </c>
    </row>
    <row r="2534" spans="1:18" x14ac:dyDescent="0.25">
      <c r="A2534" s="170">
        <v>45947</v>
      </c>
      <c r="B2534" s="116">
        <v>950.4</v>
      </c>
      <c r="C2534" s="116">
        <v>928.9</v>
      </c>
      <c r="D2534" s="116">
        <v>926.55</v>
      </c>
      <c r="E2534" s="116">
        <v>944.3</v>
      </c>
      <c r="F2534" s="116">
        <v>928.9</v>
      </c>
      <c r="G2534">
        <v>78046</v>
      </c>
      <c r="H2534" s="116"/>
      <c r="I2534" s="116"/>
      <c r="L2534" s="170">
        <v>45947</v>
      </c>
      <c r="M2534" s="116">
        <v>929.7</v>
      </c>
      <c r="N2534" s="116">
        <v>950</v>
      </c>
      <c r="O2534" s="116">
        <v>926.1</v>
      </c>
      <c r="P2534" s="116">
        <v>940.05</v>
      </c>
      <c r="Q2534" s="116">
        <v>929.7</v>
      </c>
      <c r="R2534">
        <v>5349446</v>
      </c>
    </row>
    <row r="2535" spans="1:18" x14ac:dyDescent="0.25">
      <c r="A2535" s="170">
        <v>45950</v>
      </c>
      <c r="B2535" s="116">
        <v>940</v>
      </c>
      <c r="C2535" s="116">
        <v>937.8</v>
      </c>
      <c r="D2535" s="116">
        <v>927.1</v>
      </c>
      <c r="E2535" s="116">
        <v>932</v>
      </c>
      <c r="F2535" s="116">
        <v>937.8</v>
      </c>
      <c r="G2535">
        <v>25110</v>
      </c>
      <c r="H2535" s="116"/>
      <c r="I2535" s="116"/>
      <c r="L2535" s="170">
        <v>45950</v>
      </c>
      <c r="M2535" s="116">
        <v>937.05</v>
      </c>
      <c r="N2535" s="116">
        <v>940</v>
      </c>
      <c r="O2535" s="116">
        <v>927</v>
      </c>
      <c r="P2535" s="116">
        <v>929.75</v>
      </c>
      <c r="Q2535" s="116">
        <v>937.05</v>
      </c>
      <c r="R2535">
        <v>660903</v>
      </c>
    </row>
    <row r="2536" spans="1:18" x14ac:dyDescent="0.25">
      <c r="A2536" s="170">
        <v>45951</v>
      </c>
      <c r="B2536" s="116">
        <v>944.7</v>
      </c>
      <c r="C2536" s="116">
        <v>935.8</v>
      </c>
      <c r="D2536" s="116">
        <v>931</v>
      </c>
      <c r="E2536" s="116">
        <v>944.7</v>
      </c>
      <c r="F2536" s="116">
        <v>935.8</v>
      </c>
      <c r="G2536">
        <v>22860</v>
      </c>
      <c r="H2536" s="116"/>
      <c r="I2536" s="116"/>
      <c r="L2536" s="170">
        <v>45951</v>
      </c>
      <c r="M2536" s="116">
        <v>936.45</v>
      </c>
      <c r="N2536" s="116">
        <v>945</v>
      </c>
      <c r="O2536" s="116">
        <v>930.3</v>
      </c>
      <c r="P2536" s="116">
        <v>944.95</v>
      </c>
      <c r="Q2536" s="116">
        <v>936.45</v>
      </c>
      <c r="R2536">
        <v>149680</v>
      </c>
    </row>
    <row r="2537" spans="1:18" x14ac:dyDescent="0.25">
      <c r="A2537" s="170">
        <v>45953</v>
      </c>
      <c r="B2537" s="116">
        <v>955.9</v>
      </c>
      <c r="C2537" s="116">
        <v>952.65</v>
      </c>
      <c r="D2537" s="116">
        <v>934.55</v>
      </c>
      <c r="E2537" s="116">
        <v>934.55</v>
      </c>
      <c r="F2537" s="116">
        <v>952.65</v>
      </c>
      <c r="G2537">
        <v>55328</v>
      </c>
      <c r="H2537" s="116"/>
      <c r="I2537" s="116"/>
      <c r="L2537" s="170">
        <v>45953</v>
      </c>
      <c r="M2537" s="116">
        <v>952.4</v>
      </c>
      <c r="N2537" s="116">
        <v>956</v>
      </c>
      <c r="O2537" s="116">
        <v>934.85</v>
      </c>
      <c r="P2537" s="116">
        <v>938</v>
      </c>
      <c r="Q2537" s="116">
        <v>952.4</v>
      </c>
      <c r="R2537">
        <v>2360876</v>
      </c>
    </row>
    <row r="2538" spans="1:18" x14ac:dyDescent="0.25">
      <c r="A2538" s="170">
        <v>45954</v>
      </c>
      <c r="B2538" s="116">
        <v>955</v>
      </c>
      <c r="C2538" s="116">
        <v>944.5</v>
      </c>
      <c r="D2538" s="116">
        <v>937.2</v>
      </c>
      <c r="E2538" s="116">
        <v>953</v>
      </c>
      <c r="F2538" s="116">
        <v>944.5</v>
      </c>
      <c r="G2538">
        <v>62052</v>
      </c>
      <c r="H2538" s="116"/>
      <c r="I2538" s="116"/>
      <c r="L2538" s="170">
        <v>45954</v>
      </c>
      <c r="M2538" s="116">
        <v>944.25</v>
      </c>
      <c r="N2538" s="116">
        <v>956</v>
      </c>
      <c r="O2538" s="116">
        <v>937.55</v>
      </c>
      <c r="P2538" s="116">
        <v>956</v>
      </c>
      <c r="Q2538" s="116">
        <v>944.25</v>
      </c>
      <c r="R2538">
        <v>1131330</v>
      </c>
    </row>
    <row r="2539" spans="1:18" x14ac:dyDescent="0.25">
      <c r="A2539" s="170">
        <v>45957</v>
      </c>
      <c r="B2539" s="116">
        <v>951.85</v>
      </c>
      <c r="C2539" s="116">
        <v>946</v>
      </c>
      <c r="D2539" s="116">
        <v>941</v>
      </c>
      <c r="E2539" s="116">
        <v>941</v>
      </c>
      <c r="F2539" s="116">
        <v>946</v>
      </c>
      <c r="G2539">
        <v>59055</v>
      </c>
      <c r="H2539" s="116"/>
      <c r="I2539" s="116"/>
      <c r="L2539" s="170">
        <v>45957</v>
      </c>
      <c r="M2539" s="116">
        <v>946.35</v>
      </c>
      <c r="N2539" s="116">
        <v>951.8</v>
      </c>
      <c r="O2539" s="116">
        <v>942</v>
      </c>
      <c r="P2539" s="116">
        <v>945.2</v>
      </c>
      <c r="Q2539" s="116">
        <v>946.35</v>
      </c>
      <c r="R2539">
        <v>562332</v>
      </c>
    </row>
    <row r="2540" spans="1:18" x14ac:dyDescent="0.25">
      <c r="A2540" s="170">
        <v>45958</v>
      </c>
      <c r="B2540" s="116">
        <v>943.85</v>
      </c>
      <c r="C2540" s="116">
        <v>921</v>
      </c>
      <c r="D2540" s="116">
        <v>918.7</v>
      </c>
      <c r="E2540" s="116">
        <v>939</v>
      </c>
      <c r="F2540" s="116">
        <v>921</v>
      </c>
      <c r="G2540">
        <v>72282</v>
      </c>
      <c r="H2540" s="116"/>
      <c r="I2540" s="116"/>
      <c r="L2540" s="170">
        <v>45958</v>
      </c>
      <c r="M2540" s="116">
        <v>921.2</v>
      </c>
      <c r="N2540" s="116">
        <v>943.6</v>
      </c>
      <c r="O2540" s="116">
        <v>918.3</v>
      </c>
      <c r="P2540" s="116">
        <v>941</v>
      </c>
      <c r="Q2540" s="116">
        <v>921.2</v>
      </c>
      <c r="R2540">
        <v>1635066</v>
      </c>
    </row>
    <row r="2541" spans="1:18" x14ac:dyDescent="0.25">
      <c r="A2541" s="170">
        <v>45959</v>
      </c>
      <c r="B2541" s="116">
        <v>983.7</v>
      </c>
      <c r="C2541" s="116">
        <v>967.55</v>
      </c>
      <c r="D2541" s="116">
        <v>918.55</v>
      </c>
      <c r="E2541" s="116">
        <v>927</v>
      </c>
      <c r="F2541" s="116">
        <v>967.55</v>
      </c>
      <c r="G2541">
        <v>331338</v>
      </c>
      <c r="H2541" s="116"/>
      <c r="I2541" s="116"/>
      <c r="L2541" s="170">
        <v>45959</v>
      </c>
      <c r="M2541" s="116">
        <v>967.55</v>
      </c>
      <c r="N2541" s="116">
        <v>983.5</v>
      </c>
      <c r="O2541" s="116">
        <v>917.95</v>
      </c>
      <c r="P2541" s="116">
        <v>928.05</v>
      </c>
      <c r="Q2541" s="116">
        <v>967.55</v>
      </c>
      <c r="R2541">
        <v>6202463</v>
      </c>
    </row>
    <row r="2542" spans="1:18" x14ac:dyDescent="0.25">
      <c r="A2542" s="170">
        <v>45960</v>
      </c>
      <c r="B2542" s="116">
        <v>972</v>
      </c>
      <c r="C2542" s="116">
        <v>965.1</v>
      </c>
      <c r="D2542" s="116">
        <v>950.2</v>
      </c>
      <c r="E2542" s="116">
        <v>970.05</v>
      </c>
      <c r="F2542" s="116">
        <v>965.1</v>
      </c>
      <c r="G2542">
        <v>85495</v>
      </c>
      <c r="H2542" s="116"/>
      <c r="I2542" s="116"/>
      <c r="L2542" s="170">
        <v>45960</v>
      </c>
      <c r="M2542" s="116">
        <v>965.65</v>
      </c>
      <c r="N2542" s="116">
        <v>972.6</v>
      </c>
      <c r="O2542" s="116">
        <v>950.1</v>
      </c>
      <c r="P2542" s="116">
        <v>971.9</v>
      </c>
      <c r="Q2542" s="116">
        <v>965.65</v>
      </c>
      <c r="R2542">
        <v>970141</v>
      </c>
    </row>
    <row r="2543" spans="1:18" x14ac:dyDescent="0.25">
      <c r="A2543" s="170">
        <v>45961</v>
      </c>
      <c r="B2543" s="116">
        <v>1004.35</v>
      </c>
      <c r="C2543" s="116">
        <v>986.05</v>
      </c>
      <c r="D2543" s="116">
        <v>960.15</v>
      </c>
      <c r="E2543" s="116">
        <v>970</v>
      </c>
      <c r="F2543" s="116">
        <v>986.05</v>
      </c>
      <c r="G2543">
        <v>139248</v>
      </c>
      <c r="H2543" s="116"/>
      <c r="I2543" s="116"/>
      <c r="L2543" s="170">
        <v>45961</v>
      </c>
      <c r="M2543" s="116">
        <v>986.2</v>
      </c>
      <c r="N2543" s="116">
        <v>1004</v>
      </c>
      <c r="O2543" s="116">
        <v>960.1</v>
      </c>
      <c r="P2543" s="116">
        <v>970.8</v>
      </c>
      <c r="Q2543" s="116">
        <v>986.2</v>
      </c>
      <c r="R2543">
        <v>2484075</v>
      </c>
    </row>
    <row r="2544" spans="1:18" x14ac:dyDescent="0.25">
      <c r="A2544" s="170">
        <v>45964</v>
      </c>
      <c r="B2544" s="116">
        <v>1006.15</v>
      </c>
      <c r="C2544" s="116">
        <v>994.6</v>
      </c>
      <c r="D2544" s="116">
        <v>976.15</v>
      </c>
      <c r="E2544" s="116">
        <v>989.95</v>
      </c>
      <c r="F2544" s="116">
        <v>994.6</v>
      </c>
      <c r="G2544">
        <v>73484</v>
      </c>
      <c r="H2544" s="116"/>
      <c r="I2544" s="116"/>
      <c r="L2544" s="170">
        <v>45964</v>
      </c>
      <c r="M2544" s="116">
        <v>994.55</v>
      </c>
      <c r="N2544" s="116">
        <v>1005.9</v>
      </c>
      <c r="O2544" s="116">
        <v>975.5</v>
      </c>
      <c r="P2544" s="116">
        <v>987</v>
      </c>
      <c r="Q2544" s="116">
        <v>994.55</v>
      </c>
      <c r="R2544">
        <v>1679026</v>
      </c>
    </row>
    <row r="2545" spans="1:18" x14ac:dyDescent="0.25">
      <c r="A2545" s="170">
        <v>45965</v>
      </c>
      <c r="B2545" s="116">
        <v>1010.45</v>
      </c>
      <c r="C2545" s="116">
        <v>985.35</v>
      </c>
      <c r="D2545" s="116">
        <v>977.25</v>
      </c>
      <c r="E2545" s="116">
        <v>996.5</v>
      </c>
      <c r="F2545" s="116">
        <v>985.35</v>
      </c>
      <c r="G2545">
        <v>151563</v>
      </c>
      <c r="H2545" s="116"/>
      <c r="I2545" s="116"/>
      <c r="L2545" s="170">
        <v>45965</v>
      </c>
      <c r="M2545" s="116">
        <v>985.9</v>
      </c>
      <c r="N2545" s="116">
        <v>1011</v>
      </c>
      <c r="O2545" s="116">
        <v>976.65</v>
      </c>
      <c r="P2545" s="116">
        <v>999.05</v>
      </c>
      <c r="Q2545" s="116">
        <v>985.9</v>
      </c>
      <c r="R2545">
        <v>1710963</v>
      </c>
    </row>
    <row r="2546" spans="1:18" x14ac:dyDescent="0.25">
      <c r="A2546" s="170">
        <v>45967</v>
      </c>
      <c r="B2546" s="116">
        <v>994.7</v>
      </c>
      <c r="C2546" s="116">
        <v>968.25</v>
      </c>
      <c r="D2546" s="116">
        <v>962.65</v>
      </c>
      <c r="E2546" s="116">
        <v>986.8</v>
      </c>
      <c r="F2546" s="116">
        <v>968.25</v>
      </c>
      <c r="G2546">
        <v>49135</v>
      </c>
      <c r="H2546" s="116"/>
      <c r="I2546" s="116"/>
      <c r="L2546" s="170">
        <v>45967</v>
      </c>
      <c r="M2546" s="116">
        <v>968.15</v>
      </c>
      <c r="N2546" s="116">
        <v>994.6</v>
      </c>
      <c r="O2546" s="116">
        <v>962.8</v>
      </c>
      <c r="P2546" s="116">
        <v>985.9</v>
      </c>
      <c r="Q2546" s="116">
        <v>968.15</v>
      </c>
      <c r="R2546">
        <v>1064046</v>
      </c>
    </row>
    <row r="2547" spans="1:18" x14ac:dyDescent="0.25">
      <c r="A2547" s="170">
        <v>45968</v>
      </c>
      <c r="B2547" s="116">
        <v>973.4</v>
      </c>
      <c r="C2547" s="116">
        <v>959.8</v>
      </c>
      <c r="D2547" s="116">
        <v>945.1</v>
      </c>
      <c r="E2547" s="116">
        <v>960.1</v>
      </c>
      <c r="F2547" s="116">
        <v>959.8</v>
      </c>
      <c r="G2547">
        <v>69859</v>
      </c>
      <c r="H2547" s="116"/>
      <c r="I2547" s="116"/>
      <c r="L2547" s="170">
        <v>45968</v>
      </c>
      <c r="M2547" s="116">
        <v>960.6</v>
      </c>
      <c r="N2547" s="116">
        <v>973.7</v>
      </c>
      <c r="O2547" s="116">
        <v>945.2</v>
      </c>
      <c r="P2547" s="116">
        <v>966.85</v>
      </c>
      <c r="Q2547" s="116">
        <v>960.6</v>
      </c>
      <c r="R2547">
        <v>1384632</v>
      </c>
    </row>
    <row r="2548" spans="1:18" x14ac:dyDescent="0.25">
      <c r="A2548" s="170">
        <v>45971</v>
      </c>
      <c r="B2548" s="116">
        <v>971.75</v>
      </c>
      <c r="C2548" s="116">
        <v>959.2</v>
      </c>
      <c r="D2548" s="116">
        <v>956</v>
      </c>
      <c r="E2548" s="116">
        <v>963.8</v>
      </c>
      <c r="F2548" s="116">
        <v>959.2</v>
      </c>
      <c r="G2548">
        <v>32608</v>
      </c>
      <c r="H2548" s="116"/>
      <c r="I2548" s="116"/>
      <c r="L2548" s="170">
        <v>45971</v>
      </c>
      <c r="M2548" s="116">
        <v>959.15</v>
      </c>
      <c r="N2548" s="116">
        <v>972.5</v>
      </c>
      <c r="O2548" s="116">
        <v>955.1</v>
      </c>
      <c r="P2548" s="116">
        <v>965.55</v>
      </c>
      <c r="Q2548" s="116">
        <v>959.15</v>
      </c>
      <c r="R2548">
        <v>674839</v>
      </c>
    </row>
    <row r="2549" spans="1:18" x14ac:dyDescent="0.25">
      <c r="A2549" s="170">
        <v>45972</v>
      </c>
      <c r="B2549" s="116">
        <v>993.4</v>
      </c>
      <c r="C2549" s="116">
        <v>989.15</v>
      </c>
      <c r="D2549" s="116">
        <v>947.2</v>
      </c>
      <c r="E2549" s="116">
        <v>958.15</v>
      </c>
      <c r="F2549" s="116">
        <v>989.15</v>
      </c>
      <c r="G2549">
        <v>129629</v>
      </c>
      <c r="H2549" s="116"/>
      <c r="I2549" s="116"/>
      <c r="L2549" s="170">
        <v>45972</v>
      </c>
      <c r="M2549" s="116">
        <v>989.3</v>
      </c>
      <c r="N2549" s="116">
        <v>994.45</v>
      </c>
      <c r="O2549" s="116">
        <v>947.3</v>
      </c>
      <c r="P2549" s="116">
        <v>960.15</v>
      </c>
      <c r="Q2549" s="116">
        <v>989.3</v>
      </c>
      <c r="R2549">
        <v>1703879</v>
      </c>
    </row>
    <row r="2550" spans="1:18" x14ac:dyDescent="0.25">
      <c r="A2550" s="170">
        <v>45973</v>
      </c>
      <c r="B2550" s="116">
        <v>1022.05</v>
      </c>
      <c r="C2550" s="116">
        <v>1001.8</v>
      </c>
      <c r="D2550" s="116">
        <v>985.55</v>
      </c>
      <c r="E2550" s="116">
        <v>994.1</v>
      </c>
      <c r="F2550" s="116">
        <v>1001.8</v>
      </c>
      <c r="G2550">
        <v>90233</v>
      </c>
      <c r="H2550" s="116"/>
      <c r="I2550" s="116"/>
      <c r="L2550" s="170">
        <v>45973</v>
      </c>
      <c r="M2550" s="116">
        <v>1001.9</v>
      </c>
      <c r="N2550" s="116">
        <v>1021.6</v>
      </c>
      <c r="O2550" s="116">
        <v>986</v>
      </c>
      <c r="P2550" s="116">
        <v>989.35</v>
      </c>
      <c r="Q2550" s="116">
        <v>1001.9</v>
      </c>
      <c r="R2550">
        <v>1704880</v>
      </c>
    </row>
    <row r="2551" spans="1:18" x14ac:dyDescent="0.25">
      <c r="A2551" s="170">
        <v>45974</v>
      </c>
      <c r="B2551" s="116">
        <v>1035.8499999999999</v>
      </c>
      <c r="C2551" s="116">
        <v>1020.95</v>
      </c>
      <c r="D2551" s="116">
        <v>997.8</v>
      </c>
      <c r="E2551" s="116">
        <v>1002.9</v>
      </c>
      <c r="F2551" s="116">
        <v>1020.95</v>
      </c>
      <c r="G2551">
        <v>84596</v>
      </c>
      <c r="H2551" s="116"/>
      <c r="I2551" s="116"/>
      <c r="L2551" s="170">
        <v>45974</v>
      </c>
      <c r="M2551" s="116">
        <v>1021.4</v>
      </c>
      <c r="N2551" s="116">
        <v>1035.75</v>
      </c>
      <c r="O2551" s="116">
        <v>998.35</v>
      </c>
      <c r="P2551" s="116">
        <v>1003.2</v>
      </c>
      <c r="Q2551" s="116">
        <v>1021.4</v>
      </c>
      <c r="R2551">
        <v>2163072</v>
      </c>
    </row>
    <row r="2552" spans="1:18" x14ac:dyDescent="0.25">
      <c r="A2552" s="170">
        <v>45975</v>
      </c>
      <c r="B2552" s="116">
        <v>1050</v>
      </c>
      <c r="C2552" s="116">
        <v>1024.2</v>
      </c>
      <c r="D2552" s="116">
        <v>1017.25</v>
      </c>
      <c r="E2552" s="116">
        <v>1023.75</v>
      </c>
      <c r="F2552" s="116">
        <v>1024.2</v>
      </c>
      <c r="G2552">
        <v>95518</v>
      </c>
      <c r="H2552" s="116"/>
      <c r="I2552" s="116"/>
      <c r="L2552" s="170">
        <v>45975</v>
      </c>
      <c r="M2552" s="116">
        <v>1023.85</v>
      </c>
      <c r="N2552" s="116">
        <v>1050</v>
      </c>
      <c r="O2552" s="116">
        <v>1017</v>
      </c>
      <c r="P2552" s="116">
        <v>1027</v>
      </c>
      <c r="Q2552" s="116">
        <v>1023.85</v>
      </c>
      <c r="R2552">
        <v>2190871</v>
      </c>
    </row>
    <row r="2553" spans="1:18" x14ac:dyDescent="0.25">
      <c r="A2553" s="170">
        <v>45978</v>
      </c>
      <c r="B2553" s="116">
        <v>1030.05</v>
      </c>
      <c r="C2553" s="116">
        <v>1021.7</v>
      </c>
      <c r="D2553" s="116">
        <v>1011.85</v>
      </c>
      <c r="E2553" s="116">
        <v>1024.45</v>
      </c>
      <c r="F2553" s="116">
        <v>1021.7</v>
      </c>
      <c r="G2553">
        <v>75047</v>
      </c>
      <c r="H2553" s="116"/>
      <c r="I2553" s="116"/>
      <c r="L2553" s="170">
        <v>45978</v>
      </c>
      <c r="M2553" s="116">
        <v>1021.55</v>
      </c>
      <c r="N2553" s="116">
        <v>1029</v>
      </c>
      <c r="O2553" s="116">
        <v>1011.85</v>
      </c>
      <c r="P2553" s="116">
        <v>1025.5</v>
      </c>
      <c r="Q2553" s="116">
        <v>1021.55</v>
      </c>
      <c r="R2553">
        <v>837345</v>
      </c>
    </row>
    <row r="2554" spans="1:18" x14ac:dyDescent="0.25">
      <c r="A2554" s="170">
        <v>45979</v>
      </c>
      <c r="B2554" s="116">
        <v>1036.5</v>
      </c>
      <c r="C2554" s="116">
        <v>1027.05</v>
      </c>
      <c r="D2554" s="116">
        <v>1012.95</v>
      </c>
      <c r="E2554" s="116">
        <v>1012.95</v>
      </c>
      <c r="F2554" s="116">
        <v>1027.05</v>
      </c>
      <c r="G2554">
        <v>104372</v>
      </c>
      <c r="H2554" s="116"/>
      <c r="I2554" s="116"/>
      <c r="L2554" s="170">
        <v>45979</v>
      </c>
      <c r="M2554" s="116">
        <v>1026.6500000000001</v>
      </c>
      <c r="N2554" s="116">
        <v>1036</v>
      </c>
      <c r="O2554" s="116">
        <v>1017.75</v>
      </c>
      <c r="P2554" s="116">
        <v>1023.8</v>
      </c>
      <c r="Q2554" s="116">
        <v>1026.6500000000001</v>
      </c>
      <c r="R2554">
        <v>1175321</v>
      </c>
    </row>
    <row r="2555" spans="1:18" x14ac:dyDescent="0.25">
      <c r="A2555" s="170">
        <v>45980</v>
      </c>
      <c r="B2555" s="116">
        <v>1044.1500000000001</v>
      </c>
      <c r="C2555" s="116">
        <v>1005.4</v>
      </c>
      <c r="D2555" s="116">
        <v>1002.05</v>
      </c>
      <c r="E2555" s="116">
        <v>1028.0999999999999</v>
      </c>
      <c r="F2555" s="116">
        <v>1005.4</v>
      </c>
      <c r="G2555">
        <v>102058</v>
      </c>
      <c r="H2555" s="116"/>
      <c r="I2555" s="116"/>
      <c r="L2555" s="170">
        <v>45980</v>
      </c>
      <c r="M2555" s="116">
        <v>1006.25</v>
      </c>
      <c r="N2555" s="116">
        <v>1044</v>
      </c>
      <c r="O2555" s="116">
        <v>1002.2</v>
      </c>
      <c r="P2555" s="116">
        <v>1032</v>
      </c>
      <c r="Q2555" s="116">
        <v>1006.25</v>
      </c>
      <c r="R2555">
        <v>1574241</v>
      </c>
    </row>
    <row r="2556" spans="1:18" x14ac:dyDescent="0.25">
      <c r="A2556" s="170">
        <v>45981</v>
      </c>
      <c r="B2556" s="116">
        <v>1014.55</v>
      </c>
      <c r="C2556" s="116">
        <v>993.45</v>
      </c>
      <c r="D2556" s="116">
        <v>989.6</v>
      </c>
      <c r="E2556" s="116">
        <v>1010.9</v>
      </c>
      <c r="F2556" s="116">
        <v>993.45</v>
      </c>
      <c r="G2556">
        <v>31247</v>
      </c>
      <c r="H2556" s="116"/>
      <c r="I2556" s="116"/>
      <c r="L2556" s="170">
        <v>45981</v>
      </c>
      <c r="M2556" s="116">
        <v>993.6</v>
      </c>
      <c r="N2556" s="116">
        <v>1014</v>
      </c>
      <c r="O2556" s="116">
        <v>989</v>
      </c>
      <c r="P2556" s="116">
        <v>1014</v>
      </c>
      <c r="Q2556" s="116">
        <v>993.6</v>
      </c>
      <c r="R2556">
        <v>852319</v>
      </c>
    </row>
    <row r="2557" spans="1:18" x14ac:dyDescent="0.25">
      <c r="A2557" s="170">
        <v>45982</v>
      </c>
      <c r="B2557" s="116">
        <v>996.75</v>
      </c>
      <c r="C2557" s="116">
        <v>974.7</v>
      </c>
      <c r="D2557" s="116">
        <v>973.05</v>
      </c>
      <c r="E2557" s="116">
        <v>993.45</v>
      </c>
      <c r="F2557" s="116">
        <v>974.7</v>
      </c>
      <c r="G2557">
        <v>20990</v>
      </c>
      <c r="H2557" s="116"/>
      <c r="I2557" s="116"/>
      <c r="L2557" s="170">
        <v>45982</v>
      </c>
      <c r="M2557" s="116">
        <v>974.8</v>
      </c>
      <c r="N2557" s="116">
        <v>996.85</v>
      </c>
      <c r="O2557" s="116">
        <v>972.75</v>
      </c>
      <c r="P2557" s="116">
        <v>993.35</v>
      </c>
      <c r="Q2557" s="116">
        <v>974.8</v>
      </c>
      <c r="R2557">
        <v>815816</v>
      </c>
    </row>
    <row r="2558" spans="1:18" x14ac:dyDescent="0.25">
      <c r="A2558" s="170">
        <v>45985</v>
      </c>
      <c r="B2558" s="116">
        <v>984.5</v>
      </c>
      <c r="C2558" s="116">
        <v>970.4</v>
      </c>
      <c r="D2558" s="116">
        <v>966.75</v>
      </c>
      <c r="E2558" s="116">
        <v>979</v>
      </c>
      <c r="F2558" s="116">
        <v>970.4</v>
      </c>
      <c r="G2558">
        <v>16515</v>
      </c>
      <c r="H2558" s="116"/>
      <c r="I2558" s="116"/>
      <c r="L2558" s="170">
        <v>45985</v>
      </c>
      <c r="M2558" s="116">
        <v>970.15</v>
      </c>
      <c r="N2558" s="116">
        <v>983.9</v>
      </c>
      <c r="O2558" s="116">
        <v>967.6</v>
      </c>
      <c r="P2558" s="116">
        <v>979</v>
      </c>
      <c r="Q2558" s="116">
        <v>970.15</v>
      </c>
      <c r="R2558">
        <v>774740</v>
      </c>
    </row>
    <row r="2559" spans="1:18" x14ac:dyDescent="0.25">
      <c r="A2559" s="170">
        <v>45986</v>
      </c>
      <c r="B2559" s="116">
        <v>976.4</v>
      </c>
      <c r="C2559" s="116">
        <v>972.05</v>
      </c>
      <c r="D2559" s="116">
        <v>965.7</v>
      </c>
      <c r="E2559" s="116">
        <v>970.4</v>
      </c>
      <c r="F2559" s="116">
        <v>972.05</v>
      </c>
      <c r="G2559">
        <v>39218</v>
      </c>
      <c r="H2559" s="116"/>
      <c r="I2559" s="116"/>
      <c r="L2559" s="170">
        <v>45986</v>
      </c>
      <c r="M2559" s="116">
        <v>971.5</v>
      </c>
      <c r="N2559" s="116">
        <v>977.5</v>
      </c>
      <c r="O2559" s="116">
        <v>965.75</v>
      </c>
      <c r="P2559" s="116">
        <v>970</v>
      </c>
      <c r="Q2559" s="116">
        <v>971.5</v>
      </c>
      <c r="R2559">
        <v>504028</v>
      </c>
    </row>
    <row r="2560" spans="1:18" x14ac:dyDescent="0.25">
      <c r="A2560" s="170">
        <v>45987</v>
      </c>
      <c r="B2560" s="116">
        <v>998.4</v>
      </c>
      <c r="C2560" s="116">
        <v>990.75</v>
      </c>
      <c r="D2560" s="116">
        <v>974.2</v>
      </c>
      <c r="E2560" s="116">
        <v>979.6</v>
      </c>
      <c r="F2560" s="116">
        <v>990.75</v>
      </c>
      <c r="G2560">
        <v>64109</v>
      </c>
      <c r="H2560" s="116"/>
      <c r="I2560" s="116"/>
      <c r="L2560" s="170">
        <v>45987</v>
      </c>
      <c r="M2560" s="116">
        <v>991.2</v>
      </c>
      <c r="N2560" s="116">
        <v>998</v>
      </c>
      <c r="O2560" s="116">
        <v>974.7</v>
      </c>
      <c r="P2560" s="116">
        <v>975.95</v>
      </c>
      <c r="Q2560" s="116">
        <v>991.2</v>
      </c>
      <c r="R2560">
        <v>646270</v>
      </c>
    </row>
    <row r="2561" spans="1:18" x14ac:dyDescent="0.25">
      <c r="A2561" s="170">
        <v>45988</v>
      </c>
      <c r="B2561" s="116">
        <v>994.85</v>
      </c>
      <c r="C2561" s="116">
        <v>983</v>
      </c>
      <c r="D2561" s="116">
        <v>974.55</v>
      </c>
      <c r="E2561" s="116">
        <v>992.4</v>
      </c>
      <c r="F2561" s="116">
        <v>983</v>
      </c>
      <c r="G2561">
        <v>18880</v>
      </c>
      <c r="H2561" s="116"/>
      <c r="I2561" s="116"/>
      <c r="L2561" s="170">
        <v>45988</v>
      </c>
      <c r="M2561" s="116">
        <v>984.35</v>
      </c>
      <c r="N2561" s="116">
        <v>994.15</v>
      </c>
      <c r="O2561" s="116">
        <v>974</v>
      </c>
      <c r="P2561" s="116">
        <v>992.6</v>
      </c>
      <c r="Q2561" s="116">
        <v>984.35</v>
      </c>
      <c r="R2561">
        <v>868201</v>
      </c>
    </row>
    <row r="2562" spans="1:18" x14ac:dyDescent="0.25">
      <c r="A2562" s="170">
        <v>45989</v>
      </c>
      <c r="B2562" s="116">
        <v>1000.35</v>
      </c>
      <c r="C2562" s="116">
        <v>994.55</v>
      </c>
      <c r="D2562" s="116">
        <v>979</v>
      </c>
      <c r="E2562" s="116">
        <v>985.35</v>
      </c>
      <c r="F2562" s="116">
        <v>994.55</v>
      </c>
      <c r="G2562">
        <v>26853</v>
      </c>
      <c r="H2562" s="116"/>
      <c r="I2562" s="116"/>
      <c r="L2562" s="170">
        <v>45989</v>
      </c>
      <c r="M2562" s="116">
        <v>994.55</v>
      </c>
      <c r="N2562" s="116">
        <v>1001</v>
      </c>
      <c r="O2562" s="116">
        <v>977.9</v>
      </c>
      <c r="P2562" s="116">
        <v>988.7</v>
      </c>
      <c r="Q2562" s="116">
        <v>994.55</v>
      </c>
      <c r="R2562">
        <v>827939</v>
      </c>
    </row>
    <row r="2563" spans="1:18" x14ac:dyDescent="0.25">
      <c r="A2563" s="170">
        <v>45992</v>
      </c>
      <c r="B2563" s="116">
        <v>1007</v>
      </c>
      <c r="C2563" s="116">
        <v>998.8</v>
      </c>
      <c r="D2563" s="116">
        <v>992</v>
      </c>
      <c r="E2563" s="116">
        <v>996.15</v>
      </c>
      <c r="F2563" s="116">
        <v>998.8</v>
      </c>
      <c r="G2563">
        <v>63195</v>
      </c>
      <c r="H2563" s="116"/>
      <c r="I2563" s="116"/>
      <c r="L2563" s="170">
        <v>45992</v>
      </c>
      <c r="M2563" s="116">
        <v>999.1</v>
      </c>
      <c r="N2563" s="116">
        <v>1007.4</v>
      </c>
      <c r="O2563" s="116">
        <v>991.6</v>
      </c>
      <c r="P2563" s="116">
        <v>999</v>
      </c>
      <c r="Q2563" s="116">
        <v>999.1</v>
      </c>
      <c r="R2563">
        <v>1516456</v>
      </c>
    </row>
    <row r="2564" spans="1:18" x14ac:dyDescent="0.25">
      <c r="A2564" s="170">
        <v>45993</v>
      </c>
      <c r="B2564" s="116">
        <v>1007.75</v>
      </c>
      <c r="C2564" s="116">
        <v>977.25</v>
      </c>
      <c r="D2564" s="116">
        <v>974.45</v>
      </c>
      <c r="E2564" s="116">
        <v>1002.95</v>
      </c>
      <c r="F2564" s="116">
        <v>977.25</v>
      </c>
      <c r="G2564">
        <v>22562</v>
      </c>
      <c r="H2564" s="116"/>
      <c r="I2564" s="116"/>
      <c r="L2564" s="170">
        <v>45993</v>
      </c>
      <c r="M2564" s="116">
        <v>976.95</v>
      </c>
      <c r="N2564" s="116">
        <v>1007.9</v>
      </c>
      <c r="O2564" s="116">
        <v>974.05</v>
      </c>
      <c r="P2564" s="116">
        <v>1002.9</v>
      </c>
      <c r="Q2564" s="116">
        <v>976.95</v>
      </c>
      <c r="R2564">
        <v>1497092</v>
      </c>
    </row>
    <row r="2565" spans="1:18" x14ac:dyDescent="0.25">
      <c r="A2565" s="170">
        <v>45994</v>
      </c>
      <c r="B2565" s="116">
        <v>981.3</v>
      </c>
      <c r="C2565" s="116">
        <v>969.6</v>
      </c>
      <c r="D2565" s="116">
        <v>961.65</v>
      </c>
      <c r="E2565" s="116">
        <v>976</v>
      </c>
      <c r="F2565" s="116">
        <v>969.6</v>
      </c>
      <c r="G2565">
        <v>42683</v>
      </c>
      <c r="H2565" s="116"/>
      <c r="I2565" s="116"/>
      <c r="L2565" s="170">
        <v>45994</v>
      </c>
      <c r="M2565" s="116">
        <v>969.5</v>
      </c>
      <c r="N2565" s="116">
        <v>981.8</v>
      </c>
      <c r="O2565" s="116">
        <v>960</v>
      </c>
      <c r="P2565" s="116">
        <v>976.95</v>
      </c>
      <c r="Q2565" s="116">
        <v>969.5</v>
      </c>
      <c r="R2565">
        <v>772602</v>
      </c>
    </row>
    <row r="2566" spans="1:18" x14ac:dyDescent="0.25">
      <c r="A2566" s="170">
        <v>45995</v>
      </c>
      <c r="B2566" s="116">
        <v>978.95</v>
      </c>
      <c r="C2566" s="116">
        <v>970.9</v>
      </c>
      <c r="D2566" s="116">
        <v>965.4</v>
      </c>
      <c r="E2566" s="116">
        <v>969.6</v>
      </c>
      <c r="F2566" s="116">
        <v>970.9</v>
      </c>
      <c r="G2566">
        <v>28996</v>
      </c>
      <c r="H2566" s="116"/>
      <c r="I2566" s="116"/>
      <c r="L2566" s="170">
        <v>45995</v>
      </c>
      <c r="M2566" s="116">
        <v>971.7</v>
      </c>
      <c r="N2566" s="116">
        <v>979.25</v>
      </c>
      <c r="O2566" s="116">
        <v>965.6</v>
      </c>
      <c r="P2566" s="116">
        <v>970</v>
      </c>
      <c r="Q2566" s="116">
        <v>971.7</v>
      </c>
      <c r="R2566">
        <v>612340</v>
      </c>
    </row>
    <row r="2567" spans="1:18" x14ac:dyDescent="0.25">
      <c r="A2567" s="170">
        <v>45996</v>
      </c>
      <c r="B2567" s="116">
        <v>981.35</v>
      </c>
      <c r="C2567" s="116">
        <v>979.3</v>
      </c>
      <c r="D2567" s="116">
        <v>962</v>
      </c>
      <c r="E2567" s="116">
        <v>970.05</v>
      </c>
      <c r="F2567" s="116">
        <v>979.3</v>
      </c>
      <c r="G2567">
        <v>16356</v>
      </c>
      <c r="H2567" s="116"/>
      <c r="I2567" s="116"/>
      <c r="L2567" s="170">
        <v>45996</v>
      </c>
      <c r="M2567" s="116">
        <v>978.85</v>
      </c>
      <c r="N2567" s="116">
        <v>980.95</v>
      </c>
      <c r="O2567" s="116">
        <v>961.1</v>
      </c>
      <c r="P2567" s="116">
        <v>971.65</v>
      </c>
      <c r="Q2567" s="116">
        <v>978.85</v>
      </c>
      <c r="R2567">
        <v>545222</v>
      </c>
    </row>
    <row r="2568" spans="1:18" x14ac:dyDescent="0.25">
      <c r="A2568" s="170">
        <v>45999</v>
      </c>
      <c r="B2568" s="116">
        <v>981.7</v>
      </c>
      <c r="C2568" s="116">
        <v>960.7</v>
      </c>
      <c r="D2568" s="116">
        <v>949.95</v>
      </c>
      <c r="E2568" s="116">
        <v>979</v>
      </c>
      <c r="F2568" s="116">
        <v>960.7</v>
      </c>
      <c r="G2568">
        <v>57831</v>
      </c>
      <c r="H2568" s="116"/>
      <c r="I2568" s="116"/>
      <c r="L2568" s="170">
        <v>45999</v>
      </c>
      <c r="M2568" s="116">
        <v>960.5</v>
      </c>
      <c r="N2568" s="116">
        <v>982</v>
      </c>
      <c r="O2568" s="116">
        <v>949.3</v>
      </c>
      <c r="P2568" s="116">
        <v>978.85</v>
      </c>
      <c r="Q2568" s="116">
        <v>960.5</v>
      </c>
      <c r="R2568">
        <v>1414070</v>
      </c>
    </row>
    <row r="2569" spans="1:18" x14ac:dyDescent="0.25">
      <c r="A2569" s="170">
        <v>46000</v>
      </c>
      <c r="B2569" s="116">
        <v>976.6</v>
      </c>
      <c r="C2569" s="116">
        <v>973.7</v>
      </c>
      <c r="D2569" s="116">
        <v>920.85</v>
      </c>
      <c r="E2569" s="116">
        <v>920.85</v>
      </c>
      <c r="F2569" s="116">
        <v>973.7</v>
      </c>
      <c r="G2569">
        <v>60496</v>
      </c>
      <c r="H2569" s="116"/>
      <c r="I2569" s="116"/>
      <c r="L2569" s="170">
        <v>46000</v>
      </c>
      <c r="M2569" s="116">
        <v>974.6</v>
      </c>
      <c r="N2569" s="116">
        <v>976.95</v>
      </c>
      <c r="O2569" s="116">
        <v>946.35</v>
      </c>
      <c r="P2569" s="116">
        <v>954.5</v>
      </c>
      <c r="Q2569" s="116">
        <v>974.6</v>
      </c>
      <c r="R2569">
        <v>891748</v>
      </c>
    </row>
    <row r="2570" spans="1:18" x14ac:dyDescent="0.25">
      <c r="A2570" s="170">
        <v>46001</v>
      </c>
      <c r="B2570" s="116">
        <v>1004.3</v>
      </c>
      <c r="C2570" s="116">
        <v>982.05</v>
      </c>
      <c r="D2570" s="116">
        <v>956.35</v>
      </c>
      <c r="E2570" s="116">
        <v>956.35</v>
      </c>
      <c r="F2570" s="116">
        <v>982.05</v>
      </c>
      <c r="G2570">
        <v>74569</v>
      </c>
      <c r="H2570" s="116"/>
      <c r="I2570" s="116"/>
      <c r="L2570" s="170">
        <v>46001</v>
      </c>
      <c r="M2570" s="116">
        <v>982.55</v>
      </c>
      <c r="N2570" s="116">
        <v>1004</v>
      </c>
      <c r="O2570" s="116">
        <v>975.6</v>
      </c>
      <c r="P2570" s="116">
        <v>979.4</v>
      </c>
      <c r="Q2570" s="116">
        <v>982.55</v>
      </c>
      <c r="R2570">
        <v>1831768</v>
      </c>
    </row>
    <row r="2571" spans="1:18" x14ac:dyDescent="0.25">
      <c r="A2571" s="170">
        <v>46002</v>
      </c>
      <c r="B2571" s="116">
        <v>1004.75</v>
      </c>
      <c r="C2571" s="116">
        <v>999.45</v>
      </c>
      <c r="D2571" s="116">
        <v>980</v>
      </c>
      <c r="E2571" s="116">
        <v>982.8</v>
      </c>
      <c r="F2571" s="116">
        <v>999.45</v>
      </c>
      <c r="G2571">
        <v>31784</v>
      </c>
      <c r="H2571" s="116"/>
      <c r="I2571" s="116"/>
      <c r="L2571" s="170">
        <v>46002</v>
      </c>
      <c r="M2571" s="116">
        <v>999.6</v>
      </c>
      <c r="N2571" s="116">
        <v>1005</v>
      </c>
      <c r="O2571" s="116">
        <v>979</v>
      </c>
      <c r="P2571" s="116">
        <v>986</v>
      </c>
      <c r="Q2571" s="116">
        <v>999.6</v>
      </c>
      <c r="R2571">
        <v>1271880</v>
      </c>
    </row>
    <row r="2572" spans="1:18" x14ac:dyDescent="0.25">
      <c r="A2572" s="170">
        <v>46003</v>
      </c>
      <c r="B2572" s="116">
        <v>1015.9</v>
      </c>
      <c r="C2572" s="116">
        <v>1011.75</v>
      </c>
      <c r="D2572" s="116">
        <v>998.7</v>
      </c>
      <c r="E2572" s="116">
        <v>1006.85</v>
      </c>
      <c r="F2572" s="116">
        <v>1011.75</v>
      </c>
      <c r="G2572">
        <v>41292</v>
      </c>
      <c r="H2572" s="116"/>
      <c r="I2572" s="116"/>
      <c r="L2572" s="170">
        <v>46003</v>
      </c>
      <c r="M2572" s="116">
        <v>1011.3</v>
      </c>
      <c r="N2572" s="116">
        <v>1016.35</v>
      </c>
      <c r="O2572" s="116">
        <v>998.8</v>
      </c>
      <c r="P2572" s="116">
        <v>1000.05</v>
      </c>
      <c r="Q2572" s="116">
        <v>1011.3</v>
      </c>
      <c r="R2572">
        <v>2110784</v>
      </c>
    </row>
    <row r="2573" spans="1:18" x14ac:dyDescent="0.25">
      <c r="A2573" s="170">
        <v>46006</v>
      </c>
      <c r="B2573" s="116">
        <v>1020</v>
      </c>
      <c r="C2573" s="116">
        <v>1016</v>
      </c>
      <c r="D2573" s="116">
        <v>1005.15</v>
      </c>
      <c r="E2573" s="116">
        <v>1017.45</v>
      </c>
      <c r="F2573" s="116">
        <v>1016</v>
      </c>
      <c r="G2573">
        <v>57829</v>
      </c>
      <c r="H2573" s="116"/>
      <c r="I2573" s="116"/>
      <c r="L2573" s="170">
        <v>46006</v>
      </c>
      <c r="M2573" s="116">
        <v>1016.45</v>
      </c>
      <c r="N2573" s="116">
        <v>1020</v>
      </c>
      <c r="O2573" s="116">
        <v>1007.05</v>
      </c>
      <c r="P2573" s="116">
        <v>1014.4</v>
      </c>
      <c r="Q2573" s="116">
        <v>1016.45</v>
      </c>
      <c r="R2573">
        <v>887627</v>
      </c>
    </row>
    <row r="2574" spans="1:18" x14ac:dyDescent="0.25">
      <c r="A2574" s="170">
        <v>46007</v>
      </c>
      <c r="B2574" s="116">
        <v>1012.75</v>
      </c>
      <c r="C2574" s="116">
        <v>993.8</v>
      </c>
      <c r="D2574" s="116">
        <v>988.75</v>
      </c>
      <c r="E2574" s="116">
        <v>1010.5</v>
      </c>
      <c r="F2574" s="116">
        <v>993.8</v>
      </c>
      <c r="G2574">
        <v>26057</v>
      </c>
      <c r="H2574" s="116"/>
      <c r="I2574" s="116"/>
      <c r="L2574" s="170">
        <v>46007</v>
      </c>
      <c r="M2574" s="116">
        <v>994.3</v>
      </c>
      <c r="N2574" s="116">
        <v>1014.7</v>
      </c>
      <c r="O2574" s="116">
        <v>988.2</v>
      </c>
      <c r="P2574" s="116">
        <v>1009.65</v>
      </c>
      <c r="Q2574" s="116">
        <v>994.3</v>
      </c>
      <c r="R2574">
        <v>742084</v>
      </c>
    </row>
    <row r="2575" spans="1:18" x14ac:dyDescent="0.25">
      <c r="A2575" s="170">
        <v>46008</v>
      </c>
      <c r="B2575" s="116">
        <v>994.45</v>
      </c>
      <c r="C2575" s="116">
        <v>977.55</v>
      </c>
      <c r="D2575" s="116">
        <v>975</v>
      </c>
      <c r="E2575" s="116">
        <v>993.55</v>
      </c>
      <c r="F2575" s="116">
        <v>977.55</v>
      </c>
      <c r="G2575">
        <v>16083</v>
      </c>
      <c r="H2575" s="116"/>
      <c r="I2575" s="116"/>
      <c r="L2575" s="170">
        <v>46008</v>
      </c>
      <c r="M2575" s="116">
        <v>977.55</v>
      </c>
      <c r="N2575" s="116">
        <v>995</v>
      </c>
      <c r="O2575" s="116">
        <v>971.1</v>
      </c>
      <c r="P2575" s="116">
        <v>990</v>
      </c>
      <c r="Q2575" s="116">
        <v>977.55</v>
      </c>
      <c r="R2575">
        <v>742531</v>
      </c>
    </row>
    <row r="2576" spans="1:18" x14ac:dyDescent="0.25">
      <c r="A2576" s="170">
        <v>46009</v>
      </c>
      <c r="B2576" s="116">
        <v>988.6</v>
      </c>
      <c r="C2576" s="116">
        <v>976.15</v>
      </c>
      <c r="D2576" s="116">
        <v>970</v>
      </c>
      <c r="E2576" s="116">
        <v>974.85</v>
      </c>
      <c r="F2576" s="116">
        <v>976.15</v>
      </c>
      <c r="G2576">
        <v>32237</v>
      </c>
      <c r="H2576" s="116"/>
      <c r="I2576" s="116"/>
      <c r="L2576" s="170">
        <v>46009</v>
      </c>
      <c r="M2576" s="116">
        <v>976.3</v>
      </c>
      <c r="N2576" s="116">
        <v>988.85</v>
      </c>
      <c r="O2576" s="116">
        <v>969</v>
      </c>
      <c r="P2576" s="116">
        <v>977.5</v>
      </c>
      <c r="Q2576" s="116">
        <v>976.3</v>
      </c>
      <c r="R2576">
        <v>753721</v>
      </c>
    </row>
    <row r="2577" spans="1:18" x14ac:dyDescent="0.25">
      <c r="A2577" s="170">
        <v>46010</v>
      </c>
      <c r="B2577" s="116">
        <v>991.2</v>
      </c>
      <c r="C2577" s="116">
        <v>988.5</v>
      </c>
      <c r="D2577" s="116">
        <v>972.3</v>
      </c>
      <c r="E2577" s="116">
        <v>976.15</v>
      </c>
      <c r="F2577" s="116">
        <v>988.5</v>
      </c>
      <c r="G2577">
        <v>24970</v>
      </c>
      <c r="H2577" s="116"/>
      <c r="I2577" s="116"/>
      <c r="L2577" s="170">
        <v>46010</v>
      </c>
      <c r="M2577" s="116">
        <v>988.25</v>
      </c>
      <c r="N2577" s="116">
        <v>990.95</v>
      </c>
      <c r="O2577" s="116">
        <v>971.65</v>
      </c>
      <c r="P2577" s="116">
        <v>977.4</v>
      </c>
      <c r="Q2577" s="116">
        <v>988.25</v>
      </c>
      <c r="R2577">
        <v>2708958</v>
      </c>
    </row>
    <row r="2578" spans="1:18" x14ac:dyDescent="0.25">
      <c r="A2578" s="170">
        <v>46013</v>
      </c>
      <c r="B2578" s="116">
        <v>1010</v>
      </c>
      <c r="C2578" s="116">
        <v>1007.55</v>
      </c>
      <c r="D2578" s="116">
        <v>982.5</v>
      </c>
      <c r="E2578" s="116">
        <v>982.5</v>
      </c>
      <c r="F2578" s="116">
        <v>1007.55</v>
      </c>
      <c r="G2578">
        <v>58837</v>
      </c>
      <c r="H2578" s="116"/>
      <c r="I2578" s="116"/>
      <c r="L2578" s="170">
        <v>46013</v>
      </c>
      <c r="M2578" s="116">
        <v>1007.9</v>
      </c>
      <c r="N2578" s="116">
        <v>1010</v>
      </c>
      <c r="O2578" s="116">
        <v>984.8</v>
      </c>
      <c r="P2578" s="116">
        <v>988.25</v>
      </c>
      <c r="Q2578" s="116">
        <v>1007.9</v>
      </c>
      <c r="R2578">
        <v>487354</v>
      </c>
    </row>
    <row r="2579" spans="1:18" x14ac:dyDescent="0.25">
      <c r="A2579" s="170">
        <v>46014</v>
      </c>
      <c r="B2579" s="116">
        <v>1014.25</v>
      </c>
      <c r="C2579" s="116">
        <v>994.95</v>
      </c>
      <c r="D2579" s="116">
        <v>988.7</v>
      </c>
      <c r="E2579" s="116">
        <v>1008.6</v>
      </c>
      <c r="F2579" s="116">
        <v>994.95</v>
      </c>
      <c r="G2579">
        <v>29952</v>
      </c>
      <c r="H2579" s="116"/>
      <c r="I2579" s="116"/>
      <c r="L2579" s="170">
        <v>46014</v>
      </c>
      <c r="M2579" s="116">
        <v>994.6</v>
      </c>
      <c r="N2579" s="116">
        <v>1013.85</v>
      </c>
      <c r="O2579" s="116">
        <v>988.3</v>
      </c>
      <c r="P2579" s="116">
        <v>1009.75</v>
      </c>
      <c r="Q2579" s="116">
        <v>994.6</v>
      </c>
      <c r="R2579">
        <v>597753</v>
      </c>
    </row>
    <row r="2580" spans="1:18" x14ac:dyDescent="0.25">
      <c r="A2580" s="170">
        <v>46015</v>
      </c>
      <c r="B2580" s="116">
        <v>1006.4</v>
      </c>
      <c r="C2580" s="116">
        <v>996.2</v>
      </c>
      <c r="D2580" s="116">
        <v>990</v>
      </c>
      <c r="E2580" s="116">
        <v>995.95</v>
      </c>
      <c r="F2580" s="116">
        <v>996.2</v>
      </c>
      <c r="G2580">
        <v>31944</v>
      </c>
      <c r="H2580" s="116"/>
      <c r="I2580" s="116"/>
      <c r="L2580" s="170">
        <v>46015</v>
      </c>
      <c r="M2580" s="116">
        <v>996.55</v>
      </c>
      <c r="N2580" s="116">
        <v>1007</v>
      </c>
      <c r="O2580" s="116">
        <v>990.1</v>
      </c>
      <c r="P2580" s="116">
        <v>996.25</v>
      </c>
      <c r="Q2580" s="116">
        <v>996.55</v>
      </c>
      <c r="R2580">
        <v>317485</v>
      </c>
    </row>
    <row r="2581" spans="1:18" x14ac:dyDescent="0.25">
      <c r="A2581" s="170">
        <v>46017</v>
      </c>
      <c r="B2581" s="116">
        <v>1020.05</v>
      </c>
      <c r="C2581" s="116">
        <v>1015.3</v>
      </c>
      <c r="D2581" s="116">
        <v>991.6</v>
      </c>
      <c r="E2581" s="116">
        <v>996.55</v>
      </c>
      <c r="F2581" s="116">
        <v>1015.3</v>
      </c>
      <c r="G2581">
        <v>63086</v>
      </c>
      <c r="H2581" s="116"/>
      <c r="I2581" s="116"/>
      <c r="L2581" s="170">
        <v>46017</v>
      </c>
      <c r="M2581" s="116">
        <v>1015.3</v>
      </c>
      <c r="N2581" s="116">
        <v>1020.4</v>
      </c>
      <c r="O2581" s="116">
        <v>991.1</v>
      </c>
      <c r="P2581" s="116">
        <v>996.1</v>
      </c>
      <c r="Q2581" s="116">
        <v>1015.3</v>
      </c>
      <c r="R2581">
        <v>894166</v>
      </c>
    </row>
    <row r="2582" spans="1:18" x14ac:dyDescent="0.25">
      <c r="A2582" s="170">
        <v>46020</v>
      </c>
      <c r="B2582" s="116">
        <v>1023.35</v>
      </c>
      <c r="C2582" s="116">
        <v>998.8</v>
      </c>
      <c r="D2582" s="116">
        <v>996.15</v>
      </c>
      <c r="E2582" s="116">
        <v>1023.35</v>
      </c>
      <c r="F2582" s="116">
        <v>998.8</v>
      </c>
      <c r="G2582">
        <v>55050</v>
      </c>
      <c r="H2582" s="116"/>
      <c r="I2582" s="116"/>
      <c r="L2582" s="170">
        <v>46020</v>
      </c>
      <c r="M2582" s="116">
        <v>999.35</v>
      </c>
      <c r="N2582" s="116">
        <v>1023.05</v>
      </c>
      <c r="O2582" s="116">
        <v>996.1</v>
      </c>
      <c r="P2582" s="116">
        <v>1020.3</v>
      </c>
      <c r="Q2582" s="116">
        <v>999.35</v>
      </c>
      <c r="R2582">
        <v>453491</v>
      </c>
    </row>
    <row r="2583" spans="1:18" x14ac:dyDescent="0.25">
      <c r="A2583" s="170">
        <v>46021</v>
      </c>
      <c r="B2583" s="116">
        <v>1027.95</v>
      </c>
      <c r="C2583" s="116">
        <v>1023.95</v>
      </c>
      <c r="D2583" s="116">
        <v>997.1</v>
      </c>
      <c r="E2583" s="116">
        <v>999.35</v>
      </c>
      <c r="F2583" s="116">
        <v>1023.95</v>
      </c>
      <c r="G2583">
        <v>37230</v>
      </c>
      <c r="H2583" s="116"/>
      <c r="I2583" s="116"/>
      <c r="L2583" s="170">
        <v>46021</v>
      </c>
      <c r="M2583" s="116">
        <v>1024.1500000000001</v>
      </c>
      <c r="N2583" s="116">
        <v>1028.2</v>
      </c>
      <c r="O2583" s="116">
        <v>996.3</v>
      </c>
      <c r="P2583" s="116">
        <v>1000.4</v>
      </c>
      <c r="Q2583" s="116">
        <v>1024.1500000000001</v>
      </c>
      <c r="R2583">
        <v>879685</v>
      </c>
    </row>
    <row r="2584" spans="1:18" x14ac:dyDescent="0.25">
      <c r="A2584" s="170">
        <v>46022</v>
      </c>
      <c r="B2584" s="116">
        <v>1032.9000000000001</v>
      </c>
      <c r="C2584" s="116">
        <v>1029.25</v>
      </c>
      <c r="D2584" s="116">
        <v>1014.7</v>
      </c>
      <c r="E2584" s="116">
        <v>1029</v>
      </c>
      <c r="F2584" s="116">
        <v>1029.25</v>
      </c>
      <c r="G2584">
        <v>50759</v>
      </c>
      <c r="H2584" s="116"/>
      <c r="I2584" s="116"/>
      <c r="L2584" s="170">
        <v>46022</v>
      </c>
      <c r="M2584" s="116">
        <v>1027.3499999999999</v>
      </c>
      <c r="N2584" s="116">
        <v>1033</v>
      </c>
      <c r="O2584" s="116">
        <v>1014.6</v>
      </c>
      <c r="P2584" s="116">
        <v>1024.1500000000001</v>
      </c>
      <c r="Q2584" s="116">
        <v>1027.3499999999999</v>
      </c>
      <c r="R2584">
        <v>663080</v>
      </c>
    </row>
    <row r="2585" spans="1:18" x14ac:dyDescent="0.25">
      <c r="A2585" s="170">
        <v>46023</v>
      </c>
      <c r="B2585" s="116">
        <v>1061.3499999999999</v>
      </c>
      <c r="C2585" s="116">
        <v>1045.7</v>
      </c>
      <c r="D2585" s="116">
        <v>1027.45</v>
      </c>
      <c r="E2585" s="116">
        <v>1027.45</v>
      </c>
      <c r="F2585" s="116">
        <v>1045.7</v>
      </c>
      <c r="G2585">
        <v>234882</v>
      </c>
      <c r="H2585" s="116"/>
      <c r="I2585" s="116"/>
      <c r="L2585" s="170">
        <v>46023</v>
      </c>
      <c r="M2585" s="116">
        <v>1046.4000000000001</v>
      </c>
      <c r="N2585" s="116">
        <v>1061.7</v>
      </c>
      <c r="O2585" s="116">
        <v>1026.3</v>
      </c>
      <c r="P2585" s="116">
        <v>1029</v>
      </c>
      <c r="Q2585" s="116">
        <v>1046.4000000000001</v>
      </c>
      <c r="R2585">
        <v>2771177</v>
      </c>
    </row>
    <row r="2586" spans="1:18" x14ac:dyDescent="0.25">
      <c r="A2586" s="170">
        <v>46024</v>
      </c>
      <c r="B2586" s="116">
        <v>1067.3</v>
      </c>
      <c r="C2586" s="116">
        <v>1057.9000000000001</v>
      </c>
      <c r="D2586" s="116">
        <v>1050.5</v>
      </c>
      <c r="E2586" s="116">
        <v>1050.8</v>
      </c>
      <c r="F2586" s="116">
        <v>1057.9000000000001</v>
      </c>
      <c r="G2586">
        <v>74547</v>
      </c>
      <c r="H2586" s="116"/>
      <c r="I2586" s="116"/>
      <c r="L2586" s="170">
        <v>46024</v>
      </c>
      <c r="M2586" s="116">
        <v>1057.9000000000001</v>
      </c>
      <c r="N2586" s="116">
        <v>1067.7</v>
      </c>
      <c r="O2586" s="116">
        <v>1050.2</v>
      </c>
      <c r="P2586" s="116">
        <v>1056.9000000000001</v>
      </c>
      <c r="Q2586" s="116">
        <v>1057.9000000000001</v>
      </c>
      <c r="R2586">
        <v>1370725</v>
      </c>
    </row>
    <row r="2587" spans="1:18" x14ac:dyDescent="0.25">
      <c r="A2587" s="170">
        <v>46027</v>
      </c>
      <c r="B2587" s="116">
        <v>1057.45</v>
      </c>
      <c r="C2587" s="116">
        <v>1044.4000000000001</v>
      </c>
      <c r="D2587" s="116">
        <v>1040.25</v>
      </c>
      <c r="E2587" s="116">
        <v>1051.7</v>
      </c>
      <c r="F2587" s="116">
        <v>1044.4000000000001</v>
      </c>
      <c r="G2587">
        <v>102977</v>
      </c>
      <c r="H2587" s="116"/>
      <c r="I2587" s="116"/>
      <c r="L2587" s="170">
        <v>46027</v>
      </c>
      <c r="M2587" s="116">
        <v>1044.9000000000001</v>
      </c>
      <c r="N2587" s="116">
        <v>1057.7</v>
      </c>
      <c r="O2587" s="116">
        <v>1040</v>
      </c>
      <c r="P2587" s="116">
        <v>1054.7</v>
      </c>
      <c r="Q2587" s="116">
        <v>1044.9000000000001</v>
      </c>
      <c r="R2587">
        <v>783498</v>
      </c>
    </row>
    <row r="2588" spans="1:18" x14ac:dyDescent="0.25">
      <c r="A2588" s="170">
        <v>46028</v>
      </c>
      <c r="B2588" s="116">
        <v>1056.5999999999999</v>
      </c>
      <c r="C2588" s="116">
        <v>1043.4000000000001</v>
      </c>
      <c r="D2588" s="116">
        <v>1036.8</v>
      </c>
      <c r="E2588" s="116">
        <v>1048</v>
      </c>
      <c r="F2588" s="116">
        <v>1043.4000000000001</v>
      </c>
      <c r="G2588">
        <v>25513</v>
      </c>
      <c r="H2588" s="116"/>
      <c r="I2588" s="116"/>
      <c r="L2588" s="170">
        <v>46028</v>
      </c>
      <c r="M2588" s="116">
        <v>1044.0999999999999</v>
      </c>
      <c r="N2588" s="116">
        <v>1057</v>
      </c>
      <c r="O2588" s="116">
        <v>1036.4000000000001</v>
      </c>
      <c r="P2588" s="116">
        <v>1048.9000000000001</v>
      </c>
      <c r="Q2588" s="116">
        <v>1044.0999999999999</v>
      </c>
      <c r="R2588">
        <v>957872</v>
      </c>
    </row>
    <row r="2589" spans="1:18" x14ac:dyDescent="0.25">
      <c r="A2589" s="170">
        <v>46029</v>
      </c>
      <c r="B2589" s="116">
        <v>1047.7</v>
      </c>
      <c r="C2589" s="116">
        <v>1033.2</v>
      </c>
      <c r="D2589" s="116">
        <v>1028.5</v>
      </c>
      <c r="E2589" s="116">
        <v>1033.45</v>
      </c>
      <c r="F2589" s="116">
        <v>1033.2</v>
      </c>
      <c r="G2589">
        <v>25523</v>
      </c>
      <c r="H2589" s="116"/>
      <c r="I2589" s="116"/>
      <c r="L2589" s="170">
        <v>46029</v>
      </c>
      <c r="M2589" s="116">
        <v>1033.5</v>
      </c>
      <c r="N2589" s="116">
        <v>1047.9000000000001</v>
      </c>
      <c r="O2589" s="116">
        <v>1028.4000000000001</v>
      </c>
      <c r="P2589" s="116">
        <v>1043.3</v>
      </c>
      <c r="Q2589" s="116">
        <v>1033.5</v>
      </c>
      <c r="R2589">
        <v>489225</v>
      </c>
    </row>
    <row r="2590" spans="1:18" x14ac:dyDescent="0.25">
      <c r="A2590" s="170">
        <v>46030</v>
      </c>
      <c r="B2590" s="116">
        <v>1033.2</v>
      </c>
      <c r="C2590" s="116">
        <v>993.9</v>
      </c>
      <c r="D2590" s="116">
        <v>988.25</v>
      </c>
      <c r="E2590" s="116">
        <v>1033.2</v>
      </c>
      <c r="F2590" s="116">
        <v>993.9</v>
      </c>
      <c r="G2590">
        <v>42625</v>
      </c>
      <c r="H2590" s="116"/>
      <c r="I2590" s="116"/>
      <c r="L2590" s="170">
        <v>46030</v>
      </c>
      <c r="M2590" s="116">
        <v>994.3</v>
      </c>
      <c r="N2590" s="116">
        <v>1032</v>
      </c>
      <c r="O2590" s="116">
        <v>988</v>
      </c>
      <c r="P2590" s="116">
        <v>1032</v>
      </c>
      <c r="Q2590" s="116">
        <v>994.3</v>
      </c>
      <c r="R2590">
        <v>1182605</v>
      </c>
    </row>
    <row r="2591" spans="1:18" x14ac:dyDescent="0.25">
      <c r="A2591" s="170">
        <v>46031</v>
      </c>
      <c r="B2591" s="116">
        <v>999.25</v>
      </c>
      <c r="C2591" s="116">
        <v>961.05</v>
      </c>
      <c r="D2591" s="116">
        <v>952.85</v>
      </c>
      <c r="E2591" s="116">
        <v>994.3</v>
      </c>
      <c r="F2591" s="116">
        <v>961.05</v>
      </c>
      <c r="G2591">
        <v>39851</v>
      </c>
      <c r="H2591" s="116"/>
      <c r="I2591" s="116"/>
      <c r="L2591" s="170">
        <v>46031</v>
      </c>
      <c r="M2591" s="116">
        <v>960.6</v>
      </c>
      <c r="N2591" s="116">
        <v>999.1</v>
      </c>
      <c r="O2591" s="116">
        <v>952</v>
      </c>
      <c r="P2591" s="116">
        <v>996</v>
      </c>
      <c r="Q2591" s="116">
        <v>960.6</v>
      </c>
      <c r="R2591">
        <v>967758</v>
      </c>
    </row>
    <row r="2592" spans="1:18" x14ac:dyDescent="0.25">
      <c r="A2592" s="170">
        <v>46034</v>
      </c>
      <c r="B2592" s="116">
        <v>960.35</v>
      </c>
      <c r="C2592" s="116">
        <v>952.4</v>
      </c>
      <c r="D2592" s="116">
        <v>928</v>
      </c>
      <c r="E2592" s="116">
        <v>957.2</v>
      </c>
      <c r="F2592" s="116">
        <v>952.4</v>
      </c>
      <c r="G2592">
        <v>93593</v>
      </c>
      <c r="H2592" s="116"/>
      <c r="I2592" s="116"/>
      <c r="L2592" s="170">
        <v>46034</v>
      </c>
      <c r="M2592" s="116">
        <v>950.9</v>
      </c>
      <c r="N2592" s="116">
        <v>960.6</v>
      </c>
      <c r="O2592" s="116">
        <v>928</v>
      </c>
      <c r="P2592" s="116">
        <v>960.6</v>
      </c>
      <c r="Q2592" s="116">
        <v>950.9</v>
      </c>
      <c r="R2592">
        <v>1341852</v>
      </c>
    </row>
    <row r="2593" spans="1:18" x14ac:dyDescent="0.25">
      <c r="A2593" s="170">
        <v>46035</v>
      </c>
      <c r="B2593" s="116">
        <v>963.1</v>
      </c>
      <c r="C2593" s="116">
        <v>932.45</v>
      </c>
      <c r="D2593" s="116">
        <v>921.8</v>
      </c>
      <c r="E2593" s="116">
        <v>963.05</v>
      </c>
      <c r="F2593" s="116">
        <v>932.45</v>
      </c>
      <c r="G2593">
        <v>91132</v>
      </c>
      <c r="H2593" s="116"/>
      <c r="I2593" s="116"/>
      <c r="L2593" s="170">
        <v>46035</v>
      </c>
      <c r="M2593" s="116">
        <v>932.5</v>
      </c>
      <c r="N2593" s="116">
        <v>963.1</v>
      </c>
      <c r="O2593" s="116">
        <v>923.1</v>
      </c>
      <c r="P2593" s="116">
        <v>963.1</v>
      </c>
      <c r="Q2593" s="116">
        <v>932.5</v>
      </c>
      <c r="R2593">
        <v>1847216</v>
      </c>
    </row>
    <row r="2594" spans="1:18" x14ac:dyDescent="0.25">
      <c r="A2594" s="170">
        <v>46036</v>
      </c>
      <c r="B2594" s="116">
        <v>939.4</v>
      </c>
      <c r="C2594" s="116">
        <v>923.15</v>
      </c>
      <c r="D2594" s="116">
        <v>918.85</v>
      </c>
      <c r="E2594" s="116">
        <v>939.4</v>
      </c>
      <c r="F2594" s="116">
        <v>923.15</v>
      </c>
      <c r="G2594">
        <v>35238</v>
      </c>
      <c r="H2594" s="116"/>
      <c r="I2594" s="116"/>
      <c r="L2594" s="170">
        <v>46036</v>
      </c>
      <c r="M2594" s="116">
        <v>922.6</v>
      </c>
      <c r="N2594" s="116">
        <v>937</v>
      </c>
      <c r="O2594" s="116">
        <v>918.6</v>
      </c>
      <c r="P2594" s="116">
        <v>937</v>
      </c>
      <c r="Q2594" s="116">
        <v>922.6</v>
      </c>
      <c r="R2594">
        <v>1589464</v>
      </c>
    </row>
    <row r="2595" spans="1:18" x14ac:dyDescent="0.25">
      <c r="A2595" s="170">
        <v>46038</v>
      </c>
      <c r="B2595" s="116">
        <v>930.15</v>
      </c>
      <c r="C2595" s="116">
        <v>907.65</v>
      </c>
      <c r="D2595" s="116">
        <v>904.35</v>
      </c>
      <c r="E2595" s="116">
        <v>917.45</v>
      </c>
      <c r="F2595" s="116">
        <v>907.65</v>
      </c>
      <c r="G2595">
        <v>82670</v>
      </c>
      <c r="H2595" s="116"/>
      <c r="I2595" s="116"/>
      <c r="L2595" s="170">
        <v>46038</v>
      </c>
      <c r="M2595" s="116">
        <v>908.7</v>
      </c>
      <c r="N2595" s="116">
        <v>929.6</v>
      </c>
      <c r="O2595" s="116">
        <v>902.7</v>
      </c>
      <c r="P2595" s="116">
        <v>922.5</v>
      </c>
      <c r="Q2595" s="116">
        <v>908.7</v>
      </c>
      <c r="R2595">
        <v>1741275</v>
      </c>
    </row>
    <row r="2596" spans="1:18" x14ac:dyDescent="0.25">
      <c r="A2596" s="170">
        <v>46041</v>
      </c>
      <c r="B2596" s="116">
        <v>920</v>
      </c>
      <c r="C2596" s="116">
        <v>907.6</v>
      </c>
      <c r="D2596" s="116">
        <v>903</v>
      </c>
      <c r="E2596" s="116">
        <v>907.7</v>
      </c>
      <c r="F2596" s="116">
        <v>907.6</v>
      </c>
      <c r="G2596">
        <v>26036</v>
      </c>
      <c r="H2596" s="116"/>
      <c r="I2596" s="116"/>
      <c r="L2596" s="170">
        <v>46041</v>
      </c>
      <c r="M2596" s="116">
        <v>908.4</v>
      </c>
      <c r="N2596" s="116">
        <v>921</v>
      </c>
      <c r="O2596" s="116">
        <v>902.3</v>
      </c>
      <c r="P2596" s="116">
        <v>908.7</v>
      </c>
      <c r="Q2596" s="116">
        <v>908.4</v>
      </c>
      <c r="R2596">
        <v>923693</v>
      </c>
    </row>
    <row r="2597" spans="1:18" x14ac:dyDescent="0.25">
      <c r="A2597" s="170">
        <v>46042</v>
      </c>
      <c r="B2597" s="116">
        <v>928.7</v>
      </c>
      <c r="C2597" s="116">
        <v>885.2</v>
      </c>
      <c r="D2597" s="116">
        <v>881.9</v>
      </c>
      <c r="E2597" s="116">
        <v>909.75</v>
      </c>
      <c r="F2597" s="116">
        <v>885.2</v>
      </c>
      <c r="G2597">
        <v>68647</v>
      </c>
      <c r="H2597" s="116"/>
      <c r="I2597" s="116"/>
      <c r="L2597" s="170">
        <v>46042</v>
      </c>
      <c r="M2597" s="116">
        <v>885.5</v>
      </c>
      <c r="N2597" s="116">
        <v>928.8</v>
      </c>
      <c r="O2597" s="116">
        <v>881</v>
      </c>
      <c r="P2597" s="116">
        <v>915.1</v>
      </c>
      <c r="Q2597" s="116">
        <v>885.5</v>
      </c>
      <c r="R2597">
        <v>1936179</v>
      </c>
    </row>
    <row r="2598" spans="1:18" x14ac:dyDescent="0.25">
      <c r="A2598" s="170">
        <v>46043</v>
      </c>
      <c r="B2598" s="116">
        <v>907.8</v>
      </c>
      <c r="C2598" s="116">
        <v>898.65</v>
      </c>
      <c r="D2598" s="116">
        <v>877.45</v>
      </c>
      <c r="E2598" s="116">
        <v>881.55</v>
      </c>
      <c r="F2598" s="116">
        <v>898.65</v>
      </c>
      <c r="G2598">
        <v>56989</v>
      </c>
      <c r="H2598" s="116"/>
      <c r="I2598" s="116"/>
      <c r="L2598" s="170">
        <v>46043</v>
      </c>
      <c r="M2598" s="116">
        <v>899.3</v>
      </c>
      <c r="N2598" s="116">
        <v>907.9</v>
      </c>
      <c r="O2598" s="116">
        <v>876.3</v>
      </c>
      <c r="P2598" s="116">
        <v>885</v>
      </c>
      <c r="Q2598" s="116">
        <v>899.3</v>
      </c>
      <c r="R2598">
        <v>1645912</v>
      </c>
    </row>
    <row r="2599" spans="1:18" x14ac:dyDescent="0.25">
      <c r="A2599" s="170">
        <v>46044</v>
      </c>
      <c r="B2599" s="116">
        <v>932.95</v>
      </c>
      <c r="C2599" s="116">
        <v>925</v>
      </c>
      <c r="D2599" s="116">
        <v>900.45</v>
      </c>
      <c r="E2599" s="116">
        <v>900.45</v>
      </c>
      <c r="F2599" s="116">
        <v>925</v>
      </c>
      <c r="G2599">
        <v>33532</v>
      </c>
      <c r="H2599" s="116"/>
      <c r="I2599" s="116"/>
      <c r="L2599" s="170">
        <v>46044</v>
      </c>
      <c r="M2599" s="116">
        <v>924.8</v>
      </c>
      <c r="N2599" s="116">
        <v>932.9</v>
      </c>
      <c r="O2599" s="116">
        <v>904.2</v>
      </c>
      <c r="P2599" s="116">
        <v>904.2</v>
      </c>
      <c r="Q2599" s="116">
        <v>924.8</v>
      </c>
      <c r="R2599">
        <v>979746</v>
      </c>
    </row>
    <row r="2600" spans="1:18" x14ac:dyDescent="0.25">
      <c r="A2600" s="170">
        <v>46045</v>
      </c>
      <c r="B2600" s="116">
        <v>925.1</v>
      </c>
      <c r="C2600" s="116">
        <v>814.25</v>
      </c>
      <c r="D2600" s="116">
        <v>804.7</v>
      </c>
      <c r="E2600" s="116">
        <v>925.05</v>
      </c>
      <c r="F2600" s="116">
        <v>814.25</v>
      </c>
      <c r="G2600">
        <v>472308</v>
      </c>
      <c r="H2600" s="116"/>
      <c r="I2600" s="116"/>
      <c r="L2600" s="170">
        <v>46045</v>
      </c>
      <c r="M2600" s="116">
        <v>812.7</v>
      </c>
      <c r="N2600" s="116">
        <v>925</v>
      </c>
      <c r="O2600" s="116">
        <v>803.1</v>
      </c>
      <c r="P2600" s="116">
        <v>925</v>
      </c>
      <c r="Q2600" s="116">
        <v>812.7</v>
      </c>
      <c r="R2600">
        <v>7623697</v>
      </c>
    </row>
    <row r="2601" spans="1:18" x14ac:dyDescent="0.25">
      <c r="A2601" s="170">
        <v>46049</v>
      </c>
      <c r="B2601" s="116">
        <v>856</v>
      </c>
      <c r="C2601" s="116">
        <v>848.95</v>
      </c>
      <c r="D2601" s="116">
        <v>811.85</v>
      </c>
      <c r="E2601" s="116">
        <v>830</v>
      </c>
      <c r="F2601" s="116">
        <v>848.95</v>
      </c>
      <c r="G2601">
        <v>223363</v>
      </c>
      <c r="H2601" s="116"/>
      <c r="I2601" s="116"/>
      <c r="L2601" s="170">
        <v>46049</v>
      </c>
      <c r="M2601" s="116">
        <v>849.1</v>
      </c>
      <c r="N2601" s="116">
        <v>857.5</v>
      </c>
      <c r="O2601" s="116">
        <v>811.3</v>
      </c>
      <c r="P2601" s="116">
        <v>830</v>
      </c>
      <c r="Q2601" s="116">
        <v>849.1</v>
      </c>
      <c r="R2601">
        <v>3675055</v>
      </c>
    </row>
    <row r="2602" spans="1:18" x14ac:dyDescent="0.25">
      <c r="A2602" s="170">
        <v>46050</v>
      </c>
      <c r="B2602" s="116">
        <v>885.2</v>
      </c>
      <c r="C2602" s="116">
        <v>881.35</v>
      </c>
      <c r="D2602" s="116">
        <v>838.5</v>
      </c>
      <c r="E2602" s="116">
        <v>858.55</v>
      </c>
      <c r="F2602" s="116">
        <v>881.35</v>
      </c>
      <c r="G2602">
        <v>53176</v>
      </c>
      <c r="H2602" s="116"/>
      <c r="I2602" s="116"/>
      <c r="L2602" s="170">
        <v>46050</v>
      </c>
      <c r="M2602" s="116">
        <v>882</v>
      </c>
      <c r="N2602" s="116">
        <v>886</v>
      </c>
      <c r="O2602" s="116">
        <v>838</v>
      </c>
      <c r="P2602" s="116">
        <v>857</v>
      </c>
      <c r="Q2602" s="116">
        <v>882</v>
      </c>
      <c r="R2602">
        <v>1896173</v>
      </c>
    </row>
    <row r="2603" spans="1:18" x14ac:dyDescent="0.25">
      <c r="A2603" s="170">
        <v>46051</v>
      </c>
      <c r="B2603" s="116">
        <v>919.45</v>
      </c>
      <c r="C2603" s="116">
        <v>912.8</v>
      </c>
      <c r="D2603" s="116">
        <v>866.3</v>
      </c>
      <c r="E2603" s="116">
        <v>884.4</v>
      </c>
      <c r="F2603" s="116">
        <v>912.8</v>
      </c>
      <c r="G2603">
        <v>50949</v>
      </c>
      <c r="H2603" s="116"/>
      <c r="I2603" s="116"/>
      <c r="L2603" s="170">
        <v>46051</v>
      </c>
      <c r="M2603" s="116">
        <v>914.1</v>
      </c>
      <c r="N2603" s="116">
        <v>920.5</v>
      </c>
      <c r="O2603" s="116">
        <v>867</v>
      </c>
      <c r="P2603" s="116">
        <v>881.9</v>
      </c>
      <c r="Q2603" s="116">
        <v>914.1</v>
      </c>
      <c r="R2603">
        <v>2161176</v>
      </c>
    </row>
    <row r="2604" spans="1:18" x14ac:dyDescent="0.25">
      <c r="A2604" s="170">
        <v>46052</v>
      </c>
      <c r="B2604" s="116">
        <v>916</v>
      </c>
      <c r="C2604" s="116">
        <v>895.35</v>
      </c>
      <c r="D2604" s="116">
        <v>884</v>
      </c>
      <c r="E2604" s="116">
        <v>902.55</v>
      </c>
      <c r="F2604" s="116">
        <v>895.35</v>
      </c>
      <c r="G2604">
        <v>30511</v>
      </c>
      <c r="H2604" s="116"/>
      <c r="I2604" s="116"/>
      <c r="L2604" s="170">
        <v>46052</v>
      </c>
      <c r="M2604" s="116">
        <v>894.8</v>
      </c>
      <c r="N2604" s="116">
        <v>916</v>
      </c>
      <c r="O2604" s="116">
        <v>883.2</v>
      </c>
      <c r="P2604" s="116">
        <v>900</v>
      </c>
      <c r="Q2604" s="116">
        <v>894.8</v>
      </c>
      <c r="R2604">
        <v>1140000</v>
      </c>
    </row>
    <row r="2605" spans="1:18" x14ac:dyDescent="0.25">
      <c r="A2605" s="170">
        <v>46054</v>
      </c>
      <c r="B2605" s="116">
        <v>906.5</v>
      </c>
      <c r="C2605" s="116">
        <v>846.4</v>
      </c>
      <c r="D2605" s="116">
        <v>842.15</v>
      </c>
      <c r="E2605" s="116">
        <v>889.9</v>
      </c>
      <c r="F2605" s="116">
        <v>846.4</v>
      </c>
      <c r="G2605">
        <v>78691</v>
      </c>
      <c r="H2605" s="116"/>
      <c r="I2605" s="116"/>
      <c r="L2605" s="170">
        <v>46054</v>
      </c>
      <c r="M2605" s="116">
        <v>845.75</v>
      </c>
      <c r="N2605" s="116">
        <v>906.5</v>
      </c>
      <c r="O2605" s="116">
        <v>842</v>
      </c>
      <c r="P2605" s="116">
        <v>885.6</v>
      </c>
      <c r="Q2605" s="116">
        <v>845.75</v>
      </c>
      <c r="R2605">
        <v>908084</v>
      </c>
    </row>
    <row r="2606" spans="1:18" x14ac:dyDescent="0.25">
      <c r="A2606" s="170">
        <v>46055</v>
      </c>
      <c r="B2606" s="116">
        <v>887</v>
      </c>
      <c r="C2606" s="116">
        <v>884.15</v>
      </c>
      <c r="D2606" s="116">
        <v>842.7</v>
      </c>
      <c r="E2606" s="116">
        <v>847</v>
      </c>
      <c r="F2606" s="116">
        <v>884.15</v>
      </c>
      <c r="G2606">
        <v>66740</v>
      </c>
      <c r="H2606" s="116"/>
      <c r="I2606" s="116"/>
      <c r="L2606" s="170">
        <v>46055</v>
      </c>
      <c r="M2606" s="116">
        <v>884.6</v>
      </c>
      <c r="N2606" s="116">
        <v>890</v>
      </c>
      <c r="O2606" s="116">
        <v>842.8</v>
      </c>
      <c r="P2606" s="116">
        <v>849.9</v>
      </c>
      <c r="Q2606" s="116">
        <v>884.6</v>
      </c>
      <c r="R2606">
        <v>1530800</v>
      </c>
    </row>
    <row r="2607" spans="1:18" x14ac:dyDescent="0.25">
      <c r="A2607" s="170">
        <v>46056</v>
      </c>
      <c r="B2607" s="116">
        <v>983.05</v>
      </c>
      <c r="C2607" s="116">
        <v>974.6</v>
      </c>
      <c r="D2607" s="116">
        <v>931.85</v>
      </c>
      <c r="E2607" s="116">
        <v>931.85</v>
      </c>
      <c r="F2607" s="116">
        <v>974.6</v>
      </c>
      <c r="G2607">
        <v>210593</v>
      </c>
      <c r="H2607" s="116"/>
      <c r="I2607" s="116"/>
      <c r="L2607" s="170">
        <v>46056</v>
      </c>
      <c r="M2607" s="116">
        <v>974.4</v>
      </c>
      <c r="N2607" s="116">
        <v>982.7</v>
      </c>
      <c r="O2607" s="116">
        <v>937.2</v>
      </c>
      <c r="P2607" s="116">
        <v>951</v>
      </c>
      <c r="Q2607" s="116">
        <v>974.4</v>
      </c>
      <c r="R2607">
        <v>5085074</v>
      </c>
    </row>
    <row r="2608" spans="1:18" x14ac:dyDescent="0.25">
      <c r="A2608" s="170">
        <v>46057</v>
      </c>
      <c r="B2608" s="116">
        <v>1001.45</v>
      </c>
      <c r="C2608" s="116">
        <v>987.95</v>
      </c>
      <c r="D2608" s="116">
        <v>956.65</v>
      </c>
      <c r="E2608" s="116">
        <v>968.85</v>
      </c>
      <c r="F2608" s="116">
        <v>987.95</v>
      </c>
      <c r="G2608">
        <v>114004</v>
      </c>
      <c r="H2608" s="116"/>
      <c r="I2608" s="116"/>
      <c r="L2608" s="170">
        <v>46057</v>
      </c>
      <c r="M2608" s="116">
        <v>988.15</v>
      </c>
      <c r="N2608" s="116">
        <v>1002.15</v>
      </c>
      <c r="O2608" s="116">
        <v>957.7</v>
      </c>
      <c r="P2608" s="116">
        <v>961.55</v>
      </c>
      <c r="Q2608" s="116">
        <v>988.15</v>
      </c>
      <c r="R2608">
        <v>1645647</v>
      </c>
    </row>
    <row r="2609" spans="1:18" x14ac:dyDescent="0.25">
      <c r="A2609" s="170">
        <v>46058</v>
      </c>
      <c r="B2609" s="116">
        <v>1016.45</v>
      </c>
      <c r="C2609" s="116">
        <v>1011.65</v>
      </c>
      <c r="D2609" s="116">
        <v>979.55</v>
      </c>
      <c r="E2609" s="116">
        <v>979.6</v>
      </c>
      <c r="F2609" s="116">
        <v>1011.65</v>
      </c>
      <c r="G2609">
        <v>58193</v>
      </c>
      <c r="H2609" s="116"/>
      <c r="I2609" s="116"/>
      <c r="L2609" s="170">
        <v>46058</v>
      </c>
      <c r="M2609" s="116">
        <v>1011.45</v>
      </c>
      <c r="N2609" s="116">
        <v>1016.5</v>
      </c>
      <c r="O2609" s="116">
        <v>980</v>
      </c>
      <c r="P2609" s="116">
        <v>980</v>
      </c>
      <c r="Q2609" s="116">
        <v>1011.45</v>
      </c>
      <c r="R2609">
        <v>1770119</v>
      </c>
    </row>
    <row r="2610" spans="1:18" x14ac:dyDescent="0.25">
      <c r="A2610" s="170">
        <v>46059</v>
      </c>
      <c r="B2610" s="116">
        <v>1026</v>
      </c>
      <c r="C2610" s="116">
        <v>1017.15</v>
      </c>
      <c r="D2610" s="116">
        <v>1001.5</v>
      </c>
      <c r="E2610" s="116">
        <v>1011</v>
      </c>
      <c r="F2610" s="116">
        <v>1017.15</v>
      </c>
      <c r="G2610">
        <v>126078</v>
      </c>
      <c r="H2610" s="116"/>
      <c r="I2610" s="116"/>
      <c r="L2610" s="170">
        <v>46059</v>
      </c>
      <c r="M2610" s="116">
        <v>1017.7</v>
      </c>
      <c r="N2610" s="116">
        <v>1025.95</v>
      </c>
      <c r="O2610" s="116">
        <v>1001.5</v>
      </c>
      <c r="P2610" s="116">
        <v>1010.4</v>
      </c>
      <c r="Q2610" s="116">
        <v>1017.7</v>
      </c>
      <c r="R2610">
        <v>1811726</v>
      </c>
    </row>
    <row r="2611" spans="1:18" x14ac:dyDescent="0.25">
      <c r="A2611" s="170">
        <v>46062</v>
      </c>
      <c r="B2611" s="116">
        <v>1039.95</v>
      </c>
      <c r="C2611" s="116">
        <v>1032.45</v>
      </c>
      <c r="D2611" s="116">
        <v>1023.3</v>
      </c>
      <c r="E2611" s="116">
        <v>1024.95</v>
      </c>
      <c r="F2611" s="116">
        <v>1032.45</v>
      </c>
      <c r="G2611">
        <v>37517</v>
      </c>
      <c r="H2611" s="116"/>
      <c r="I2611" s="116"/>
      <c r="L2611" s="170">
        <v>46062</v>
      </c>
      <c r="M2611" s="116">
        <v>1032.5</v>
      </c>
      <c r="N2611" s="116">
        <v>1040</v>
      </c>
      <c r="O2611" s="116">
        <v>1023.3</v>
      </c>
      <c r="P2611" s="116">
        <v>1023.8</v>
      </c>
      <c r="Q2611" s="116">
        <v>1032.5</v>
      </c>
      <c r="R2611">
        <v>1002729</v>
      </c>
    </row>
    <row r="2612" spans="1:18" x14ac:dyDescent="0.25">
      <c r="A2612" s="170">
        <v>46063</v>
      </c>
      <c r="B2612" s="116">
        <v>1035</v>
      </c>
      <c r="C2612" s="116">
        <v>1015.55</v>
      </c>
      <c r="D2612" s="116">
        <v>1003.5</v>
      </c>
      <c r="E2612" s="116">
        <v>1033.5</v>
      </c>
      <c r="F2612" s="116">
        <v>1015.55</v>
      </c>
      <c r="G2612">
        <v>36204</v>
      </c>
      <c r="H2612" s="116"/>
      <c r="I2612" s="116"/>
      <c r="L2612" s="170">
        <v>46063</v>
      </c>
      <c r="M2612" s="116">
        <v>1016.75</v>
      </c>
      <c r="N2612" s="116">
        <v>1033.9000000000001</v>
      </c>
      <c r="O2612" s="116">
        <v>1002.5</v>
      </c>
      <c r="P2612" s="116">
        <v>1033.9000000000001</v>
      </c>
      <c r="Q2612" s="116">
        <v>1016.75</v>
      </c>
      <c r="R2612">
        <v>1014007</v>
      </c>
    </row>
    <row r="2613" spans="1:18" x14ac:dyDescent="0.25">
      <c r="A2613" s="170">
        <v>46064</v>
      </c>
      <c r="B2613" s="116">
        <v>1036.5</v>
      </c>
      <c r="C2613" s="116">
        <v>1033.6500000000001</v>
      </c>
      <c r="D2613" s="116">
        <v>1010.05</v>
      </c>
      <c r="E2613" s="116">
        <v>1015.55</v>
      </c>
      <c r="F2613" s="116">
        <v>1033.6500000000001</v>
      </c>
      <c r="G2613">
        <v>27591</v>
      </c>
      <c r="H2613" s="116"/>
      <c r="I2613" s="116"/>
      <c r="L2613" s="170">
        <v>46064</v>
      </c>
      <c r="M2613" s="116">
        <v>1033.8</v>
      </c>
      <c r="N2613" s="116">
        <v>1037</v>
      </c>
      <c r="O2613" s="116">
        <v>1009.85</v>
      </c>
      <c r="P2613" s="116">
        <v>1014</v>
      </c>
      <c r="Q2613" s="116">
        <v>1033.8</v>
      </c>
      <c r="R2613">
        <v>929372</v>
      </c>
    </row>
    <row r="2614" spans="1:18" x14ac:dyDescent="0.25">
      <c r="A2614" s="170">
        <v>46065</v>
      </c>
      <c r="B2614" s="116">
        <v>1037.5999999999999</v>
      </c>
      <c r="C2614" s="116">
        <v>1023.55</v>
      </c>
      <c r="D2614" s="116">
        <v>1019.75</v>
      </c>
      <c r="E2614" s="116">
        <v>1030.95</v>
      </c>
      <c r="F2614" s="116">
        <v>1023.55</v>
      </c>
      <c r="G2614">
        <v>30447</v>
      </c>
      <c r="H2614" s="116"/>
      <c r="I2614" s="116"/>
      <c r="L2614" s="170">
        <v>46065</v>
      </c>
      <c r="M2614" s="116">
        <v>1022.8</v>
      </c>
      <c r="N2614" s="116">
        <v>1037</v>
      </c>
      <c r="O2614" s="116">
        <v>1020</v>
      </c>
      <c r="P2614" s="116">
        <v>1030</v>
      </c>
      <c r="Q2614" s="116">
        <v>1022.8</v>
      </c>
      <c r="R2614">
        <v>772484</v>
      </c>
    </row>
    <row r="2615" spans="1:18" x14ac:dyDescent="0.25">
      <c r="A2615" s="170">
        <v>46066</v>
      </c>
      <c r="B2615" s="116">
        <v>1014.3</v>
      </c>
      <c r="C2615" s="116">
        <v>987.7</v>
      </c>
      <c r="D2615" s="116">
        <v>978.55</v>
      </c>
      <c r="E2615" s="116">
        <v>1005.25</v>
      </c>
      <c r="F2615" s="116">
        <v>987.7</v>
      </c>
      <c r="G2615">
        <v>61732</v>
      </c>
      <c r="H2615" s="116"/>
      <c r="I2615" s="116"/>
      <c r="L2615" s="170">
        <v>46066</v>
      </c>
      <c r="M2615" s="116">
        <v>988</v>
      </c>
      <c r="N2615" s="116">
        <v>1017</v>
      </c>
      <c r="O2615" s="116">
        <v>979</v>
      </c>
      <c r="P2615" s="116">
        <v>1017</v>
      </c>
      <c r="Q2615" s="116">
        <v>988</v>
      </c>
      <c r="R2615">
        <v>1657616</v>
      </c>
    </row>
    <row r="2616" spans="1:18" x14ac:dyDescent="0.25">
      <c r="A2616" s="170">
        <v>46069</v>
      </c>
      <c r="B2616" s="116">
        <v>1007.35</v>
      </c>
      <c r="C2616" s="116">
        <v>1004</v>
      </c>
      <c r="D2616" s="116">
        <v>965.15</v>
      </c>
      <c r="E2616" s="116">
        <v>965.15</v>
      </c>
      <c r="F2616" s="116">
        <v>1004</v>
      </c>
      <c r="G2616">
        <v>18340</v>
      </c>
      <c r="H2616" s="116"/>
      <c r="I2616" s="116"/>
      <c r="L2616" s="170">
        <v>46069</v>
      </c>
      <c r="M2616" s="116">
        <v>1003.45</v>
      </c>
      <c r="N2616" s="116">
        <v>1007.5</v>
      </c>
      <c r="O2616" s="116">
        <v>972.3</v>
      </c>
      <c r="P2616" s="116">
        <v>977</v>
      </c>
      <c r="Q2616" s="116">
        <v>1003.45</v>
      </c>
      <c r="R2616">
        <v>976113</v>
      </c>
    </row>
    <row r="2617" spans="1:18" x14ac:dyDescent="0.25">
      <c r="A2617" s="170">
        <v>46070</v>
      </c>
      <c r="B2617" s="116">
        <v>1034.2</v>
      </c>
      <c r="C2617" s="116">
        <v>1030</v>
      </c>
      <c r="D2617" s="116">
        <v>997.3</v>
      </c>
      <c r="E2617" s="116">
        <v>1003.35</v>
      </c>
      <c r="F2617" s="116">
        <v>1030</v>
      </c>
      <c r="G2617">
        <v>68705</v>
      </c>
      <c r="H2617" s="116"/>
      <c r="I2617" s="116"/>
      <c r="L2617" s="170">
        <v>46070</v>
      </c>
      <c r="M2617" s="116">
        <v>1030.2</v>
      </c>
      <c r="N2617" s="116">
        <v>1035</v>
      </c>
      <c r="O2617" s="116">
        <v>996</v>
      </c>
      <c r="P2617" s="116">
        <v>1002</v>
      </c>
      <c r="Q2617" s="116">
        <v>1030.2</v>
      </c>
      <c r="R2617">
        <v>1460922</v>
      </c>
    </row>
    <row r="2618" spans="1:18" x14ac:dyDescent="0.25">
      <c r="A2618" s="170">
        <v>46071</v>
      </c>
      <c r="B2618" s="116">
        <v>1039</v>
      </c>
      <c r="C2618" s="116">
        <v>1035.55</v>
      </c>
      <c r="D2618" s="116">
        <v>1018.55</v>
      </c>
      <c r="E2618" s="116">
        <v>1035.0999999999999</v>
      </c>
      <c r="F2618" s="116">
        <v>1035.55</v>
      </c>
      <c r="G2618">
        <v>26277</v>
      </c>
      <c r="H2618" s="116"/>
      <c r="I2618" s="116"/>
      <c r="L2618" s="170">
        <v>46071</v>
      </c>
      <c r="M2618" s="116">
        <v>1035.7</v>
      </c>
      <c r="N2618" s="116">
        <v>1038.8</v>
      </c>
      <c r="O2618" s="116">
        <v>1018.3</v>
      </c>
      <c r="P2618" s="116">
        <v>1033.55</v>
      </c>
      <c r="Q2618" s="116">
        <v>1035.7</v>
      </c>
      <c r="R2618">
        <v>565965</v>
      </c>
    </row>
    <row r="2619" spans="1:18" x14ac:dyDescent="0.25">
      <c r="A2619" s="170">
        <v>46072</v>
      </c>
      <c r="B2619" s="116">
        <v>1038</v>
      </c>
      <c r="C2619" s="116">
        <v>1007.4</v>
      </c>
      <c r="D2619" s="116">
        <v>1003.3</v>
      </c>
      <c r="E2619" s="116">
        <v>1033.3499999999999</v>
      </c>
      <c r="F2619" s="116">
        <v>1007.4</v>
      </c>
      <c r="G2619">
        <v>29378</v>
      </c>
      <c r="H2619" s="116"/>
      <c r="I2619" s="116"/>
      <c r="L2619" s="170">
        <v>46072</v>
      </c>
      <c r="M2619" s="116">
        <v>1007.2</v>
      </c>
      <c r="N2619" s="116">
        <v>1036.0999999999999</v>
      </c>
      <c r="O2619" s="116">
        <v>1003.3</v>
      </c>
      <c r="P2619" s="116">
        <v>1035</v>
      </c>
      <c r="Q2619" s="116">
        <v>1007.2</v>
      </c>
      <c r="R2619">
        <v>917451</v>
      </c>
    </row>
    <row r="2620" spans="1:18" x14ac:dyDescent="0.25">
      <c r="A2620" s="170">
        <v>46073</v>
      </c>
      <c r="B2620" s="116">
        <v>1010.2</v>
      </c>
      <c r="C2620" s="116">
        <v>997.6</v>
      </c>
      <c r="D2620" s="116">
        <v>984</v>
      </c>
      <c r="E2620" s="116">
        <v>1002.05</v>
      </c>
      <c r="F2620" s="116">
        <v>997.6</v>
      </c>
      <c r="G2620">
        <v>99222</v>
      </c>
      <c r="H2620" s="116"/>
      <c r="I2620" s="116"/>
      <c r="L2620" s="170">
        <v>46073</v>
      </c>
      <c r="M2620" s="116">
        <v>998.1</v>
      </c>
      <c r="N2620" s="116">
        <v>1010.3</v>
      </c>
      <c r="O2620" s="116">
        <v>984.35</v>
      </c>
      <c r="P2620" s="116">
        <v>995.05</v>
      </c>
      <c r="Q2620" s="116">
        <v>998.1</v>
      </c>
      <c r="R2620">
        <v>2534563</v>
      </c>
    </row>
    <row r="2621" spans="1:18" x14ac:dyDescent="0.25">
      <c r="A2621" s="170">
        <v>46076</v>
      </c>
      <c r="B2621" s="116">
        <v>1009.35</v>
      </c>
      <c r="C2621" s="116">
        <v>1004</v>
      </c>
      <c r="D2621" s="116">
        <v>993.1</v>
      </c>
      <c r="E2621" s="116">
        <v>1006</v>
      </c>
      <c r="F2621" s="116">
        <v>1004</v>
      </c>
      <c r="G2621">
        <v>43344</v>
      </c>
      <c r="H2621" s="116"/>
      <c r="I2621" s="116"/>
      <c r="L2621" s="170">
        <v>46076</v>
      </c>
      <c r="M2621" s="116">
        <v>1003.8</v>
      </c>
      <c r="N2621" s="116">
        <v>1010</v>
      </c>
      <c r="O2621" s="116">
        <v>993.15</v>
      </c>
      <c r="P2621" s="116">
        <v>1003.1</v>
      </c>
      <c r="Q2621" s="116">
        <v>1003.8</v>
      </c>
      <c r="R2621">
        <v>1266712</v>
      </c>
    </row>
    <row r="2622" spans="1:18" x14ac:dyDescent="0.25">
      <c r="A2622" s="170">
        <v>46077</v>
      </c>
      <c r="B2622" s="116">
        <v>1045</v>
      </c>
      <c r="C2622" s="116">
        <v>1037.5</v>
      </c>
      <c r="D2622" s="116">
        <v>995</v>
      </c>
      <c r="E2622" s="116">
        <v>997.35</v>
      </c>
      <c r="F2622" s="116">
        <v>1037.5</v>
      </c>
      <c r="G2622">
        <v>91463</v>
      </c>
      <c r="H2622" s="116"/>
      <c r="I2622" s="116"/>
      <c r="L2622" s="170">
        <v>46077</v>
      </c>
      <c r="M2622" s="116">
        <v>1037.0999999999999</v>
      </c>
      <c r="N2622" s="116">
        <v>1045</v>
      </c>
      <c r="O2622" s="116">
        <v>993.7</v>
      </c>
      <c r="P2622" s="116">
        <v>999.75</v>
      </c>
      <c r="Q2622" s="116">
        <v>1037.0999999999999</v>
      </c>
      <c r="R2622">
        <v>1356273</v>
      </c>
    </row>
    <row r="2623" spans="1:18" x14ac:dyDescent="0.25">
      <c r="A2623" s="170">
        <v>46078</v>
      </c>
      <c r="B2623" s="116">
        <v>1051.2</v>
      </c>
      <c r="C2623" s="116">
        <v>1012.2</v>
      </c>
      <c r="D2623" s="116">
        <v>1006.6</v>
      </c>
      <c r="E2623" s="116">
        <v>1037.8</v>
      </c>
      <c r="F2623" s="116">
        <v>1012.2</v>
      </c>
      <c r="G2623">
        <v>100409</v>
      </c>
      <c r="H2623" s="116"/>
      <c r="I2623" s="116"/>
      <c r="L2623" s="170">
        <v>46078</v>
      </c>
      <c r="M2623" s="116">
        <v>1013</v>
      </c>
      <c r="N2623" s="116">
        <v>1051.8</v>
      </c>
      <c r="O2623" s="116">
        <v>1007.55</v>
      </c>
      <c r="P2623" s="116">
        <v>1041</v>
      </c>
      <c r="Q2623" s="116">
        <v>1013</v>
      </c>
      <c r="R2623">
        <v>1394329</v>
      </c>
    </row>
    <row r="2624" spans="1:18" x14ac:dyDescent="0.25">
      <c r="A2624" s="170">
        <v>46079</v>
      </c>
      <c r="B2624" s="116">
        <v>1036.05</v>
      </c>
      <c r="C2624" s="116">
        <v>1024.2</v>
      </c>
      <c r="D2624" s="116">
        <v>1009.1</v>
      </c>
      <c r="E2624" s="116">
        <v>1024.95</v>
      </c>
      <c r="F2624" s="116">
        <v>1024.2</v>
      </c>
      <c r="G2624">
        <v>41376</v>
      </c>
      <c r="H2624" s="116"/>
      <c r="I2624" s="116"/>
      <c r="L2624" s="170">
        <v>46079</v>
      </c>
      <c r="M2624" s="116">
        <v>1023.95</v>
      </c>
      <c r="N2624" s="116">
        <v>1036.2</v>
      </c>
      <c r="O2624" s="116">
        <v>1009</v>
      </c>
      <c r="P2624" s="116">
        <v>1023.2</v>
      </c>
      <c r="Q2624" s="116">
        <v>1023.95</v>
      </c>
      <c r="R2624">
        <v>1114743</v>
      </c>
    </row>
    <row r="2625" spans="1:18" x14ac:dyDescent="0.25">
      <c r="A2625" s="170">
        <v>46080</v>
      </c>
      <c r="B2625" s="116">
        <v>1033.95</v>
      </c>
      <c r="C2625" s="116">
        <v>1011.05</v>
      </c>
      <c r="D2625" s="116">
        <v>1008</v>
      </c>
      <c r="E2625" s="116">
        <v>1015.05</v>
      </c>
      <c r="F2625" s="116">
        <v>1011.05</v>
      </c>
      <c r="G2625">
        <v>41382</v>
      </c>
      <c r="H2625" s="116"/>
      <c r="I2625" s="116"/>
      <c r="L2625" s="170">
        <v>46080</v>
      </c>
      <c r="M2625" s="116">
        <v>1011.55</v>
      </c>
      <c r="N2625" s="116">
        <v>1034.4000000000001</v>
      </c>
      <c r="O2625" s="116">
        <v>1008</v>
      </c>
      <c r="P2625" s="116">
        <v>1022</v>
      </c>
      <c r="Q2625" s="116">
        <v>1011.55</v>
      </c>
      <c r="R2625">
        <v>702337</v>
      </c>
    </row>
    <row r="2626" spans="1:18" x14ac:dyDescent="0.25">
      <c r="A2626" s="170">
        <v>46083</v>
      </c>
      <c r="B2626" s="116">
        <v>988.3</v>
      </c>
      <c r="C2626" s="116">
        <v>971.15</v>
      </c>
      <c r="D2626" s="116">
        <v>925.4</v>
      </c>
      <c r="E2626" s="116">
        <v>925.4</v>
      </c>
      <c r="F2626" s="116">
        <v>971.15</v>
      </c>
      <c r="G2626">
        <v>76722</v>
      </c>
      <c r="H2626" s="116"/>
      <c r="I2626" s="116"/>
      <c r="L2626" s="170">
        <v>46083</v>
      </c>
      <c r="M2626" s="116">
        <v>972.3</v>
      </c>
      <c r="N2626" s="116">
        <v>988</v>
      </c>
      <c r="O2626" s="116">
        <v>951</v>
      </c>
      <c r="P2626" s="116">
        <v>961</v>
      </c>
      <c r="Q2626" s="116">
        <v>972.3</v>
      </c>
      <c r="R2626">
        <v>1362542</v>
      </c>
    </row>
    <row r="2627" spans="1:18" x14ac:dyDescent="0.25">
      <c r="A2627" s="170">
        <v>46085</v>
      </c>
      <c r="B2627" s="116">
        <v>968.7</v>
      </c>
      <c r="C2627" s="116">
        <v>959.25</v>
      </c>
      <c r="D2627" s="116">
        <v>948.6</v>
      </c>
      <c r="E2627" s="116">
        <v>953</v>
      </c>
      <c r="F2627" s="116">
        <v>959.25</v>
      </c>
      <c r="G2627">
        <v>50930</v>
      </c>
      <c r="H2627" s="116"/>
      <c r="I2627" s="116"/>
      <c r="L2627" s="170">
        <v>46085</v>
      </c>
      <c r="M2627" s="116">
        <v>960.5</v>
      </c>
      <c r="N2627" s="116">
        <v>968.5</v>
      </c>
      <c r="O2627" s="116">
        <v>948.8</v>
      </c>
      <c r="P2627" s="116">
        <v>956.4</v>
      </c>
      <c r="Q2627" s="116">
        <v>960.5</v>
      </c>
      <c r="R2627">
        <v>1778566</v>
      </c>
    </row>
    <row r="2628" spans="1:18" x14ac:dyDescent="0.25">
      <c r="A2628" s="170">
        <v>46086</v>
      </c>
      <c r="B2628" s="116">
        <v>993</v>
      </c>
      <c r="C2628" s="116">
        <v>987.75</v>
      </c>
      <c r="D2628" s="116">
        <v>961.15</v>
      </c>
      <c r="E2628" s="116">
        <v>961.15</v>
      </c>
      <c r="F2628" s="116">
        <v>987.75</v>
      </c>
      <c r="G2628">
        <v>19108</v>
      </c>
      <c r="H2628" s="116"/>
      <c r="I2628" s="116"/>
      <c r="L2628" s="170">
        <v>46086</v>
      </c>
      <c r="M2628" s="116">
        <v>987.9</v>
      </c>
      <c r="N2628" s="116">
        <v>994</v>
      </c>
      <c r="O2628" s="116">
        <v>965.4</v>
      </c>
      <c r="P2628" s="116">
        <v>965.4</v>
      </c>
      <c r="Q2628" s="116">
        <v>987.9</v>
      </c>
      <c r="R2628">
        <v>1006629</v>
      </c>
    </row>
    <row r="2629" spans="1:18" x14ac:dyDescent="0.25">
      <c r="A2629" s="170">
        <v>46087</v>
      </c>
      <c r="B2629" s="116">
        <v>1007</v>
      </c>
      <c r="C2629" s="116">
        <v>991.85</v>
      </c>
      <c r="D2629" s="116">
        <v>982</v>
      </c>
      <c r="E2629" s="116">
        <v>987.75</v>
      </c>
      <c r="F2629" s="116">
        <v>991.85</v>
      </c>
      <c r="G2629">
        <v>24204</v>
      </c>
      <c r="H2629" s="116"/>
      <c r="I2629" s="116"/>
      <c r="L2629" s="170">
        <v>46087</v>
      </c>
      <c r="M2629" s="116">
        <v>992.5</v>
      </c>
      <c r="N2629" s="116">
        <v>1007.7</v>
      </c>
      <c r="O2629" s="116">
        <v>979.8</v>
      </c>
      <c r="P2629" s="116">
        <v>980</v>
      </c>
      <c r="Q2629" s="116">
        <v>992.5</v>
      </c>
      <c r="R2629">
        <v>1529030</v>
      </c>
    </row>
    <row r="2630" spans="1:18" x14ac:dyDescent="0.25">
      <c r="A2630" s="170">
        <v>46090</v>
      </c>
      <c r="B2630" s="116">
        <v>987.05</v>
      </c>
      <c r="C2630" s="116">
        <v>980.95</v>
      </c>
      <c r="D2630" s="116">
        <v>958.5</v>
      </c>
      <c r="E2630" s="116">
        <v>979.65</v>
      </c>
      <c r="F2630" s="116">
        <v>980.95</v>
      </c>
      <c r="G2630">
        <v>33593</v>
      </c>
      <c r="H2630" s="116"/>
      <c r="I2630" s="116"/>
      <c r="L2630" s="170">
        <v>46090</v>
      </c>
      <c r="M2630" s="116">
        <v>981.4</v>
      </c>
      <c r="N2630" s="116">
        <v>986.9</v>
      </c>
      <c r="O2630" s="116">
        <v>958.1</v>
      </c>
      <c r="P2630" s="116">
        <v>970.5</v>
      </c>
      <c r="Q2630" s="116">
        <v>981.4</v>
      </c>
      <c r="R2630">
        <v>1176014</v>
      </c>
    </row>
    <row r="2631" spans="1:18" x14ac:dyDescent="0.25">
      <c r="A2631" s="170">
        <v>46091</v>
      </c>
      <c r="B2631" s="116">
        <v>1022.05</v>
      </c>
      <c r="C2631" s="116">
        <v>1013.75</v>
      </c>
      <c r="D2631" s="116">
        <v>981</v>
      </c>
      <c r="E2631" s="116">
        <v>995.9</v>
      </c>
      <c r="F2631" s="116">
        <v>1013.75</v>
      </c>
      <c r="G2631">
        <v>36318</v>
      </c>
      <c r="H2631" s="116"/>
      <c r="I2631" s="116"/>
      <c r="L2631" s="170">
        <v>46091</v>
      </c>
      <c r="M2631" s="116">
        <v>1013.6</v>
      </c>
      <c r="N2631" s="116">
        <v>1022.5</v>
      </c>
      <c r="O2631" s="116">
        <v>980.7</v>
      </c>
      <c r="P2631" s="116">
        <v>993.1</v>
      </c>
      <c r="Q2631" s="116">
        <v>1013.6</v>
      </c>
      <c r="R2631">
        <v>2120819</v>
      </c>
    </row>
    <row r="2632" spans="1:18" x14ac:dyDescent="0.25">
      <c r="A2632" s="170">
        <v>46092</v>
      </c>
      <c r="B2632" s="116">
        <v>1031</v>
      </c>
      <c r="C2632" s="116">
        <v>992</v>
      </c>
      <c r="D2632" s="116">
        <v>987.15</v>
      </c>
      <c r="E2632" s="116">
        <v>1010</v>
      </c>
      <c r="F2632" s="116">
        <v>992</v>
      </c>
      <c r="G2632">
        <v>36072</v>
      </c>
      <c r="H2632" s="116"/>
      <c r="I2632" s="116"/>
      <c r="L2632" s="170">
        <v>46092</v>
      </c>
      <c r="M2632" s="116">
        <v>992</v>
      </c>
      <c r="N2632" s="116">
        <v>1031.5999999999999</v>
      </c>
      <c r="O2632" s="116">
        <v>987.4</v>
      </c>
      <c r="P2632" s="116">
        <v>1010</v>
      </c>
      <c r="Q2632" s="116">
        <v>992</v>
      </c>
      <c r="R2632">
        <v>858594</v>
      </c>
    </row>
    <row r="2633" spans="1:18" x14ac:dyDescent="0.25">
      <c r="A2633" s="170">
        <v>46093</v>
      </c>
      <c r="B2633" s="116">
        <v>1015.25</v>
      </c>
      <c r="C2633" s="116">
        <v>1003.4</v>
      </c>
      <c r="D2633" s="116">
        <v>976.1</v>
      </c>
      <c r="E2633" s="116">
        <v>988</v>
      </c>
      <c r="F2633" s="116">
        <v>1003.4</v>
      </c>
      <c r="G2633">
        <v>57581</v>
      </c>
      <c r="H2633" s="116"/>
      <c r="I2633" s="116"/>
      <c r="L2633" s="170">
        <v>46093</v>
      </c>
      <c r="M2633" s="116">
        <v>1004.4</v>
      </c>
      <c r="N2633" s="116">
        <v>1019</v>
      </c>
      <c r="O2633" s="116">
        <v>976</v>
      </c>
      <c r="P2633" s="116">
        <v>987</v>
      </c>
      <c r="Q2633" s="116">
        <v>1004.4</v>
      </c>
      <c r="R2633">
        <v>1132800</v>
      </c>
    </row>
    <row r="2634" spans="1:18" x14ac:dyDescent="0.25">
      <c r="A2634" s="170">
        <v>46094</v>
      </c>
      <c r="B2634" s="116">
        <v>1026</v>
      </c>
      <c r="C2634" s="116">
        <v>991.25</v>
      </c>
      <c r="D2634" s="116">
        <v>981</v>
      </c>
      <c r="E2634" s="116">
        <v>1022.1</v>
      </c>
      <c r="F2634" s="116">
        <v>991.25</v>
      </c>
      <c r="G2634">
        <v>63279</v>
      </c>
      <c r="H2634" s="116"/>
      <c r="I2634" s="116"/>
      <c r="L2634" s="170">
        <v>46094</v>
      </c>
      <c r="M2634" s="116">
        <v>992.3</v>
      </c>
      <c r="N2634" s="116">
        <v>1027.3</v>
      </c>
      <c r="O2634" s="116">
        <v>980</v>
      </c>
      <c r="P2634" s="116">
        <v>1008.1</v>
      </c>
      <c r="Q2634" s="116">
        <v>992.3</v>
      </c>
      <c r="R2634">
        <v>2240508</v>
      </c>
    </row>
    <row r="2635" spans="1:18" x14ac:dyDescent="0.25">
      <c r="A2635" s="170">
        <v>46097</v>
      </c>
      <c r="B2635" s="116">
        <v>1010.05</v>
      </c>
      <c r="C2635" s="116">
        <v>996.75</v>
      </c>
      <c r="D2635" s="116">
        <v>970.65</v>
      </c>
      <c r="E2635" s="116">
        <v>991.2</v>
      </c>
      <c r="F2635" s="116">
        <v>996.75</v>
      </c>
      <c r="G2635">
        <v>22404</v>
      </c>
      <c r="H2635" s="116"/>
      <c r="I2635" s="116"/>
      <c r="L2635" s="170">
        <v>46097</v>
      </c>
      <c r="M2635" s="116">
        <v>996.5</v>
      </c>
      <c r="N2635" s="116">
        <v>1014.3</v>
      </c>
      <c r="O2635" s="116">
        <v>969.9</v>
      </c>
      <c r="P2635" s="116">
        <v>987.5</v>
      </c>
      <c r="Q2635" s="116">
        <v>996.5</v>
      </c>
      <c r="R2635">
        <v>1628015</v>
      </c>
    </row>
    <row r="2636" spans="1:18" x14ac:dyDescent="0.25">
      <c r="A2636" s="170">
        <v>46098</v>
      </c>
      <c r="B2636" s="116">
        <v>1012.85</v>
      </c>
      <c r="C2636" s="116">
        <v>1000.8</v>
      </c>
      <c r="D2636" s="116">
        <v>972</v>
      </c>
      <c r="E2636" s="116">
        <v>1012.85</v>
      </c>
      <c r="F2636" s="116">
        <v>1000.8</v>
      </c>
      <c r="G2636">
        <v>54816</v>
      </c>
      <c r="H2636" s="116"/>
      <c r="I2636" s="116"/>
      <c r="L2636" s="170">
        <v>46098</v>
      </c>
      <c r="M2636" s="116">
        <v>1000.6</v>
      </c>
      <c r="N2636" s="116">
        <v>1008.6</v>
      </c>
      <c r="O2636" s="116">
        <v>972</v>
      </c>
      <c r="P2636" s="116">
        <v>1008.6</v>
      </c>
      <c r="Q2636" s="116">
        <v>1000.6</v>
      </c>
      <c r="R2636">
        <v>1607115</v>
      </c>
    </row>
    <row r="2637" spans="1:18" x14ac:dyDescent="0.25">
      <c r="A2637" s="170">
        <v>46099</v>
      </c>
      <c r="B2637" s="116">
        <v>1043.05</v>
      </c>
      <c r="C2637" s="116">
        <v>1036.75</v>
      </c>
      <c r="D2637" s="116">
        <v>1000</v>
      </c>
      <c r="E2637" s="116">
        <v>1000</v>
      </c>
      <c r="F2637" s="116">
        <v>1036.75</v>
      </c>
      <c r="G2637">
        <v>110931</v>
      </c>
      <c r="H2637" s="116"/>
      <c r="I2637" s="116"/>
      <c r="L2637" s="170">
        <v>46099</v>
      </c>
      <c r="M2637" s="116">
        <v>1036.7</v>
      </c>
      <c r="N2637" s="116">
        <v>1043.8</v>
      </c>
      <c r="O2637" s="116">
        <v>1000</v>
      </c>
      <c r="P2637" s="116">
        <v>1000</v>
      </c>
      <c r="Q2637" s="116">
        <v>1036.7</v>
      </c>
      <c r="R2637">
        <v>1643508</v>
      </c>
    </row>
    <row r="2638" spans="1:18" x14ac:dyDescent="0.25">
      <c r="A2638" s="170">
        <v>46100</v>
      </c>
      <c r="B2638" s="116">
        <v>1025</v>
      </c>
      <c r="C2638" s="116">
        <v>1005.05</v>
      </c>
      <c r="D2638" s="116">
        <v>999.05</v>
      </c>
      <c r="E2638" s="116">
        <v>1010.2</v>
      </c>
      <c r="F2638" s="116">
        <v>1005.05</v>
      </c>
      <c r="G2638">
        <v>59027</v>
      </c>
      <c r="H2638" s="116"/>
      <c r="I2638" s="116"/>
      <c r="L2638" s="170">
        <v>46100</v>
      </c>
      <c r="M2638" s="116">
        <v>1005.3</v>
      </c>
      <c r="N2638" s="116">
        <v>1025.9000000000001</v>
      </c>
      <c r="O2638" s="116">
        <v>999.1</v>
      </c>
      <c r="P2638" s="116">
        <v>1014.5</v>
      </c>
      <c r="Q2638" s="116">
        <v>1005.3</v>
      </c>
      <c r="R2638">
        <v>719181</v>
      </c>
    </row>
    <row r="2639" spans="1:18" x14ac:dyDescent="0.25">
      <c r="A2639" s="170">
        <v>46101</v>
      </c>
      <c r="B2639" s="116">
        <v>1043.05</v>
      </c>
      <c r="C2639" s="116">
        <v>1009.9</v>
      </c>
      <c r="D2639" s="116">
        <v>1006.5</v>
      </c>
      <c r="E2639" s="116">
        <v>1030.1500000000001</v>
      </c>
      <c r="F2639" s="116">
        <v>1009.9</v>
      </c>
      <c r="G2639">
        <v>57598</v>
      </c>
      <c r="H2639" s="116"/>
      <c r="I2639" s="116"/>
      <c r="L2639" s="170">
        <v>46101</v>
      </c>
      <c r="M2639" s="116">
        <v>1009.9</v>
      </c>
      <c r="N2639" s="116">
        <v>1043</v>
      </c>
      <c r="O2639" s="116">
        <v>1005.6</v>
      </c>
      <c r="P2639" s="116">
        <v>1022.9</v>
      </c>
      <c r="Q2639" s="116">
        <v>1009.9</v>
      </c>
      <c r="R2639">
        <v>1871563</v>
      </c>
    </row>
    <row r="2640" spans="1:18" x14ac:dyDescent="0.25">
      <c r="A2640" s="170">
        <v>46104</v>
      </c>
      <c r="B2640" s="116">
        <v>1000.9</v>
      </c>
      <c r="C2640" s="116">
        <v>948</v>
      </c>
      <c r="D2640" s="116">
        <v>936.8</v>
      </c>
      <c r="E2640" s="116">
        <v>1000.9</v>
      </c>
      <c r="F2640" s="116">
        <v>948</v>
      </c>
      <c r="G2640">
        <v>6169754</v>
      </c>
      <c r="H2640" s="116"/>
      <c r="I2640" s="116"/>
      <c r="L2640" s="170">
        <v>46104</v>
      </c>
      <c r="M2640" s="116">
        <v>946.9</v>
      </c>
      <c r="N2640" s="116">
        <v>1000.9</v>
      </c>
      <c r="O2640" s="116">
        <v>935.7</v>
      </c>
      <c r="P2640" s="116">
        <v>1000</v>
      </c>
      <c r="Q2640" s="116">
        <v>946.9</v>
      </c>
      <c r="R2640">
        <v>8950325</v>
      </c>
    </row>
    <row r="2641" spans="1:18" x14ac:dyDescent="0.25">
      <c r="A2641" s="170">
        <v>46105</v>
      </c>
      <c r="B2641" s="116">
        <v>976.8</v>
      </c>
      <c r="C2641" s="116">
        <v>967.9</v>
      </c>
      <c r="D2641" s="116">
        <v>935.25</v>
      </c>
      <c r="E2641" s="116">
        <v>976.8</v>
      </c>
      <c r="F2641" s="116">
        <v>967.9</v>
      </c>
      <c r="G2641">
        <v>5311631</v>
      </c>
      <c r="H2641" s="116"/>
      <c r="I2641" s="116"/>
      <c r="L2641" s="170">
        <v>46105</v>
      </c>
      <c r="M2641" s="116">
        <v>967.3</v>
      </c>
      <c r="N2641" s="116">
        <v>976.3</v>
      </c>
      <c r="O2641" s="116">
        <v>935.4</v>
      </c>
      <c r="P2641" s="116">
        <v>970.1</v>
      </c>
      <c r="Q2641" s="116">
        <v>967.3</v>
      </c>
      <c r="R2641">
        <v>2325440</v>
      </c>
    </row>
    <row r="2642" spans="1:18" x14ac:dyDescent="0.25">
      <c r="A2642" s="170">
        <v>46106</v>
      </c>
      <c r="B2642" s="116">
        <v>998.6</v>
      </c>
      <c r="C2642" s="116">
        <v>988.3</v>
      </c>
      <c r="D2642" s="116">
        <v>969.25</v>
      </c>
      <c r="E2642" s="116">
        <v>969.25</v>
      </c>
      <c r="F2642" s="116">
        <v>988.3</v>
      </c>
      <c r="G2642">
        <v>87598</v>
      </c>
      <c r="H2642" s="116"/>
      <c r="I2642" s="116"/>
      <c r="L2642" s="170">
        <v>46106</v>
      </c>
      <c r="M2642" s="116">
        <v>990.4</v>
      </c>
      <c r="N2642" s="116">
        <v>999</v>
      </c>
      <c r="O2642" s="116">
        <v>970.3</v>
      </c>
      <c r="P2642" s="116">
        <v>971.9</v>
      </c>
      <c r="Q2642" s="116">
        <v>990.4</v>
      </c>
      <c r="R2642">
        <v>1256696</v>
      </c>
    </row>
    <row r="2643" spans="1:18" x14ac:dyDescent="0.25">
      <c r="A2643" s="170">
        <v>46108</v>
      </c>
      <c r="B2643" s="116">
        <v>987.95</v>
      </c>
      <c r="C2643" s="116">
        <v>956.4</v>
      </c>
      <c r="D2643" s="116">
        <v>953.1</v>
      </c>
      <c r="E2643" s="116">
        <v>987.95</v>
      </c>
      <c r="F2643" s="116">
        <v>956.4</v>
      </c>
      <c r="G2643">
        <v>160276</v>
      </c>
      <c r="H2643" s="116"/>
      <c r="I2643" s="116"/>
      <c r="L2643" s="170">
        <v>46108</v>
      </c>
      <c r="M2643" s="116">
        <v>956</v>
      </c>
      <c r="N2643" s="116">
        <v>986</v>
      </c>
      <c r="O2643" s="116">
        <v>953.5</v>
      </c>
      <c r="P2643" s="116">
        <v>985</v>
      </c>
      <c r="Q2643" s="116">
        <v>956</v>
      </c>
      <c r="R2643">
        <v>1357130</v>
      </c>
    </row>
    <row r="2644" spans="1:18" x14ac:dyDescent="0.25">
      <c r="A2644" s="170">
        <v>46111</v>
      </c>
      <c r="B2644" s="116">
        <v>957.5</v>
      </c>
      <c r="C2644" s="116">
        <v>934.2</v>
      </c>
      <c r="D2644" s="116">
        <v>931.2</v>
      </c>
      <c r="E2644" s="116">
        <v>949</v>
      </c>
      <c r="F2644" s="116">
        <v>934.2</v>
      </c>
      <c r="G2644">
        <v>140957</v>
      </c>
      <c r="H2644" s="116"/>
      <c r="I2644" s="116"/>
      <c r="L2644" s="170">
        <v>46111</v>
      </c>
      <c r="M2644" s="116">
        <v>934.9</v>
      </c>
      <c r="N2644" s="116">
        <v>957.6</v>
      </c>
      <c r="O2644" s="116">
        <v>930.3</v>
      </c>
      <c r="P2644" s="116">
        <v>950.2</v>
      </c>
      <c r="Q2644" s="116">
        <v>934.9</v>
      </c>
      <c r="R2644">
        <v>1714851</v>
      </c>
    </row>
    <row r="2645" spans="1:18" x14ac:dyDescent="0.25">
      <c r="A2645" s="170">
        <v>46113</v>
      </c>
      <c r="B2645" s="116">
        <v>981.65</v>
      </c>
      <c r="C2645" s="116">
        <v>956.65</v>
      </c>
      <c r="D2645" s="116">
        <v>947.8</v>
      </c>
      <c r="E2645" s="116">
        <v>959.65</v>
      </c>
      <c r="F2645" s="116">
        <v>956.65</v>
      </c>
      <c r="G2645">
        <v>52247</v>
      </c>
      <c r="H2645" s="116"/>
      <c r="I2645" s="116"/>
      <c r="L2645" s="170">
        <v>46113</v>
      </c>
      <c r="M2645" s="116">
        <v>956.6</v>
      </c>
      <c r="N2645" s="116">
        <v>982.45</v>
      </c>
      <c r="O2645" s="116">
        <v>947.1</v>
      </c>
      <c r="P2645" s="116">
        <v>953.95</v>
      </c>
      <c r="Q2645" s="116">
        <v>956.6</v>
      </c>
      <c r="R2645">
        <v>1333686</v>
      </c>
    </row>
    <row r="2646" spans="1:18" x14ac:dyDescent="0.25">
      <c r="A2646" s="170">
        <v>46114</v>
      </c>
      <c r="B2646" s="116">
        <v>946.7</v>
      </c>
      <c r="C2646" s="116">
        <v>942.1</v>
      </c>
      <c r="D2646" s="116">
        <v>903.25</v>
      </c>
      <c r="E2646" s="116">
        <v>938.3</v>
      </c>
      <c r="F2646" s="116">
        <v>942.1</v>
      </c>
      <c r="G2646">
        <v>91079</v>
      </c>
      <c r="H2646" s="116"/>
      <c r="I2646" s="116"/>
      <c r="L2646" s="170">
        <v>46114</v>
      </c>
      <c r="M2646" s="116">
        <v>941.6</v>
      </c>
      <c r="N2646" s="116">
        <v>946.55</v>
      </c>
      <c r="O2646" s="116">
        <v>903.15</v>
      </c>
      <c r="P2646" s="116">
        <v>940</v>
      </c>
      <c r="Q2646" s="116">
        <v>941.6</v>
      </c>
      <c r="R2646">
        <v>1748061</v>
      </c>
    </row>
    <row r="2647" spans="1:18" x14ac:dyDescent="0.25">
      <c r="A2647" s="170">
        <v>46118</v>
      </c>
      <c r="B2647" s="116">
        <v>999.4</v>
      </c>
      <c r="C2647" s="116">
        <v>991.3</v>
      </c>
      <c r="D2647" s="116">
        <v>936.8</v>
      </c>
      <c r="E2647" s="116">
        <v>939.15</v>
      </c>
      <c r="F2647" s="116">
        <v>991.3</v>
      </c>
      <c r="G2647">
        <v>160655</v>
      </c>
      <c r="H2647" s="116"/>
      <c r="I2647" s="116"/>
      <c r="L2647" s="170">
        <v>46118</v>
      </c>
      <c r="M2647" s="116">
        <v>991.35</v>
      </c>
      <c r="N2647" s="116">
        <v>999.65</v>
      </c>
      <c r="O2647" s="116">
        <v>936.1</v>
      </c>
      <c r="P2647" s="116">
        <v>941.9</v>
      </c>
      <c r="Q2647" s="116">
        <v>991.35</v>
      </c>
      <c r="R2647">
        <v>2083508</v>
      </c>
    </row>
    <row r="2648" spans="1:18" x14ac:dyDescent="0.25">
      <c r="A2648" s="170">
        <v>46119</v>
      </c>
      <c r="B2648" s="116">
        <v>999.95</v>
      </c>
      <c r="C2648" s="116">
        <v>986.65</v>
      </c>
      <c r="D2648" s="116">
        <v>975.4</v>
      </c>
      <c r="E2648" s="116">
        <v>990.9</v>
      </c>
      <c r="F2648" s="116">
        <v>986.65</v>
      </c>
      <c r="G2648">
        <v>64133</v>
      </c>
      <c r="H2648" s="116"/>
      <c r="I2648" s="116"/>
      <c r="L2648" s="170">
        <v>46119</v>
      </c>
      <c r="M2648" s="116">
        <v>986.25</v>
      </c>
      <c r="N2648" s="116">
        <v>999.5</v>
      </c>
      <c r="O2648" s="116">
        <v>975</v>
      </c>
      <c r="P2648" s="116">
        <v>988.1</v>
      </c>
      <c r="Q2648" s="116">
        <v>986.25</v>
      </c>
      <c r="R2648">
        <v>1498986</v>
      </c>
    </row>
    <row r="2649" spans="1:18" x14ac:dyDescent="0.25">
      <c r="A2649" s="170">
        <v>46120</v>
      </c>
      <c r="B2649" s="116">
        <v>1085.3</v>
      </c>
      <c r="C2649" s="116">
        <v>1073.3</v>
      </c>
      <c r="D2649" s="116">
        <v>1007.3</v>
      </c>
      <c r="E2649" s="116">
        <v>1007.3</v>
      </c>
      <c r="F2649" s="116">
        <v>1073.3</v>
      </c>
      <c r="G2649">
        <v>373115</v>
      </c>
      <c r="H2649" s="116"/>
      <c r="I2649" s="116"/>
      <c r="L2649" s="170">
        <v>46120</v>
      </c>
      <c r="M2649" s="116">
        <v>1073.3</v>
      </c>
      <c r="N2649" s="116">
        <v>1084.8499999999999</v>
      </c>
      <c r="O2649" s="116">
        <v>1014.05</v>
      </c>
      <c r="P2649" s="116">
        <v>1019.9</v>
      </c>
      <c r="Q2649" s="116">
        <v>1073.3</v>
      </c>
      <c r="R2649">
        <v>4475280</v>
      </c>
    </row>
    <row r="2650" spans="1:18" x14ac:dyDescent="0.25">
      <c r="A2650" s="170">
        <v>46121</v>
      </c>
      <c r="B2650" s="116">
        <v>1084.9000000000001</v>
      </c>
      <c r="C2650" s="116">
        <v>1079.3</v>
      </c>
      <c r="D2650" s="116">
        <v>1053.75</v>
      </c>
      <c r="E2650" s="116">
        <v>1070.2</v>
      </c>
      <c r="F2650" s="116">
        <v>1079.3</v>
      </c>
      <c r="G2650">
        <v>156061</v>
      </c>
      <c r="H2650" s="116"/>
      <c r="I2650" s="116"/>
      <c r="L2650" s="170">
        <v>46121</v>
      </c>
      <c r="M2650" s="116">
        <v>1078.75</v>
      </c>
      <c r="N2650" s="116">
        <v>1085</v>
      </c>
      <c r="O2650" s="116">
        <v>1052.8</v>
      </c>
      <c r="P2650" s="116">
        <v>1073.2</v>
      </c>
      <c r="Q2650" s="116">
        <v>1078.75</v>
      </c>
      <c r="R2650">
        <v>2130340</v>
      </c>
    </row>
    <row r="2651" spans="1:18" x14ac:dyDescent="0.25">
      <c r="A2651" s="170">
        <v>46122</v>
      </c>
      <c r="B2651" s="116">
        <v>1160.1500000000001</v>
      </c>
      <c r="C2651" s="116">
        <v>1158.05</v>
      </c>
      <c r="D2651" s="116">
        <v>1078.8</v>
      </c>
      <c r="E2651" s="116">
        <v>1078.8</v>
      </c>
      <c r="F2651" s="116">
        <v>1158.05</v>
      </c>
      <c r="G2651">
        <v>728807</v>
      </c>
      <c r="H2651" s="116"/>
      <c r="I2651" s="116"/>
      <c r="L2651" s="170">
        <v>46122</v>
      </c>
      <c r="M2651" s="116">
        <v>1157.9000000000001</v>
      </c>
      <c r="N2651" s="116">
        <v>1160.4000000000001</v>
      </c>
      <c r="O2651" s="116">
        <v>1079.3</v>
      </c>
      <c r="P2651" s="116">
        <v>1079.9000000000001</v>
      </c>
      <c r="Q2651" s="116">
        <v>1157.9000000000001</v>
      </c>
      <c r="R2651">
        <v>7933292</v>
      </c>
    </row>
    <row r="2652" spans="1:18" x14ac:dyDescent="0.25">
      <c r="A2652" s="170">
        <v>46125</v>
      </c>
      <c r="B2652" s="116">
        <v>1187.45</v>
      </c>
      <c r="C2652" s="116">
        <v>1175</v>
      </c>
      <c r="D2652" s="116">
        <v>1051.9000000000001</v>
      </c>
      <c r="E2652" s="116">
        <v>1051.9000000000001</v>
      </c>
      <c r="F2652" s="116">
        <v>1175</v>
      </c>
      <c r="G2652">
        <v>3599227</v>
      </c>
      <c r="H2652" s="116"/>
      <c r="I2652" s="116"/>
      <c r="L2652" s="170">
        <v>46125</v>
      </c>
      <c r="M2652" s="116">
        <v>1175.3</v>
      </c>
      <c r="N2652" s="116">
        <v>1187.25</v>
      </c>
      <c r="O2652" s="116">
        <v>1114.2</v>
      </c>
      <c r="P2652" s="116">
        <v>1120</v>
      </c>
      <c r="Q2652" s="116">
        <v>1175.3</v>
      </c>
      <c r="R2652">
        <v>4050611</v>
      </c>
    </row>
    <row r="2653" spans="1:18" x14ac:dyDescent="0.25">
      <c r="A2653" s="170">
        <v>46127</v>
      </c>
      <c r="B2653" s="116">
        <v>1205.2</v>
      </c>
      <c r="C2653" s="116">
        <v>1171.1500000000001</v>
      </c>
      <c r="D2653" s="116">
        <v>1165.5</v>
      </c>
      <c r="E2653" s="116">
        <v>1196.1500000000001</v>
      </c>
      <c r="F2653" s="116">
        <v>1171.1500000000001</v>
      </c>
      <c r="G2653">
        <v>85181</v>
      </c>
      <c r="H2653" s="116"/>
      <c r="I2653" s="116"/>
      <c r="L2653" s="170">
        <v>46127</v>
      </c>
      <c r="M2653" s="116">
        <v>1171.1500000000001</v>
      </c>
      <c r="N2653" s="116">
        <v>1205.7</v>
      </c>
      <c r="O2653" s="116">
        <v>1165.2</v>
      </c>
      <c r="P2653" s="116">
        <v>1195</v>
      </c>
      <c r="Q2653" s="116">
        <v>1171.1500000000001</v>
      </c>
      <c r="R2653">
        <v>2053037</v>
      </c>
    </row>
    <row r="2654" spans="1:18" x14ac:dyDescent="0.25">
      <c r="A2654" s="170">
        <v>46128</v>
      </c>
      <c r="B2654" s="116">
        <v>1228.8</v>
      </c>
      <c r="C2654" s="116">
        <v>1222.3</v>
      </c>
      <c r="D2654" s="116">
        <v>1172.75</v>
      </c>
      <c r="E2654" s="116">
        <v>1180.05</v>
      </c>
      <c r="F2654" s="116">
        <v>1222.3</v>
      </c>
      <c r="G2654">
        <v>232511</v>
      </c>
      <c r="H2654" s="116"/>
      <c r="I2654" s="116"/>
      <c r="L2654" s="170">
        <v>46128</v>
      </c>
      <c r="M2654" s="116">
        <v>1222.5999999999999</v>
      </c>
      <c r="N2654" s="116">
        <v>1229.5</v>
      </c>
      <c r="O2654" s="116">
        <v>1172.1500000000001</v>
      </c>
      <c r="P2654" s="116">
        <v>1182.1500000000001</v>
      </c>
      <c r="Q2654" s="116">
        <v>1222.5999999999999</v>
      </c>
      <c r="R2654">
        <v>3144521</v>
      </c>
    </row>
    <row r="2655" spans="1:18" x14ac:dyDescent="0.25">
      <c r="A2655" s="170">
        <v>46129</v>
      </c>
      <c r="B2655" s="116">
        <v>1266.5999999999999</v>
      </c>
      <c r="C2655" s="116">
        <v>1259.2</v>
      </c>
      <c r="D2655" s="116">
        <v>1223</v>
      </c>
      <c r="E2655" s="116">
        <v>1236</v>
      </c>
      <c r="F2655" s="116">
        <v>1259.2</v>
      </c>
      <c r="G2655">
        <v>189611</v>
      </c>
      <c r="H2655" s="116"/>
      <c r="I2655" s="116"/>
      <c r="L2655" s="170">
        <v>46129</v>
      </c>
      <c r="M2655" s="116">
        <v>1259.8</v>
      </c>
      <c r="N2655" s="116">
        <v>1266.45</v>
      </c>
      <c r="O2655" s="116">
        <v>1221.5999999999999</v>
      </c>
      <c r="P2655" s="116">
        <v>1234.55</v>
      </c>
      <c r="Q2655" s="116">
        <v>1259.8</v>
      </c>
      <c r="R2655">
        <v>4943744</v>
      </c>
    </row>
    <row r="2656" spans="1:18" x14ac:dyDescent="0.25">
      <c r="A2656" s="170">
        <v>46132</v>
      </c>
      <c r="B2656" s="116">
        <v>1291.3499999999999</v>
      </c>
      <c r="C2656" s="116">
        <v>1261.4000000000001</v>
      </c>
      <c r="D2656" s="116">
        <v>1246.4000000000001</v>
      </c>
      <c r="E2656" s="116">
        <v>1257.8</v>
      </c>
      <c r="F2656" s="116">
        <v>1261.4000000000001</v>
      </c>
      <c r="G2656">
        <v>106962</v>
      </c>
      <c r="H2656" s="116"/>
      <c r="I2656" s="116"/>
      <c r="L2656" s="170">
        <v>46132</v>
      </c>
      <c r="M2656" s="116">
        <v>1259.4000000000001</v>
      </c>
      <c r="N2656" s="116">
        <v>1291.5</v>
      </c>
      <c r="O2656" s="116">
        <v>1246.3499999999999</v>
      </c>
      <c r="P2656" s="116">
        <v>1253.0999999999999</v>
      </c>
      <c r="Q2656" s="116">
        <v>1259.4000000000001</v>
      </c>
      <c r="R2656">
        <v>2335390</v>
      </c>
    </row>
    <row r="2657" spans="1:18" x14ac:dyDescent="0.25">
      <c r="A2657" s="170">
        <v>46133</v>
      </c>
      <c r="B2657" s="116">
        <v>1272.8</v>
      </c>
      <c r="C2657" s="116">
        <v>1265.3</v>
      </c>
      <c r="D2657" s="116">
        <v>1243.9000000000001</v>
      </c>
      <c r="E2657" s="116">
        <v>1263.1500000000001</v>
      </c>
      <c r="F2657" s="116">
        <v>1265.3</v>
      </c>
      <c r="G2657">
        <v>153280</v>
      </c>
      <c r="H2657" s="116"/>
      <c r="I2657" s="116"/>
      <c r="L2657" s="170">
        <v>46133</v>
      </c>
      <c r="M2657" s="116">
        <v>1265.3</v>
      </c>
      <c r="N2657" s="116">
        <v>1273.0999999999999</v>
      </c>
      <c r="O2657" s="116">
        <v>1243.55</v>
      </c>
      <c r="P2657" s="116">
        <v>1268.3499999999999</v>
      </c>
      <c r="Q2657" s="116">
        <v>1265.3</v>
      </c>
      <c r="R2657">
        <v>1655410</v>
      </c>
    </row>
    <row r="2658" spans="1:18" x14ac:dyDescent="0.25">
      <c r="A2658" s="170">
        <v>46134</v>
      </c>
      <c r="B2658" s="116">
        <v>1382.5</v>
      </c>
      <c r="C2658" s="116">
        <v>1370.25</v>
      </c>
      <c r="D2658" s="116">
        <v>1265.3499999999999</v>
      </c>
      <c r="E2658" s="116">
        <v>1265.3499999999999</v>
      </c>
      <c r="F2658" s="116">
        <v>1370.25</v>
      </c>
      <c r="G2658">
        <v>417567</v>
      </c>
      <c r="H2658" s="116"/>
      <c r="I2658" s="116"/>
      <c r="L2658" s="170">
        <v>46134</v>
      </c>
      <c r="M2658" s="116">
        <v>1368.1</v>
      </c>
      <c r="N2658" s="116">
        <v>1383.4</v>
      </c>
      <c r="O2658" s="116">
        <v>1265.3</v>
      </c>
      <c r="P2658" s="116">
        <v>1269.5</v>
      </c>
      <c r="Q2658" s="116">
        <v>1368.1</v>
      </c>
      <c r="R2658">
        <v>6551573</v>
      </c>
    </row>
    <row r="2659" spans="1:18" x14ac:dyDescent="0.25">
      <c r="A2659" s="170">
        <v>46135</v>
      </c>
      <c r="B2659" s="116">
        <v>1389</v>
      </c>
      <c r="C2659" s="116">
        <v>1361.6</v>
      </c>
      <c r="D2659" s="116">
        <v>1339.65</v>
      </c>
      <c r="E2659" s="116">
        <v>1368</v>
      </c>
      <c r="F2659" s="116">
        <v>1361.6</v>
      </c>
      <c r="G2659">
        <v>299346</v>
      </c>
      <c r="H2659" s="116"/>
      <c r="I2659" s="116"/>
      <c r="L2659" s="170">
        <v>46135</v>
      </c>
      <c r="M2659" s="116">
        <v>1361.25</v>
      </c>
      <c r="N2659" s="116">
        <v>1389.45</v>
      </c>
      <c r="O2659" s="116">
        <v>1338.65</v>
      </c>
      <c r="P2659" s="116">
        <v>1365</v>
      </c>
      <c r="Q2659" s="116">
        <v>1361.25</v>
      </c>
      <c r="R2659">
        <v>4049540</v>
      </c>
    </row>
    <row r="2660" spans="1:18" x14ac:dyDescent="0.25">
      <c r="A2660" s="170">
        <v>46136</v>
      </c>
      <c r="B2660" s="116">
        <v>1425</v>
      </c>
      <c r="C2660" s="116">
        <v>1412.35</v>
      </c>
      <c r="D2660" s="116">
        <v>1282.05</v>
      </c>
      <c r="E2660" s="116">
        <v>1358.9</v>
      </c>
      <c r="F2660" s="116">
        <v>1412.35</v>
      </c>
      <c r="G2660">
        <v>640299</v>
      </c>
      <c r="H2660" s="116"/>
      <c r="I2660" s="116"/>
      <c r="L2660" s="170">
        <v>46136</v>
      </c>
      <c r="M2660" s="116">
        <v>1411.95</v>
      </c>
      <c r="N2660" s="116">
        <v>1425</v>
      </c>
      <c r="O2660" s="116">
        <v>1282.4000000000001</v>
      </c>
      <c r="P2660" s="116">
        <v>1359.95</v>
      </c>
      <c r="Q2660" s="116">
        <v>1411.95</v>
      </c>
      <c r="R2660">
        <v>7928505</v>
      </c>
    </row>
    <row r="2661" spans="1:18" x14ac:dyDescent="0.25">
      <c r="A2661" s="170">
        <v>46139</v>
      </c>
      <c r="B2661" s="116">
        <v>1453.2</v>
      </c>
      <c r="C2661" s="116">
        <v>1436.7</v>
      </c>
      <c r="D2661" s="116">
        <v>1388.8</v>
      </c>
      <c r="E2661" s="116">
        <v>1424</v>
      </c>
      <c r="F2661" s="116">
        <v>1436.7</v>
      </c>
      <c r="G2661">
        <v>385426</v>
      </c>
      <c r="H2661" s="116"/>
      <c r="I2661" s="116"/>
      <c r="L2661" s="170">
        <v>46139</v>
      </c>
      <c r="M2661" s="116">
        <v>1435.8</v>
      </c>
      <c r="N2661" s="116">
        <v>1453.2</v>
      </c>
      <c r="O2661" s="116">
        <v>1388.3</v>
      </c>
      <c r="P2661" s="116">
        <v>1425</v>
      </c>
      <c r="Q2661" s="116">
        <v>1435.8</v>
      </c>
      <c r="R2661">
        <v>5533751</v>
      </c>
    </row>
    <row r="2662" spans="1:18" x14ac:dyDescent="0.25">
      <c r="A2662" s="170">
        <v>46140</v>
      </c>
      <c r="B2662" s="116">
        <v>1463</v>
      </c>
      <c r="C2662" s="116">
        <v>1435.35</v>
      </c>
      <c r="D2662" s="116">
        <v>1413.05</v>
      </c>
      <c r="E2662" s="116">
        <v>1436.8</v>
      </c>
      <c r="F2662" s="116">
        <v>1435.35</v>
      </c>
      <c r="G2662">
        <v>190588</v>
      </c>
      <c r="H2662" s="116"/>
      <c r="I2662" s="116"/>
      <c r="L2662" s="170">
        <v>46140</v>
      </c>
      <c r="M2662" s="116">
        <v>1435.45</v>
      </c>
      <c r="N2662" s="116">
        <v>1463.65</v>
      </c>
      <c r="O2662" s="116">
        <v>1413.15</v>
      </c>
      <c r="P2662" s="116">
        <v>1439.9</v>
      </c>
      <c r="Q2662" s="116">
        <v>1435.45</v>
      </c>
      <c r="R2662">
        <v>3082735</v>
      </c>
    </row>
    <row r="2663" spans="1:18" x14ac:dyDescent="0.25">
      <c r="A2663" s="170">
        <v>46141</v>
      </c>
      <c r="B2663" s="116">
        <v>1455.25</v>
      </c>
      <c r="C2663" s="116">
        <v>1419.25</v>
      </c>
      <c r="D2663" s="116">
        <v>1413.05</v>
      </c>
      <c r="E2663" s="116">
        <v>1442</v>
      </c>
      <c r="F2663" s="116">
        <v>1419.25</v>
      </c>
      <c r="G2663">
        <v>86646</v>
      </c>
      <c r="H2663" s="116"/>
      <c r="I2663" s="116"/>
      <c r="L2663" s="170">
        <v>46141</v>
      </c>
      <c r="M2663" s="116">
        <v>1418.15</v>
      </c>
      <c r="N2663" s="116">
        <v>1461.95</v>
      </c>
      <c r="O2663" s="116">
        <v>1412</v>
      </c>
      <c r="P2663" s="116">
        <v>1439</v>
      </c>
      <c r="Q2663" s="116">
        <v>1418.15</v>
      </c>
      <c r="R2663">
        <v>2356863</v>
      </c>
    </row>
    <row r="2664" spans="1:18" x14ac:dyDescent="0.25">
      <c r="A2664" s="170">
        <v>46142</v>
      </c>
      <c r="B2664" s="116">
        <v>1377.05</v>
      </c>
      <c r="C2664" s="116">
        <v>1342.15</v>
      </c>
      <c r="D2664" s="116">
        <v>1308.3</v>
      </c>
      <c r="E2664" s="116">
        <v>1348.6</v>
      </c>
      <c r="F2664" s="116">
        <v>1342.15</v>
      </c>
      <c r="G2664">
        <v>384427</v>
      </c>
      <c r="H2664" s="116"/>
      <c r="I2664" s="116"/>
      <c r="L2664" s="170">
        <v>46142</v>
      </c>
      <c r="M2664" s="116">
        <v>1342.25</v>
      </c>
      <c r="N2664" s="116">
        <v>1377.1</v>
      </c>
      <c r="O2664" s="116">
        <v>1308</v>
      </c>
      <c r="P2664" s="116">
        <v>1336</v>
      </c>
      <c r="Q2664" s="116">
        <v>1342.25</v>
      </c>
      <c r="R2664">
        <v>6547437</v>
      </c>
    </row>
    <row r="2665" spans="1:18" x14ac:dyDescent="0.25">
      <c r="A2665" s="170">
        <v>46146</v>
      </c>
      <c r="B2665" s="116">
        <v>1416.6</v>
      </c>
      <c r="C2665" s="116">
        <v>1397.95</v>
      </c>
      <c r="D2665" s="116">
        <v>1328.75</v>
      </c>
      <c r="E2665" s="116">
        <v>1360</v>
      </c>
      <c r="F2665" s="116">
        <v>1397.95</v>
      </c>
      <c r="G2665">
        <v>199724</v>
      </c>
      <c r="H2665" s="116"/>
      <c r="I2665" s="116"/>
      <c r="L2665" s="170">
        <v>46146</v>
      </c>
      <c r="M2665" s="116">
        <v>1398.4</v>
      </c>
      <c r="N2665" s="116">
        <v>1417.7</v>
      </c>
      <c r="O2665" s="116">
        <v>1329.3</v>
      </c>
      <c r="P2665" s="116">
        <v>1357</v>
      </c>
      <c r="Q2665" s="116">
        <v>1398.4</v>
      </c>
      <c r="R2665">
        <v>3745191</v>
      </c>
    </row>
    <row r="2666" spans="1:18" x14ac:dyDescent="0.25">
      <c r="A2666" s="170">
        <v>46147</v>
      </c>
      <c r="B2666" s="116">
        <v>1437.6</v>
      </c>
      <c r="C2666" s="116">
        <v>1409.55</v>
      </c>
      <c r="D2666" s="116">
        <v>1377.8</v>
      </c>
      <c r="E2666" s="116">
        <v>1396.9</v>
      </c>
      <c r="F2666" s="116">
        <v>1409.55</v>
      </c>
      <c r="G2666">
        <v>145106</v>
      </c>
      <c r="H2666" s="116"/>
      <c r="I2666" s="116"/>
      <c r="L2666" s="170">
        <v>46147</v>
      </c>
      <c r="M2666" s="116">
        <v>1409.6</v>
      </c>
      <c r="N2666" s="116">
        <v>1438</v>
      </c>
      <c r="O2666" s="116">
        <v>1377</v>
      </c>
      <c r="P2666" s="116">
        <v>1394.6</v>
      </c>
      <c r="Q2666" s="116">
        <v>1409.6</v>
      </c>
      <c r="R2666">
        <v>5440472</v>
      </c>
    </row>
    <row r="2667" spans="1:18" x14ac:dyDescent="0.25">
      <c r="A2667" s="170">
        <v>46148</v>
      </c>
      <c r="B2667" s="116">
        <v>1422.8</v>
      </c>
      <c r="C2667" s="116">
        <v>1407.1</v>
      </c>
      <c r="D2667" s="116">
        <v>1389.5</v>
      </c>
      <c r="E2667" s="116">
        <v>1415.65</v>
      </c>
      <c r="F2667" s="116">
        <v>1407.1</v>
      </c>
      <c r="G2667">
        <v>157195</v>
      </c>
      <c r="H2667" s="116"/>
      <c r="I2667" s="116"/>
      <c r="L2667" s="170">
        <v>46148</v>
      </c>
      <c r="M2667" s="116">
        <v>1407.3</v>
      </c>
      <c r="N2667" s="116">
        <v>1422</v>
      </c>
      <c r="O2667" s="116">
        <v>1389.1</v>
      </c>
      <c r="P2667" s="116">
        <v>1411</v>
      </c>
      <c r="Q2667" s="116">
        <v>1407.3</v>
      </c>
      <c r="R2667">
        <v>3076159</v>
      </c>
    </row>
    <row r="2668" spans="1:18" x14ac:dyDescent="0.25">
      <c r="A2668" s="170">
        <v>46149</v>
      </c>
      <c r="B2668" s="116">
        <v>1411.3</v>
      </c>
      <c r="C2668" s="116">
        <v>1386.35</v>
      </c>
      <c r="D2668" s="116">
        <v>1370.3</v>
      </c>
      <c r="E2668" s="116">
        <v>1407.1</v>
      </c>
      <c r="F2668" s="116">
        <v>1386.35</v>
      </c>
      <c r="G2668">
        <v>127796</v>
      </c>
      <c r="H2668" s="116"/>
      <c r="I2668" s="116"/>
      <c r="L2668" s="170">
        <v>46149</v>
      </c>
      <c r="M2668" s="116">
        <v>1387.1</v>
      </c>
      <c r="N2668" s="116">
        <v>1410.7</v>
      </c>
      <c r="O2668" s="116">
        <v>1370</v>
      </c>
      <c r="P2668" s="116">
        <v>1406.7</v>
      </c>
      <c r="Q2668" s="116">
        <v>1387.1</v>
      </c>
      <c r="R2668">
        <v>2818342</v>
      </c>
    </row>
    <row r="2669" spans="1:18" x14ac:dyDescent="0.25">
      <c r="A2669" s="170">
        <v>46150</v>
      </c>
      <c r="B2669" s="116">
        <v>1397.2</v>
      </c>
      <c r="C2669" s="116">
        <v>1353.55</v>
      </c>
      <c r="D2669" s="116">
        <v>1347.3</v>
      </c>
      <c r="E2669" s="116">
        <v>1393.95</v>
      </c>
      <c r="F2669" s="116">
        <v>1353.55</v>
      </c>
      <c r="G2669">
        <v>104633</v>
      </c>
      <c r="H2669" s="116"/>
      <c r="I2669" s="116"/>
      <c r="L2669" s="170">
        <v>46150</v>
      </c>
      <c r="M2669" s="116">
        <v>1353.6</v>
      </c>
      <c r="N2669" s="116">
        <v>1397</v>
      </c>
      <c r="O2669" s="116">
        <v>1346</v>
      </c>
      <c r="P2669" s="116">
        <v>1390</v>
      </c>
      <c r="Q2669" s="116">
        <v>1353.6</v>
      </c>
      <c r="R2669">
        <v>3113343</v>
      </c>
    </row>
    <row r="2670" spans="1:18" x14ac:dyDescent="0.25">
      <c r="A2670" s="170">
        <v>46153</v>
      </c>
      <c r="B2670" s="116">
        <v>1356.6</v>
      </c>
      <c r="C2670" s="116">
        <v>1339.85</v>
      </c>
      <c r="D2670" s="116">
        <v>1298.3</v>
      </c>
      <c r="E2670" s="116">
        <v>1353</v>
      </c>
      <c r="F2670" s="116">
        <v>1339.85</v>
      </c>
      <c r="G2670">
        <v>139230</v>
      </c>
      <c r="H2670" s="116"/>
      <c r="I2670" s="116"/>
      <c r="L2670" s="170">
        <v>46153</v>
      </c>
      <c r="M2670" s="116">
        <v>1340.4</v>
      </c>
      <c r="N2670" s="116">
        <v>1357.8</v>
      </c>
      <c r="O2670" s="116">
        <v>1298.5</v>
      </c>
      <c r="P2670" s="116">
        <v>1350.8</v>
      </c>
      <c r="Q2670" s="116">
        <v>1340.4</v>
      </c>
      <c r="R2670">
        <v>4535753</v>
      </c>
    </row>
    <row r="2671" spans="1:18" x14ac:dyDescent="0.25">
      <c r="A2671" s="170">
        <v>46154</v>
      </c>
      <c r="B2671" s="116">
        <v>1364.95</v>
      </c>
      <c r="C2671" s="116">
        <v>1284.4000000000001</v>
      </c>
      <c r="D2671" s="116">
        <v>1259.5</v>
      </c>
      <c r="E2671" s="116">
        <v>1338.05</v>
      </c>
      <c r="F2671" s="116">
        <v>1284.4000000000001</v>
      </c>
      <c r="G2671">
        <v>124004</v>
      </c>
      <c r="H2671" s="116"/>
      <c r="I2671" s="116"/>
      <c r="L2671" s="170">
        <v>46154</v>
      </c>
      <c r="M2671" s="116">
        <v>1284.3</v>
      </c>
      <c r="N2671" s="116">
        <v>1364.8</v>
      </c>
      <c r="O2671" s="116">
        <v>1258.3</v>
      </c>
      <c r="P2671" s="116">
        <v>1340.4</v>
      </c>
      <c r="Q2671" s="116">
        <v>1284.3</v>
      </c>
      <c r="R2671">
        <v>4849640</v>
      </c>
    </row>
    <row r="2672" spans="1:18" x14ac:dyDescent="0.25">
      <c r="A2672" s="170">
        <v>46155</v>
      </c>
      <c r="B2672" s="116">
        <v>1333.85</v>
      </c>
      <c r="C2672" s="116">
        <v>1318.8</v>
      </c>
      <c r="D2672" s="116">
        <v>1237</v>
      </c>
      <c r="E2672" s="116">
        <v>1261.25</v>
      </c>
      <c r="F2672" s="116">
        <v>1318.8</v>
      </c>
      <c r="G2672">
        <v>216410</v>
      </c>
      <c r="H2672" s="116"/>
      <c r="I2672" s="116"/>
      <c r="L2672" s="170">
        <v>46155</v>
      </c>
      <c r="M2672" s="116">
        <v>1318.2</v>
      </c>
      <c r="N2672" s="116">
        <v>1334.8</v>
      </c>
      <c r="O2672" s="116">
        <v>1236.5999999999999</v>
      </c>
      <c r="P2672" s="116">
        <v>1257.8</v>
      </c>
      <c r="Q2672" s="116">
        <v>1318.2</v>
      </c>
      <c r="R2672">
        <v>4691091</v>
      </c>
    </row>
    <row r="2673" spans="1:18" x14ac:dyDescent="0.25">
      <c r="A2673" s="170">
        <v>46156</v>
      </c>
      <c r="B2673" s="116">
        <v>1342.3</v>
      </c>
      <c r="C2673" s="116">
        <v>1318.55</v>
      </c>
      <c r="D2673" s="116">
        <v>1295.4000000000001</v>
      </c>
      <c r="E2673" s="116">
        <v>1322.25</v>
      </c>
      <c r="F2673" s="116">
        <v>1318.55</v>
      </c>
      <c r="G2673">
        <v>211993</v>
      </c>
      <c r="H2673" s="116"/>
      <c r="I2673" s="116"/>
      <c r="L2673" s="170">
        <v>46156</v>
      </c>
      <c r="M2673" s="116">
        <v>1319.1</v>
      </c>
      <c r="N2673" s="116">
        <v>1342</v>
      </c>
      <c r="O2673" s="116">
        <v>1295</v>
      </c>
      <c r="P2673" s="116">
        <v>1329.9</v>
      </c>
      <c r="Q2673" s="116">
        <v>1319.1</v>
      </c>
      <c r="R2673">
        <v>3931057</v>
      </c>
    </row>
    <row r="2674" spans="1:18" x14ac:dyDescent="0.25">
      <c r="A2674" s="170">
        <v>46157</v>
      </c>
      <c r="B2674" s="116">
        <v>1373.9</v>
      </c>
      <c r="C2674" s="116">
        <v>1306.5999999999999</v>
      </c>
      <c r="D2674" s="116">
        <v>1275.8</v>
      </c>
      <c r="E2674" s="116">
        <v>1373.9</v>
      </c>
      <c r="F2674" s="116">
        <v>1306.5999999999999</v>
      </c>
      <c r="G2674">
        <v>183781</v>
      </c>
      <c r="H2674" s="116"/>
      <c r="I2674" s="116"/>
      <c r="L2674" s="170">
        <v>46157</v>
      </c>
      <c r="M2674" s="116">
        <v>1303.5999999999999</v>
      </c>
      <c r="N2674" s="116">
        <v>1365</v>
      </c>
      <c r="O2674" s="116">
        <v>1276.3</v>
      </c>
      <c r="P2674" s="116">
        <v>1365</v>
      </c>
      <c r="Q2674" s="116">
        <v>1303.5999999999999</v>
      </c>
      <c r="R2674">
        <v>4283369</v>
      </c>
    </row>
    <row r="2675" spans="1:18" x14ac:dyDescent="0.25">
      <c r="A2675" s="170">
        <v>46160</v>
      </c>
      <c r="B2675" s="116">
        <v>1334.85</v>
      </c>
      <c r="C2675" s="116">
        <v>1328.2</v>
      </c>
      <c r="D2675" s="116">
        <v>1248.1500000000001</v>
      </c>
      <c r="E2675" s="116">
        <v>1294.0999999999999</v>
      </c>
      <c r="F2675" s="116">
        <v>1328.2</v>
      </c>
      <c r="G2675">
        <v>183993</v>
      </c>
      <c r="H2675" s="116"/>
      <c r="I2675" s="116"/>
      <c r="L2675" s="170">
        <v>46160</v>
      </c>
      <c r="M2675" s="116">
        <v>1328.3</v>
      </c>
      <c r="N2675" s="116">
        <v>1334.5</v>
      </c>
      <c r="O2675" s="116">
        <v>1248.2</v>
      </c>
      <c r="P2675" s="116">
        <v>1295</v>
      </c>
      <c r="Q2675" s="116">
        <v>1328.3</v>
      </c>
      <c r="R2675">
        <v>4008711</v>
      </c>
    </row>
    <row r="2676" spans="1:18" x14ac:dyDescent="0.25">
      <c r="A2676" s="170">
        <v>46161</v>
      </c>
      <c r="B2676" s="116">
        <v>1361.9</v>
      </c>
      <c r="C2676" s="116">
        <v>1329.05</v>
      </c>
      <c r="D2676" s="116">
        <v>1304.8</v>
      </c>
      <c r="E2676" s="116">
        <v>1357.5</v>
      </c>
      <c r="F2676" s="116">
        <v>1329.05</v>
      </c>
      <c r="G2676">
        <v>142412</v>
      </c>
      <c r="H2676" s="116"/>
      <c r="I2676" s="116"/>
      <c r="L2676" s="170">
        <v>46161</v>
      </c>
      <c r="M2676" s="116">
        <v>1329.5</v>
      </c>
      <c r="N2676" s="116">
        <v>1361.1</v>
      </c>
      <c r="O2676" s="116">
        <v>1311.3</v>
      </c>
      <c r="P2676" s="116">
        <v>1345</v>
      </c>
      <c r="Q2676" s="116">
        <v>1329.5</v>
      </c>
      <c r="R2676">
        <v>3103779</v>
      </c>
    </row>
    <row r="2677" spans="1:18" x14ac:dyDescent="0.25">
      <c r="A2677" s="170">
        <v>46162</v>
      </c>
      <c r="B2677" s="116">
        <v>1359.45</v>
      </c>
      <c r="C2677" s="116">
        <v>1346.9</v>
      </c>
      <c r="D2677" s="116">
        <v>1308.05</v>
      </c>
      <c r="E2677" s="116">
        <v>1321</v>
      </c>
      <c r="F2677" s="116">
        <v>1346.9</v>
      </c>
      <c r="G2677">
        <v>57642</v>
      </c>
      <c r="H2677" s="116"/>
      <c r="I2677" s="116"/>
      <c r="L2677" s="170">
        <v>46162</v>
      </c>
      <c r="M2677" s="116">
        <v>1346.1</v>
      </c>
      <c r="N2677" s="116">
        <v>1359.8</v>
      </c>
      <c r="O2677" s="116">
        <v>1307.5</v>
      </c>
      <c r="P2677" s="116">
        <v>1319</v>
      </c>
      <c r="Q2677" s="116">
        <v>1346.1</v>
      </c>
      <c r="R2677">
        <v>2786130</v>
      </c>
    </row>
    <row r="2678" spans="1:18" x14ac:dyDescent="0.25">
      <c r="A2678" s="170">
        <v>46163</v>
      </c>
      <c r="B2678" s="116">
        <v>1394.9</v>
      </c>
      <c r="C2678" s="116">
        <v>1339.9</v>
      </c>
      <c r="D2678" s="116">
        <v>1331.2</v>
      </c>
      <c r="E2678" s="116">
        <v>1353.8</v>
      </c>
      <c r="F2678" s="116">
        <v>1339.9</v>
      </c>
      <c r="G2678">
        <v>187224</v>
      </c>
      <c r="H2678" s="116"/>
      <c r="I2678" s="116"/>
      <c r="L2678" s="170">
        <v>46163</v>
      </c>
      <c r="M2678" s="116">
        <v>1342.2</v>
      </c>
      <c r="N2678" s="116">
        <v>1395</v>
      </c>
      <c r="O2678" s="116">
        <v>1332.1</v>
      </c>
      <c r="P2678" s="116">
        <v>1356</v>
      </c>
      <c r="Q2678" s="116">
        <v>1342.2</v>
      </c>
      <c r="R2678">
        <v>3223315</v>
      </c>
    </row>
    <row r="2679" spans="1:18" x14ac:dyDescent="0.25">
      <c r="A2679" s="170">
        <v>46164</v>
      </c>
      <c r="B2679" s="116">
        <v>1392.3</v>
      </c>
      <c r="C2679" s="116">
        <v>1368</v>
      </c>
      <c r="D2679" s="116">
        <v>1360.65</v>
      </c>
      <c r="E2679" s="116">
        <v>1360.65</v>
      </c>
      <c r="F2679" s="116">
        <v>1368</v>
      </c>
      <c r="G2679">
        <v>5151572</v>
      </c>
      <c r="H2679" s="116"/>
      <c r="I2679" s="116"/>
      <c r="L2679" s="170">
        <v>46164</v>
      </c>
      <c r="M2679" s="116">
        <v>1367.9</v>
      </c>
      <c r="N2679" s="116">
        <v>1391.8</v>
      </c>
      <c r="O2679" s="116">
        <v>1363.1</v>
      </c>
      <c r="P2679" s="116">
        <v>1365</v>
      </c>
      <c r="Q2679" s="116">
        <v>1367.9</v>
      </c>
      <c r="R2679">
        <v>3344194</v>
      </c>
    </row>
    <row r="2680" spans="1:18" x14ac:dyDescent="0.25">
      <c r="A2680" s="170">
        <v>46167</v>
      </c>
      <c r="B2680" s="116">
        <v>1410.95</v>
      </c>
      <c r="C2680" s="116">
        <v>1404.1</v>
      </c>
      <c r="D2680" s="116">
        <v>1357.85</v>
      </c>
      <c r="E2680" s="116">
        <v>1380</v>
      </c>
      <c r="F2680" s="116">
        <v>1404.1</v>
      </c>
      <c r="G2680">
        <v>282616</v>
      </c>
      <c r="H2680" s="116"/>
      <c r="I2680" s="116"/>
      <c r="L2680" s="170">
        <v>46167</v>
      </c>
      <c r="M2680" s="116">
        <v>1404.3</v>
      </c>
      <c r="N2680" s="116">
        <v>1412</v>
      </c>
      <c r="O2680" s="116">
        <v>1357.6</v>
      </c>
      <c r="P2680" s="116">
        <v>1381.2</v>
      </c>
      <c r="Q2680" s="116">
        <v>1404.3</v>
      </c>
      <c r="R2680">
        <v>3046325</v>
      </c>
    </row>
    <row r="2681" spans="1:18" x14ac:dyDescent="0.25">
      <c r="A2681" s="170">
        <v>46168</v>
      </c>
      <c r="B2681" s="116">
        <v>1484.7</v>
      </c>
      <c r="C2681" s="116">
        <v>1462.65</v>
      </c>
      <c r="D2681" s="116">
        <v>1398.05</v>
      </c>
      <c r="E2681" s="116">
        <v>1412.8</v>
      </c>
      <c r="F2681" s="116">
        <v>1462.65</v>
      </c>
      <c r="G2681">
        <v>432363</v>
      </c>
      <c r="H2681" s="116"/>
      <c r="I2681" s="116"/>
      <c r="L2681" s="170">
        <v>46168</v>
      </c>
      <c r="M2681" s="116">
        <v>1463.3</v>
      </c>
      <c r="N2681" s="116">
        <v>1489</v>
      </c>
      <c r="O2681" s="116">
        <v>1397.6</v>
      </c>
      <c r="P2681" s="116">
        <v>1405</v>
      </c>
      <c r="Q2681" s="116">
        <v>1463.3</v>
      </c>
      <c r="R2681">
        <v>6172118</v>
      </c>
    </row>
    <row r="2682" spans="1:18" x14ac:dyDescent="0.25">
      <c r="A2682" s="170">
        <v>46169</v>
      </c>
      <c r="B2682" s="116">
        <v>1558.9</v>
      </c>
      <c r="C2682" s="116">
        <v>1539.9</v>
      </c>
      <c r="D2682" s="116">
        <v>1474.25</v>
      </c>
      <c r="E2682" s="116">
        <v>1488</v>
      </c>
      <c r="F2682" s="116">
        <v>1539.9</v>
      </c>
      <c r="G2682">
        <v>451327</v>
      </c>
      <c r="H2682" s="116"/>
      <c r="I2682" s="116"/>
      <c r="L2682" s="170">
        <v>46169</v>
      </c>
      <c r="M2682" s="116">
        <v>1540.1</v>
      </c>
      <c r="N2682" s="116">
        <v>1558.8</v>
      </c>
      <c r="O2682" s="116">
        <v>1475.1</v>
      </c>
      <c r="P2682" s="116">
        <v>1485</v>
      </c>
      <c r="Q2682" s="116">
        <v>1540.1</v>
      </c>
      <c r="R2682">
        <v>7841736</v>
      </c>
    </row>
    <row r="2683" spans="1:18" x14ac:dyDescent="0.25">
      <c r="A2683" s="170">
        <v>46171</v>
      </c>
      <c r="B2683" s="116">
        <v>1578</v>
      </c>
      <c r="C2683" s="116">
        <v>1513.15</v>
      </c>
      <c r="D2683" s="116">
        <v>1505.3</v>
      </c>
      <c r="E2683" s="116">
        <v>1564.45</v>
      </c>
      <c r="F2683" s="116">
        <v>1513.15</v>
      </c>
      <c r="G2683">
        <v>168406</v>
      </c>
      <c r="H2683" s="116"/>
      <c r="I2683" s="116"/>
      <c r="L2683" s="170">
        <v>46171</v>
      </c>
      <c r="M2683" s="116">
        <v>1513.3</v>
      </c>
      <c r="N2683" s="116">
        <v>1578.5</v>
      </c>
      <c r="O2683" s="116">
        <v>1504</v>
      </c>
      <c r="P2683" s="116">
        <v>1557.1</v>
      </c>
      <c r="Q2683" s="116">
        <v>1513.3</v>
      </c>
      <c r="R2683">
        <v>3353166</v>
      </c>
    </row>
    <row r="2684" spans="1:18" x14ac:dyDescent="0.25">
      <c r="A2684" s="170">
        <v>46174</v>
      </c>
      <c r="B2684" s="116">
        <v>1526.6</v>
      </c>
      <c r="C2684" s="116">
        <v>1496.8</v>
      </c>
      <c r="D2684" s="116">
        <v>1487</v>
      </c>
      <c r="E2684" s="116">
        <v>1524.35</v>
      </c>
      <c r="F2684" s="116">
        <v>1496.8</v>
      </c>
      <c r="G2684">
        <v>362209</v>
      </c>
      <c r="H2684" s="116"/>
      <c r="I2684" s="116"/>
      <c r="L2684" s="170">
        <v>46174</v>
      </c>
      <c r="M2684" s="116">
        <v>1496.5</v>
      </c>
      <c r="N2684" s="116">
        <v>1524</v>
      </c>
      <c r="O2684" s="116">
        <v>1486.5</v>
      </c>
      <c r="P2684" s="116">
        <v>1521.8</v>
      </c>
      <c r="Q2684" s="116">
        <v>1496.5</v>
      </c>
      <c r="R2684">
        <v>2692605</v>
      </c>
    </row>
    <row r="2685" spans="1:18" x14ac:dyDescent="0.25">
      <c r="A2685" s="170">
        <v>46175</v>
      </c>
      <c r="B2685" s="116">
        <v>1536</v>
      </c>
      <c r="C2685" s="116">
        <v>1530.95</v>
      </c>
      <c r="D2685" s="116">
        <v>1474.9</v>
      </c>
      <c r="E2685" s="116">
        <v>1496.4</v>
      </c>
      <c r="F2685" s="116">
        <v>1530.95</v>
      </c>
      <c r="G2685">
        <v>196711</v>
      </c>
      <c r="H2685" s="116"/>
      <c r="I2685" s="116"/>
      <c r="L2685" s="170">
        <v>46175</v>
      </c>
      <c r="M2685" s="116">
        <v>1530.6</v>
      </c>
      <c r="N2685" s="116">
        <v>1536.8</v>
      </c>
      <c r="O2685" s="116">
        <v>1475.5</v>
      </c>
      <c r="P2685" s="116">
        <v>1494.2</v>
      </c>
      <c r="Q2685" s="116">
        <v>1530.6</v>
      </c>
      <c r="R2685">
        <v>2826067</v>
      </c>
    </row>
    <row r="2686" spans="1:18" x14ac:dyDescent="0.25">
      <c r="A2686" s="170">
        <v>46176</v>
      </c>
      <c r="B2686" s="116">
        <v>1533.65</v>
      </c>
      <c r="C2686" s="116">
        <v>1492.4</v>
      </c>
      <c r="D2686" s="116">
        <v>1445</v>
      </c>
      <c r="E2686" s="116">
        <v>1530</v>
      </c>
      <c r="F2686" s="116">
        <v>1492.4</v>
      </c>
      <c r="G2686">
        <v>260097</v>
      </c>
      <c r="H2686" s="116"/>
      <c r="I2686" s="116"/>
      <c r="L2686" s="170">
        <v>46176</v>
      </c>
      <c r="M2686" s="116">
        <v>1493.1</v>
      </c>
      <c r="N2686" s="116">
        <v>1532</v>
      </c>
      <c r="O2686" s="116">
        <v>1445</v>
      </c>
      <c r="P2686" s="116">
        <v>1531.5</v>
      </c>
      <c r="Q2686" s="116">
        <v>1493.1</v>
      </c>
      <c r="R2686">
        <v>4433558</v>
      </c>
    </row>
    <row r="2687" spans="1:18" x14ac:dyDescent="0.25">
      <c r="A2687" s="170">
        <v>46177</v>
      </c>
      <c r="B2687" s="116">
        <v>1526.7</v>
      </c>
      <c r="C2687" s="116">
        <v>1519.9</v>
      </c>
      <c r="D2687" s="116">
        <v>1482.8</v>
      </c>
      <c r="E2687" s="116">
        <v>1496.95</v>
      </c>
      <c r="F2687" s="116">
        <v>1519.9</v>
      </c>
      <c r="G2687">
        <v>94628</v>
      </c>
      <c r="H2687" s="116"/>
      <c r="I2687" s="116"/>
      <c r="L2687" s="170">
        <v>46177</v>
      </c>
      <c r="M2687" s="116">
        <v>1520</v>
      </c>
      <c r="N2687" s="116">
        <v>1526.8</v>
      </c>
      <c r="O2687" s="116">
        <v>1482.9</v>
      </c>
      <c r="P2687" s="116">
        <v>1492</v>
      </c>
      <c r="Q2687" s="116">
        <v>1520</v>
      </c>
      <c r="R2687">
        <v>2706265</v>
      </c>
    </row>
    <row r="2688" spans="1:18" x14ac:dyDescent="0.25">
      <c r="A2688" s="170">
        <v>46178</v>
      </c>
      <c r="B2688" s="116">
        <v>1591</v>
      </c>
      <c r="C2688" s="116">
        <v>1579.45</v>
      </c>
      <c r="D2688" s="116">
        <v>1530</v>
      </c>
      <c r="E2688" s="116">
        <v>1530</v>
      </c>
      <c r="F2688" s="116">
        <v>1579.45</v>
      </c>
      <c r="G2688">
        <v>342257</v>
      </c>
      <c r="H2688" s="116"/>
      <c r="I2688" s="116"/>
      <c r="L2688" s="170">
        <v>46178</v>
      </c>
      <c r="M2688" s="116">
        <v>1579</v>
      </c>
      <c r="N2688" s="116">
        <v>1591.4</v>
      </c>
      <c r="O2688" s="116">
        <v>1527</v>
      </c>
      <c r="P2688" s="116">
        <v>1528.4</v>
      </c>
      <c r="Q2688" s="116">
        <v>1579</v>
      </c>
      <c r="R2688">
        <v>5528998</v>
      </c>
    </row>
    <row r="2689" spans="1:18" x14ac:dyDescent="0.25">
      <c r="A2689" s="170">
        <v>46181</v>
      </c>
      <c r="B2689" s="116">
        <v>1614</v>
      </c>
      <c r="C2689" s="116">
        <v>1569.85</v>
      </c>
      <c r="D2689" s="116">
        <v>1535.7</v>
      </c>
      <c r="E2689" s="116">
        <v>1559.45</v>
      </c>
      <c r="F2689" s="116">
        <v>1569.85</v>
      </c>
      <c r="G2689">
        <v>496528</v>
      </c>
      <c r="H2689" s="116"/>
      <c r="I2689" s="116"/>
      <c r="L2689" s="170">
        <v>46181</v>
      </c>
      <c r="M2689" s="116">
        <v>1570.4</v>
      </c>
      <c r="N2689" s="116">
        <v>1614.8</v>
      </c>
      <c r="O2689" s="116">
        <v>1535.1</v>
      </c>
      <c r="P2689" s="116">
        <v>1558.9</v>
      </c>
      <c r="Q2689" s="116">
        <v>1570.4</v>
      </c>
      <c r="R2689">
        <v>6296050</v>
      </c>
    </row>
    <row r="2690" spans="1:18" x14ac:dyDescent="0.25">
      <c r="A2690" s="170">
        <v>46182</v>
      </c>
      <c r="B2690" s="116">
        <v>1599.6</v>
      </c>
      <c r="C2690" s="116">
        <v>1578.05</v>
      </c>
      <c r="D2690" s="116">
        <v>1558.8</v>
      </c>
      <c r="E2690" s="116">
        <v>1593.95</v>
      </c>
      <c r="F2690" s="116">
        <v>1578.05</v>
      </c>
      <c r="G2690">
        <v>158466</v>
      </c>
      <c r="H2690" s="116"/>
      <c r="I2690" s="116"/>
      <c r="L2690" s="170">
        <v>46182</v>
      </c>
      <c r="M2690" s="116">
        <v>1579.2</v>
      </c>
      <c r="N2690" s="116">
        <v>1599</v>
      </c>
      <c r="O2690" s="116">
        <v>1558</v>
      </c>
      <c r="P2690" s="116">
        <v>1597.4</v>
      </c>
      <c r="Q2690" s="116">
        <v>1579.2</v>
      </c>
      <c r="R2690">
        <v>3013275</v>
      </c>
    </row>
    <row r="2691" spans="1:18" x14ac:dyDescent="0.25">
      <c r="A2691" s="170">
        <v>46183</v>
      </c>
      <c r="B2691" s="116">
        <v>1584.75</v>
      </c>
      <c r="C2691" s="116">
        <v>1535.2</v>
      </c>
      <c r="D2691" s="116">
        <v>1521.2</v>
      </c>
      <c r="E2691" s="116">
        <v>1584.75</v>
      </c>
      <c r="F2691" s="116">
        <v>1535.2</v>
      </c>
      <c r="G2691">
        <v>135415</v>
      </c>
      <c r="H2691" s="116"/>
      <c r="I2691" s="116"/>
      <c r="L2691" s="170">
        <v>46183</v>
      </c>
      <c r="M2691" s="116">
        <v>1535.6</v>
      </c>
      <c r="N2691" s="116">
        <v>1580.7</v>
      </c>
      <c r="O2691" s="116">
        <v>1521.4</v>
      </c>
      <c r="P2691" s="116">
        <v>1580</v>
      </c>
      <c r="Q2691" s="116">
        <v>1535.6</v>
      </c>
      <c r="R2691">
        <v>2286852</v>
      </c>
    </row>
    <row r="2692" spans="1:18" x14ac:dyDescent="0.25">
      <c r="A2692" s="170">
        <v>46184</v>
      </c>
      <c r="B2692" s="116">
        <v>1541.7</v>
      </c>
      <c r="C2692" s="116">
        <v>1466.5</v>
      </c>
      <c r="D2692" s="116">
        <v>1461.25</v>
      </c>
      <c r="E2692" s="116">
        <v>1536.75</v>
      </c>
      <c r="F2692" s="116">
        <v>1466.5</v>
      </c>
      <c r="G2692">
        <v>140715</v>
      </c>
      <c r="H2692" s="116"/>
      <c r="I2692" s="116"/>
      <c r="L2692" s="170">
        <v>46184</v>
      </c>
      <c r="M2692" s="116">
        <v>1466.7</v>
      </c>
      <c r="N2692" s="116">
        <v>1541.5</v>
      </c>
      <c r="O2692" s="116">
        <v>1460.8</v>
      </c>
      <c r="P2692" s="116">
        <v>1532.9</v>
      </c>
      <c r="Q2692" s="116">
        <v>1466.7</v>
      </c>
      <c r="R2692">
        <v>2013886</v>
      </c>
    </row>
    <row r="2693" spans="1:18" x14ac:dyDescent="0.25">
      <c r="A2693" s="170">
        <v>46185</v>
      </c>
      <c r="B2693" s="116">
        <v>1508.15</v>
      </c>
      <c r="C2693" s="116">
        <v>1487.2</v>
      </c>
      <c r="D2693" s="116">
        <v>1477.05</v>
      </c>
      <c r="E2693" s="116">
        <v>1500.6</v>
      </c>
      <c r="F2693" s="116">
        <v>1487.2</v>
      </c>
      <c r="G2693">
        <v>104670</v>
      </c>
      <c r="H2693" s="116"/>
      <c r="I2693" s="116"/>
      <c r="L2693" s="170">
        <v>46185</v>
      </c>
      <c r="M2693" s="116">
        <v>1489.6</v>
      </c>
      <c r="N2693" s="116">
        <v>1509</v>
      </c>
      <c r="O2693" s="116">
        <v>1477</v>
      </c>
      <c r="P2693" s="116">
        <v>1499</v>
      </c>
      <c r="Q2693" s="116">
        <v>1489.6</v>
      </c>
      <c r="R2693">
        <v>1607528</v>
      </c>
    </row>
    <row r="2694" spans="1:18" x14ac:dyDescent="0.25">
      <c r="A2694" s="170">
        <v>46188</v>
      </c>
      <c r="B2694" s="116">
        <v>1534.5</v>
      </c>
      <c r="C2694" s="116">
        <v>1490.8</v>
      </c>
      <c r="D2694" s="116">
        <v>1486.55</v>
      </c>
      <c r="E2694" s="116">
        <v>1503.15</v>
      </c>
      <c r="F2694" s="116">
        <v>1490.8</v>
      </c>
      <c r="G2694">
        <v>128324</v>
      </c>
      <c r="H2694" s="116"/>
      <c r="I2694" s="116"/>
      <c r="L2694" s="170">
        <v>46188</v>
      </c>
      <c r="M2694" s="116">
        <v>1491.9</v>
      </c>
      <c r="N2694" s="116">
        <v>1534.8</v>
      </c>
      <c r="O2694" s="116">
        <v>1486.1</v>
      </c>
      <c r="P2694" s="116">
        <v>1506.9</v>
      </c>
      <c r="Q2694" s="116">
        <v>1491.9</v>
      </c>
      <c r="R2694">
        <v>1914035</v>
      </c>
    </row>
    <row r="2695" spans="1:18" x14ac:dyDescent="0.25">
      <c r="A2695" s="170">
        <v>46189</v>
      </c>
      <c r="B2695" s="116">
        <v>1518.65</v>
      </c>
      <c r="C2695" s="116">
        <v>1491.7</v>
      </c>
      <c r="D2695" s="116">
        <v>1476</v>
      </c>
      <c r="E2695" s="116">
        <v>1494.65</v>
      </c>
      <c r="F2695" s="116">
        <v>1491.7</v>
      </c>
      <c r="G2695">
        <v>111018</v>
      </c>
      <c r="H2695" s="116"/>
      <c r="I2695" s="116"/>
      <c r="L2695" s="170">
        <v>46189</v>
      </c>
      <c r="M2695" s="116">
        <v>1491.1</v>
      </c>
      <c r="N2695" s="116">
        <v>1519</v>
      </c>
      <c r="O2695" s="116">
        <v>1475.5</v>
      </c>
      <c r="P2695" s="116">
        <v>1498</v>
      </c>
      <c r="Q2695" s="116">
        <v>1491.1</v>
      </c>
      <c r="R2695">
        <v>1686111</v>
      </c>
    </row>
    <row r="2696" spans="1:18" x14ac:dyDescent="0.25">
      <c r="A2696" s="170"/>
      <c r="B2696" s="116"/>
      <c r="C2696" s="116"/>
      <c r="D2696" s="116"/>
      <c r="E2696" s="116"/>
      <c r="F2696" s="116"/>
      <c r="H2696" s="116"/>
      <c r="I2696" s="116"/>
      <c r="L2696" s="170"/>
    </row>
    <row r="2697" spans="1:18" x14ac:dyDescent="0.25">
      <c r="A2697" s="170"/>
      <c r="B2697" s="116"/>
      <c r="C2697" s="116"/>
      <c r="D2697" s="116"/>
      <c r="E2697" s="116"/>
      <c r="F2697" s="116"/>
      <c r="H2697" s="116"/>
      <c r="I2697" s="116"/>
      <c r="L2697" s="170"/>
    </row>
    <row r="2698" spans="1:18" x14ac:dyDescent="0.25">
      <c r="A2698" s="170"/>
      <c r="B2698" s="116"/>
      <c r="C2698" s="116"/>
      <c r="D2698" s="116"/>
      <c r="E2698" s="116"/>
      <c r="F2698" s="116"/>
      <c r="H2698" s="116"/>
      <c r="I2698" s="116"/>
      <c r="L2698" s="170"/>
    </row>
    <row r="2699" spans="1:18" x14ac:dyDescent="0.25">
      <c r="A2699" s="170"/>
      <c r="B2699" s="116"/>
      <c r="C2699" s="116"/>
      <c r="D2699" s="116"/>
      <c r="E2699" s="116"/>
      <c r="F2699" s="116"/>
      <c r="H2699" s="116"/>
      <c r="I2699" s="116"/>
      <c r="L2699" s="170"/>
    </row>
    <row r="2700" spans="1:18" x14ac:dyDescent="0.25">
      <c r="A2700" s="170"/>
      <c r="B2700" s="116"/>
      <c r="C2700" s="116"/>
      <c r="D2700" s="116"/>
      <c r="E2700" s="116"/>
      <c r="F2700" s="116"/>
      <c r="H2700" s="116"/>
      <c r="I2700" s="116"/>
      <c r="L2700" s="170"/>
    </row>
    <row r="2701" spans="1:18" x14ac:dyDescent="0.25">
      <c r="A2701" s="170"/>
      <c r="B2701" s="116"/>
      <c r="C2701" s="116"/>
      <c r="D2701" s="116"/>
      <c r="E2701" s="116"/>
      <c r="F2701" s="116"/>
      <c r="H2701" s="116"/>
      <c r="I2701" s="116"/>
      <c r="L2701" s="170"/>
    </row>
    <row r="2702" spans="1:18" x14ac:dyDescent="0.25">
      <c r="A2702" s="170"/>
      <c r="B2702" s="116"/>
      <c r="C2702" s="116"/>
      <c r="D2702" s="116"/>
      <c r="E2702" s="116"/>
      <c r="F2702" s="116"/>
      <c r="H2702" s="116"/>
      <c r="I2702" s="116"/>
      <c r="L2702" s="170"/>
    </row>
    <row r="2703" spans="1:18" x14ac:dyDescent="0.25">
      <c r="A2703" s="170"/>
      <c r="B2703" s="116"/>
      <c r="C2703" s="116"/>
      <c r="D2703" s="116"/>
      <c r="E2703" s="116"/>
      <c r="F2703" s="116"/>
      <c r="H2703" s="116"/>
      <c r="I2703" s="116"/>
      <c r="L2703" s="170"/>
    </row>
    <row r="2704" spans="1:18" x14ac:dyDescent="0.25">
      <c r="A2704" s="170"/>
      <c r="B2704" s="116"/>
      <c r="C2704" s="116"/>
      <c r="D2704" s="116"/>
      <c r="E2704" s="116"/>
      <c r="F2704" s="116"/>
      <c r="H2704" s="116"/>
      <c r="I2704" s="116"/>
      <c r="L2704" s="170"/>
    </row>
    <row r="2705" spans="1:12" x14ac:dyDescent="0.25">
      <c r="A2705" s="170"/>
      <c r="B2705" s="116"/>
      <c r="C2705" s="116"/>
      <c r="D2705" s="116"/>
      <c r="E2705" s="116"/>
      <c r="F2705" s="116"/>
      <c r="H2705" s="116"/>
      <c r="I2705" s="116"/>
      <c r="L2705" s="170"/>
    </row>
    <row r="2706" spans="1:12" x14ac:dyDescent="0.25">
      <c r="A2706" s="170"/>
      <c r="B2706" s="116"/>
      <c r="C2706" s="116"/>
      <c r="D2706" s="116"/>
      <c r="E2706" s="116"/>
      <c r="F2706" s="116"/>
      <c r="H2706" s="116"/>
      <c r="I2706" s="116"/>
      <c r="L2706" s="170"/>
    </row>
    <row r="2707" spans="1:12" x14ac:dyDescent="0.25">
      <c r="A2707" s="170"/>
      <c r="B2707" s="116"/>
      <c r="C2707" s="116"/>
      <c r="D2707" s="116"/>
      <c r="E2707" s="116"/>
      <c r="F2707" s="116"/>
      <c r="H2707" s="116"/>
      <c r="I2707" s="116"/>
      <c r="L2707" s="170"/>
    </row>
    <row r="2708" spans="1:12" x14ac:dyDescent="0.25">
      <c r="A2708" s="170"/>
      <c r="B2708" s="116"/>
      <c r="C2708" s="116"/>
      <c r="D2708" s="116"/>
      <c r="E2708" s="116"/>
      <c r="F2708" s="116"/>
      <c r="H2708" s="116"/>
      <c r="I2708" s="116"/>
      <c r="L2708" s="170"/>
    </row>
    <row r="2709" spans="1:12" x14ac:dyDescent="0.25">
      <c r="A2709" s="170"/>
      <c r="H2709" s="116"/>
      <c r="I2709" s="116"/>
      <c r="L2709" s="170"/>
    </row>
    <row r="2710" spans="1:12" x14ac:dyDescent="0.25">
      <c r="A2710" s="170"/>
      <c r="H2710" s="116"/>
      <c r="I2710" s="116"/>
      <c r="L2710" s="170"/>
    </row>
    <row r="2711" spans="1:12" x14ac:dyDescent="0.25">
      <c r="A2711" s="170"/>
      <c r="H2711" s="116"/>
      <c r="I2711" s="116"/>
      <c r="L2711" s="170"/>
    </row>
    <row r="2712" spans="1:12" x14ac:dyDescent="0.25">
      <c r="A2712" s="170"/>
      <c r="H2712" s="116"/>
      <c r="I2712" s="116"/>
      <c r="L2712" s="170"/>
    </row>
    <row r="2713" spans="1:12" x14ac:dyDescent="0.25">
      <c r="A2713" s="170"/>
      <c r="H2713" s="116"/>
      <c r="I2713" s="116"/>
      <c r="L2713" s="170"/>
    </row>
    <row r="2714" spans="1:12" x14ac:dyDescent="0.25">
      <c r="A2714" s="170"/>
      <c r="H2714" s="116"/>
      <c r="I2714" s="116"/>
      <c r="L2714" s="170"/>
    </row>
    <row r="2715" spans="1:12" x14ac:dyDescent="0.25">
      <c r="A2715" s="170"/>
      <c r="H2715" s="116"/>
      <c r="I2715" s="116"/>
      <c r="L2715" s="170"/>
    </row>
    <row r="2716" spans="1:12" x14ac:dyDescent="0.25">
      <c r="A2716" s="170"/>
      <c r="H2716" s="116"/>
      <c r="I2716" s="116"/>
      <c r="L2716" s="170"/>
    </row>
    <row r="2717" spans="1:12" x14ac:dyDescent="0.25">
      <c r="A2717" s="170"/>
      <c r="H2717" s="116"/>
      <c r="I2717" s="116"/>
      <c r="L2717" s="170"/>
    </row>
    <row r="2718" spans="1:12" x14ac:dyDescent="0.25">
      <c r="A2718" s="170"/>
      <c r="H2718" s="116"/>
      <c r="I2718" s="116"/>
      <c r="L2718" s="170"/>
    </row>
    <row r="2719" spans="1:12" x14ac:dyDescent="0.25">
      <c r="A2719" s="170"/>
      <c r="H2719" s="116"/>
      <c r="I2719" s="116"/>
      <c r="L2719" s="170"/>
    </row>
    <row r="2720" spans="1:12" x14ac:dyDescent="0.25">
      <c r="A2720" s="170"/>
      <c r="H2720" s="116"/>
      <c r="I2720" s="116"/>
      <c r="L2720" s="170"/>
    </row>
    <row r="2721" spans="1:12" x14ac:dyDescent="0.25">
      <c r="A2721" s="170"/>
      <c r="H2721" s="116"/>
      <c r="I2721" s="116"/>
      <c r="L2721" s="170"/>
    </row>
    <row r="2722" spans="1:12" x14ac:dyDescent="0.25">
      <c r="A2722" s="170"/>
      <c r="H2722" s="116"/>
      <c r="I2722" s="116"/>
      <c r="L2722" s="170"/>
    </row>
    <row r="2723" spans="1:12" x14ac:dyDescent="0.25">
      <c r="H2723" s="116"/>
      <c r="I2723" s="116"/>
    </row>
    <row r="2724" spans="1:12" x14ac:dyDescent="0.25">
      <c r="H2724" s="116"/>
      <c r="I2724" s="116"/>
    </row>
    <row r="2725" spans="1:12" x14ac:dyDescent="0.25">
      <c r="H2725" s="116"/>
      <c r="I2725" s="116"/>
    </row>
    <row r="2726" spans="1:12" x14ac:dyDescent="0.25">
      <c r="H2726" s="116"/>
      <c r="I2726" s="116"/>
    </row>
    <row r="2727" spans="1:12" x14ac:dyDescent="0.25">
      <c r="H2727" s="116"/>
      <c r="I2727" s="116"/>
    </row>
    <row r="2728" spans="1:12" x14ac:dyDescent="0.25">
      <c r="H2728" s="116"/>
      <c r="I2728" s="116"/>
    </row>
    <row r="2729" spans="1:12" x14ac:dyDescent="0.25">
      <c r="H2729" s="116"/>
      <c r="I2729" s="116"/>
    </row>
    <row r="2730" spans="1:12" x14ac:dyDescent="0.25">
      <c r="H2730" s="116"/>
      <c r="I2730" s="116"/>
    </row>
    <row r="2731" spans="1:12" x14ac:dyDescent="0.25">
      <c r="H2731" s="116"/>
      <c r="I2731" s="116"/>
    </row>
    <row r="2732" spans="1:12" x14ac:dyDescent="0.25">
      <c r="H2732" s="116"/>
      <c r="I2732" s="116"/>
    </row>
    <row r="2733" spans="1:12" x14ac:dyDescent="0.25">
      <c r="H2733" s="116"/>
      <c r="I2733" s="116"/>
    </row>
    <row r="2734" spans="1:12" x14ac:dyDescent="0.25">
      <c r="H2734" s="116"/>
      <c r="I2734" s="116"/>
    </row>
    <row r="2735" spans="1:12" x14ac:dyDescent="0.25">
      <c r="H2735" s="116"/>
      <c r="I2735" s="116"/>
    </row>
    <row r="2736" spans="1:12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2026-06-17T09:44:23Z</dcterms:modified>
  <cp:category/>
  <cp:contentStatus/>
</cp:coreProperties>
</file>